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820" activeTab="1"/>
  </bookViews>
  <sheets>
    <sheet name="高二原始数据" sheetId="1" r:id="rId1"/>
    <sheet name="高二成绩" sheetId="2" r:id="rId2"/>
    <sheet name="高二平均成绩 (2)" sheetId="3" r:id="rId3"/>
    <sheet name="男平均" sheetId="5" r:id="rId4"/>
    <sheet name="女平均" sheetId="6" r:id="rId5"/>
  </sheets>
  <definedNames>
    <definedName name="_xlnm._FilterDatabase" localSheetId="1" hidden="1">高二成绩!$A$1:$X$755</definedName>
    <definedName name="_xlnm._FilterDatabase" localSheetId="2" hidden="1">'高二平均成绩 (2)'!$A$1:$Y$768</definedName>
    <definedName name="_xlnm._FilterDatabase" localSheetId="3" hidden="1">男平均!$A$1:$Y$445</definedName>
    <definedName name="_xlnm._FilterDatabase" localSheetId="4" hidden="1">女平均!$A$1:$Y$339</definedName>
    <definedName name="_xlnm._FilterDatabase" localSheetId="0" hidden="1">高二原始数据!$A$1:$K$1097</definedName>
  </definedNames>
  <calcPr calcId="144525"/>
</workbook>
</file>

<file path=xl/sharedStrings.xml><?xml version="1.0" encoding="utf-8"?>
<sst xmlns="http://schemas.openxmlformats.org/spreadsheetml/2006/main" count="7129" uniqueCount="871">
  <si>
    <t>第1组</t>
  </si>
  <si>
    <t>班级</t>
  </si>
  <si>
    <t>号码</t>
  </si>
  <si>
    <t>姓名</t>
  </si>
  <si>
    <t>性别</t>
  </si>
  <si>
    <t>坐位体前屈</t>
  </si>
  <si>
    <t>立定跳远</t>
  </si>
  <si>
    <t>仰卧/引体</t>
  </si>
  <si>
    <t>长跑</t>
  </si>
  <si>
    <t>备注</t>
  </si>
  <si>
    <t>陈诺</t>
  </si>
  <si>
    <t>男</t>
  </si>
  <si>
    <t>陈泽俊</t>
  </si>
  <si>
    <t>丁俊铖</t>
  </si>
  <si>
    <t>病免</t>
  </si>
  <si>
    <t>丁宇涵</t>
  </si>
  <si>
    <t>不在校</t>
  </si>
  <si>
    <t>丁浙汀</t>
  </si>
  <si>
    <t>傅邓凯</t>
  </si>
  <si>
    <t>郭风潇</t>
  </si>
  <si>
    <t>贾智元</t>
  </si>
  <si>
    <t>蒋宸阳</t>
  </si>
  <si>
    <t>金厚丞</t>
  </si>
  <si>
    <t>李言昊</t>
  </si>
  <si>
    <t>林川皓</t>
  </si>
  <si>
    <t>第2组</t>
  </si>
  <si>
    <t>刘天悦</t>
  </si>
  <si>
    <t>刘宥成</t>
  </si>
  <si>
    <t>柳宇轩</t>
  </si>
  <si>
    <t>骆思行</t>
  </si>
  <si>
    <t>钱澔男</t>
  </si>
  <si>
    <t>钱晟</t>
  </si>
  <si>
    <t>裘商宸</t>
  </si>
  <si>
    <t>石弘毅</t>
  </si>
  <si>
    <t>宋长纬</t>
  </si>
  <si>
    <t>孙卿鹤</t>
  </si>
  <si>
    <t>王海坤</t>
  </si>
  <si>
    <t>王佶</t>
  </si>
  <si>
    <t>第3组</t>
  </si>
  <si>
    <t>王潇阳</t>
  </si>
  <si>
    <t>吴昊</t>
  </si>
  <si>
    <t>项凯</t>
  </si>
  <si>
    <t>徐泽铭</t>
  </si>
  <si>
    <t>奕锦豪</t>
  </si>
  <si>
    <t>俞嘉昊</t>
  </si>
  <si>
    <t>章翊涵</t>
  </si>
  <si>
    <t>赵陈昊</t>
  </si>
  <si>
    <t>赵成儒</t>
  </si>
  <si>
    <t>赵天弈</t>
  </si>
  <si>
    <t>周励</t>
  </si>
  <si>
    <t>朱恒阳</t>
  </si>
  <si>
    <t>第4组</t>
  </si>
  <si>
    <t>包奕辰</t>
  </si>
  <si>
    <t>女</t>
  </si>
  <si>
    <t>单涵</t>
  </si>
  <si>
    <t>生物竞赛</t>
  </si>
  <si>
    <t>冯华</t>
  </si>
  <si>
    <t>何芊</t>
  </si>
  <si>
    <t>黄思睿</t>
  </si>
  <si>
    <t>裘苏麒</t>
  </si>
  <si>
    <t>吴雨乐</t>
  </si>
  <si>
    <t>钟意清</t>
  </si>
  <si>
    <t>周思言</t>
  </si>
  <si>
    <t>朱轩仪</t>
  </si>
  <si>
    <t>第5组</t>
  </si>
  <si>
    <t>陈韬羽</t>
  </si>
  <si>
    <t>池泽宇</t>
  </si>
  <si>
    <t>戴栈</t>
  </si>
  <si>
    <t>单锦豪</t>
  </si>
  <si>
    <t>丁柯亦</t>
  </si>
  <si>
    <t>董一鸣</t>
  </si>
  <si>
    <t>樊铭磊</t>
  </si>
  <si>
    <t>何斐宣</t>
  </si>
  <si>
    <t>陆思畅</t>
  </si>
  <si>
    <t>倪戴程</t>
  </si>
  <si>
    <t>第6组</t>
  </si>
  <si>
    <t>倪靖能</t>
  </si>
  <si>
    <t>潘邯宇</t>
  </si>
  <si>
    <t>潘天铖</t>
  </si>
  <si>
    <t>祁衍许</t>
  </si>
  <si>
    <t>寿涵宇</t>
  </si>
  <si>
    <t>孙鼎</t>
  </si>
  <si>
    <t>谭天仡</t>
  </si>
  <si>
    <t>陶泓恺</t>
  </si>
  <si>
    <t>王晨浩</t>
  </si>
  <si>
    <t>王孙晶</t>
  </si>
  <si>
    <t>王雨</t>
  </si>
  <si>
    <t>第7组</t>
  </si>
  <si>
    <t>王正阳</t>
  </si>
  <si>
    <t>竞赛</t>
  </si>
  <si>
    <t>王子谦</t>
  </si>
  <si>
    <t>尉朗清</t>
  </si>
  <si>
    <t>徐浩轩</t>
  </si>
  <si>
    <t>许晨冉</t>
  </si>
  <si>
    <t>姚诗凯</t>
  </si>
  <si>
    <t>应越</t>
  </si>
  <si>
    <t>于子翀</t>
  </si>
  <si>
    <t>俞昊帆</t>
  </si>
  <si>
    <t>俞喆森</t>
  </si>
  <si>
    <t>张子恒</t>
  </si>
  <si>
    <t>第8组</t>
  </si>
  <si>
    <t>陈怡</t>
  </si>
  <si>
    <t>马伊颜</t>
  </si>
  <si>
    <t>茹奕</t>
  </si>
  <si>
    <t>沈旦妮</t>
  </si>
  <si>
    <t>王可遇</t>
  </si>
  <si>
    <t>王梦湉</t>
  </si>
  <si>
    <t>王诗语</t>
  </si>
  <si>
    <t>吴鲁奕嘉</t>
  </si>
  <si>
    <t>张亦驰</t>
  </si>
  <si>
    <t>郑夏宇</t>
  </si>
  <si>
    <t>周璟宁</t>
  </si>
  <si>
    <t>第9组</t>
  </si>
  <si>
    <t>陈统</t>
  </si>
  <si>
    <t>陈兆习</t>
  </si>
  <si>
    <t>樊奕铮</t>
  </si>
  <si>
    <t>范家峥</t>
  </si>
  <si>
    <t>冯哲宇</t>
  </si>
  <si>
    <t>葛朱欣桐</t>
  </si>
  <si>
    <t>黄捷飞</t>
  </si>
  <si>
    <t>雷洋</t>
  </si>
  <si>
    <t>李磊</t>
  </si>
  <si>
    <t>李天琪</t>
  </si>
  <si>
    <t>李谓尔</t>
  </si>
  <si>
    <t>第10组</t>
  </si>
  <si>
    <t>李哲翔</t>
  </si>
  <si>
    <t>马越</t>
  </si>
  <si>
    <t>倪泽黎</t>
  </si>
  <si>
    <t>倪子杭</t>
  </si>
  <si>
    <t>潘泽炜</t>
  </si>
  <si>
    <t>钱政成</t>
  </si>
  <si>
    <t>秦文兴</t>
  </si>
  <si>
    <t>沈恒</t>
  </si>
  <si>
    <t>童汗青</t>
  </si>
  <si>
    <t>屠卓男</t>
  </si>
  <si>
    <t>魏敬敬</t>
  </si>
  <si>
    <t>第11组</t>
  </si>
  <si>
    <t>邢葆淳</t>
  </si>
  <si>
    <t>徐瑞阳</t>
  </si>
  <si>
    <t>徐睿正</t>
  </si>
  <si>
    <t>徐泽阳</t>
  </si>
  <si>
    <t>言承洋</t>
  </si>
  <si>
    <t>杨政皓</t>
  </si>
  <si>
    <t>叶塬</t>
  </si>
  <si>
    <t>俞铭浩</t>
  </si>
  <si>
    <t>俞少航</t>
  </si>
  <si>
    <t>不在</t>
  </si>
  <si>
    <t>张尧晴</t>
  </si>
  <si>
    <t>周怿正</t>
  </si>
  <si>
    <t>第12组</t>
  </si>
  <si>
    <t>冯琬婷</t>
  </si>
  <si>
    <t>胡奕</t>
  </si>
  <si>
    <t>娄午尘</t>
  </si>
  <si>
    <t>沈桢颐</t>
  </si>
  <si>
    <t>王菱蔓</t>
  </si>
  <si>
    <t>谢思宇</t>
  </si>
  <si>
    <t>徐喆颜</t>
  </si>
  <si>
    <t>张涵悦</t>
  </si>
  <si>
    <t>周烨囡</t>
  </si>
  <si>
    <t>朱芷墨</t>
  </si>
  <si>
    <t>第13组</t>
  </si>
  <si>
    <t>胡晨恩</t>
  </si>
  <si>
    <t>胡利栋</t>
  </si>
  <si>
    <t>马睿涵</t>
  </si>
  <si>
    <t>钱泽睿</t>
  </si>
  <si>
    <t>邱智贤</t>
  </si>
  <si>
    <t>桑昊宸</t>
  </si>
  <si>
    <t>叶子洵</t>
  </si>
  <si>
    <t>第14组</t>
  </si>
  <si>
    <t>陈诗怡</t>
  </si>
  <si>
    <t>陈舒梦</t>
  </si>
  <si>
    <t>池心月</t>
  </si>
  <si>
    <t>冯佳莹</t>
  </si>
  <si>
    <t>冯伊卉</t>
  </si>
  <si>
    <t>冯以盈</t>
  </si>
  <si>
    <t>顾盼</t>
  </si>
  <si>
    <t>蒋奕可</t>
  </si>
  <si>
    <t>金思涵</t>
  </si>
  <si>
    <t>金逸清</t>
  </si>
  <si>
    <t>第15组</t>
  </si>
  <si>
    <t>孔晟楠</t>
  </si>
  <si>
    <t>李安娜</t>
  </si>
  <si>
    <t>李雅雯</t>
  </si>
  <si>
    <t>刘好</t>
  </si>
  <si>
    <t>鲁文馨</t>
  </si>
  <si>
    <t>毛楚凡</t>
  </si>
  <si>
    <t>戚妤渲</t>
  </si>
  <si>
    <t>裘嘉瑶</t>
  </si>
  <si>
    <t>沈易元</t>
  </si>
  <si>
    <t>宋寒晨</t>
  </si>
  <si>
    <t>第16组</t>
  </si>
  <si>
    <t>宋欣妍</t>
  </si>
  <si>
    <t>孙诗瑶</t>
  </si>
  <si>
    <t>童涵淳</t>
  </si>
  <si>
    <t>吴佳茗</t>
  </si>
  <si>
    <t>杨双燕</t>
  </si>
  <si>
    <t>杨雅如</t>
  </si>
  <si>
    <t>殷文琪</t>
  </si>
  <si>
    <t>应欣瑜</t>
  </si>
  <si>
    <t>于轩</t>
  </si>
  <si>
    <t>余沛恩</t>
  </si>
  <si>
    <t>第17组</t>
  </si>
  <si>
    <t>余青瑶</t>
  </si>
  <si>
    <t>俞子玥</t>
  </si>
  <si>
    <t>张杜晨</t>
  </si>
  <si>
    <t>张江艳</t>
  </si>
  <si>
    <t>张静颜</t>
  </si>
  <si>
    <t>张以轩</t>
  </si>
  <si>
    <t>张旖彤</t>
  </si>
  <si>
    <t>张翼</t>
  </si>
  <si>
    <t>张郑玥</t>
  </si>
  <si>
    <t>赵紫萱</t>
  </si>
  <si>
    <t>第18组</t>
  </si>
  <si>
    <t>毕修远</t>
  </si>
  <si>
    <t>蔡锦哲</t>
  </si>
  <si>
    <t>蔡相渔</t>
  </si>
  <si>
    <t>陈冬彦</t>
  </si>
  <si>
    <t>陈威滔</t>
  </si>
  <si>
    <t>陈子墨</t>
  </si>
  <si>
    <t>韩正熙</t>
  </si>
  <si>
    <t>韩志宏</t>
  </si>
  <si>
    <t>胡启越</t>
  </si>
  <si>
    <t>蒋乾浩</t>
  </si>
  <si>
    <t>第19组</t>
  </si>
  <si>
    <t>蒋中泽</t>
  </si>
  <si>
    <t>孔震宇</t>
  </si>
  <si>
    <t>刘子豪</t>
  </si>
  <si>
    <t>娄昊天</t>
  </si>
  <si>
    <t>马一晅</t>
  </si>
  <si>
    <t>孟思诚</t>
  </si>
  <si>
    <t>钱玄泽</t>
  </si>
  <si>
    <t>沈翰宇</t>
  </si>
  <si>
    <t>谭炜烨</t>
  </si>
  <si>
    <t>唐一鎏</t>
  </si>
  <si>
    <t>第20组</t>
  </si>
  <si>
    <t>王策</t>
  </si>
  <si>
    <t>王陈然</t>
  </si>
  <si>
    <t>王淳平</t>
  </si>
  <si>
    <t>王臻轩</t>
  </si>
  <si>
    <t>吴晨阳</t>
  </si>
  <si>
    <t>谢布宁</t>
  </si>
  <si>
    <t>谢文韬</t>
  </si>
  <si>
    <t>徐豪锋</t>
  </si>
  <si>
    <t>严佳晨</t>
  </si>
  <si>
    <t>叶纳诚</t>
  </si>
  <si>
    <t>第21组</t>
  </si>
  <si>
    <t>袁涵易</t>
  </si>
  <si>
    <t>翟锦程</t>
  </si>
  <si>
    <t>张思源</t>
  </si>
  <si>
    <t>张文昊</t>
  </si>
  <si>
    <t>张卓珥</t>
  </si>
  <si>
    <t>钟幸捷</t>
  </si>
  <si>
    <t>朱航逸</t>
  </si>
  <si>
    <t>朱易凡</t>
  </si>
  <si>
    <t>邹盟</t>
  </si>
  <si>
    <t>第22组</t>
  </si>
  <si>
    <t>陈诗奕</t>
  </si>
  <si>
    <t>董桐羽</t>
  </si>
  <si>
    <t>樊芮嘉</t>
  </si>
  <si>
    <t>胡桐</t>
  </si>
  <si>
    <t>毛浚睿</t>
  </si>
  <si>
    <t>盛康涵</t>
  </si>
  <si>
    <t>王晗毓</t>
  </si>
  <si>
    <t>王蓉</t>
  </si>
  <si>
    <t>徐佳琪</t>
  </si>
  <si>
    <t>许洛齐</t>
  </si>
  <si>
    <t>于晴蓝</t>
  </si>
  <si>
    <t>余昕谣</t>
  </si>
  <si>
    <t>第23组</t>
  </si>
  <si>
    <t>陈凯浩</t>
  </si>
  <si>
    <t>樊雨泽</t>
  </si>
  <si>
    <t>傅健</t>
  </si>
  <si>
    <t>郭兆俊</t>
  </si>
  <si>
    <t>郝家驹</t>
  </si>
  <si>
    <t>何汉钦</t>
  </si>
  <si>
    <t>何轶行</t>
  </si>
  <si>
    <t>华坚杰</t>
  </si>
  <si>
    <t>姜文哲</t>
  </si>
  <si>
    <t>金煜霖</t>
  </si>
  <si>
    <t>第24组</t>
  </si>
  <si>
    <t>李隆斌</t>
  </si>
  <si>
    <t>楼思成</t>
  </si>
  <si>
    <t>马雨晨</t>
  </si>
  <si>
    <t>邵金科</t>
  </si>
  <si>
    <t>沈泽昊</t>
  </si>
  <si>
    <t>宋高逸</t>
  </si>
  <si>
    <t>孙嘉诺</t>
  </si>
  <si>
    <t>孙睿晗</t>
  </si>
  <si>
    <t>陶冠辰</t>
  </si>
  <si>
    <t>第25组</t>
  </si>
  <si>
    <t>田宇</t>
  </si>
  <si>
    <t>屠司瀚</t>
  </si>
  <si>
    <t>汪宇超</t>
  </si>
  <si>
    <t>王凯</t>
  </si>
  <si>
    <t>王一然</t>
  </si>
  <si>
    <t>伤退</t>
  </si>
  <si>
    <t>王兆龙</t>
  </si>
  <si>
    <t>王哲瀚</t>
  </si>
  <si>
    <t>徐天桦</t>
  </si>
  <si>
    <t>徐渊</t>
  </si>
  <si>
    <t>第26组</t>
  </si>
  <si>
    <t>徐子淳</t>
  </si>
  <si>
    <t>张何睿</t>
  </si>
  <si>
    <t>张俊涛</t>
  </si>
  <si>
    <t>赵从湛</t>
  </si>
  <si>
    <t>赵子昊</t>
  </si>
  <si>
    <t>郑皓仁</t>
  </si>
  <si>
    <t>周赢滨</t>
  </si>
  <si>
    <t>朱浩宇</t>
  </si>
  <si>
    <t>朱易溢</t>
  </si>
  <si>
    <t>屠谢晨</t>
  </si>
  <si>
    <t>第27组</t>
  </si>
  <si>
    <t>丁月雯</t>
  </si>
  <si>
    <t>胡宇婕</t>
  </si>
  <si>
    <t>钱沛祺</t>
  </si>
  <si>
    <t>沈佳妍</t>
  </si>
  <si>
    <t>王铭洺</t>
  </si>
  <si>
    <t>王烨彤</t>
  </si>
  <si>
    <t>王艺澄</t>
  </si>
  <si>
    <t>尉胡可</t>
  </si>
  <si>
    <t>严楚宁</t>
  </si>
  <si>
    <t>杨溢</t>
  </si>
  <si>
    <t>张思菡</t>
  </si>
  <si>
    <t>张予露</t>
  </si>
  <si>
    <t>章奕楠</t>
  </si>
  <si>
    <t>第28组</t>
  </si>
  <si>
    <t>陈桥垒</t>
  </si>
  <si>
    <t>陈羽凡</t>
  </si>
  <si>
    <t>陈治齐</t>
  </si>
  <si>
    <t>程新宇</t>
  </si>
  <si>
    <t>范琦侃</t>
  </si>
  <si>
    <t>冯晨洋</t>
  </si>
  <si>
    <t>韩锦泽</t>
  </si>
  <si>
    <t>胡安乔</t>
  </si>
  <si>
    <t>胡轶凡</t>
  </si>
  <si>
    <t>李张邦</t>
  </si>
  <si>
    <t>林宇晨</t>
  </si>
  <si>
    <t>林赞茂</t>
  </si>
  <si>
    <t>第29组</t>
  </si>
  <si>
    <t>刘雨函</t>
  </si>
  <si>
    <t>留文轩</t>
  </si>
  <si>
    <t>毛文浩</t>
  </si>
  <si>
    <t>孟臻宇</t>
  </si>
  <si>
    <t>邵屹民</t>
  </si>
  <si>
    <t>史宇凡</t>
  </si>
  <si>
    <t>陶致中</t>
  </si>
  <si>
    <t>滕盛杰</t>
  </si>
  <si>
    <t>童政涵</t>
  </si>
  <si>
    <t>涂弘毅</t>
  </si>
  <si>
    <t>王沛轩</t>
  </si>
  <si>
    <t>王炜杰</t>
  </si>
  <si>
    <t>第30组</t>
  </si>
  <si>
    <t>王亦炜</t>
  </si>
  <si>
    <t>王逸舟</t>
  </si>
  <si>
    <t>王泽涛</t>
  </si>
  <si>
    <t>谢丞豪</t>
  </si>
  <si>
    <t>徐霖瀚</t>
  </si>
  <si>
    <t>叶俊杰</t>
  </si>
  <si>
    <t>郁扬阳</t>
  </si>
  <si>
    <t>张裼旭</t>
  </si>
  <si>
    <t>钟承汛</t>
  </si>
  <si>
    <t>钟科成</t>
  </si>
  <si>
    <t>周鑫杰</t>
  </si>
  <si>
    <t>诸承天</t>
  </si>
  <si>
    <t>第31组</t>
  </si>
  <si>
    <t>陈静怡</t>
  </si>
  <si>
    <t>董毓洁</t>
  </si>
  <si>
    <t>高宸</t>
  </si>
  <si>
    <t>蒋雨霏</t>
  </si>
  <si>
    <t>蒋雨欢</t>
  </si>
  <si>
    <t>李钿淳</t>
  </si>
  <si>
    <t>倪翊萍</t>
  </si>
  <si>
    <t>沈佩轩</t>
  </si>
  <si>
    <t>王文怡</t>
  </si>
  <si>
    <t>杨依汶</t>
  </si>
  <si>
    <t>叶禹墨</t>
  </si>
  <si>
    <t>张纾羽</t>
  </si>
  <si>
    <t>周诗楠</t>
  </si>
  <si>
    <t>朱可真</t>
  </si>
  <si>
    <t>第32组</t>
  </si>
  <si>
    <t>蔡佳泽</t>
  </si>
  <si>
    <t>曹熠聪</t>
  </si>
  <si>
    <t>曾亦诚</t>
  </si>
  <si>
    <t>陈吴莰</t>
  </si>
  <si>
    <t>单俊杰</t>
  </si>
  <si>
    <t>单禹杭</t>
  </si>
  <si>
    <t>冯程垚</t>
  </si>
  <si>
    <t>葛陶桢</t>
  </si>
  <si>
    <t>蒋哲涵</t>
  </si>
  <si>
    <t>李浡帆</t>
  </si>
  <si>
    <t>刘恒烨</t>
  </si>
  <si>
    <t>刘鸿翔</t>
  </si>
  <si>
    <t>第33组</t>
  </si>
  <si>
    <t>刘昱斌</t>
  </si>
  <si>
    <t>陆江涛</t>
  </si>
  <si>
    <t>陆链丞</t>
  </si>
  <si>
    <t>罗俊杰</t>
  </si>
  <si>
    <t>潘晨炫</t>
  </si>
  <si>
    <t>钱沛航</t>
  </si>
  <si>
    <t>时书昊</t>
  </si>
  <si>
    <t>宋何天晔</t>
  </si>
  <si>
    <t>谭欣云</t>
  </si>
  <si>
    <t>田屠昊</t>
  </si>
  <si>
    <t>屠炜栋</t>
  </si>
  <si>
    <t>王天琪</t>
  </si>
  <si>
    <t>第34组</t>
  </si>
  <si>
    <t>相智健</t>
  </si>
  <si>
    <t>徐晨宇</t>
  </si>
  <si>
    <t>徐灏哲</t>
  </si>
  <si>
    <t>徐哲能</t>
  </si>
  <si>
    <t>徐梓翔</t>
  </si>
  <si>
    <t>许卓涛</t>
  </si>
  <si>
    <t>薛鸿杰</t>
  </si>
  <si>
    <t>俞越</t>
  </si>
  <si>
    <t>张翼航</t>
  </si>
  <si>
    <t>赵悠然</t>
  </si>
  <si>
    <t>朱志谦</t>
  </si>
  <si>
    <t>竺浩文</t>
  </si>
  <si>
    <t>第35组</t>
  </si>
  <si>
    <t>曹莹烨</t>
  </si>
  <si>
    <t>柴梦瑶</t>
  </si>
  <si>
    <t>戴佳瑜</t>
  </si>
  <si>
    <t>丁晨泓</t>
  </si>
  <si>
    <t>董雯郓</t>
  </si>
  <si>
    <t>何彬彬</t>
  </si>
  <si>
    <t>王思琦</t>
  </si>
  <si>
    <t>王天艺</t>
  </si>
  <si>
    <t>第36组</t>
  </si>
  <si>
    <t>王语嫣</t>
  </si>
  <si>
    <t>吴羽轩</t>
  </si>
  <si>
    <t>徐芮莹</t>
  </si>
  <si>
    <t>徐笑涵</t>
  </si>
  <si>
    <t>徐雨涵</t>
  </si>
  <si>
    <t>叶佳艺</t>
  </si>
  <si>
    <t>诸奕钦</t>
  </si>
  <si>
    <t>第37组</t>
  </si>
  <si>
    <t>陈嘉奕</t>
  </si>
  <si>
    <t>陈毅桢</t>
  </si>
  <si>
    <t>陈煜涛</t>
  </si>
  <si>
    <t>单嘉诚</t>
  </si>
  <si>
    <t>单杰阳</t>
  </si>
  <si>
    <t>丁允</t>
  </si>
  <si>
    <t>何泽意</t>
  </si>
  <si>
    <t>黄煜淇</t>
  </si>
  <si>
    <t>蒋宇航</t>
  </si>
  <si>
    <t>蒋泽镭</t>
  </si>
  <si>
    <t>第38组</t>
  </si>
  <si>
    <t>金义杰</t>
  </si>
  <si>
    <t>劳章轩</t>
  </si>
  <si>
    <t>凌嘉诚</t>
  </si>
  <si>
    <t>欧阳俊彦</t>
  </si>
  <si>
    <t>任展熠</t>
  </si>
  <si>
    <t>邵洋开</t>
  </si>
  <si>
    <t>沈泰烨</t>
  </si>
  <si>
    <t>走路</t>
  </si>
  <si>
    <t>盛陆恒</t>
  </si>
  <si>
    <t>寿涵韬</t>
  </si>
  <si>
    <t>孙畅</t>
  </si>
  <si>
    <t>第39组</t>
  </si>
  <si>
    <t>汤益鸿</t>
  </si>
  <si>
    <t>陶涛宇</t>
  </si>
  <si>
    <t>王思源</t>
  </si>
  <si>
    <t>王烨杨</t>
  </si>
  <si>
    <t>王钰骐</t>
  </si>
  <si>
    <t>王子豪</t>
  </si>
  <si>
    <t>王籽程</t>
  </si>
  <si>
    <t>徐嘉晗</t>
  </si>
  <si>
    <t>徐宁吉</t>
  </si>
  <si>
    <t>徐天泽</t>
  </si>
  <si>
    <t>第40组</t>
  </si>
  <si>
    <t>许航</t>
  </si>
  <si>
    <t>宣仰翼</t>
  </si>
  <si>
    <t>伤</t>
  </si>
  <si>
    <t>严泽宇</t>
  </si>
  <si>
    <t>颜贻霖</t>
  </si>
  <si>
    <t>杨久承</t>
  </si>
  <si>
    <t>张晨磊</t>
  </si>
  <si>
    <t>张世熠</t>
  </si>
  <si>
    <t>赵淳和</t>
  </si>
  <si>
    <t>朱锦旺</t>
  </si>
  <si>
    <t>朱诗楷</t>
  </si>
  <si>
    <t>第41组</t>
  </si>
  <si>
    <t>白雨君</t>
  </si>
  <si>
    <t>丰子欣</t>
  </si>
  <si>
    <t>胡欢歌</t>
  </si>
  <si>
    <t>胡诗涵</t>
  </si>
  <si>
    <t>罗欣悦</t>
  </si>
  <si>
    <t>任泽雯</t>
  </si>
  <si>
    <t>邵李清</t>
  </si>
  <si>
    <t>沈嘉伊</t>
  </si>
  <si>
    <t>陶卓逸</t>
  </si>
  <si>
    <t>王梓晔</t>
  </si>
  <si>
    <t>叶纳米</t>
  </si>
  <si>
    <t>第42组</t>
  </si>
  <si>
    <t>樊勇杰</t>
  </si>
  <si>
    <t>傅泽恺</t>
  </si>
  <si>
    <t>高蒋威</t>
  </si>
  <si>
    <t>高乾飞</t>
  </si>
  <si>
    <t>葛金磊</t>
  </si>
  <si>
    <t>顾海华</t>
  </si>
  <si>
    <t>胡珉与</t>
  </si>
  <si>
    <t>胡扬铭</t>
  </si>
  <si>
    <t>金亮</t>
  </si>
  <si>
    <t>金子墨</t>
  </si>
  <si>
    <t>李灏</t>
  </si>
  <si>
    <t>李景淇</t>
  </si>
  <si>
    <t>第43组</t>
  </si>
  <si>
    <t>郦威杰</t>
  </si>
  <si>
    <t>刘坤</t>
  </si>
  <si>
    <t>毛玉立</t>
  </si>
  <si>
    <t>庞宏基</t>
  </si>
  <si>
    <t>钱杭</t>
  </si>
  <si>
    <t>秦磊</t>
  </si>
  <si>
    <t>沈耀扬</t>
  </si>
  <si>
    <t>孙非祈</t>
  </si>
  <si>
    <t>孙浩栋</t>
  </si>
  <si>
    <t>陶汉清</t>
  </si>
  <si>
    <t>陶乾宇</t>
  </si>
  <si>
    <t>陶徐枫</t>
  </si>
  <si>
    <t>第44组</t>
  </si>
  <si>
    <t>王晨淇</t>
  </si>
  <si>
    <t>王瑜珉</t>
  </si>
  <si>
    <t>王禹皓</t>
  </si>
  <si>
    <t>吴浙鑫</t>
  </si>
  <si>
    <t>谢炎能</t>
  </si>
  <si>
    <t>杨启航</t>
  </si>
  <si>
    <t>张飞弛</t>
  </si>
  <si>
    <t>赵煜铭</t>
  </si>
  <si>
    <t>郑逸安</t>
  </si>
  <si>
    <t>周安旭</t>
  </si>
  <si>
    <t>周哲宇</t>
  </si>
  <si>
    <t>第45组</t>
  </si>
  <si>
    <t>陈思怡</t>
  </si>
  <si>
    <t>陈一禾</t>
  </si>
  <si>
    <t>丁赫楠</t>
  </si>
  <si>
    <t>董心玥</t>
  </si>
  <si>
    <t>傅文语</t>
  </si>
  <si>
    <t>贾朋悦</t>
  </si>
  <si>
    <t>李嫣然</t>
  </si>
  <si>
    <t>梁怡婷</t>
  </si>
  <si>
    <t>第46组</t>
  </si>
  <si>
    <t>阮清</t>
  </si>
  <si>
    <t>上天予</t>
  </si>
  <si>
    <t>邵奇宇</t>
  </si>
  <si>
    <t>施泽萱</t>
  </si>
  <si>
    <t>王雅琦</t>
  </si>
  <si>
    <t>徐涵锦</t>
  </si>
  <si>
    <t>周默</t>
  </si>
  <si>
    <t>周笑萱</t>
  </si>
  <si>
    <t>第47组</t>
  </si>
  <si>
    <t>陈昊泽</t>
  </si>
  <si>
    <t>陈徐俊宇</t>
  </si>
  <si>
    <t>陈瑜涛</t>
  </si>
  <si>
    <t>程建君</t>
  </si>
  <si>
    <t>单琪盛</t>
  </si>
  <si>
    <t>方天珵</t>
  </si>
  <si>
    <t>冯玺昊</t>
  </si>
  <si>
    <t>高佳豪</t>
  </si>
  <si>
    <t>高毅政</t>
  </si>
  <si>
    <t>葛晨辉</t>
  </si>
  <si>
    <t>韩张祺</t>
  </si>
  <si>
    <t>请假</t>
  </si>
  <si>
    <t>第48组</t>
  </si>
  <si>
    <t>黄俊豪</t>
  </si>
  <si>
    <t>黄鑫</t>
  </si>
  <si>
    <t>李恩奇</t>
  </si>
  <si>
    <t>李海杰</t>
  </si>
  <si>
    <t>李佳栋</t>
  </si>
  <si>
    <t>刘炜</t>
  </si>
  <si>
    <t>柳一洲</t>
  </si>
  <si>
    <t>秦熠恒</t>
  </si>
  <si>
    <t>王睿</t>
  </si>
  <si>
    <t>王彦桐</t>
  </si>
  <si>
    <t>夏旭然</t>
  </si>
  <si>
    <t>第49组</t>
  </si>
  <si>
    <t>徐江琛</t>
  </si>
  <si>
    <t>徐艺航</t>
  </si>
  <si>
    <t>徐子聪</t>
  </si>
  <si>
    <t>杨欣豪</t>
  </si>
  <si>
    <t>姚俊宇</t>
  </si>
  <si>
    <t>应俊泽</t>
  </si>
  <si>
    <t>余佳骋</t>
  </si>
  <si>
    <t>俞烨祺</t>
  </si>
  <si>
    <t>赵宇辉</t>
  </si>
  <si>
    <t>朱鹏博</t>
  </si>
  <si>
    <t>第50组</t>
  </si>
  <si>
    <t>陈敏怡</t>
  </si>
  <si>
    <t>陈逸妤</t>
  </si>
  <si>
    <t>董玉杰</t>
  </si>
  <si>
    <t>金嘉芸</t>
  </si>
  <si>
    <t>李心怡</t>
  </si>
  <si>
    <t>林欣瑜</t>
  </si>
  <si>
    <t>罗文宜</t>
  </si>
  <si>
    <t>麻靖涵</t>
  </si>
  <si>
    <t>马涵雯</t>
  </si>
  <si>
    <t>毛婧婷</t>
  </si>
  <si>
    <t>第51组</t>
  </si>
  <si>
    <t>史庭雨</t>
  </si>
  <si>
    <t>舒贝格</t>
  </si>
  <si>
    <t>唐宇雯</t>
  </si>
  <si>
    <t>田亦嘉</t>
  </si>
  <si>
    <t>王伊凡</t>
  </si>
  <si>
    <t>夏超男</t>
  </si>
  <si>
    <t>徐澄沅</t>
  </si>
  <si>
    <t>严加怡</t>
  </si>
  <si>
    <t>钟睿妍</t>
  </si>
  <si>
    <t>第52组</t>
  </si>
  <si>
    <t>陈耀</t>
  </si>
  <si>
    <t>丁瑜</t>
  </si>
  <si>
    <t>董彦滨</t>
  </si>
  <si>
    <t>范杰科</t>
  </si>
  <si>
    <t>龚泽楷</t>
  </si>
  <si>
    <t>胡书宇</t>
  </si>
  <si>
    <t>黄琛</t>
  </si>
  <si>
    <t>李晨宇</t>
  </si>
  <si>
    <t>李沛尧</t>
  </si>
  <si>
    <t>林战</t>
  </si>
  <si>
    <t>病</t>
  </si>
  <si>
    <t>第53组</t>
  </si>
  <si>
    <t>孟佳超</t>
  </si>
  <si>
    <t>牟齐越</t>
  </si>
  <si>
    <t>倪浩洺</t>
  </si>
  <si>
    <t>裘非凡</t>
  </si>
  <si>
    <t>沈家辉</t>
  </si>
  <si>
    <t>王轶铭</t>
  </si>
  <si>
    <t>王振</t>
  </si>
  <si>
    <t>王政瀚</t>
  </si>
  <si>
    <t>谢添</t>
  </si>
  <si>
    <t>谢宇轩</t>
  </si>
  <si>
    <t>第54组</t>
  </si>
  <si>
    <t>许烨鑫</t>
  </si>
  <si>
    <t>杨超杰</t>
  </si>
  <si>
    <t>姚逸轩</t>
  </si>
  <si>
    <t>俞晨浩</t>
  </si>
  <si>
    <t>张杰</t>
  </si>
  <si>
    <t>赵晗滔</t>
  </si>
  <si>
    <t>周沈浩</t>
  </si>
  <si>
    <t>周榆钱</t>
  </si>
  <si>
    <t>朱天宇</t>
  </si>
  <si>
    <t>王腾辉</t>
  </si>
  <si>
    <t>第55组</t>
  </si>
  <si>
    <t>陈凌朗</t>
  </si>
  <si>
    <t>封涵笑</t>
  </si>
  <si>
    <t>冯韵竹玲</t>
  </si>
  <si>
    <t>贾羽彤</t>
  </si>
  <si>
    <t>金可欣</t>
  </si>
  <si>
    <t>劳淑华</t>
  </si>
  <si>
    <t>李姝涵</t>
  </si>
  <si>
    <t>李越</t>
  </si>
  <si>
    <t>马馨瑶</t>
  </si>
  <si>
    <t>孟诗瑜</t>
  </si>
  <si>
    <t>任姝悦</t>
  </si>
  <si>
    <t>第56组</t>
  </si>
  <si>
    <t>宋佳怡</t>
  </si>
  <si>
    <t>田恬</t>
  </si>
  <si>
    <t>吴倩雯</t>
  </si>
  <si>
    <t>肖圣怡</t>
  </si>
  <si>
    <t>徐逗</t>
  </si>
  <si>
    <t>徐嘉琪</t>
  </si>
  <si>
    <t>杨茜云</t>
  </si>
  <si>
    <t>无人</t>
  </si>
  <si>
    <t>应雅姿</t>
  </si>
  <si>
    <t>张楚娜</t>
  </si>
  <si>
    <t>周佳燕</t>
  </si>
  <si>
    <t>朱子凤</t>
  </si>
  <si>
    <t>第57组</t>
  </si>
  <si>
    <t>戴贺昊</t>
  </si>
  <si>
    <t>吕奕扬</t>
  </si>
  <si>
    <t>阮嘉哲</t>
  </si>
  <si>
    <t>宋俊乐</t>
  </si>
  <si>
    <t>王一卿</t>
  </si>
  <si>
    <t>吴涵宸</t>
  </si>
  <si>
    <t>叶子俊</t>
  </si>
  <si>
    <t>应嘉杰</t>
  </si>
  <si>
    <t>张凯铭</t>
  </si>
  <si>
    <t>第58组</t>
  </si>
  <si>
    <t>陈佳霓</t>
  </si>
  <si>
    <t>陈思颖</t>
  </si>
  <si>
    <t>陈艺婧</t>
  </si>
  <si>
    <t>丁艺涵</t>
  </si>
  <si>
    <t>樊诗音</t>
  </si>
  <si>
    <t>傅绣岚</t>
  </si>
  <si>
    <t>高诗羽</t>
  </si>
  <si>
    <t>韩依书</t>
  </si>
  <si>
    <t>胡嘉桐</t>
  </si>
  <si>
    <t>黄亦琦</t>
  </si>
  <si>
    <t>金悦</t>
  </si>
  <si>
    <t>李可可</t>
  </si>
  <si>
    <t>第59组</t>
  </si>
  <si>
    <t>李姚涵</t>
  </si>
  <si>
    <t>李依尔</t>
  </si>
  <si>
    <t>郦航仪</t>
  </si>
  <si>
    <t>陆煊莹</t>
  </si>
  <si>
    <t>邵奕帆</t>
  </si>
  <si>
    <t>沈恬</t>
  </si>
  <si>
    <t>盛玉燕</t>
  </si>
  <si>
    <t>孙婧怡</t>
  </si>
  <si>
    <t>童绎纯</t>
  </si>
  <si>
    <t>王浅</t>
  </si>
  <si>
    <t>王沈艺</t>
  </si>
  <si>
    <t>王晓辰</t>
  </si>
  <si>
    <t>第60组</t>
  </si>
  <si>
    <t>王羽晨</t>
  </si>
  <si>
    <t>吴昕玥</t>
  </si>
  <si>
    <t>夏奕欣</t>
  </si>
  <si>
    <t>谢思淇</t>
  </si>
  <si>
    <t>谢榆萱</t>
  </si>
  <si>
    <t>徐嘉茹</t>
  </si>
  <si>
    <t>宣安洁</t>
  </si>
  <si>
    <t>杨锦霞</t>
  </si>
  <si>
    <t>叶宸而</t>
  </si>
  <si>
    <t>殷泽怡</t>
  </si>
  <si>
    <t>余若雯</t>
  </si>
  <si>
    <t>余烁涵</t>
  </si>
  <si>
    <t>第61组</t>
  </si>
  <si>
    <t>俞可欣</t>
  </si>
  <si>
    <t>袁若涵</t>
  </si>
  <si>
    <t>袁宇滢</t>
  </si>
  <si>
    <t>张逸馨</t>
  </si>
  <si>
    <t>张芝翎</t>
  </si>
  <si>
    <t>赵思远</t>
  </si>
  <si>
    <t>赵一琳</t>
  </si>
  <si>
    <t>赵悦</t>
  </si>
  <si>
    <t>周妍</t>
  </si>
  <si>
    <t>朱佳莹</t>
  </si>
  <si>
    <t>诸高瑜</t>
  </si>
  <si>
    <t>第62组</t>
  </si>
  <si>
    <t>单锦昊</t>
  </si>
  <si>
    <t>冯俊炜</t>
  </si>
  <si>
    <t>刘畅</t>
  </si>
  <si>
    <t>孙宇凡</t>
  </si>
  <si>
    <t>王浩宇</t>
  </si>
  <si>
    <t>王雨锋</t>
  </si>
  <si>
    <t>王梓悦</t>
  </si>
  <si>
    <t>夏铭浩</t>
  </si>
  <si>
    <t>许宇凯</t>
  </si>
  <si>
    <t>张乔木</t>
  </si>
  <si>
    <t>张之轩</t>
  </si>
  <si>
    <t>朱飞</t>
  </si>
  <si>
    <t>没跑</t>
  </si>
  <si>
    <t>诸天祺</t>
  </si>
  <si>
    <t>第63组</t>
  </si>
  <si>
    <t>包伊晗</t>
  </si>
  <si>
    <t>陈雅妮</t>
  </si>
  <si>
    <t>陈熠睿</t>
  </si>
  <si>
    <t>丁嘉楠</t>
  </si>
  <si>
    <t>丁彦兮</t>
  </si>
  <si>
    <t>樊钰莹</t>
  </si>
  <si>
    <t>高依宁</t>
  </si>
  <si>
    <t>顾圣瑶</t>
  </si>
  <si>
    <t>郭可涵</t>
  </si>
  <si>
    <t>何言</t>
  </si>
  <si>
    <t>第64组</t>
  </si>
  <si>
    <t>金烨琳</t>
  </si>
  <si>
    <t>金紫昭</t>
  </si>
  <si>
    <t>李玎歆</t>
  </si>
  <si>
    <t>李杨丹</t>
  </si>
  <si>
    <t>柳舒瑶</t>
  </si>
  <si>
    <t>楼佳慧</t>
  </si>
  <si>
    <t>鲁佳昕</t>
  </si>
  <si>
    <t>鲁宇宸</t>
  </si>
  <si>
    <t>鲁越源</t>
  </si>
  <si>
    <t>毛亚楠</t>
  </si>
  <si>
    <t>第65组</t>
  </si>
  <si>
    <t>欧阳若熠</t>
  </si>
  <si>
    <t>石陈宇</t>
  </si>
  <si>
    <t>苏星璇</t>
  </si>
  <si>
    <t>唐思淇</t>
  </si>
  <si>
    <t>陶乐瑶</t>
  </si>
  <si>
    <t>王可玥</t>
  </si>
  <si>
    <t>王雨霏</t>
  </si>
  <si>
    <t>王紫晨</t>
  </si>
  <si>
    <t>尉雯洁</t>
  </si>
  <si>
    <t>吴清怡</t>
  </si>
  <si>
    <t>夏添</t>
  </si>
  <si>
    <t>第66组</t>
  </si>
  <si>
    <t>徐粲</t>
  </si>
  <si>
    <t>徐璐莎</t>
  </si>
  <si>
    <t>许佳楠</t>
  </si>
  <si>
    <t>杨琦</t>
  </si>
  <si>
    <t>姚灵犀</t>
  </si>
  <si>
    <t>余锦慧</t>
  </si>
  <si>
    <t>俞文卿</t>
  </si>
  <si>
    <t>张慧莹</t>
  </si>
  <si>
    <t>赵天逸</t>
  </si>
  <si>
    <t>没人</t>
  </si>
  <si>
    <t>周婴非</t>
  </si>
  <si>
    <t>诸璐楠</t>
  </si>
  <si>
    <t>第67组</t>
  </si>
  <si>
    <t>孔昊</t>
  </si>
  <si>
    <t>梁润泽</t>
  </si>
  <si>
    <t>林鹏</t>
  </si>
  <si>
    <t>吕东尔</t>
  </si>
  <si>
    <t>裘泽恩</t>
  </si>
  <si>
    <t>沈泽宇</t>
  </si>
  <si>
    <t>王乐祺</t>
  </si>
  <si>
    <t>王滕铭</t>
  </si>
  <si>
    <t>吴祖昂</t>
  </si>
  <si>
    <t>徐宁恺</t>
  </si>
  <si>
    <t>徐一瀚</t>
  </si>
  <si>
    <t>郑一明</t>
  </si>
  <si>
    <t>周彰彬</t>
  </si>
  <si>
    <t>第68组</t>
  </si>
  <si>
    <t>鲍依莹</t>
  </si>
  <si>
    <t>陈贾炜一</t>
  </si>
  <si>
    <t>陈梦琪</t>
  </si>
  <si>
    <t>陈盈倩</t>
  </si>
  <si>
    <t>陈瑜悦</t>
  </si>
  <si>
    <t>程婧诺</t>
  </si>
  <si>
    <t>胡煜桐</t>
  </si>
  <si>
    <t>蒋正尔</t>
  </si>
  <si>
    <t>金佳妮</t>
  </si>
  <si>
    <t>金恬亦</t>
  </si>
  <si>
    <t>第69组</t>
  </si>
  <si>
    <t>李雨晴</t>
  </si>
  <si>
    <t>刘思雅</t>
  </si>
  <si>
    <t>鲁烨敏</t>
  </si>
  <si>
    <t>马思明</t>
  </si>
  <si>
    <t>马熠颀</t>
  </si>
  <si>
    <t>潘筱逸</t>
  </si>
  <si>
    <t>潘星宇</t>
  </si>
  <si>
    <t>潘昭羽</t>
  </si>
  <si>
    <t>盛怡辰</t>
  </si>
  <si>
    <t>施嘉祎</t>
  </si>
  <si>
    <t>石习之</t>
  </si>
  <si>
    <t>第70组</t>
  </si>
  <si>
    <t>孙莺倩</t>
  </si>
  <si>
    <t>田晔</t>
  </si>
  <si>
    <t>王希羽</t>
  </si>
  <si>
    <t>吴冰砚</t>
  </si>
  <si>
    <t>吴宇彤</t>
  </si>
  <si>
    <t>徐靖涵</t>
  </si>
  <si>
    <t>徐诗言</t>
  </si>
  <si>
    <t>许津琴</t>
  </si>
  <si>
    <t>许靖宜</t>
  </si>
  <si>
    <t>薛丽娜</t>
  </si>
  <si>
    <t>第71组</t>
  </si>
  <si>
    <t>严魏薇</t>
  </si>
  <si>
    <t>杨紫淳</t>
  </si>
  <si>
    <t>叶锦萱</t>
  </si>
  <si>
    <t>叶沁文</t>
  </si>
  <si>
    <t>叶禹诺</t>
  </si>
  <si>
    <t>俞淇</t>
  </si>
  <si>
    <t>詹煜尔</t>
  </si>
  <si>
    <t>张佳瑶</t>
  </si>
  <si>
    <t>赵依璐</t>
  </si>
  <si>
    <t>周文卿</t>
  </si>
  <si>
    <t>得分</t>
  </si>
  <si>
    <t>超过个数</t>
  </si>
  <si>
    <t>加分</t>
  </si>
  <si>
    <t>得分+加分</t>
  </si>
  <si>
    <t>折算</t>
  </si>
  <si>
    <t>快</t>
  </si>
  <si>
    <t>原始总分</t>
  </si>
  <si>
    <t>折算分（+附加分）</t>
  </si>
  <si>
    <t>201 平均值</t>
  </si>
  <si>
    <t>202 平均值</t>
  </si>
  <si>
    <t>203 平均值</t>
  </si>
  <si>
    <t>204 平均值</t>
  </si>
  <si>
    <t>205 平均值</t>
  </si>
  <si>
    <t>206 平均值</t>
  </si>
  <si>
    <t>207 平均值</t>
  </si>
  <si>
    <t>208 平均值</t>
  </si>
  <si>
    <t>209 平均值</t>
  </si>
  <si>
    <t>210 平均值</t>
  </si>
  <si>
    <t>211 平均值</t>
  </si>
  <si>
    <t>212 平均值</t>
  </si>
  <si>
    <t>213 平均值</t>
  </si>
  <si>
    <t>214 平均值</t>
  </si>
  <si>
    <t>215 平均值</t>
  </si>
  <si>
    <t>总平均值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</si>
</sst>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2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sz val="12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21" fillId="13" borderId="2" applyNumberFormat="0" applyAlignment="0" applyProtection="0">
      <alignment vertical="center"/>
    </xf>
    <xf numFmtId="0" fontId="22" fillId="14" borderId="7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 applyProtection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/>
    </xf>
    <xf numFmtId="176" fontId="3" fillId="0" borderId="1" xfId="0" applyNumberFormat="1" applyFont="1" applyFill="1" applyBorder="1" applyAlignment="1" applyProtection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176" fontId="4" fillId="0" borderId="0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left" vertical="center"/>
    </xf>
    <xf numFmtId="176" fontId="3" fillId="0" borderId="0" xfId="0" applyNumberFormat="1" applyFont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97"/>
  <sheetViews>
    <sheetView topLeftCell="A277" workbookViewId="0">
      <selection activeCell="D307" sqref="D$1:D$1048576"/>
    </sheetView>
  </sheetViews>
  <sheetFormatPr defaultColWidth="9" defaultRowHeight="14.4"/>
  <cols>
    <col min="1" max="5" width="9" style="4"/>
    <col min="6" max="11" width="12.3796296296296" style="4" customWidth="1"/>
    <col min="12" max="16384" width="9" style="5"/>
  </cols>
  <sheetData>
    <row r="1" s="1" customFormat="1" spans="1:11">
      <c r="A1" s="33" t="s">
        <v>0</v>
      </c>
      <c r="B1" s="24" t="s">
        <v>1</v>
      </c>
      <c r="C1" s="26" t="s">
        <v>2</v>
      </c>
      <c r="D1" s="27" t="s">
        <v>3</v>
      </c>
      <c r="E1" s="27" t="s">
        <v>4</v>
      </c>
      <c r="F1" s="28" t="s">
        <v>5</v>
      </c>
      <c r="G1" s="28" t="s">
        <v>6</v>
      </c>
      <c r="H1" s="28" t="s">
        <v>7</v>
      </c>
      <c r="I1" s="28">
        <v>50</v>
      </c>
      <c r="J1" s="28" t="s">
        <v>8</v>
      </c>
      <c r="K1" s="26" t="s">
        <v>9</v>
      </c>
    </row>
    <row r="2" spans="2:10">
      <c r="B2" s="4">
        <v>201</v>
      </c>
      <c r="C2" s="4">
        <v>1</v>
      </c>
      <c r="D2" s="33" t="s">
        <v>10</v>
      </c>
      <c r="E2" s="25" t="s">
        <v>11</v>
      </c>
      <c r="F2" s="4">
        <v>12</v>
      </c>
      <c r="G2" s="4">
        <v>260</v>
      </c>
      <c r="H2" s="4">
        <v>12</v>
      </c>
      <c r="I2" s="4">
        <v>7.3</v>
      </c>
      <c r="J2" s="4">
        <v>3.44</v>
      </c>
    </row>
    <row r="3" spans="2:10">
      <c r="B3" s="4">
        <v>201</v>
      </c>
      <c r="C3" s="4">
        <v>2</v>
      </c>
      <c r="D3" s="24" t="s">
        <v>12</v>
      </c>
      <c r="E3" s="25" t="s">
        <v>11</v>
      </c>
      <c r="F3" s="4">
        <v>13</v>
      </c>
      <c r="G3" s="4">
        <v>257</v>
      </c>
      <c r="H3" s="4">
        <v>27</v>
      </c>
      <c r="I3" s="4">
        <v>7.3</v>
      </c>
      <c r="J3" s="4">
        <v>3.47</v>
      </c>
    </row>
    <row r="4" spans="2:11">
      <c r="B4" s="4">
        <v>201</v>
      </c>
      <c r="C4" s="4">
        <v>3</v>
      </c>
      <c r="D4" s="24" t="s">
        <v>13</v>
      </c>
      <c r="E4" s="25" t="s">
        <v>11</v>
      </c>
      <c r="K4" s="4" t="s">
        <v>14</v>
      </c>
    </row>
    <row r="5" spans="2:11">
      <c r="B5" s="4">
        <v>201</v>
      </c>
      <c r="C5" s="4">
        <v>4</v>
      </c>
      <c r="D5" s="24" t="s">
        <v>15</v>
      </c>
      <c r="E5" s="25" t="s">
        <v>11</v>
      </c>
      <c r="K5" s="4" t="s">
        <v>16</v>
      </c>
    </row>
    <row r="6" spans="2:10">
      <c r="B6" s="4">
        <v>201</v>
      </c>
      <c r="C6" s="4">
        <v>5</v>
      </c>
      <c r="D6" s="24" t="s">
        <v>17</v>
      </c>
      <c r="E6" s="25" t="s">
        <v>11</v>
      </c>
      <c r="F6" s="4">
        <v>11</v>
      </c>
      <c r="G6" s="4">
        <v>230</v>
      </c>
      <c r="H6" s="4">
        <v>3</v>
      </c>
      <c r="I6" s="4">
        <v>7.2</v>
      </c>
      <c r="J6" s="4">
        <v>4.14</v>
      </c>
    </row>
    <row r="7" spans="2:10">
      <c r="B7" s="4">
        <v>201</v>
      </c>
      <c r="C7" s="4">
        <v>6</v>
      </c>
      <c r="D7" s="24" t="s">
        <v>18</v>
      </c>
      <c r="E7" s="25" t="s">
        <v>11</v>
      </c>
      <c r="F7" s="4">
        <v>14</v>
      </c>
      <c r="G7" s="4">
        <v>230</v>
      </c>
      <c r="H7" s="4">
        <v>1</v>
      </c>
      <c r="J7" s="4">
        <v>4.39</v>
      </c>
    </row>
    <row r="8" spans="2:11">
      <c r="B8" s="4">
        <v>201</v>
      </c>
      <c r="C8" s="4">
        <v>7</v>
      </c>
      <c r="D8" s="24" t="s">
        <v>19</v>
      </c>
      <c r="E8" s="25" t="s">
        <v>11</v>
      </c>
      <c r="K8" s="4" t="s">
        <v>14</v>
      </c>
    </row>
    <row r="9" spans="2:10">
      <c r="B9" s="4">
        <v>201</v>
      </c>
      <c r="C9" s="4">
        <v>8</v>
      </c>
      <c r="D9" s="24" t="s">
        <v>20</v>
      </c>
      <c r="E9" s="25" t="s">
        <v>11</v>
      </c>
      <c r="F9" s="4">
        <v>14.5</v>
      </c>
      <c r="G9" s="4">
        <v>239</v>
      </c>
      <c r="H9" s="4">
        <v>0</v>
      </c>
      <c r="I9" s="4">
        <v>7.4</v>
      </c>
      <c r="J9" s="4">
        <v>3.57</v>
      </c>
    </row>
    <row r="10" spans="2:10">
      <c r="B10" s="4">
        <v>201</v>
      </c>
      <c r="C10" s="4">
        <v>9</v>
      </c>
      <c r="D10" s="24" t="s">
        <v>21</v>
      </c>
      <c r="E10" s="25" t="s">
        <v>11</v>
      </c>
      <c r="F10" s="4">
        <v>11</v>
      </c>
      <c r="G10" s="4">
        <v>260</v>
      </c>
      <c r="H10" s="4">
        <v>13</v>
      </c>
      <c r="J10" s="4">
        <v>3.25</v>
      </c>
    </row>
    <row r="11" spans="2:10">
      <c r="B11" s="4">
        <v>201</v>
      </c>
      <c r="C11" s="4">
        <v>10</v>
      </c>
      <c r="D11" s="24" t="s">
        <v>22</v>
      </c>
      <c r="E11" s="25" t="s">
        <v>11</v>
      </c>
      <c r="F11" s="4">
        <v>10</v>
      </c>
      <c r="G11" s="4">
        <v>208</v>
      </c>
      <c r="H11" s="4">
        <v>17</v>
      </c>
      <c r="I11" s="4">
        <v>7.8</v>
      </c>
      <c r="J11" s="4">
        <v>4.07</v>
      </c>
    </row>
    <row r="12" spans="2:10">
      <c r="B12" s="4">
        <v>201</v>
      </c>
      <c r="C12" s="4">
        <v>11</v>
      </c>
      <c r="D12" s="24" t="s">
        <v>23</v>
      </c>
      <c r="E12" s="25" t="s">
        <v>11</v>
      </c>
      <c r="F12" s="4">
        <v>13</v>
      </c>
      <c r="G12" s="4">
        <v>230</v>
      </c>
      <c r="H12" s="4">
        <v>8</v>
      </c>
      <c r="I12" s="4">
        <v>7.4</v>
      </c>
      <c r="J12" s="4">
        <v>4</v>
      </c>
    </row>
    <row r="13" spans="2:10">
      <c r="B13" s="4">
        <v>201</v>
      </c>
      <c r="C13" s="4">
        <v>12</v>
      </c>
      <c r="D13" s="24" t="s">
        <v>24</v>
      </c>
      <c r="E13" s="25" t="s">
        <v>11</v>
      </c>
      <c r="F13" s="4">
        <v>6.5</v>
      </c>
      <c r="G13" s="4">
        <v>207</v>
      </c>
      <c r="H13" s="4">
        <v>8</v>
      </c>
      <c r="I13" s="4">
        <v>6.9</v>
      </c>
      <c r="J13" s="4">
        <v>3.51</v>
      </c>
    </row>
    <row r="14" customFormat="1" spans="1:11">
      <c r="A14" s="4"/>
      <c r="B14" s="4"/>
      <c r="C14" s="4"/>
      <c r="D14" s="24"/>
      <c r="E14" s="25"/>
      <c r="F14" s="4"/>
      <c r="G14" s="4"/>
      <c r="H14" s="4"/>
      <c r="I14" s="4"/>
      <c r="J14" s="4"/>
      <c r="K14" s="4"/>
    </row>
    <row r="15" customFormat="1" spans="1:11">
      <c r="A15" s="4"/>
      <c r="B15" s="4"/>
      <c r="C15" s="4"/>
      <c r="D15" s="24"/>
      <c r="E15" s="25"/>
      <c r="F15" s="4"/>
      <c r="G15" s="4"/>
      <c r="H15" s="4"/>
      <c r="I15" s="4"/>
      <c r="J15" s="4"/>
      <c r="K15" s="4"/>
    </row>
    <row r="16" customFormat="1" spans="1:11">
      <c r="A16" s="4"/>
      <c r="B16" s="4"/>
      <c r="C16" s="4"/>
      <c r="D16" s="24"/>
      <c r="E16" s="25"/>
      <c r="F16" s="4"/>
      <c r="G16" s="4"/>
      <c r="H16" s="4"/>
      <c r="I16" s="4"/>
      <c r="J16" s="4"/>
      <c r="K16" s="4"/>
    </row>
    <row r="17" customFormat="1" spans="1:11">
      <c r="A17" s="4"/>
      <c r="B17" s="4"/>
      <c r="C17" s="4"/>
      <c r="D17" s="24"/>
      <c r="E17" s="25"/>
      <c r="F17" s="4"/>
      <c r="G17" s="4"/>
      <c r="H17" s="4"/>
      <c r="I17" s="4"/>
      <c r="J17" s="4"/>
      <c r="K17" s="4"/>
    </row>
    <row r="18" customFormat="1" spans="1:11">
      <c r="A18" s="4"/>
      <c r="B18" s="4"/>
      <c r="C18" s="4"/>
      <c r="D18" s="24"/>
      <c r="E18" s="25"/>
      <c r="F18" s="4"/>
      <c r="G18" s="4"/>
      <c r="H18" s="4"/>
      <c r="I18" s="4"/>
      <c r="J18" s="4"/>
      <c r="K18" s="4"/>
    </row>
    <row r="19" customFormat="1" spans="1:11">
      <c r="A19" s="4"/>
      <c r="B19" s="4"/>
      <c r="C19" s="4"/>
      <c r="D19" s="24"/>
      <c r="E19" s="25"/>
      <c r="F19" s="4"/>
      <c r="G19" s="4"/>
      <c r="H19" s="4"/>
      <c r="I19" s="4"/>
      <c r="J19" s="4"/>
      <c r="K19" s="4"/>
    </row>
    <row r="20" customFormat="1" spans="1:11">
      <c r="A20" s="4"/>
      <c r="B20" s="4"/>
      <c r="C20" s="4"/>
      <c r="D20" s="24"/>
      <c r="E20" s="25"/>
      <c r="F20" s="4"/>
      <c r="G20" s="4"/>
      <c r="H20" s="4"/>
      <c r="I20" s="4"/>
      <c r="J20" s="4"/>
      <c r="K20" s="4"/>
    </row>
    <row r="21" spans="4:5">
      <c r="D21" s="24"/>
      <c r="E21" s="25"/>
    </row>
    <row r="22" s="1" customFormat="1" spans="1:11">
      <c r="A22" s="33" t="s">
        <v>25</v>
      </c>
      <c r="B22" s="24" t="s">
        <v>1</v>
      </c>
      <c r="C22" s="26" t="s">
        <v>2</v>
      </c>
      <c r="D22" s="27" t="s">
        <v>3</v>
      </c>
      <c r="E22" s="27" t="s">
        <v>4</v>
      </c>
      <c r="F22" s="28" t="s">
        <v>5</v>
      </c>
      <c r="G22" s="28" t="s">
        <v>6</v>
      </c>
      <c r="H22" s="28" t="s">
        <v>7</v>
      </c>
      <c r="I22" s="28">
        <v>50</v>
      </c>
      <c r="J22" s="28" t="s">
        <v>8</v>
      </c>
      <c r="K22" s="26" t="s">
        <v>9</v>
      </c>
    </row>
    <row r="23" spans="2:10">
      <c r="B23" s="4">
        <v>201</v>
      </c>
      <c r="C23" s="4">
        <v>13</v>
      </c>
      <c r="D23" s="33" t="s">
        <v>26</v>
      </c>
      <c r="E23" s="25" t="s">
        <v>11</v>
      </c>
      <c r="F23" s="4">
        <v>7.8</v>
      </c>
      <c r="G23" s="4">
        <v>258</v>
      </c>
      <c r="H23" s="4">
        <v>32</v>
      </c>
      <c r="I23" s="4">
        <v>7</v>
      </c>
      <c r="J23" s="4">
        <v>3.23</v>
      </c>
    </row>
    <row r="24" spans="2:10">
      <c r="B24" s="4">
        <v>201</v>
      </c>
      <c r="C24" s="4">
        <v>14</v>
      </c>
      <c r="D24" s="24" t="s">
        <v>27</v>
      </c>
      <c r="E24" s="25" t="s">
        <v>11</v>
      </c>
      <c r="F24" s="4">
        <v>15.9</v>
      </c>
      <c r="G24" s="4">
        <v>261</v>
      </c>
      <c r="H24" s="4">
        <v>16</v>
      </c>
      <c r="J24" s="4">
        <v>3.24</v>
      </c>
    </row>
    <row r="25" spans="2:10">
      <c r="B25" s="4">
        <v>201</v>
      </c>
      <c r="C25" s="4">
        <v>15</v>
      </c>
      <c r="D25" s="24" t="s">
        <v>28</v>
      </c>
      <c r="E25" s="25" t="s">
        <v>11</v>
      </c>
      <c r="F25" s="4">
        <v>18.5</v>
      </c>
      <c r="G25" s="4">
        <v>260</v>
      </c>
      <c r="H25" s="4">
        <v>2</v>
      </c>
      <c r="I25" s="4">
        <v>6.8</v>
      </c>
      <c r="J25" s="4">
        <v>3.57</v>
      </c>
    </row>
    <row r="26" spans="2:10">
      <c r="B26" s="4">
        <v>201</v>
      </c>
      <c r="C26" s="4">
        <v>16</v>
      </c>
      <c r="D26" s="24" t="s">
        <v>29</v>
      </c>
      <c r="E26" s="25" t="s">
        <v>11</v>
      </c>
      <c r="F26" s="4">
        <v>15</v>
      </c>
      <c r="G26" s="4">
        <v>245</v>
      </c>
      <c r="H26" s="4">
        <v>15</v>
      </c>
      <c r="I26" s="4">
        <v>6.9</v>
      </c>
      <c r="J26" s="4">
        <v>3.19</v>
      </c>
    </row>
    <row r="27" spans="2:10">
      <c r="B27" s="4">
        <v>201</v>
      </c>
      <c r="C27" s="4">
        <v>17</v>
      </c>
      <c r="D27" s="24" t="s">
        <v>30</v>
      </c>
      <c r="E27" s="25" t="s">
        <v>11</v>
      </c>
      <c r="F27" s="4">
        <v>8.8</v>
      </c>
      <c r="G27" s="4">
        <v>236</v>
      </c>
      <c r="H27" s="4">
        <v>0</v>
      </c>
      <c r="I27" s="4">
        <v>7.4</v>
      </c>
      <c r="J27" s="4">
        <v>3.48</v>
      </c>
    </row>
    <row r="28" spans="2:10">
      <c r="B28" s="4">
        <v>201</v>
      </c>
      <c r="C28" s="4">
        <v>18</v>
      </c>
      <c r="D28" s="24" t="s">
        <v>31</v>
      </c>
      <c r="E28" s="25" t="s">
        <v>11</v>
      </c>
      <c r="F28" s="4">
        <v>17</v>
      </c>
      <c r="G28" s="4">
        <v>256</v>
      </c>
      <c r="H28" s="4">
        <v>0</v>
      </c>
      <c r="I28" s="4">
        <v>7</v>
      </c>
      <c r="J28" s="4">
        <v>3.35</v>
      </c>
    </row>
    <row r="29" spans="2:10">
      <c r="B29" s="4">
        <v>201</v>
      </c>
      <c r="C29" s="4">
        <v>19</v>
      </c>
      <c r="D29" s="24" t="s">
        <v>32</v>
      </c>
      <c r="E29" s="25" t="s">
        <v>11</v>
      </c>
      <c r="F29" s="4">
        <v>8.7</v>
      </c>
      <c r="G29" s="4">
        <v>236</v>
      </c>
      <c r="H29" s="4">
        <v>0</v>
      </c>
      <c r="I29" s="4">
        <v>7.6</v>
      </c>
      <c r="J29" s="4">
        <v>4.09</v>
      </c>
    </row>
    <row r="30" spans="2:10">
      <c r="B30" s="4">
        <v>201</v>
      </c>
      <c r="C30" s="4">
        <v>20</v>
      </c>
      <c r="D30" s="24" t="s">
        <v>33</v>
      </c>
      <c r="E30" s="25" t="s">
        <v>11</v>
      </c>
      <c r="F30" s="4">
        <v>10.6</v>
      </c>
      <c r="G30" s="4">
        <v>186</v>
      </c>
      <c r="H30" s="4">
        <v>0</v>
      </c>
      <c r="I30" s="4">
        <v>8</v>
      </c>
      <c r="J30" s="4">
        <v>3.58</v>
      </c>
    </row>
    <row r="31" spans="2:11">
      <c r="B31" s="4">
        <v>201</v>
      </c>
      <c r="C31" s="4">
        <v>21</v>
      </c>
      <c r="D31" s="24" t="s">
        <v>34</v>
      </c>
      <c r="E31" s="25" t="s">
        <v>11</v>
      </c>
      <c r="K31" s="4" t="s">
        <v>14</v>
      </c>
    </row>
    <row r="32" spans="2:10">
      <c r="B32" s="4">
        <v>201</v>
      </c>
      <c r="C32" s="4">
        <v>22</v>
      </c>
      <c r="D32" s="24" t="s">
        <v>35</v>
      </c>
      <c r="E32" s="25" t="s">
        <v>11</v>
      </c>
      <c r="F32" s="4">
        <v>12.1</v>
      </c>
      <c r="G32" s="4">
        <v>216</v>
      </c>
      <c r="H32" s="4">
        <v>0</v>
      </c>
      <c r="J32" s="4">
        <v>4.21</v>
      </c>
    </row>
    <row r="33" spans="2:10">
      <c r="B33" s="4">
        <v>201</v>
      </c>
      <c r="C33" s="4">
        <v>23</v>
      </c>
      <c r="D33" s="24" t="s">
        <v>36</v>
      </c>
      <c r="E33" s="25" t="s">
        <v>11</v>
      </c>
      <c r="F33" s="4">
        <v>15.3</v>
      </c>
      <c r="G33" s="4">
        <v>243</v>
      </c>
      <c r="H33" s="4">
        <v>4</v>
      </c>
      <c r="I33" s="4">
        <v>7.4</v>
      </c>
      <c r="J33" s="4">
        <v>3.49</v>
      </c>
    </row>
    <row r="34" spans="2:10">
      <c r="B34" s="4">
        <v>201</v>
      </c>
      <c r="C34" s="4">
        <v>24</v>
      </c>
      <c r="D34" s="24" t="s">
        <v>37</v>
      </c>
      <c r="E34" s="25" t="s">
        <v>11</v>
      </c>
      <c r="F34" s="4">
        <v>22.5</v>
      </c>
      <c r="G34" s="4">
        <v>251</v>
      </c>
      <c r="H34" s="4">
        <v>0</v>
      </c>
      <c r="I34" s="4">
        <v>7.3</v>
      </c>
      <c r="J34" s="4">
        <v>3.36</v>
      </c>
    </row>
    <row r="35" spans="4:5">
      <c r="D35" s="24"/>
      <c r="E35" s="25"/>
    </row>
    <row r="36" s="1" customFormat="1" spans="1:11">
      <c r="A36" s="33" t="s">
        <v>38</v>
      </c>
      <c r="B36" s="24" t="s">
        <v>1</v>
      </c>
      <c r="C36" s="26" t="s">
        <v>2</v>
      </c>
      <c r="D36" s="27" t="s">
        <v>3</v>
      </c>
      <c r="E36" s="27" t="s">
        <v>4</v>
      </c>
      <c r="F36" s="28" t="s">
        <v>5</v>
      </c>
      <c r="G36" s="28" t="s">
        <v>6</v>
      </c>
      <c r="H36" s="28" t="s">
        <v>7</v>
      </c>
      <c r="I36" s="28">
        <v>50</v>
      </c>
      <c r="J36" s="28" t="s">
        <v>8</v>
      </c>
      <c r="K36" s="26" t="s">
        <v>9</v>
      </c>
    </row>
    <row r="37" spans="2:10">
      <c r="B37" s="4">
        <v>201</v>
      </c>
      <c r="C37" s="4">
        <v>25</v>
      </c>
      <c r="D37" s="33" t="s">
        <v>39</v>
      </c>
      <c r="E37" s="25" t="s">
        <v>11</v>
      </c>
      <c r="F37" s="4">
        <v>15.1</v>
      </c>
      <c r="G37" s="4">
        <v>248</v>
      </c>
      <c r="H37" s="4">
        <v>17</v>
      </c>
      <c r="I37" s="4">
        <v>6.9</v>
      </c>
      <c r="J37" s="4">
        <v>3.39</v>
      </c>
    </row>
    <row r="38" spans="2:10">
      <c r="B38" s="4">
        <v>201</v>
      </c>
      <c r="C38" s="4">
        <v>26</v>
      </c>
      <c r="D38" s="24" t="s">
        <v>40</v>
      </c>
      <c r="E38" s="25" t="s">
        <v>11</v>
      </c>
      <c r="F38" s="4">
        <v>13.5</v>
      </c>
      <c r="G38" s="4">
        <v>272</v>
      </c>
      <c r="H38" s="4">
        <v>27</v>
      </c>
      <c r="I38" s="4">
        <v>6.5</v>
      </c>
      <c r="J38" s="4">
        <v>3.06</v>
      </c>
    </row>
    <row r="39" spans="2:10">
      <c r="B39" s="4">
        <v>201</v>
      </c>
      <c r="C39" s="4">
        <v>27</v>
      </c>
      <c r="D39" s="24" t="s">
        <v>41</v>
      </c>
      <c r="E39" s="25" t="s">
        <v>11</v>
      </c>
      <c r="F39" s="4">
        <v>14.1</v>
      </c>
      <c r="G39" s="4">
        <v>232</v>
      </c>
      <c r="H39" s="4">
        <v>3</v>
      </c>
      <c r="I39" s="4">
        <v>7.5</v>
      </c>
      <c r="J39" s="4">
        <v>3.45</v>
      </c>
    </row>
    <row r="40" spans="2:10">
      <c r="B40" s="4">
        <v>201</v>
      </c>
      <c r="C40" s="4">
        <v>28</v>
      </c>
      <c r="D40" s="24" t="s">
        <v>42</v>
      </c>
      <c r="E40" s="25" t="s">
        <v>11</v>
      </c>
      <c r="F40" s="4">
        <v>15.4</v>
      </c>
      <c r="G40" s="4">
        <v>191</v>
      </c>
      <c r="H40" s="4">
        <v>0</v>
      </c>
      <c r="I40" s="4">
        <v>8.3</v>
      </c>
      <c r="J40" s="4">
        <v>5.01</v>
      </c>
    </row>
    <row r="41" spans="2:10">
      <c r="B41" s="4">
        <v>201</v>
      </c>
      <c r="C41" s="4">
        <v>29</v>
      </c>
      <c r="D41" s="24" t="s">
        <v>43</v>
      </c>
      <c r="E41" s="25" t="s">
        <v>11</v>
      </c>
      <c r="F41" s="4">
        <v>11.3</v>
      </c>
      <c r="G41" s="4">
        <v>253</v>
      </c>
      <c r="H41" s="4">
        <v>11</v>
      </c>
      <c r="I41" s="4">
        <v>6.9</v>
      </c>
      <c r="J41" s="4">
        <v>3.27</v>
      </c>
    </row>
    <row r="42" spans="2:10">
      <c r="B42" s="4">
        <v>201</v>
      </c>
      <c r="C42" s="4">
        <v>30</v>
      </c>
      <c r="D42" s="24" t="s">
        <v>44</v>
      </c>
      <c r="E42" s="25" t="s">
        <v>11</v>
      </c>
      <c r="F42" s="4">
        <v>11.8</v>
      </c>
      <c r="G42" s="4">
        <v>193</v>
      </c>
      <c r="H42" s="4">
        <v>6</v>
      </c>
      <c r="I42" s="4">
        <v>7.6</v>
      </c>
      <c r="J42" s="4">
        <v>4.15</v>
      </c>
    </row>
    <row r="43" spans="2:10">
      <c r="B43" s="4">
        <v>201</v>
      </c>
      <c r="C43" s="4">
        <v>31</v>
      </c>
      <c r="D43" s="24" t="s">
        <v>45</v>
      </c>
      <c r="E43" s="25" t="s">
        <v>11</v>
      </c>
      <c r="F43" s="4">
        <v>22.9</v>
      </c>
      <c r="G43" s="4">
        <v>201</v>
      </c>
      <c r="H43" s="4">
        <v>19</v>
      </c>
      <c r="I43" s="4">
        <v>7.3</v>
      </c>
      <c r="J43" s="4">
        <v>3.58</v>
      </c>
    </row>
    <row r="44" spans="2:10">
      <c r="B44" s="4">
        <v>201</v>
      </c>
      <c r="C44" s="4">
        <v>32</v>
      </c>
      <c r="D44" s="24" t="s">
        <v>46</v>
      </c>
      <c r="E44" s="25" t="s">
        <v>11</v>
      </c>
      <c r="F44" s="4">
        <v>8</v>
      </c>
      <c r="G44" s="4">
        <v>255</v>
      </c>
      <c r="H44" s="4">
        <v>10</v>
      </c>
      <c r="I44" s="4">
        <v>7</v>
      </c>
      <c r="J44" s="4">
        <v>3.45</v>
      </c>
    </row>
    <row r="45" spans="2:10">
      <c r="B45" s="4">
        <v>201</v>
      </c>
      <c r="C45" s="4">
        <v>33</v>
      </c>
      <c r="D45" s="24" t="s">
        <v>47</v>
      </c>
      <c r="E45" s="25" t="s">
        <v>11</v>
      </c>
      <c r="F45" s="4">
        <v>20</v>
      </c>
      <c r="G45" s="4">
        <v>263</v>
      </c>
      <c r="H45" s="4">
        <v>11</v>
      </c>
      <c r="I45" s="4">
        <v>6.8</v>
      </c>
      <c r="J45" s="4">
        <v>3.16</v>
      </c>
    </row>
    <row r="46" spans="2:10">
      <c r="B46" s="4">
        <v>201</v>
      </c>
      <c r="C46" s="4">
        <v>34</v>
      </c>
      <c r="D46" s="24" t="s">
        <v>48</v>
      </c>
      <c r="E46" s="25" t="s">
        <v>11</v>
      </c>
      <c r="F46" s="4">
        <v>15.5</v>
      </c>
      <c r="G46" s="4">
        <v>258</v>
      </c>
      <c r="H46" s="4">
        <v>9</v>
      </c>
      <c r="I46" s="4">
        <v>7.2</v>
      </c>
      <c r="J46" s="4">
        <v>4.01</v>
      </c>
    </row>
    <row r="47" spans="2:10">
      <c r="B47" s="4">
        <v>201</v>
      </c>
      <c r="C47" s="4">
        <v>35</v>
      </c>
      <c r="D47" s="24" t="s">
        <v>49</v>
      </c>
      <c r="E47" s="25" t="s">
        <v>11</v>
      </c>
      <c r="F47" s="4">
        <v>27.1</v>
      </c>
      <c r="G47" s="4">
        <v>231</v>
      </c>
      <c r="H47" s="4">
        <v>13</v>
      </c>
      <c r="I47" s="4">
        <v>7.1</v>
      </c>
      <c r="J47" s="4">
        <v>3.34</v>
      </c>
    </row>
    <row r="48" spans="2:10">
      <c r="B48" s="4">
        <v>201</v>
      </c>
      <c r="C48" s="4">
        <v>36</v>
      </c>
      <c r="D48" s="24" t="s">
        <v>50</v>
      </c>
      <c r="E48" s="25" t="s">
        <v>11</v>
      </c>
      <c r="F48" s="4">
        <v>14.6</v>
      </c>
      <c r="G48" s="4">
        <v>225</v>
      </c>
      <c r="H48" s="4">
        <v>6</v>
      </c>
      <c r="I48" s="4">
        <v>7.6</v>
      </c>
      <c r="J48" s="4">
        <v>3.48</v>
      </c>
    </row>
    <row r="49" customFormat="1" spans="1:11">
      <c r="A49" s="4"/>
      <c r="B49" s="4"/>
      <c r="C49" s="4"/>
      <c r="D49" s="24"/>
      <c r="E49" s="25"/>
      <c r="F49" s="4"/>
      <c r="G49" s="4"/>
      <c r="H49" s="4"/>
      <c r="I49" s="4"/>
      <c r="J49" s="4"/>
      <c r="K49" s="4"/>
    </row>
    <row r="50" customFormat="1" spans="1:11">
      <c r="A50" s="4"/>
      <c r="B50" s="4"/>
      <c r="C50" s="4"/>
      <c r="D50" s="24"/>
      <c r="E50" s="25"/>
      <c r="F50" s="4"/>
      <c r="G50" s="4"/>
      <c r="H50" s="4"/>
      <c r="I50" s="4"/>
      <c r="J50" s="4"/>
      <c r="K50" s="4"/>
    </row>
    <row r="51" customFormat="1" spans="1:11">
      <c r="A51" s="4"/>
      <c r="B51" s="4"/>
      <c r="C51" s="4"/>
      <c r="D51" s="24"/>
      <c r="E51" s="25"/>
      <c r="F51" s="4"/>
      <c r="G51" s="4"/>
      <c r="H51" s="4"/>
      <c r="I51" s="4"/>
      <c r="J51" s="4"/>
      <c r="K51" s="4"/>
    </row>
    <row r="52" customFormat="1" spans="1:11">
      <c r="A52" s="4"/>
      <c r="B52" s="4"/>
      <c r="C52" s="4"/>
      <c r="D52" s="24"/>
      <c r="E52" s="25"/>
      <c r="F52" s="4"/>
      <c r="G52" s="4"/>
      <c r="H52" s="4"/>
      <c r="I52" s="4"/>
      <c r="J52" s="4"/>
      <c r="K52" s="4"/>
    </row>
    <row r="53" customFormat="1" spans="1:11">
      <c r="A53" s="4"/>
      <c r="B53" s="4"/>
      <c r="C53" s="4"/>
      <c r="D53" s="24"/>
      <c r="E53" s="25"/>
      <c r="F53" s="4"/>
      <c r="G53" s="4"/>
      <c r="H53" s="4"/>
      <c r="I53" s="4"/>
      <c r="J53" s="4"/>
      <c r="K53" s="4"/>
    </row>
    <row r="54" customFormat="1" spans="1:11">
      <c r="A54" s="4"/>
      <c r="B54" s="4"/>
      <c r="C54" s="4"/>
      <c r="D54" s="24"/>
      <c r="E54" s="25"/>
      <c r="F54" s="4"/>
      <c r="G54" s="4"/>
      <c r="H54" s="4"/>
      <c r="I54" s="4"/>
      <c r="J54" s="4"/>
      <c r="K54" s="4"/>
    </row>
    <row r="55" customFormat="1" spans="1:11">
      <c r="A55" s="4"/>
      <c r="B55" s="4"/>
      <c r="C55" s="4"/>
      <c r="D55" s="24"/>
      <c r="E55" s="25"/>
      <c r="F55" s="4"/>
      <c r="G55" s="4"/>
      <c r="H55" s="4"/>
      <c r="I55" s="4"/>
      <c r="J55" s="4"/>
      <c r="K55" s="4"/>
    </row>
    <row r="56" customFormat="1" spans="1:11">
      <c r="A56" s="4"/>
      <c r="B56" s="4"/>
      <c r="C56" s="4"/>
      <c r="D56" s="24"/>
      <c r="E56" s="25"/>
      <c r="F56" s="4"/>
      <c r="G56" s="4"/>
      <c r="H56" s="4"/>
      <c r="I56" s="4"/>
      <c r="J56" s="4"/>
      <c r="K56" s="4"/>
    </row>
    <row r="57" customFormat="1" spans="1:11">
      <c r="A57" s="4"/>
      <c r="B57" s="4"/>
      <c r="C57" s="4"/>
      <c r="D57" s="24"/>
      <c r="E57" s="25"/>
      <c r="F57" s="4"/>
      <c r="G57" s="4"/>
      <c r="H57" s="4"/>
      <c r="I57" s="4"/>
      <c r="J57" s="4"/>
      <c r="K57" s="4"/>
    </row>
    <row r="58" spans="4:5">
      <c r="D58" s="24"/>
      <c r="E58" s="25"/>
    </row>
    <row r="59" s="1" customFormat="1" spans="1:11">
      <c r="A59" s="33" t="s">
        <v>51</v>
      </c>
      <c r="B59" s="24" t="s">
        <v>1</v>
      </c>
      <c r="C59" s="26" t="s">
        <v>2</v>
      </c>
      <c r="D59" s="27" t="s">
        <v>3</v>
      </c>
      <c r="E59" s="27" t="s">
        <v>4</v>
      </c>
      <c r="F59" s="28" t="s">
        <v>5</v>
      </c>
      <c r="G59" s="28" t="s">
        <v>6</v>
      </c>
      <c r="H59" s="28" t="s">
        <v>7</v>
      </c>
      <c r="I59" s="28">
        <v>50</v>
      </c>
      <c r="J59" s="28" t="s">
        <v>8</v>
      </c>
      <c r="K59" s="26" t="s">
        <v>9</v>
      </c>
    </row>
    <row r="60" spans="2:11">
      <c r="B60" s="4">
        <v>201</v>
      </c>
      <c r="C60" s="4">
        <v>37</v>
      </c>
      <c r="D60" s="24" t="s">
        <v>52</v>
      </c>
      <c r="E60" s="25" t="s">
        <v>53</v>
      </c>
      <c r="K60" s="4" t="s">
        <v>14</v>
      </c>
    </row>
    <row r="61" spans="2:11">
      <c r="B61" s="4">
        <v>201</v>
      </c>
      <c r="C61" s="4">
        <v>38</v>
      </c>
      <c r="D61" s="33" t="s">
        <v>54</v>
      </c>
      <c r="E61" s="25" t="s">
        <v>53</v>
      </c>
      <c r="K61" s="4" t="s">
        <v>55</v>
      </c>
    </row>
    <row r="62" spans="2:10">
      <c r="B62" s="4">
        <v>201</v>
      </c>
      <c r="C62" s="4">
        <v>39</v>
      </c>
      <c r="D62" s="24" t="s">
        <v>56</v>
      </c>
      <c r="E62" s="25" t="s">
        <v>53</v>
      </c>
      <c r="F62" s="4">
        <v>28.5</v>
      </c>
      <c r="G62" s="4">
        <v>192</v>
      </c>
      <c r="H62" s="4">
        <v>47</v>
      </c>
      <c r="I62" s="4">
        <v>7.8</v>
      </c>
      <c r="J62" s="4">
        <v>3.34</v>
      </c>
    </row>
    <row r="63" spans="2:10">
      <c r="B63" s="4">
        <v>201</v>
      </c>
      <c r="C63" s="4">
        <v>40</v>
      </c>
      <c r="D63" s="24" t="s">
        <v>57</v>
      </c>
      <c r="E63" s="25" t="s">
        <v>53</v>
      </c>
      <c r="F63" s="4">
        <v>14.7</v>
      </c>
      <c r="G63" s="4">
        <v>191</v>
      </c>
      <c r="H63" s="4">
        <v>54</v>
      </c>
      <c r="I63" s="4">
        <v>8.2</v>
      </c>
      <c r="J63" s="4">
        <v>3.39</v>
      </c>
    </row>
    <row r="64" spans="2:10">
      <c r="B64" s="4">
        <v>201</v>
      </c>
      <c r="C64" s="4">
        <v>41</v>
      </c>
      <c r="D64" s="24" t="s">
        <v>58</v>
      </c>
      <c r="E64" s="25" t="s">
        <v>53</v>
      </c>
      <c r="F64" s="4">
        <v>17.7</v>
      </c>
      <c r="G64" s="4">
        <v>208</v>
      </c>
      <c r="H64" s="4">
        <v>53</v>
      </c>
      <c r="I64" s="4">
        <v>8.2</v>
      </c>
      <c r="J64" s="4">
        <v>3.45</v>
      </c>
    </row>
    <row r="65" spans="2:10">
      <c r="B65" s="4">
        <v>201</v>
      </c>
      <c r="C65" s="4">
        <v>42</v>
      </c>
      <c r="D65" s="24" t="s">
        <v>59</v>
      </c>
      <c r="E65" s="25" t="s">
        <v>53</v>
      </c>
      <c r="F65" s="4">
        <v>18.5</v>
      </c>
      <c r="G65" s="4">
        <v>182</v>
      </c>
      <c r="H65" s="4">
        <v>52</v>
      </c>
      <c r="I65" s="4">
        <v>8.7</v>
      </c>
      <c r="J65" s="4">
        <v>3.58</v>
      </c>
    </row>
    <row r="66" spans="2:11">
      <c r="B66" s="4">
        <v>201</v>
      </c>
      <c r="C66" s="4">
        <v>43</v>
      </c>
      <c r="D66" s="24" t="s">
        <v>60</v>
      </c>
      <c r="E66" s="25" t="s">
        <v>53</v>
      </c>
      <c r="K66" s="4" t="s">
        <v>14</v>
      </c>
    </row>
    <row r="67" spans="2:10">
      <c r="B67" s="4">
        <v>201</v>
      </c>
      <c r="C67" s="4">
        <v>44</v>
      </c>
      <c r="D67" s="24" t="s">
        <v>61</v>
      </c>
      <c r="E67" s="25" t="s">
        <v>53</v>
      </c>
      <c r="F67" s="4">
        <v>17</v>
      </c>
      <c r="G67" s="4">
        <v>161</v>
      </c>
      <c r="H67" s="4">
        <v>45</v>
      </c>
      <c r="I67" s="4">
        <v>8.6</v>
      </c>
      <c r="J67" s="4">
        <v>3.29</v>
      </c>
    </row>
    <row r="68" spans="2:11">
      <c r="B68" s="4">
        <v>201</v>
      </c>
      <c r="C68" s="4">
        <v>45</v>
      </c>
      <c r="D68" s="24" t="s">
        <v>62</v>
      </c>
      <c r="E68" s="25" t="s">
        <v>53</v>
      </c>
      <c r="K68" s="4" t="s">
        <v>14</v>
      </c>
    </row>
    <row r="69" spans="2:10">
      <c r="B69" s="4">
        <v>201</v>
      </c>
      <c r="C69" s="4">
        <v>46</v>
      </c>
      <c r="D69" s="24" t="s">
        <v>63</v>
      </c>
      <c r="E69" s="25" t="s">
        <v>53</v>
      </c>
      <c r="F69" s="4">
        <v>32.2</v>
      </c>
      <c r="G69" s="4">
        <v>205</v>
      </c>
      <c r="H69" s="4">
        <v>37</v>
      </c>
      <c r="I69" s="4">
        <v>8.3</v>
      </c>
      <c r="J69" s="4">
        <v>3.39</v>
      </c>
    </row>
    <row r="71" s="1" customFormat="1" spans="1:11">
      <c r="A71" s="33" t="s">
        <v>64</v>
      </c>
      <c r="B71" s="24" t="s">
        <v>1</v>
      </c>
      <c r="C71" s="26" t="s">
        <v>2</v>
      </c>
      <c r="D71" s="27" t="s">
        <v>3</v>
      </c>
      <c r="E71" s="27" t="s">
        <v>4</v>
      </c>
      <c r="F71" s="28" t="s">
        <v>5</v>
      </c>
      <c r="G71" s="28" t="s">
        <v>6</v>
      </c>
      <c r="H71" s="28" t="s">
        <v>7</v>
      </c>
      <c r="I71" s="28">
        <v>50</v>
      </c>
      <c r="J71" s="28" t="s">
        <v>8</v>
      </c>
      <c r="K71" s="26" t="s">
        <v>9</v>
      </c>
    </row>
    <row r="72" spans="2:10">
      <c r="B72" s="4">
        <v>202</v>
      </c>
      <c r="C72" s="4">
        <v>1</v>
      </c>
      <c r="D72" s="33" t="s">
        <v>65</v>
      </c>
      <c r="E72" s="25" t="s">
        <v>11</v>
      </c>
      <c r="F72" s="4">
        <v>12.5</v>
      </c>
      <c r="G72" s="4">
        <v>271</v>
      </c>
      <c r="H72" s="4">
        <v>1</v>
      </c>
      <c r="I72" s="4">
        <v>7</v>
      </c>
      <c r="J72" s="4">
        <v>3.56</v>
      </c>
    </row>
    <row r="73" spans="2:10">
      <c r="B73" s="4">
        <v>202</v>
      </c>
      <c r="C73" s="4">
        <v>2</v>
      </c>
      <c r="D73" s="24" t="s">
        <v>66</v>
      </c>
      <c r="E73" s="25" t="s">
        <v>11</v>
      </c>
      <c r="F73" s="4">
        <v>17</v>
      </c>
      <c r="G73" s="4">
        <v>231</v>
      </c>
      <c r="H73" s="4">
        <v>25</v>
      </c>
      <c r="J73" s="4">
        <v>4.05</v>
      </c>
    </row>
    <row r="74" spans="2:10">
      <c r="B74" s="4">
        <v>202</v>
      </c>
      <c r="C74" s="4">
        <v>3</v>
      </c>
      <c r="D74" s="24" t="s">
        <v>67</v>
      </c>
      <c r="E74" s="25" t="s">
        <v>11</v>
      </c>
      <c r="F74" s="4">
        <v>13</v>
      </c>
      <c r="G74" s="4">
        <v>270</v>
      </c>
      <c r="H74" s="4">
        <v>8</v>
      </c>
      <c r="I74" s="4">
        <v>6.3</v>
      </c>
      <c r="J74" s="4">
        <v>3.23</v>
      </c>
    </row>
    <row r="75" spans="2:10">
      <c r="B75" s="4">
        <v>202</v>
      </c>
      <c r="C75" s="4">
        <v>4</v>
      </c>
      <c r="D75" s="24" t="s">
        <v>68</v>
      </c>
      <c r="E75" s="25" t="s">
        <v>11</v>
      </c>
      <c r="F75" s="4">
        <v>5</v>
      </c>
      <c r="G75" s="4">
        <v>310</v>
      </c>
      <c r="H75" s="4">
        <v>21</v>
      </c>
      <c r="I75" s="4">
        <v>6.4</v>
      </c>
      <c r="J75" s="4">
        <v>3.42</v>
      </c>
    </row>
    <row r="76" spans="2:10">
      <c r="B76" s="4">
        <v>202</v>
      </c>
      <c r="C76" s="4">
        <v>5</v>
      </c>
      <c r="D76" s="24" t="s">
        <v>69</v>
      </c>
      <c r="E76" s="25" t="s">
        <v>11</v>
      </c>
      <c r="F76" s="4">
        <v>16.5</v>
      </c>
      <c r="G76" s="4">
        <v>258</v>
      </c>
      <c r="H76" s="4">
        <v>0</v>
      </c>
      <c r="I76" s="4">
        <v>7.6</v>
      </c>
      <c r="J76" s="4">
        <v>3.49</v>
      </c>
    </row>
    <row r="77" spans="2:10">
      <c r="B77" s="4">
        <v>202</v>
      </c>
      <c r="C77" s="4">
        <v>6</v>
      </c>
      <c r="D77" s="24" t="s">
        <v>70</v>
      </c>
      <c r="E77" s="25" t="s">
        <v>11</v>
      </c>
      <c r="F77" s="4">
        <v>12</v>
      </c>
      <c r="G77" s="4">
        <v>239</v>
      </c>
      <c r="H77" s="4">
        <v>18</v>
      </c>
      <c r="I77" s="4">
        <v>7.5</v>
      </c>
      <c r="J77" s="4">
        <v>3.29</v>
      </c>
    </row>
    <row r="78" spans="2:10">
      <c r="B78" s="4">
        <v>202</v>
      </c>
      <c r="C78" s="4">
        <v>7</v>
      </c>
      <c r="D78" s="24" t="s">
        <v>71</v>
      </c>
      <c r="E78" s="25" t="s">
        <v>11</v>
      </c>
      <c r="F78" s="4">
        <v>4</v>
      </c>
      <c r="G78" s="4">
        <v>255</v>
      </c>
      <c r="H78" s="4">
        <v>11</v>
      </c>
      <c r="I78" s="4">
        <v>7.6</v>
      </c>
      <c r="J78" s="4">
        <v>3.47</v>
      </c>
    </row>
    <row r="79" spans="2:9">
      <c r="B79" s="4">
        <v>202</v>
      </c>
      <c r="C79" s="4">
        <v>8</v>
      </c>
      <c r="D79" s="24" t="s">
        <v>72</v>
      </c>
      <c r="E79" s="25" t="s">
        <v>11</v>
      </c>
      <c r="F79" s="4">
        <v>21</v>
      </c>
      <c r="G79" s="4">
        <v>236</v>
      </c>
      <c r="H79" s="4">
        <v>1</v>
      </c>
      <c r="I79" s="4">
        <v>7.4</v>
      </c>
    </row>
    <row r="80" spans="2:10">
      <c r="B80" s="4">
        <v>202</v>
      </c>
      <c r="C80" s="4">
        <v>9</v>
      </c>
      <c r="D80" s="24" t="s">
        <v>73</v>
      </c>
      <c r="E80" s="25" t="s">
        <v>11</v>
      </c>
      <c r="F80" s="4">
        <v>13</v>
      </c>
      <c r="G80" s="4">
        <v>251</v>
      </c>
      <c r="H80" s="4">
        <v>8</v>
      </c>
      <c r="I80" s="4">
        <v>7.4</v>
      </c>
      <c r="J80" s="4">
        <v>3.45</v>
      </c>
    </row>
    <row r="81" spans="2:10">
      <c r="B81" s="4">
        <v>202</v>
      </c>
      <c r="C81" s="4">
        <v>10</v>
      </c>
      <c r="D81" s="24" t="s">
        <v>74</v>
      </c>
      <c r="E81" s="25" t="s">
        <v>11</v>
      </c>
      <c r="F81" s="4">
        <v>20.5</v>
      </c>
      <c r="G81" s="4">
        <v>262</v>
      </c>
      <c r="H81" s="4">
        <v>13</v>
      </c>
      <c r="I81" s="4">
        <v>7.1</v>
      </c>
      <c r="J81" s="4">
        <v>3.13</v>
      </c>
    </row>
    <row r="82" customFormat="1" spans="1:11">
      <c r="A82" s="4"/>
      <c r="B82" s="4"/>
      <c r="C82" s="4"/>
      <c r="D82" s="24"/>
      <c r="E82" s="25"/>
      <c r="F82" s="4"/>
      <c r="G82" s="4"/>
      <c r="H82" s="4"/>
      <c r="I82" s="4"/>
      <c r="J82" s="4"/>
      <c r="K82" s="4"/>
    </row>
    <row r="83" customFormat="1" spans="1:11">
      <c r="A83" s="4"/>
      <c r="B83" s="4"/>
      <c r="C83" s="4"/>
      <c r="D83" s="24"/>
      <c r="E83" s="25"/>
      <c r="F83" s="4"/>
      <c r="G83" s="4"/>
      <c r="H83" s="4"/>
      <c r="I83" s="4"/>
      <c r="J83" s="4"/>
      <c r="K83" s="4"/>
    </row>
    <row r="84" customFormat="1" spans="1:11">
      <c r="A84" s="4"/>
      <c r="B84" s="4"/>
      <c r="C84" s="4"/>
      <c r="D84" s="24"/>
      <c r="E84" s="25"/>
      <c r="F84" s="4"/>
      <c r="G84" s="4"/>
      <c r="H84" s="4"/>
      <c r="I84" s="4"/>
      <c r="J84" s="4"/>
      <c r="K84" s="4"/>
    </row>
    <row r="85" customFormat="1" spans="1:11">
      <c r="A85" s="4"/>
      <c r="B85" s="4"/>
      <c r="C85" s="4"/>
      <c r="D85" s="24"/>
      <c r="E85" s="25"/>
      <c r="F85" s="4"/>
      <c r="G85" s="4"/>
      <c r="H85" s="4"/>
      <c r="I85" s="4"/>
      <c r="J85" s="4"/>
      <c r="K85" s="4"/>
    </row>
    <row r="86" customFormat="1" spans="1:11">
      <c r="A86" s="4"/>
      <c r="B86" s="4"/>
      <c r="C86" s="4"/>
      <c r="D86" s="24"/>
      <c r="E86" s="25"/>
      <c r="F86" s="4"/>
      <c r="G86" s="4"/>
      <c r="H86" s="4"/>
      <c r="I86" s="4"/>
      <c r="J86" s="4"/>
      <c r="K86" s="4"/>
    </row>
    <row r="87" customFormat="1" spans="1:11">
      <c r="A87" s="4"/>
      <c r="B87" s="4"/>
      <c r="C87" s="4"/>
      <c r="D87" s="24"/>
      <c r="E87" s="25"/>
      <c r="F87" s="4"/>
      <c r="G87" s="4"/>
      <c r="H87" s="4"/>
      <c r="I87" s="4"/>
      <c r="J87" s="4"/>
      <c r="K87" s="4"/>
    </row>
    <row r="88" customFormat="1" spans="1:11">
      <c r="A88" s="4"/>
      <c r="B88" s="4"/>
      <c r="C88" s="4"/>
      <c r="D88" s="24"/>
      <c r="E88" s="25"/>
      <c r="F88" s="4"/>
      <c r="G88" s="4"/>
      <c r="H88" s="4"/>
      <c r="I88" s="4"/>
      <c r="J88" s="4"/>
      <c r="K88" s="4"/>
    </row>
    <row r="89" customFormat="1" spans="1:11">
      <c r="A89" s="4"/>
      <c r="B89" s="4"/>
      <c r="C89" s="4"/>
      <c r="D89" s="24"/>
      <c r="E89" s="25"/>
      <c r="F89" s="4"/>
      <c r="G89" s="4"/>
      <c r="H89" s="4"/>
      <c r="I89" s="4"/>
      <c r="J89" s="4"/>
      <c r="K89" s="4"/>
    </row>
    <row r="90" customFormat="1" spans="1:11">
      <c r="A90" s="4"/>
      <c r="B90" s="4"/>
      <c r="C90" s="4"/>
      <c r="D90" s="24"/>
      <c r="E90" s="25"/>
      <c r="F90" s="4"/>
      <c r="G90" s="4"/>
      <c r="H90" s="4"/>
      <c r="I90" s="4"/>
      <c r="J90" s="4"/>
      <c r="K90" s="4"/>
    </row>
    <row r="91" customFormat="1" spans="1:11">
      <c r="A91" s="4"/>
      <c r="B91" s="4"/>
      <c r="C91" s="4"/>
      <c r="D91" s="24"/>
      <c r="E91" s="25"/>
      <c r="F91" s="4"/>
      <c r="G91" s="4"/>
      <c r="H91" s="4"/>
      <c r="I91" s="4"/>
      <c r="J91" s="4"/>
      <c r="K91" s="4"/>
    </row>
    <row r="92" customFormat="1" spans="1:11">
      <c r="A92" s="4"/>
      <c r="B92" s="4"/>
      <c r="C92" s="4"/>
      <c r="D92" s="24"/>
      <c r="E92" s="25"/>
      <c r="F92" s="4"/>
      <c r="G92" s="4"/>
      <c r="H92" s="4"/>
      <c r="I92" s="4"/>
      <c r="J92" s="4"/>
      <c r="K92" s="4"/>
    </row>
    <row r="93" customFormat="1" spans="1:11">
      <c r="A93" s="4"/>
      <c r="B93" s="4"/>
      <c r="C93" s="4"/>
      <c r="D93" s="24"/>
      <c r="E93" s="25"/>
      <c r="F93" s="4"/>
      <c r="G93" s="4"/>
      <c r="H93" s="4"/>
      <c r="I93" s="4"/>
      <c r="J93" s="4"/>
      <c r="K93" s="4"/>
    </row>
    <row r="94" s="1" customFormat="1" spans="1:11">
      <c r="A94" s="33" t="s">
        <v>75</v>
      </c>
      <c r="B94" s="24" t="s">
        <v>1</v>
      </c>
      <c r="C94" s="26" t="s">
        <v>2</v>
      </c>
      <c r="D94" s="27" t="s">
        <v>3</v>
      </c>
      <c r="E94" s="27" t="s">
        <v>4</v>
      </c>
      <c r="F94" s="28" t="s">
        <v>5</v>
      </c>
      <c r="G94" s="28" t="s">
        <v>6</v>
      </c>
      <c r="H94" s="28" t="s">
        <v>7</v>
      </c>
      <c r="I94" s="28">
        <v>50</v>
      </c>
      <c r="J94" s="28" t="s">
        <v>8</v>
      </c>
      <c r="K94" s="26" t="s">
        <v>9</v>
      </c>
    </row>
    <row r="95" spans="2:10">
      <c r="B95" s="4">
        <v>202</v>
      </c>
      <c r="C95" s="4">
        <v>11</v>
      </c>
      <c r="D95" s="33" t="s">
        <v>76</v>
      </c>
      <c r="E95" s="25" t="s">
        <v>11</v>
      </c>
      <c r="F95" s="4">
        <v>25.6</v>
      </c>
      <c r="G95" s="4">
        <v>227</v>
      </c>
      <c r="H95" s="4">
        <v>0</v>
      </c>
      <c r="I95" s="4">
        <v>7.7</v>
      </c>
      <c r="J95" s="4">
        <v>3.53</v>
      </c>
    </row>
    <row r="96" spans="2:10">
      <c r="B96" s="4">
        <v>202</v>
      </c>
      <c r="C96" s="4">
        <v>12</v>
      </c>
      <c r="D96" s="24" t="s">
        <v>77</v>
      </c>
      <c r="E96" s="25" t="s">
        <v>11</v>
      </c>
      <c r="F96" s="4">
        <v>14</v>
      </c>
      <c r="G96" s="4">
        <v>225</v>
      </c>
      <c r="H96" s="4">
        <v>11</v>
      </c>
      <c r="I96" s="4">
        <v>7.4</v>
      </c>
      <c r="J96" s="4">
        <v>3.48</v>
      </c>
    </row>
    <row r="97" spans="2:10">
      <c r="B97" s="4">
        <v>202</v>
      </c>
      <c r="C97" s="4">
        <v>13</v>
      </c>
      <c r="D97" s="24" t="s">
        <v>78</v>
      </c>
      <c r="E97" s="25" t="s">
        <v>11</v>
      </c>
      <c r="F97" s="4">
        <v>16.5</v>
      </c>
      <c r="G97" s="4">
        <v>250</v>
      </c>
      <c r="H97" s="4">
        <v>11</v>
      </c>
      <c r="I97" s="4">
        <v>6.9</v>
      </c>
      <c r="J97" s="4">
        <v>3.35</v>
      </c>
    </row>
    <row r="98" spans="2:10">
      <c r="B98" s="4">
        <v>202</v>
      </c>
      <c r="C98" s="4">
        <v>14</v>
      </c>
      <c r="D98" s="24" t="s">
        <v>79</v>
      </c>
      <c r="E98" s="25" t="s">
        <v>11</v>
      </c>
      <c r="F98" s="4">
        <v>14</v>
      </c>
      <c r="G98" s="4">
        <v>245</v>
      </c>
      <c r="H98" s="4">
        <v>17</v>
      </c>
      <c r="I98" s="4">
        <v>7.3</v>
      </c>
      <c r="J98" s="4">
        <v>3.24</v>
      </c>
    </row>
    <row r="99" spans="2:10">
      <c r="B99" s="4">
        <v>202</v>
      </c>
      <c r="C99" s="4">
        <v>15</v>
      </c>
      <c r="D99" s="24" t="s">
        <v>80</v>
      </c>
      <c r="E99" s="25" t="s">
        <v>11</v>
      </c>
      <c r="F99" s="4">
        <v>20.5</v>
      </c>
      <c r="G99" s="4">
        <v>244</v>
      </c>
      <c r="H99" s="4">
        <v>12</v>
      </c>
      <c r="I99" s="4">
        <v>7.3</v>
      </c>
      <c r="J99" s="4">
        <v>3.26</v>
      </c>
    </row>
    <row r="100" spans="2:10">
      <c r="B100" s="4">
        <v>202</v>
      </c>
      <c r="C100" s="4">
        <v>16</v>
      </c>
      <c r="D100" s="24" t="s">
        <v>81</v>
      </c>
      <c r="E100" s="25" t="s">
        <v>11</v>
      </c>
      <c r="F100" s="4">
        <v>18.2</v>
      </c>
      <c r="G100" s="4">
        <v>250</v>
      </c>
      <c r="H100" s="4">
        <v>3</v>
      </c>
      <c r="I100" s="4">
        <v>7.1</v>
      </c>
      <c r="J100" s="4">
        <v>3.27</v>
      </c>
    </row>
    <row r="101" spans="2:10">
      <c r="B101" s="4">
        <v>202</v>
      </c>
      <c r="C101" s="4">
        <v>17</v>
      </c>
      <c r="D101" s="24" t="s">
        <v>82</v>
      </c>
      <c r="E101" s="25" t="s">
        <v>11</v>
      </c>
      <c r="F101" s="4">
        <v>20.9</v>
      </c>
      <c r="G101" s="4">
        <v>227</v>
      </c>
      <c r="H101" s="4">
        <v>27</v>
      </c>
      <c r="I101" s="4">
        <v>7.6</v>
      </c>
      <c r="J101" s="4">
        <v>3.43</v>
      </c>
    </row>
    <row r="102" spans="2:10">
      <c r="B102" s="4">
        <v>202</v>
      </c>
      <c r="C102" s="4">
        <v>18</v>
      </c>
      <c r="D102" s="24" t="s">
        <v>83</v>
      </c>
      <c r="E102" s="25" t="s">
        <v>11</v>
      </c>
      <c r="F102" s="4">
        <v>17</v>
      </c>
      <c r="G102" s="4">
        <v>260</v>
      </c>
      <c r="H102" s="4">
        <v>27</v>
      </c>
      <c r="I102" s="4">
        <v>7.2</v>
      </c>
      <c r="J102" s="4">
        <v>3.42</v>
      </c>
    </row>
    <row r="103" spans="2:10">
      <c r="B103" s="4">
        <v>202</v>
      </c>
      <c r="C103" s="4">
        <v>19</v>
      </c>
      <c r="D103" s="24" t="s">
        <v>84</v>
      </c>
      <c r="E103" s="25" t="s">
        <v>11</v>
      </c>
      <c r="F103" s="4">
        <v>23</v>
      </c>
      <c r="G103" s="4">
        <v>250</v>
      </c>
      <c r="H103" s="4">
        <v>18</v>
      </c>
      <c r="I103" s="4">
        <v>7.2</v>
      </c>
      <c r="J103" s="4">
        <v>3.31</v>
      </c>
    </row>
    <row r="104" spans="2:10">
      <c r="B104" s="4">
        <v>202</v>
      </c>
      <c r="C104" s="4">
        <v>20</v>
      </c>
      <c r="D104" s="24" t="s">
        <v>85</v>
      </c>
      <c r="E104" s="25" t="s">
        <v>11</v>
      </c>
      <c r="F104" s="4">
        <v>12</v>
      </c>
      <c r="G104" s="4">
        <v>265</v>
      </c>
      <c r="H104" s="4">
        <v>8</v>
      </c>
      <c r="I104" s="4">
        <v>6.8</v>
      </c>
      <c r="J104" s="4">
        <v>3.46</v>
      </c>
    </row>
    <row r="105" spans="2:10">
      <c r="B105" s="4">
        <v>202</v>
      </c>
      <c r="C105" s="4">
        <v>21</v>
      </c>
      <c r="D105" s="24" t="s">
        <v>86</v>
      </c>
      <c r="E105" s="25" t="s">
        <v>11</v>
      </c>
      <c r="F105" s="4">
        <v>13</v>
      </c>
      <c r="G105" s="4">
        <v>225</v>
      </c>
      <c r="H105" s="4">
        <v>7</v>
      </c>
      <c r="I105" s="4">
        <v>7.4</v>
      </c>
      <c r="J105" s="4">
        <v>4.05</v>
      </c>
    </row>
    <row r="106" spans="4:5">
      <c r="D106" s="24"/>
      <c r="E106" s="25"/>
    </row>
    <row r="107" s="1" customFormat="1" spans="1:11">
      <c r="A107" s="33" t="s">
        <v>87</v>
      </c>
      <c r="B107" s="24" t="s">
        <v>1</v>
      </c>
      <c r="C107" s="26" t="s">
        <v>2</v>
      </c>
      <c r="D107" s="27" t="s">
        <v>3</v>
      </c>
      <c r="E107" s="27" t="s">
        <v>4</v>
      </c>
      <c r="F107" s="28" t="s">
        <v>5</v>
      </c>
      <c r="G107" s="28" t="s">
        <v>6</v>
      </c>
      <c r="H107" s="28" t="s">
        <v>7</v>
      </c>
      <c r="I107" s="28">
        <v>50</v>
      </c>
      <c r="J107" s="28" t="s">
        <v>8</v>
      </c>
      <c r="K107" s="26" t="s">
        <v>9</v>
      </c>
    </row>
    <row r="108" spans="2:11">
      <c r="B108" s="4">
        <v>202</v>
      </c>
      <c r="C108" s="4">
        <v>22</v>
      </c>
      <c r="D108" s="33" t="s">
        <v>88</v>
      </c>
      <c r="E108" s="25" t="s">
        <v>11</v>
      </c>
      <c r="K108" s="4" t="s">
        <v>89</v>
      </c>
    </row>
    <row r="109" spans="2:10">
      <c r="B109" s="4">
        <v>202</v>
      </c>
      <c r="C109" s="4">
        <v>23</v>
      </c>
      <c r="D109" s="24" t="s">
        <v>90</v>
      </c>
      <c r="E109" s="25" t="s">
        <v>11</v>
      </c>
      <c r="F109" s="4">
        <v>11</v>
      </c>
      <c r="G109" s="4">
        <v>228</v>
      </c>
      <c r="H109" s="4">
        <v>0</v>
      </c>
      <c r="I109" s="4">
        <v>7</v>
      </c>
      <c r="J109" s="4">
        <v>3.28</v>
      </c>
    </row>
    <row r="110" spans="2:10">
      <c r="B110" s="4">
        <v>202</v>
      </c>
      <c r="C110" s="4">
        <v>24</v>
      </c>
      <c r="D110" s="24" t="s">
        <v>91</v>
      </c>
      <c r="E110" s="25" t="s">
        <v>11</v>
      </c>
      <c r="F110" s="4">
        <v>17</v>
      </c>
      <c r="G110" s="4">
        <v>278</v>
      </c>
      <c r="H110" s="4">
        <v>7</v>
      </c>
      <c r="I110" s="4">
        <v>6.5</v>
      </c>
      <c r="J110" s="4">
        <v>2.55</v>
      </c>
    </row>
    <row r="111" spans="2:10">
      <c r="B111" s="4">
        <v>202</v>
      </c>
      <c r="C111" s="4">
        <v>25</v>
      </c>
      <c r="D111" s="24" t="s">
        <v>92</v>
      </c>
      <c r="E111" s="25" t="s">
        <v>11</v>
      </c>
      <c r="F111" s="4">
        <v>17</v>
      </c>
      <c r="G111" s="4">
        <v>227</v>
      </c>
      <c r="H111" s="4">
        <v>9</v>
      </c>
      <c r="I111" s="4">
        <v>7.5</v>
      </c>
      <c r="J111" s="4">
        <v>3.49</v>
      </c>
    </row>
    <row r="112" spans="2:10">
      <c r="B112" s="4">
        <v>202</v>
      </c>
      <c r="C112" s="4">
        <v>26</v>
      </c>
      <c r="D112" s="24" t="s">
        <v>93</v>
      </c>
      <c r="E112" s="25" t="s">
        <v>11</v>
      </c>
      <c r="F112" s="4">
        <v>13</v>
      </c>
      <c r="G112" s="4">
        <v>221</v>
      </c>
      <c r="H112" s="4">
        <v>20</v>
      </c>
      <c r="I112" s="4">
        <v>7.4</v>
      </c>
      <c r="J112" s="4">
        <v>3.48</v>
      </c>
    </row>
    <row r="113" spans="2:10">
      <c r="B113" s="4">
        <v>202</v>
      </c>
      <c r="C113" s="4">
        <v>27</v>
      </c>
      <c r="D113" s="24" t="s">
        <v>94</v>
      </c>
      <c r="E113" s="25" t="s">
        <v>11</v>
      </c>
      <c r="F113" s="4">
        <v>19</v>
      </c>
      <c r="G113" s="4">
        <v>264</v>
      </c>
      <c r="H113" s="4">
        <v>17</v>
      </c>
      <c r="J113" s="4">
        <v>3.33</v>
      </c>
    </row>
    <row r="114" spans="2:10">
      <c r="B114" s="4">
        <v>202</v>
      </c>
      <c r="C114" s="4">
        <v>28</v>
      </c>
      <c r="D114" s="24" t="s">
        <v>95</v>
      </c>
      <c r="E114" s="25" t="s">
        <v>11</v>
      </c>
      <c r="F114" s="4">
        <v>12</v>
      </c>
      <c r="G114" s="4">
        <v>251</v>
      </c>
      <c r="H114" s="4">
        <v>14</v>
      </c>
      <c r="I114" s="4">
        <v>6.9</v>
      </c>
      <c r="J114" s="4">
        <v>3.41</v>
      </c>
    </row>
    <row r="115" spans="2:10">
      <c r="B115" s="4">
        <v>202</v>
      </c>
      <c r="C115" s="4">
        <v>29</v>
      </c>
      <c r="D115" s="24" t="s">
        <v>96</v>
      </c>
      <c r="E115" s="25" t="s">
        <v>11</v>
      </c>
      <c r="F115" s="4">
        <v>18</v>
      </c>
      <c r="G115" s="4">
        <v>239</v>
      </c>
      <c r="H115" s="4">
        <v>4</v>
      </c>
      <c r="I115" s="4">
        <v>7.3</v>
      </c>
      <c r="J115" s="4">
        <v>3.52</v>
      </c>
    </row>
    <row r="116" spans="2:10">
      <c r="B116" s="4">
        <v>202</v>
      </c>
      <c r="C116" s="4">
        <v>30</v>
      </c>
      <c r="D116" s="24" t="s">
        <v>97</v>
      </c>
      <c r="E116" s="25" t="s">
        <v>11</v>
      </c>
      <c r="F116" s="4">
        <v>16.5</v>
      </c>
      <c r="G116" s="4">
        <v>254</v>
      </c>
      <c r="H116" s="4">
        <v>27</v>
      </c>
      <c r="I116" s="4">
        <v>7</v>
      </c>
      <c r="J116" s="4">
        <v>3.32</v>
      </c>
    </row>
    <row r="117" spans="2:10">
      <c r="B117" s="4">
        <v>202</v>
      </c>
      <c r="C117" s="4">
        <v>31</v>
      </c>
      <c r="D117" s="24" t="s">
        <v>98</v>
      </c>
      <c r="E117" s="25" t="s">
        <v>11</v>
      </c>
      <c r="F117" s="4">
        <v>4.5</v>
      </c>
      <c r="G117" s="4">
        <v>268</v>
      </c>
      <c r="H117" s="4">
        <v>5</v>
      </c>
      <c r="J117" s="4">
        <v>3.3</v>
      </c>
    </row>
    <row r="118" spans="2:10">
      <c r="B118" s="4">
        <v>202</v>
      </c>
      <c r="C118" s="4">
        <v>32</v>
      </c>
      <c r="D118" s="24" t="s">
        <v>99</v>
      </c>
      <c r="E118" s="25" t="s">
        <v>11</v>
      </c>
      <c r="F118" s="4">
        <v>21</v>
      </c>
      <c r="G118" s="4">
        <v>232</v>
      </c>
      <c r="H118" s="4">
        <v>5</v>
      </c>
      <c r="I118" s="4">
        <v>7.1</v>
      </c>
      <c r="J118" s="4">
        <v>3.12</v>
      </c>
    </row>
    <row r="119" customFormat="1" spans="1:11">
      <c r="A119" s="4"/>
      <c r="B119" s="4"/>
      <c r="C119" s="4"/>
      <c r="D119" s="24"/>
      <c r="E119" s="25"/>
      <c r="F119" s="4"/>
      <c r="G119" s="4"/>
      <c r="H119" s="4"/>
      <c r="I119" s="4"/>
      <c r="J119" s="4"/>
      <c r="K119" s="4"/>
    </row>
    <row r="120" customFormat="1" spans="1:11">
      <c r="A120" s="4"/>
      <c r="B120" s="4"/>
      <c r="C120" s="4"/>
      <c r="D120" s="24"/>
      <c r="E120" s="25"/>
      <c r="F120" s="4"/>
      <c r="G120" s="4"/>
      <c r="H120" s="4"/>
      <c r="I120" s="4"/>
      <c r="J120" s="4"/>
      <c r="K120" s="4"/>
    </row>
    <row r="121" customFormat="1" spans="1:11">
      <c r="A121" s="4"/>
      <c r="B121" s="4"/>
      <c r="C121" s="4"/>
      <c r="D121" s="24"/>
      <c r="E121" s="25"/>
      <c r="F121" s="4"/>
      <c r="G121" s="4"/>
      <c r="H121" s="4"/>
      <c r="I121" s="4"/>
      <c r="J121" s="4"/>
      <c r="K121" s="4"/>
    </row>
    <row r="122" customFormat="1" spans="1:11">
      <c r="A122" s="4"/>
      <c r="B122" s="4"/>
      <c r="C122" s="4"/>
      <c r="D122" s="24"/>
      <c r="E122" s="25"/>
      <c r="F122" s="4"/>
      <c r="G122" s="4"/>
      <c r="H122" s="4"/>
      <c r="I122" s="4"/>
      <c r="J122" s="4"/>
      <c r="K122" s="4"/>
    </row>
    <row r="123" customFormat="1" spans="1:11">
      <c r="A123" s="4"/>
      <c r="B123" s="4"/>
      <c r="C123" s="4"/>
      <c r="D123" s="24"/>
      <c r="E123" s="25"/>
      <c r="F123" s="4"/>
      <c r="G123" s="4"/>
      <c r="H123" s="4"/>
      <c r="I123" s="4"/>
      <c r="J123" s="4"/>
      <c r="K123" s="4"/>
    </row>
    <row r="124" customFormat="1" spans="1:11">
      <c r="A124" s="4"/>
      <c r="B124" s="4"/>
      <c r="C124" s="4"/>
      <c r="D124" s="24"/>
      <c r="E124" s="25"/>
      <c r="F124" s="4"/>
      <c r="G124" s="4"/>
      <c r="H124" s="4"/>
      <c r="I124" s="4"/>
      <c r="J124" s="4"/>
      <c r="K124" s="4"/>
    </row>
    <row r="125" customFormat="1" spans="1:11">
      <c r="A125" s="4"/>
      <c r="B125" s="4"/>
      <c r="C125" s="4"/>
      <c r="D125" s="24"/>
      <c r="E125" s="25"/>
      <c r="F125" s="4"/>
      <c r="G125" s="4"/>
      <c r="H125" s="4"/>
      <c r="I125" s="4"/>
      <c r="J125" s="4"/>
      <c r="K125" s="4"/>
    </row>
    <row r="126" customFormat="1" spans="1:11">
      <c r="A126" s="4"/>
      <c r="B126" s="4"/>
      <c r="C126" s="4"/>
      <c r="D126" s="24"/>
      <c r="E126" s="25"/>
      <c r="F126" s="4"/>
      <c r="G126" s="4"/>
      <c r="H126" s="4"/>
      <c r="I126" s="4"/>
      <c r="J126" s="4"/>
      <c r="K126" s="4"/>
    </row>
    <row r="127" customFormat="1" spans="1:11">
      <c r="A127" s="4"/>
      <c r="B127" s="4"/>
      <c r="C127" s="4"/>
      <c r="D127" s="24"/>
      <c r="E127" s="25"/>
      <c r="F127" s="4"/>
      <c r="G127" s="4"/>
      <c r="H127" s="4"/>
      <c r="I127" s="4"/>
      <c r="J127" s="4"/>
      <c r="K127" s="4"/>
    </row>
    <row r="128" s="1" customFormat="1" spans="1:11">
      <c r="A128" s="33" t="s">
        <v>100</v>
      </c>
      <c r="B128" s="24" t="s">
        <v>1</v>
      </c>
      <c r="C128" s="26" t="s">
        <v>2</v>
      </c>
      <c r="D128" s="27" t="s">
        <v>3</v>
      </c>
      <c r="E128" s="27" t="s">
        <v>4</v>
      </c>
      <c r="F128" s="28" t="s">
        <v>5</v>
      </c>
      <c r="G128" s="28" t="s">
        <v>6</v>
      </c>
      <c r="H128" s="28" t="s">
        <v>7</v>
      </c>
      <c r="I128" s="28">
        <v>50</v>
      </c>
      <c r="J128" s="28" t="s">
        <v>8</v>
      </c>
      <c r="K128" s="26" t="s">
        <v>9</v>
      </c>
    </row>
    <row r="129" spans="2:10">
      <c r="B129" s="4">
        <v>202</v>
      </c>
      <c r="C129" s="4">
        <v>33</v>
      </c>
      <c r="D129" s="33" t="s">
        <v>101</v>
      </c>
      <c r="E129" s="25" t="s">
        <v>53</v>
      </c>
      <c r="F129" s="4">
        <v>26</v>
      </c>
      <c r="G129" s="4">
        <v>191</v>
      </c>
      <c r="H129" s="4">
        <v>45</v>
      </c>
      <c r="I129" s="4">
        <v>8.4</v>
      </c>
      <c r="J129" s="4">
        <v>3.24</v>
      </c>
    </row>
    <row r="130" spans="2:10">
      <c r="B130" s="4">
        <v>202</v>
      </c>
      <c r="C130" s="4">
        <v>34</v>
      </c>
      <c r="D130" s="24" t="s">
        <v>102</v>
      </c>
      <c r="E130" s="25" t="s">
        <v>53</v>
      </c>
      <c r="F130" s="4">
        <v>27</v>
      </c>
      <c r="G130" s="4">
        <v>181</v>
      </c>
      <c r="H130" s="4">
        <v>46</v>
      </c>
      <c r="I130" s="4">
        <v>8.7</v>
      </c>
      <c r="J130" s="4">
        <v>3.34</v>
      </c>
    </row>
    <row r="131" spans="2:10">
      <c r="B131" s="4">
        <v>202</v>
      </c>
      <c r="C131" s="4">
        <v>35</v>
      </c>
      <c r="D131" s="24" t="s">
        <v>103</v>
      </c>
      <c r="E131" s="25" t="s">
        <v>53</v>
      </c>
      <c r="F131" s="4">
        <v>26</v>
      </c>
      <c r="G131" s="4">
        <v>172</v>
      </c>
      <c r="H131" s="4">
        <v>51</v>
      </c>
      <c r="I131" s="4">
        <v>8.7</v>
      </c>
      <c r="J131" s="4">
        <v>3.42</v>
      </c>
    </row>
    <row r="132" spans="2:10">
      <c r="B132" s="4">
        <v>202</v>
      </c>
      <c r="C132" s="4">
        <v>36</v>
      </c>
      <c r="D132" s="24" t="s">
        <v>104</v>
      </c>
      <c r="E132" s="25" t="s">
        <v>53</v>
      </c>
      <c r="F132" s="4">
        <v>25</v>
      </c>
      <c r="G132" s="4">
        <v>212</v>
      </c>
      <c r="H132" s="4">
        <v>55</v>
      </c>
      <c r="I132" s="4">
        <v>7.9</v>
      </c>
      <c r="J132" s="4">
        <v>3.16</v>
      </c>
    </row>
    <row r="133" spans="2:10">
      <c r="B133" s="4">
        <v>202</v>
      </c>
      <c r="C133" s="4">
        <v>37</v>
      </c>
      <c r="D133" s="24" t="s">
        <v>105</v>
      </c>
      <c r="E133" s="25" t="s">
        <v>53</v>
      </c>
      <c r="F133" s="4">
        <v>25</v>
      </c>
      <c r="G133" s="4">
        <v>223</v>
      </c>
      <c r="H133" s="4">
        <v>50</v>
      </c>
      <c r="I133" s="4">
        <v>7.4</v>
      </c>
      <c r="J133" s="4">
        <v>3.11</v>
      </c>
    </row>
    <row r="134" spans="2:10">
      <c r="B134" s="4">
        <v>202</v>
      </c>
      <c r="C134" s="4">
        <v>38</v>
      </c>
      <c r="D134" s="24" t="s">
        <v>106</v>
      </c>
      <c r="E134" s="25" t="s">
        <v>53</v>
      </c>
      <c r="F134" s="4">
        <v>12</v>
      </c>
      <c r="G134" s="4">
        <v>169</v>
      </c>
      <c r="H134" s="4">
        <v>45</v>
      </c>
      <c r="I134" s="4">
        <v>8.3</v>
      </c>
      <c r="J134" s="4">
        <v>3.27</v>
      </c>
    </row>
    <row r="135" spans="2:10">
      <c r="B135" s="4">
        <v>202</v>
      </c>
      <c r="C135" s="4">
        <v>39</v>
      </c>
      <c r="D135" s="24" t="s">
        <v>107</v>
      </c>
      <c r="E135" s="25" t="s">
        <v>53</v>
      </c>
      <c r="F135" s="4">
        <v>9.5</v>
      </c>
      <c r="G135" s="4">
        <v>180</v>
      </c>
      <c r="H135" s="4">
        <v>46</v>
      </c>
      <c r="I135" s="4">
        <v>8.7</v>
      </c>
      <c r="J135" s="4">
        <v>3.41</v>
      </c>
    </row>
    <row r="136" spans="2:10">
      <c r="B136" s="4">
        <v>202</v>
      </c>
      <c r="C136" s="4">
        <v>40</v>
      </c>
      <c r="D136" s="24" t="s">
        <v>108</v>
      </c>
      <c r="E136" s="25" t="s">
        <v>53</v>
      </c>
      <c r="F136" s="4">
        <v>25</v>
      </c>
      <c r="G136" s="4">
        <v>180</v>
      </c>
      <c r="H136" s="4">
        <v>40</v>
      </c>
      <c r="I136" s="4">
        <v>8.4</v>
      </c>
      <c r="J136" s="4">
        <v>3.4</v>
      </c>
    </row>
    <row r="137" spans="2:10">
      <c r="B137" s="4">
        <v>202</v>
      </c>
      <c r="C137" s="4">
        <v>41</v>
      </c>
      <c r="D137" s="24" t="s">
        <v>109</v>
      </c>
      <c r="E137" s="25" t="s">
        <v>53</v>
      </c>
      <c r="F137" s="4">
        <v>25</v>
      </c>
      <c r="G137" s="4">
        <v>195</v>
      </c>
      <c r="H137" s="4">
        <v>45</v>
      </c>
      <c r="I137" s="4">
        <v>8.2</v>
      </c>
      <c r="J137" s="4">
        <v>3.49</v>
      </c>
    </row>
    <row r="138" spans="2:10">
      <c r="B138" s="4">
        <v>202</v>
      </c>
      <c r="C138" s="4">
        <v>42</v>
      </c>
      <c r="D138" s="24" t="s">
        <v>110</v>
      </c>
      <c r="E138" s="25" t="s">
        <v>53</v>
      </c>
      <c r="F138" s="4">
        <v>10</v>
      </c>
      <c r="G138" s="4">
        <v>161</v>
      </c>
      <c r="H138" s="4">
        <v>40</v>
      </c>
      <c r="I138" s="4">
        <v>9.2</v>
      </c>
      <c r="J138" s="4">
        <v>4.08</v>
      </c>
    </row>
    <row r="139" spans="2:10">
      <c r="B139" s="4">
        <v>202</v>
      </c>
      <c r="C139" s="4">
        <v>43</v>
      </c>
      <c r="D139" s="24" t="s">
        <v>111</v>
      </c>
      <c r="E139" s="25" t="s">
        <v>53</v>
      </c>
      <c r="F139" s="4">
        <v>25.5</v>
      </c>
      <c r="G139" s="4">
        <v>180</v>
      </c>
      <c r="H139" s="4">
        <v>50</v>
      </c>
      <c r="I139" s="4">
        <v>8.4</v>
      </c>
      <c r="J139" s="4">
        <v>4.19</v>
      </c>
    </row>
    <row r="141" s="1" customFormat="1" spans="1:11">
      <c r="A141" s="33" t="s">
        <v>112</v>
      </c>
      <c r="B141" s="24" t="s">
        <v>1</v>
      </c>
      <c r="C141" s="26" t="s">
        <v>2</v>
      </c>
      <c r="D141" s="27" t="s">
        <v>3</v>
      </c>
      <c r="E141" s="27" t="s">
        <v>4</v>
      </c>
      <c r="F141" s="28" t="s">
        <v>5</v>
      </c>
      <c r="G141" s="28" t="s">
        <v>6</v>
      </c>
      <c r="H141" s="28" t="s">
        <v>7</v>
      </c>
      <c r="I141" s="28">
        <v>50</v>
      </c>
      <c r="J141" s="28" t="s">
        <v>8</v>
      </c>
      <c r="K141" s="26" t="s">
        <v>9</v>
      </c>
    </row>
    <row r="142" spans="2:10">
      <c r="B142" s="4">
        <v>203</v>
      </c>
      <c r="C142" s="4">
        <v>1</v>
      </c>
      <c r="D142" s="33" t="s">
        <v>113</v>
      </c>
      <c r="E142" s="25" t="s">
        <v>11</v>
      </c>
      <c r="F142" s="4">
        <v>15</v>
      </c>
      <c r="G142" s="4">
        <v>209</v>
      </c>
      <c r="H142" s="4">
        <v>10</v>
      </c>
      <c r="I142" s="4">
        <v>7.8</v>
      </c>
      <c r="J142" s="4">
        <v>3.57</v>
      </c>
    </row>
    <row r="143" spans="2:10">
      <c r="B143" s="4">
        <v>203</v>
      </c>
      <c r="C143" s="4">
        <v>2</v>
      </c>
      <c r="D143" s="24" t="s">
        <v>114</v>
      </c>
      <c r="E143" s="25" t="s">
        <v>11</v>
      </c>
      <c r="F143" s="4">
        <v>12</v>
      </c>
      <c r="G143" s="4">
        <v>275</v>
      </c>
      <c r="H143" s="4">
        <v>21</v>
      </c>
      <c r="I143" s="4">
        <v>6.6</v>
      </c>
      <c r="J143" s="4">
        <v>3.27</v>
      </c>
    </row>
    <row r="144" spans="2:10">
      <c r="B144" s="4">
        <v>203</v>
      </c>
      <c r="C144" s="4">
        <v>3</v>
      </c>
      <c r="D144" s="24" t="s">
        <v>115</v>
      </c>
      <c r="E144" s="25" t="s">
        <v>11</v>
      </c>
      <c r="F144" s="4">
        <v>20</v>
      </c>
      <c r="G144" s="4">
        <v>251</v>
      </c>
      <c r="H144" s="4">
        <v>30</v>
      </c>
      <c r="I144" s="4">
        <v>7.6</v>
      </c>
      <c r="J144" s="4">
        <v>3.17</v>
      </c>
    </row>
    <row r="145" spans="2:10">
      <c r="B145" s="4">
        <v>203</v>
      </c>
      <c r="C145" s="4">
        <v>4</v>
      </c>
      <c r="D145" s="24" t="s">
        <v>116</v>
      </c>
      <c r="E145" s="25" t="s">
        <v>11</v>
      </c>
      <c r="F145" s="4">
        <v>19</v>
      </c>
      <c r="G145" s="4">
        <v>260</v>
      </c>
      <c r="H145" s="4">
        <v>17</v>
      </c>
      <c r="I145" s="4">
        <v>7</v>
      </c>
      <c r="J145" s="4">
        <v>3.26</v>
      </c>
    </row>
    <row r="146" spans="2:10">
      <c r="B146" s="4">
        <v>203</v>
      </c>
      <c r="C146" s="4">
        <v>5</v>
      </c>
      <c r="D146" s="24" t="s">
        <v>117</v>
      </c>
      <c r="E146" s="25" t="s">
        <v>11</v>
      </c>
      <c r="F146" s="4">
        <v>19.5</v>
      </c>
      <c r="G146" s="4">
        <v>230</v>
      </c>
      <c r="H146" s="4">
        <v>6</v>
      </c>
      <c r="I146" s="4">
        <v>7.6</v>
      </c>
      <c r="J146" s="4">
        <v>3.28</v>
      </c>
    </row>
    <row r="147" spans="2:10">
      <c r="B147" s="4">
        <v>203</v>
      </c>
      <c r="C147" s="4">
        <v>6</v>
      </c>
      <c r="D147" s="24" t="s">
        <v>118</v>
      </c>
      <c r="E147" s="25" t="s">
        <v>11</v>
      </c>
      <c r="F147" s="4">
        <v>17</v>
      </c>
      <c r="G147" s="4">
        <v>275</v>
      </c>
      <c r="H147" s="4">
        <v>12</v>
      </c>
      <c r="I147" s="4">
        <v>7.5</v>
      </c>
      <c r="J147" s="4">
        <v>3.55</v>
      </c>
    </row>
    <row r="148" spans="2:10">
      <c r="B148" s="4">
        <v>203</v>
      </c>
      <c r="C148" s="4">
        <v>7</v>
      </c>
      <c r="D148" s="24" t="s">
        <v>119</v>
      </c>
      <c r="E148" s="25" t="s">
        <v>11</v>
      </c>
      <c r="F148" s="4">
        <v>18.5</v>
      </c>
      <c r="G148" s="4">
        <v>275</v>
      </c>
      <c r="H148" s="4">
        <v>4</v>
      </c>
      <c r="I148" s="4">
        <v>6.5</v>
      </c>
      <c r="J148" s="4">
        <v>3.19</v>
      </c>
    </row>
    <row r="149" spans="2:10">
      <c r="B149" s="4">
        <v>203</v>
      </c>
      <c r="C149" s="4">
        <v>8</v>
      </c>
      <c r="D149" s="24" t="s">
        <v>120</v>
      </c>
      <c r="E149" s="25" t="s">
        <v>11</v>
      </c>
      <c r="F149" s="4">
        <v>18</v>
      </c>
      <c r="G149" s="4">
        <v>252</v>
      </c>
      <c r="H149" s="4">
        <v>1</v>
      </c>
      <c r="I149" s="4">
        <v>7.5</v>
      </c>
      <c r="J149" s="4">
        <v>3.32</v>
      </c>
    </row>
    <row r="150" spans="2:10">
      <c r="B150" s="4">
        <v>203</v>
      </c>
      <c r="C150" s="4">
        <v>9</v>
      </c>
      <c r="D150" s="24" t="s">
        <v>121</v>
      </c>
      <c r="E150" s="25" t="s">
        <v>11</v>
      </c>
      <c r="F150" s="4">
        <v>10.5</v>
      </c>
      <c r="G150" s="4">
        <v>233</v>
      </c>
      <c r="H150" s="4">
        <v>16</v>
      </c>
      <c r="I150" s="4">
        <v>7</v>
      </c>
      <c r="J150" s="4">
        <v>3.38</v>
      </c>
    </row>
    <row r="151" spans="2:10">
      <c r="B151" s="4">
        <v>203</v>
      </c>
      <c r="C151" s="4">
        <v>10</v>
      </c>
      <c r="D151" s="24" t="s">
        <v>122</v>
      </c>
      <c r="E151" s="25" t="s">
        <v>11</v>
      </c>
      <c r="F151" s="4">
        <v>17</v>
      </c>
      <c r="G151" s="4">
        <v>262</v>
      </c>
      <c r="H151" s="4">
        <v>25</v>
      </c>
      <c r="J151" s="4">
        <v>3.39</v>
      </c>
    </row>
    <row r="152" spans="2:9">
      <c r="B152" s="4">
        <v>203</v>
      </c>
      <c r="C152" s="4">
        <v>11</v>
      </c>
      <c r="D152" s="24" t="s">
        <v>123</v>
      </c>
      <c r="E152" s="25" t="s">
        <v>11</v>
      </c>
      <c r="F152" s="4">
        <v>26</v>
      </c>
      <c r="G152" s="4">
        <v>273</v>
      </c>
      <c r="H152" s="4">
        <v>27</v>
      </c>
      <c r="I152" s="4">
        <v>6.7</v>
      </c>
    </row>
    <row r="153" spans="4:5">
      <c r="D153" s="24"/>
      <c r="E153" s="25"/>
    </row>
    <row r="154" spans="4:5">
      <c r="D154" s="24"/>
      <c r="E154" s="25"/>
    </row>
    <row r="155" spans="4:5">
      <c r="D155" s="24"/>
      <c r="E155" s="25"/>
    </row>
    <row r="156" spans="4:5">
      <c r="D156" s="24"/>
      <c r="E156" s="25"/>
    </row>
    <row r="157" spans="4:5">
      <c r="D157" s="24"/>
      <c r="E157" s="25"/>
    </row>
    <row r="158" spans="4:5">
      <c r="D158" s="24"/>
      <c r="E158" s="25"/>
    </row>
    <row r="159" spans="4:5">
      <c r="D159" s="24"/>
      <c r="E159" s="25"/>
    </row>
    <row r="160" spans="4:5">
      <c r="D160" s="24"/>
      <c r="E160" s="25"/>
    </row>
    <row r="161" spans="4:5">
      <c r="D161" s="24"/>
      <c r="E161" s="25"/>
    </row>
    <row r="163" s="1" customFormat="1" spans="1:11">
      <c r="A163" s="33" t="s">
        <v>124</v>
      </c>
      <c r="B163" s="24" t="s">
        <v>1</v>
      </c>
      <c r="C163" s="26" t="s">
        <v>2</v>
      </c>
      <c r="D163" s="27" t="s">
        <v>3</v>
      </c>
      <c r="E163" s="27" t="s">
        <v>4</v>
      </c>
      <c r="F163" s="28" t="s">
        <v>5</v>
      </c>
      <c r="G163" s="28" t="s">
        <v>6</v>
      </c>
      <c r="H163" s="28" t="s">
        <v>7</v>
      </c>
      <c r="I163" s="28">
        <v>50</v>
      </c>
      <c r="J163" s="28" t="s">
        <v>8</v>
      </c>
      <c r="K163" s="26" t="s">
        <v>9</v>
      </c>
    </row>
    <row r="164" spans="2:10">
      <c r="B164" s="4">
        <v>203</v>
      </c>
      <c r="C164" s="4">
        <v>12</v>
      </c>
      <c r="D164" s="33" t="s">
        <v>125</v>
      </c>
      <c r="E164" s="25" t="s">
        <v>11</v>
      </c>
      <c r="F164" s="4">
        <v>15.4</v>
      </c>
      <c r="G164" s="4">
        <v>253</v>
      </c>
      <c r="H164" s="4">
        <v>5</v>
      </c>
      <c r="I164" s="4">
        <v>6.6</v>
      </c>
      <c r="J164" s="4">
        <v>3.11</v>
      </c>
    </row>
    <row r="165" spans="2:10">
      <c r="B165" s="4">
        <v>203</v>
      </c>
      <c r="C165" s="4">
        <v>13</v>
      </c>
      <c r="D165" s="24" t="s">
        <v>126</v>
      </c>
      <c r="E165" s="25" t="s">
        <v>11</v>
      </c>
      <c r="F165" s="4">
        <v>10.5</v>
      </c>
      <c r="G165" s="4">
        <v>270</v>
      </c>
      <c r="H165" s="4">
        <v>11</v>
      </c>
      <c r="I165" s="4">
        <v>6.6</v>
      </c>
      <c r="J165" s="4">
        <v>3.39</v>
      </c>
    </row>
    <row r="166" spans="2:10">
      <c r="B166" s="4">
        <v>203</v>
      </c>
      <c r="C166" s="4">
        <v>14</v>
      </c>
      <c r="D166" s="24" t="s">
        <v>127</v>
      </c>
      <c r="E166" s="25" t="s">
        <v>11</v>
      </c>
      <c r="F166" s="4">
        <v>17</v>
      </c>
      <c r="G166" s="4">
        <v>236</v>
      </c>
      <c r="H166" s="4">
        <v>12</v>
      </c>
      <c r="I166" s="4">
        <v>7.2</v>
      </c>
      <c r="J166" s="4">
        <v>3.4</v>
      </c>
    </row>
    <row r="167" spans="2:11">
      <c r="B167" s="4">
        <v>203</v>
      </c>
      <c r="C167" s="4">
        <v>15</v>
      </c>
      <c r="D167" s="24" t="s">
        <v>128</v>
      </c>
      <c r="E167" s="25" t="s">
        <v>11</v>
      </c>
      <c r="F167" s="4">
        <v>12.6</v>
      </c>
      <c r="G167" s="4">
        <v>206</v>
      </c>
      <c r="H167" s="4">
        <v>7</v>
      </c>
      <c r="I167" s="4">
        <v>8.9</v>
      </c>
      <c r="K167" s="4" t="s">
        <v>14</v>
      </c>
    </row>
    <row r="168" spans="2:10">
      <c r="B168" s="4">
        <v>203</v>
      </c>
      <c r="C168" s="4">
        <v>16</v>
      </c>
      <c r="D168" s="24" t="s">
        <v>129</v>
      </c>
      <c r="E168" s="25" t="s">
        <v>11</v>
      </c>
      <c r="F168" s="4">
        <v>11.5</v>
      </c>
      <c r="G168" s="4">
        <v>275</v>
      </c>
      <c r="H168" s="4">
        <v>2</v>
      </c>
      <c r="I168" s="4">
        <v>6.3</v>
      </c>
      <c r="J168" s="4">
        <v>3.3</v>
      </c>
    </row>
    <row r="169" spans="2:10">
      <c r="B169" s="4">
        <v>203</v>
      </c>
      <c r="C169" s="4">
        <v>17</v>
      </c>
      <c r="D169" s="24" t="s">
        <v>130</v>
      </c>
      <c r="E169" s="25" t="s">
        <v>11</v>
      </c>
      <c r="F169" s="4">
        <v>7.5</v>
      </c>
      <c r="G169" s="4">
        <v>251</v>
      </c>
      <c r="H169" s="4">
        <v>8</v>
      </c>
      <c r="I169" s="4">
        <v>7.4</v>
      </c>
      <c r="J169" s="4">
        <v>3.43</v>
      </c>
    </row>
    <row r="170" spans="2:5">
      <c r="B170" s="4">
        <v>203</v>
      </c>
      <c r="C170" s="4">
        <v>18</v>
      </c>
      <c r="D170" s="24" t="s">
        <v>131</v>
      </c>
      <c r="E170" s="25" t="s">
        <v>11</v>
      </c>
    </row>
    <row r="171" spans="2:10">
      <c r="B171" s="4">
        <v>203</v>
      </c>
      <c r="C171" s="4">
        <v>19</v>
      </c>
      <c r="D171" s="24" t="s">
        <v>132</v>
      </c>
      <c r="E171" s="25" t="s">
        <v>11</v>
      </c>
      <c r="F171" s="4">
        <v>5.4</v>
      </c>
      <c r="G171" s="4">
        <v>246</v>
      </c>
      <c r="H171" s="4">
        <v>16</v>
      </c>
      <c r="I171" s="4">
        <v>7.3</v>
      </c>
      <c r="J171" s="4">
        <v>3.46</v>
      </c>
    </row>
    <row r="172" spans="2:11">
      <c r="B172" s="4">
        <v>203</v>
      </c>
      <c r="C172" s="4">
        <v>20</v>
      </c>
      <c r="D172" s="24" t="s">
        <v>133</v>
      </c>
      <c r="E172" s="25" t="s">
        <v>11</v>
      </c>
      <c r="K172" s="4" t="s">
        <v>89</v>
      </c>
    </row>
    <row r="173" spans="2:10">
      <c r="B173" s="4">
        <v>203</v>
      </c>
      <c r="C173" s="4">
        <v>21</v>
      </c>
      <c r="D173" s="24" t="s">
        <v>134</v>
      </c>
      <c r="E173" s="25" t="s">
        <v>11</v>
      </c>
      <c r="F173" s="4">
        <v>9.1</v>
      </c>
      <c r="G173" s="4">
        <v>208</v>
      </c>
      <c r="H173" s="4">
        <v>7</v>
      </c>
      <c r="I173" s="4">
        <v>7.4</v>
      </c>
      <c r="J173" s="4">
        <v>3.25</v>
      </c>
    </row>
    <row r="174" spans="2:10">
      <c r="B174" s="4">
        <v>203</v>
      </c>
      <c r="C174" s="4">
        <v>22</v>
      </c>
      <c r="D174" s="24" t="s">
        <v>135</v>
      </c>
      <c r="E174" s="25" t="s">
        <v>11</v>
      </c>
      <c r="F174" s="4">
        <v>4</v>
      </c>
      <c r="G174" s="4">
        <v>201</v>
      </c>
      <c r="H174" s="4">
        <v>6</v>
      </c>
      <c r="I174" s="4">
        <v>7.9</v>
      </c>
      <c r="J174" s="4">
        <v>4.09</v>
      </c>
    </row>
    <row r="175" customFormat="1" spans="1:11">
      <c r="A175" s="4"/>
      <c r="B175" s="4"/>
      <c r="C175" s="4"/>
      <c r="D175" s="24"/>
      <c r="E175" s="25"/>
      <c r="F175" s="4"/>
      <c r="G175" s="4"/>
      <c r="H175" s="4"/>
      <c r="I175" s="4"/>
      <c r="J175" s="4"/>
      <c r="K175" s="4"/>
    </row>
    <row r="176" s="1" customFormat="1" spans="1:11">
      <c r="A176" s="33" t="s">
        <v>136</v>
      </c>
      <c r="B176" s="24" t="s">
        <v>1</v>
      </c>
      <c r="C176" s="26" t="s">
        <v>2</v>
      </c>
      <c r="D176" s="27" t="s">
        <v>3</v>
      </c>
      <c r="E176" s="27" t="s">
        <v>4</v>
      </c>
      <c r="F176" s="28" t="s">
        <v>5</v>
      </c>
      <c r="G176" s="28" t="s">
        <v>6</v>
      </c>
      <c r="H176" s="28" t="s">
        <v>7</v>
      </c>
      <c r="I176" s="28">
        <v>50</v>
      </c>
      <c r="J176" s="28" t="s">
        <v>8</v>
      </c>
      <c r="K176" s="26" t="s">
        <v>9</v>
      </c>
    </row>
    <row r="177" spans="2:10">
      <c r="B177" s="4">
        <v>203</v>
      </c>
      <c r="C177" s="4">
        <v>23</v>
      </c>
      <c r="D177" s="33" t="s">
        <v>137</v>
      </c>
      <c r="E177" s="25" t="s">
        <v>11</v>
      </c>
      <c r="F177" s="4">
        <v>18</v>
      </c>
      <c r="G177" s="4">
        <v>240</v>
      </c>
      <c r="H177" s="4">
        <v>17</v>
      </c>
      <c r="I177" s="4">
        <v>6.7</v>
      </c>
      <c r="J177" s="4">
        <v>3.26</v>
      </c>
    </row>
    <row r="178" spans="2:9">
      <c r="B178" s="4">
        <v>203</v>
      </c>
      <c r="C178" s="4">
        <v>24</v>
      </c>
      <c r="D178" s="24" t="s">
        <v>138</v>
      </c>
      <c r="E178" s="25" t="s">
        <v>11</v>
      </c>
      <c r="F178" s="4">
        <v>24</v>
      </c>
      <c r="G178" s="4">
        <v>208</v>
      </c>
      <c r="H178" s="4">
        <v>0</v>
      </c>
      <c r="I178" s="4">
        <v>7.6</v>
      </c>
    </row>
    <row r="179" spans="2:10">
      <c r="B179" s="4">
        <v>203</v>
      </c>
      <c r="C179" s="4">
        <v>25</v>
      </c>
      <c r="D179" s="24" t="s">
        <v>139</v>
      </c>
      <c r="E179" s="25" t="s">
        <v>11</v>
      </c>
      <c r="F179" s="4">
        <v>22.5</v>
      </c>
      <c r="G179" s="4">
        <v>250</v>
      </c>
      <c r="H179" s="4">
        <v>3</v>
      </c>
      <c r="I179" s="4">
        <v>7.1</v>
      </c>
      <c r="J179" s="4">
        <v>3.35</v>
      </c>
    </row>
    <row r="180" spans="2:10">
      <c r="B180" s="4">
        <v>203</v>
      </c>
      <c r="C180" s="4">
        <v>26</v>
      </c>
      <c r="D180" s="24" t="s">
        <v>140</v>
      </c>
      <c r="E180" s="25" t="s">
        <v>11</v>
      </c>
      <c r="F180" s="4">
        <v>6</v>
      </c>
      <c r="G180" s="4">
        <v>190</v>
      </c>
      <c r="H180" s="4">
        <v>0</v>
      </c>
      <c r="I180" s="4">
        <v>7.8</v>
      </c>
      <c r="J180" s="4">
        <v>3.34</v>
      </c>
    </row>
    <row r="181" spans="2:10">
      <c r="B181" s="4">
        <v>203</v>
      </c>
      <c r="C181" s="4">
        <v>27</v>
      </c>
      <c r="D181" s="24" t="s">
        <v>141</v>
      </c>
      <c r="E181" s="25" t="s">
        <v>11</v>
      </c>
      <c r="F181" s="4">
        <v>24</v>
      </c>
      <c r="G181" s="4">
        <v>285</v>
      </c>
      <c r="H181" s="4">
        <v>18</v>
      </c>
      <c r="I181" s="4">
        <v>6.6</v>
      </c>
      <c r="J181" s="4">
        <v>3.17</v>
      </c>
    </row>
    <row r="182" spans="2:11">
      <c r="B182" s="4">
        <v>203</v>
      </c>
      <c r="C182" s="4">
        <v>28</v>
      </c>
      <c r="D182" s="24" t="s">
        <v>142</v>
      </c>
      <c r="E182" s="25" t="s">
        <v>11</v>
      </c>
      <c r="K182" s="4" t="s">
        <v>16</v>
      </c>
    </row>
    <row r="183" spans="2:10">
      <c r="B183" s="4">
        <v>203</v>
      </c>
      <c r="C183" s="4">
        <v>29</v>
      </c>
      <c r="D183" s="24" t="s">
        <v>143</v>
      </c>
      <c r="E183" s="25" t="s">
        <v>11</v>
      </c>
      <c r="F183" s="4">
        <v>7</v>
      </c>
      <c r="G183" s="4">
        <v>257</v>
      </c>
      <c r="H183" s="4">
        <v>23</v>
      </c>
      <c r="I183" s="4">
        <v>7.5</v>
      </c>
      <c r="J183" s="4">
        <v>3.33</v>
      </c>
    </row>
    <row r="184" spans="2:10">
      <c r="B184" s="4">
        <v>203</v>
      </c>
      <c r="C184" s="4">
        <v>30</v>
      </c>
      <c r="D184" s="24" t="s">
        <v>144</v>
      </c>
      <c r="E184" s="25" t="s">
        <v>11</v>
      </c>
      <c r="F184" s="4">
        <v>11</v>
      </c>
      <c r="G184" s="4">
        <v>195</v>
      </c>
      <c r="H184" s="4">
        <v>3</v>
      </c>
      <c r="I184" s="4">
        <v>7.5</v>
      </c>
      <c r="J184" s="4">
        <v>4.09</v>
      </c>
    </row>
    <row r="185" spans="2:10">
      <c r="B185" s="4">
        <v>203</v>
      </c>
      <c r="C185" s="4">
        <v>31</v>
      </c>
      <c r="D185" s="24" t="s">
        <v>145</v>
      </c>
      <c r="E185" s="25" t="s">
        <v>11</v>
      </c>
      <c r="F185" s="4">
        <v>16</v>
      </c>
      <c r="G185" s="4">
        <v>195</v>
      </c>
      <c r="H185" s="4">
        <v>2</v>
      </c>
      <c r="I185" s="4" t="s">
        <v>146</v>
      </c>
      <c r="J185" s="4">
        <v>3.39</v>
      </c>
    </row>
    <row r="186" spans="2:10">
      <c r="B186" s="4">
        <v>203</v>
      </c>
      <c r="C186" s="4">
        <v>32</v>
      </c>
      <c r="D186" s="24" t="s">
        <v>147</v>
      </c>
      <c r="E186" s="25" t="s">
        <v>11</v>
      </c>
      <c r="F186" s="4">
        <v>6</v>
      </c>
      <c r="G186" s="4">
        <v>245</v>
      </c>
      <c r="H186" s="4">
        <v>7</v>
      </c>
      <c r="I186" s="4">
        <v>6.5</v>
      </c>
      <c r="J186" s="4">
        <v>3.19</v>
      </c>
    </row>
    <row r="187" spans="2:10">
      <c r="B187" s="4">
        <v>203</v>
      </c>
      <c r="C187" s="4">
        <v>33</v>
      </c>
      <c r="D187" s="24" t="s">
        <v>148</v>
      </c>
      <c r="E187" s="25" t="s">
        <v>11</v>
      </c>
      <c r="F187" s="4">
        <v>17</v>
      </c>
      <c r="G187" s="4">
        <v>250</v>
      </c>
      <c r="H187" s="4">
        <v>17</v>
      </c>
      <c r="I187" s="4">
        <v>7.5</v>
      </c>
      <c r="J187" s="4">
        <v>3.26</v>
      </c>
    </row>
    <row r="188" customFormat="1" spans="1:11">
      <c r="A188" s="4"/>
      <c r="B188" s="4"/>
      <c r="C188" s="4"/>
      <c r="D188" s="24"/>
      <c r="E188" s="25"/>
      <c r="F188" s="4"/>
      <c r="G188" s="4"/>
      <c r="H188" s="4"/>
      <c r="I188" s="4"/>
      <c r="J188" s="4"/>
      <c r="K188" s="4"/>
    </row>
    <row r="189" s="1" customFormat="1" spans="1:11">
      <c r="A189" s="33" t="s">
        <v>149</v>
      </c>
      <c r="B189" s="24" t="s">
        <v>1</v>
      </c>
      <c r="C189" s="26" t="s">
        <v>2</v>
      </c>
      <c r="D189" s="27" t="s">
        <v>3</v>
      </c>
      <c r="E189" s="27" t="s">
        <v>4</v>
      </c>
      <c r="F189" s="28" t="s">
        <v>5</v>
      </c>
      <c r="G189" s="28" t="s">
        <v>6</v>
      </c>
      <c r="H189" s="28" t="s">
        <v>7</v>
      </c>
      <c r="I189" s="28">
        <v>50</v>
      </c>
      <c r="J189" s="28" t="s">
        <v>8</v>
      </c>
      <c r="K189" s="26" t="s">
        <v>9</v>
      </c>
    </row>
    <row r="190" spans="2:10">
      <c r="B190" s="4">
        <v>203</v>
      </c>
      <c r="C190" s="4">
        <v>34</v>
      </c>
      <c r="D190" s="33" t="s">
        <v>150</v>
      </c>
      <c r="E190" s="25" t="s">
        <v>53</v>
      </c>
      <c r="F190" s="4">
        <v>25</v>
      </c>
      <c r="G190" s="4">
        <v>205</v>
      </c>
      <c r="H190" s="4">
        <v>58</v>
      </c>
      <c r="I190" s="4">
        <v>8.3</v>
      </c>
      <c r="J190" s="4">
        <v>3.14</v>
      </c>
    </row>
    <row r="191" spans="2:11">
      <c r="B191" s="4">
        <v>203</v>
      </c>
      <c r="C191" s="4">
        <v>35</v>
      </c>
      <c r="D191" s="24" t="s">
        <v>151</v>
      </c>
      <c r="E191" s="25" t="s">
        <v>53</v>
      </c>
      <c r="K191" s="4" t="s">
        <v>14</v>
      </c>
    </row>
    <row r="192" spans="2:10">
      <c r="B192" s="4">
        <v>203</v>
      </c>
      <c r="C192" s="4">
        <v>36</v>
      </c>
      <c r="D192" s="24" t="s">
        <v>152</v>
      </c>
      <c r="E192" s="25" t="s">
        <v>53</v>
      </c>
      <c r="F192" s="4">
        <v>21</v>
      </c>
      <c r="G192" s="4">
        <v>311</v>
      </c>
      <c r="H192" s="4">
        <v>50</v>
      </c>
      <c r="I192" s="4">
        <v>9</v>
      </c>
      <c r="J192" s="4">
        <v>4.1</v>
      </c>
    </row>
    <row r="193" spans="2:10">
      <c r="B193" s="4">
        <v>203</v>
      </c>
      <c r="C193" s="4">
        <v>37</v>
      </c>
      <c r="D193" s="24" t="s">
        <v>153</v>
      </c>
      <c r="E193" s="25" t="s">
        <v>53</v>
      </c>
      <c r="F193" s="4">
        <v>28</v>
      </c>
      <c r="G193" s="4">
        <v>207</v>
      </c>
      <c r="H193" s="4">
        <v>42</v>
      </c>
      <c r="I193" s="4">
        <v>7.9</v>
      </c>
      <c r="J193" s="4">
        <v>3.13</v>
      </c>
    </row>
    <row r="194" spans="2:9">
      <c r="B194" s="4">
        <v>203</v>
      </c>
      <c r="C194" s="4">
        <v>38</v>
      </c>
      <c r="D194" s="24" t="s">
        <v>154</v>
      </c>
      <c r="E194" s="25" t="s">
        <v>53</v>
      </c>
      <c r="F194" s="4">
        <v>12</v>
      </c>
      <c r="G194" s="4">
        <v>182</v>
      </c>
      <c r="H194" s="4">
        <v>43</v>
      </c>
      <c r="I194" s="4">
        <v>8.3</v>
      </c>
    </row>
    <row r="195" spans="2:10">
      <c r="B195" s="4">
        <v>203</v>
      </c>
      <c r="C195" s="4">
        <v>39</v>
      </c>
      <c r="D195" s="24" t="s">
        <v>155</v>
      </c>
      <c r="E195" s="25" t="s">
        <v>53</v>
      </c>
      <c r="F195" s="4">
        <v>31</v>
      </c>
      <c r="G195" s="4">
        <v>188</v>
      </c>
      <c r="H195" s="4">
        <v>45</v>
      </c>
      <c r="I195" s="4">
        <v>8.4</v>
      </c>
      <c r="J195" s="4">
        <v>3.41</v>
      </c>
    </row>
    <row r="196" spans="2:10">
      <c r="B196" s="4">
        <v>203</v>
      </c>
      <c r="C196" s="4">
        <v>40</v>
      </c>
      <c r="D196" s="24" t="s">
        <v>156</v>
      </c>
      <c r="E196" s="25" t="s">
        <v>53</v>
      </c>
      <c r="F196" s="4">
        <v>15</v>
      </c>
      <c r="G196" s="4">
        <v>162</v>
      </c>
      <c r="H196" s="4">
        <v>43</v>
      </c>
      <c r="I196" s="4">
        <v>10</v>
      </c>
      <c r="J196" s="4">
        <v>5.1</v>
      </c>
    </row>
    <row r="197" spans="2:11">
      <c r="B197" s="4">
        <v>203</v>
      </c>
      <c r="C197" s="4">
        <v>41</v>
      </c>
      <c r="D197" s="24" t="s">
        <v>157</v>
      </c>
      <c r="E197" s="25" t="s">
        <v>53</v>
      </c>
      <c r="K197" s="4" t="s">
        <v>14</v>
      </c>
    </row>
    <row r="198" spans="2:10">
      <c r="B198" s="4">
        <v>203</v>
      </c>
      <c r="C198" s="4">
        <v>42</v>
      </c>
      <c r="D198" s="24" t="s">
        <v>158</v>
      </c>
      <c r="E198" s="25" t="s">
        <v>53</v>
      </c>
      <c r="F198" s="4">
        <v>26</v>
      </c>
      <c r="G198" s="4">
        <v>196</v>
      </c>
      <c r="H198" s="4">
        <v>55</v>
      </c>
      <c r="I198" s="4">
        <v>8</v>
      </c>
      <c r="J198" s="4">
        <v>3.17</v>
      </c>
    </row>
    <row r="199" spans="2:10">
      <c r="B199" s="4">
        <v>203</v>
      </c>
      <c r="C199" s="4">
        <v>43</v>
      </c>
      <c r="D199" s="24" t="s">
        <v>159</v>
      </c>
      <c r="E199" s="25" t="s">
        <v>53</v>
      </c>
      <c r="F199" s="4">
        <v>29</v>
      </c>
      <c r="G199" s="4">
        <v>175</v>
      </c>
      <c r="H199" s="4">
        <v>39</v>
      </c>
      <c r="I199" s="4">
        <v>9.1</v>
      </c>
      <c r="J199" s="4">
        <v>3.57</v>
      </c>
    </row>
    <row r="202" s="1" customFormat="1" spans="1:11">
      <c r="A202" s="33" t="s">
        <v>160</v>
      </c>
      <c r="B202" s="24" t="s">
        <v>1</v>
      </c>
      <c r="C202" s="26" t="s">
        <v>2</v>
      </c>
      <c r="D202" s="27" t="s">
        <v>3</v>
      </c>
      <c r="E202" s="27" t="s">
        <v>4</v>
      </c>
      <c r="F202" s="28" t="s">
        <v>5</v>
      </c>
      <c r="G202" s="28" t="s">
        <v>6</v>
      </c>
      <c r="H202" s="28" t="s">
        <v>7</v>
      </c>
      <c r="I202" s="28">
        <v>50</v>
      </c>
      <c r="J202" s="28" t="s">
        <v>8</v>
      </c>
      <c r="K202" s="26" t="s">
        <v>9</v>
      </c>
    </row>
    <row r="203" spans="2:10">
      <c r="B203" s="4">
        <v>204</v>
      </c>
      <c r="C203" s="4">
        <v>1</v>
      </c>
      <c r="D203" s="33" t="s">
        <v>161</v>
      </c>
      <c r="E203" s="25" t="s">
        <v>11</v>
      </c>
      <c r="F203" s="4">
        <v>14.5</v>
      </c>
      <c r="G203" s="4">
        <v>231</v>
      </c>
      <c r="H203" s="4">
        <v>1</v>
      </c>
      <c r="I203" s="4">
        <v>7.7</v>
      </c>
      <c r="J203" s="4">
        <v>3.56</v>
      </c>
    </row>
    <row r="204" spans="2:10">
      <c r="B204" s="4">
        <v>204</v>
      </c>
      <c r="C204" s="4">
        <v>2</v>
      </c>
      <c r="D204" s="24" t="s">
        <v>162</v>
      </c>
      <c r="E204" s="25" t="s">
        <v>11</v>
      </c>
      <c r="F204" s="4">
        <v>7.6</v>
      </c>
      <c r="G204" s="4">
        <v>242</v>
      </c>
      <c r="H204" s="4">
        <v>3</v>
      </c>
      <c r="I204" s="4">
        <v>7.3</v>
      </c>
      <c r="J204" s="4">
        <v>3.42</v>
      </c>
    </row>
    <row r="205" spans="2:10">
      <c r="B205" s="4">
        <v>204</v>
      </c>
      <c r="C205" s="4">
        <v>3</v>
      </c>
      <c r="D205" s="24" t="s">
        <v>163</v>
      </c>
      <c r="E205" s="25" t="s">
        <v>11</v>
      </c>
      <c r="F205" s="4">
        <v>17.6</v>
      </c>
      <c r="G205" s="4">
        <v>262</v>
      </c>
      <c r="H205" s="4">
        <v>14</v>
      </c>
      <c r="I205" s="4">
        <v>7.3</v>
      </c>
      <c r="J205" s="4">
        <v>3.34</v>
      </c>
    </row>
    <row r="206" spans="2:10">
      <c r="B206" s="4">
        <v>204</v>
      </c>
      <c r="C206" s="4">
        <v>4</v>
      </c>
      <c r="D206" s="24" t="s">
        <v>164</v>
      </c>
      <c r="E206" s="25" t="s">
        <v>11</v>
      </c>
      <c r="F206" s="4">
        <v>26</v>
      </c>
      <c r="G206" s="4">
        <v>251</v>
      </c>
      <c r="H206" s="4">
        <v>19</v>
      </c>
      <c r="I206" s="4">
        <v>7.4</v>
      </c>
      <c r="J206" s="4">
        <v>3.39</v>
      </c>
    </row>
    <row r="207" spans="2:10">
      <c r="B207" s="4">
        <v>204</v>
      </c>
      <c r="C207" s="4">
        <v>5</v>
      </c>
      <c r="D207" s="24" t="s">
        <v>165</v>
      </c>
      <c r="E207" s="25" t="s">
        <v>11</v>
      </c>
      <c r="F207" s="4">
        <v>12.4</v>
      </c>
      <c r="G207" s="4">
        <v>249</v>
      </c>
      <c r="H207" s="4">
        <v>6</v>
      </c>
      <c r="I207" s="4">
        <v>7.1</v>
      </c>
      <c r="J207" s="4">
        <v>3.32</v>
      </c>
    </row>
    <row r="208" spans="2:10">
      <c r="B208" s="4">
        <v>204</v>
      </c>
      <c r="C208" s="4">
        <v>6</v>
      </c>
      <c r="D208" s="24" t="s">
        <v>166</v>
      </c>
      <c r="E208" s="25" t="s">
        <v>11</v>
      </c>
      <c r="F208" s="4">
        <v>9</v>
      </c>
      <c r="G208" s="4">
        <v>222</v>
      </c>
      <c r="H208" s="4">
        <v>0</v>
      </c>
      <c r="I208" s="4">
        <v>7.9</v>
      </c>
      <c r="J208" s="4">
        <v>3.58</v>
      </c>
    </row>
    <row r="209" spans="2:10">
      <c r="B209" s="4">
        <v>204</v>
      </c>
      <c r="C209" s="4">
        <v>7</v>
      </c>
      <c r="D209" s="24" t="s">
        <v>167</v>
      </c>
      <c r="E209" s="25" t="s">
        <v>11</v>
      </c>
      <c r="F209" s="4">
        <v>11.3</v>
      </c>
      <c r="G209" s="4">
        <v>216</v>
      </c>
      <c r="H209" s="4">
        <v>3</v>
      </c>
      <c r="I209" s="4">
        <v>7.3</v>
      </c>
      <c r="J209" s="4">
        <v>3.5</v>
      </c>
    </row>
    <row r="210" spans="4:5">
      <c r="D210" s="24"/>
      <c r="E210" s="25"/>
    </row>
    <row r="211" s="1" customFormat="1" spans="1:11">
      <c r="A211" s="33" t="s">
        <v>168</v>
      </c>
      <c r="B211" s="24" t="s">
        <v>1</v>
      </c>
      <c r="C211" s="26" t="s">
        <v>2</v>
      </c>
      <c r="D211" s="27" t="s">
        <v>3</v>
      </c>
      <c r="E211" s="27" t="s">
        <v>4</v>
      </c>
      <c r="F211" s="28" t="s">
        <v>5</v>
      </c>
      <c r="G211" s="28" t="s">
        <v>6</v>
      </c>
      <c r="H211" s="28" t="s">
        <v>7</v>
      </c>
      <c r="I211" s="28">
        <v>50</v>
      </c>
      <c r="J211" s="28" t="s">
        <v>8</v>
      </c>
      <c r="K211" s="26" t="s">
        <v>9</v>
      </c>
    </row>
    <row r="212" spans="2:10">
      <c r="B212" s="4">
        <v>204</v>
      </c>
      <c r="C212" s="4">
        <v>8</v>
      </c>
      <c r="D212" s="33" t="s">
        <v>169</v>
      </c>
      <c r="E212" s="25" t="s">
        <v>53</v>
      </c>
      <c r="F212" s="4">
        <v>17</v>
      </c>
      <c r="G212" s="4">
        <v>192</v>
      </c>
      <c r="H212" s="4">
        <v>42</v>
      </c>
      <c r="I212" s="4">
        <v>9</v>
      </c>
      <c r="J212" s="4">
        <v>3.56</v>
      </c>
    </row>
    <row r="213" spans="2:10">
      <c r="B213" s="4">
        <v>204</v>
      </c>
      <c r="C213" s="4">
        <v>9</v>
      </c>
      <c r="D213" s="24" t="s">
        <v>170</v>
      </c>
      <c r="E213" s="25" t="s">
        <v>53</v>
      </c>
      <c r="F213" s="4">
        <v>21</v>
      </c>
      <c r="G213" s="4">
        <v>196</v>
      </c>
      <c r="H213" s="4">
        <v>51</v>
      </c>
      <c r="I213" s="4">
        <v>7.7</v>
      </c>
      <c r="J213" s="4">
        <v>3.11</v>
      </c>
    </row>
    <row r="214" spans="2:10">
      <c r="B214" s="4">
        <v>204</v>
      </c>
      <c r="C214" s="4">
        <v>10</v>
      </c>
      <c r="D214" s="24" t="s">
        <v>171</v>
      </c>
      <c r="E214" s="25" t="s">
        <v>53</v>
      </c>
      <c r="F214" s="4">
        <v>321</v>
      </c>
      <c r="G214" s="4">
        <v>184</v>
      </c>
      <c r="H214" s="4">
        <v>55</v>
      </c>
      <c r="I214" s="4">
        <v>8.9</v>
      </c>
      <c r="J214" s="4">
        <v>3.31</v>
      </c>
    </row>
    <row r="215" spans="2:10">
      <c r="B215" s="4">
        <v>204</v>
      </c>
      <c r="C215" s="4">
        <v>11</v>
      </c>
      <c r="D215" s="24" t="s">
        <v>172</v>
      </c>
      <c r="E215" s="25" t="s">
        <v>53</v>
      </c>
      <c r="F215" s="4">
        <v>12</v>
      </c>
      <c r="G215" s="4">
        <v>171</v>
      </c>
      <c r="H215" s="4">
        <v>40</v>
      </c>
      <c r="I215" s="4">
        <v>9.1</v>
      </c>
      <c r="J215" s="4">
        <v>3.52</v>
      </c>
    </row>
    <row r="216" spans="2:10">
      <c r="B216" s="4">
        <v>204</v>
      </c>
      <c r="C216" s="4">
        <v>12</v>
      </c>
      <c r="D216" s="24" t="s">
        <v>173</v>
      </c>
      <c r="E216" s="25" t="s">
        <v>53</v>
      </c>
      <c r="F216" s="4">
        <v>8</v>
      </c>
      <c r="G216" s="4">
        <v>170</v>
      </c>
      <c r="H216" s="4">
        <v>51</v>
      </c>
      <c r="I216" s="4">
        <v>8.7</v>
      </c>
      <c r="J216" s="4">
        <v>3.53</v>
      </c>
    </row>
    <row r="217" spans="2:10">
      <c r="B217" s="4">
        <v>204</v>
      </c>
      <c r="C217" s="4">
        <v>13</v>
      </c>
      <c r="D217" s="24" t="s">
        <v>174</v>
      </c>
      <c r="E217" s="25" t="s">
        <v>53</v>
      </c>
      <c r="F217" s="4">
        <v>21</v>
      </c>
      <c r="G217" s="4">
        <v>206</v>
      </c>
      <c r="H217" s="4">
        <v>38</v>
      </c>
      <c r="I217" s="4">
        <v>7.7</v>
      </c>
      <c r="J217" s="4">
        <v>3.28</v>
      </c>
    </row>
    <row r="218" spans="2:11">
      <c r="B218" s="4">
        <v>204</v>
      </c>
      <c r="C218" s="4">
        <v>14</v>
      </c>
      <c r="D218" s="24" t="s">
        <v>175</v>
      </c>
      <c r="E218" s="25" t="s">
        <v>53</v>
      </c>
      <c r="K218" s="4" t="s">
        <v>14</v>
      </c>
    </row>
    <row r="219" spans="2:10">
      <c r="B219" s="4">
        <v>204</v>
      </c>
      <c r="C219" s="4">
        <v>15</v>
      </c>
      <c r="D219" s="24" t="s">
        <v>176</v>
      </c>
      <c r="E219" s="25" t="s">
        <v>53</v>
      </c>
      <c r="F219" s="4">
        <v>15.5</v>
      </c>
      <c r="G219" s="4">
        <v>207</v>
      </c>
      <c r="H219" s="4">
        <v>35</v>
      </c>
      <c r="I219" s="4">
        <v>7.7</v>
      </c>
      <c r="J219" s="4">
        <v>3.17</v>
      </c>
    </row>
    <row r="220" spans="2:10">
      <c r="B220" s="4">
        <v>204</v>
      </c>
      <c r="C220" s="4">
        <v>16</v>
      </c>
      <c r="D220" s="24" t="s">
        <v>177</v>
      </c>
      <c r="E220" s="25" t="s">
        <v>53</v>
      </c>
      <c r="F220" s="4">
        <v>25.5</v>
      </c>
      <c r="G220" s="4">
        <v>210</v>
      </c>
      <c r="H220" s="4">
        <v>49</v>
      </c>
      <c r="I220" s="4">
        <v>8.1</v>
      </c>
      <c r="J220" s="4">
        <v>3.29</v>
      </c>
    </row>
    <row r="221" spans="2:10">
      <c r="B221" s="4">
        <v>204</v>
      </c>
      <c r="C221" s="4">
        <v>17</v>
      </c>
      <c r="D221" s="24" t="s">
        <v>178</v>
      </c>
      <c r="E221" s="25" t="s">
        <v>53</v>
      </c>
      <c r="F221" s="4">
        <v>25</v>
      </c>
      <c r="G221" s="4">
        <v>201</v>
      </c>
      <c r="H221" s="4">
        <v>43</v>
      </c>
      <c r="I221" s="4">
        <v>8.1</v>
      </c>
      <c r="J221" s="4">
        <v>3.27</v>
      </c>
    </row>
    <row r="223" s="1" customFormat="1" spans="1:11">
      <c r="A223" s="33" t="s">
        <v>179</v>
      </c>
      <c r="B223" s="24" t="s">
        <v>1</v>
      </c>
      <c r="C223" s="26" t="s">
        <v>2</v>
      </c>
      <c r="D223" s="27" t="s">
        <v>3</v>
      </c>
      <c r="E223" s="27" t="s">
        <v>4</v>
      </c>
      <c r="F223" s="28" t="s">
        <v>5</v>
      </c>
      <c r="G223" s="28" t="s">
        <v>6</v>
      </c>
      <c r="H223" s="28" t="s">
        <v>7</v>
      </c>
      <c r="I223" s="28">
        <v>50</v>
      </c>
      <c r="J223" s="28" t="s">
        <v>8</v>
      </c>
      <c r="K223" s="26" t="s">
        <v>9</v>
      </c>
    </row>
    <row r="224" spans="2:10">
      <c r="B224" s="4">
        <v>204</v>
      </c>
      <c r="C224" s="4">
        <v>18</v>
      </c>
      <c r="D224" s="33" t="s">
        <v>180</v>
      </c>
      <c r="E224" s="25" t="s">
        <v>53</v>
      </c>
      <c r="F224" s="4">
        <v>21.5</v>
      </c>
      <c r="G224" s="4">
        <v>190</v>
      </c>
      <c r="H224" s="4">
        <v>49</v>
      </c>
      <c r="I224" s="4">
        <v>8.1</v>
      </c>
      <c r="J224" s="4">
        <v>3.13</v>
      </c>
    </row>
    <row r="225" spans="2:10">
      <c r="B225" s="4">
        <v>204</v>
      </c>
      <c r="C225" s="4">
        <v>19</v>
      </c>
      <c r="D225" s="24" t="s">
        <v>181</v>
      </c>
      <c r="E225" s="25" t="s">
        <v>53</v>
      </c>
      <c r="F225" s="4">
        <v>20</v>
      </c>
      <c r="G225" s="4">
        <v>173</v>
      </c>
      <c r="H225" s="4">
        <v>42</v>
      </c>
      <c r="I225" s="4">
        <v>9.1</v>
      </c>
      <c r="J225" s="4">
        <v>4.52</v>
      </c>
    </row>
    <row r="226" spans="2:10">
      <c r="B226" s="4">
        <v>204</v>
      </c>
      <c r="C226" s="4">
        <v>20</v>
      </c>
      <c r="D226" s="24" t="s">
        <v>182</v>
      </c>
      <c r="E226" s="25" t="s">
        <v>53</v>
      </c>
      <c r="F226" s="4">
        <v>21</v>
      </c>
      <c r="G226" s="4">
        <v>182</v>
      </c>
      <c r="H226" s="4">
        <v>39</v>
      </c>
      <c r="I226" s="4">
        <v>8.2</v>
      </c>
      <c r="J226" s="4">
        <v>3.25</v>
      </c>
    </row>
    <row r="227" spans="2:10">
      <c r="B227" s="4">
        <v>204</v>
      </c>
      <c r="C227" s="4">
        <v>21</v>
      </c>
      <c r="D227" s="24" t="s">
        <v>183</v>
      </c>
      <c r="E227" s="25" t="s">
        <v>53</v>
      </c>
      <c r="F227" s="4">
        <v>26.3</v>
      </c>
      <c r="G227" s="4">
        <v>178</v>
      </c>
      <c r="H227" s="4">
        <v>50</v>
      </c>
      <c r="I227" s="4">
        <v>8.2</v>
      </c>
      <c r="J227" s="4">
        <v>3.39</v>
      </c>
    </row>
    <row r="228" spans="2:10">
      <c r="B228" s="4">
        <v>204</v>
      </c>
      <c r="C228" s="4">
        <v>22</v>
      </c>
      <c r="D228" s="24" t="s">
        <v>184</v>
      </c>
      <c r="E228" s="25" t="s">
        <v>53</v>
      </c>
      <c r="F228" s="4">
        <v>14.1</v>
      </c>
      <c r="G228" s="4">
        <v>163</v>
      </c>
      <c r="H228" s="4">
        <v>58</v>
      </c>
      <c r="I228" s="4">
        <v>8.4</v>
      </c>
      <c r="J228" s="4">
        <v>3.45</v>
      </c>
    </row>
    <row r="229" spans="2:9">
      <c r="B229" s="4">
        <v>204</v>
      </c>
      <c r="C229" s="4">
        <v>23</v>
      </c>
      <c r="D229" s="24" t="s">
        <v>185</v>
      </c>
      <c r="E229" s="25" t="s">
        <v>53</v>
      </c>
      <c r="F229" s="4">
        <v>27</v>
      </c>
      <c r="G229" s="4">
        <v>185</v>
      </c>
      <c r="H229" s="4">
        <v>49</v>
      </c>
      <c r="I229" s="4">
        <v>9</v>
      </c>
    </row>
    <row r="230" spans="2:10">
      <c r="B230" s="4">
        <v>204</v>
      </c>
      <c r="C230" s="4">
        <v>24</v>
      </c>
      <c r="D230" s="24" t="s">
        <v>186</v>
      </c>
      <c r="E230" s="25" t="s">
        <v>53</v>
      </c>
      <c r="F230" s="4">
        <v>30</v>
      </c>
      <c r="G230" s="4">
        <v>191</v>
      </c>
      <c r="H230" s="4">
        <v>51</v>
      </c>
      <c r="I230" s="4">
        <v>8.9</v>
      </c>
      <c r="J230" s="4">
        <v>3.22</v>
      </c>
    </row>
    <row r="231" spans="2:10">
      <c r="B231" s="4">
        <v>204</v>
      </c>
      <c r="C231" s="4">
        <v>25</v>
      </c>
      <c r="D231" s="24" t="s">
        <v>187</v>
      </c>
      <c r="E231" s="25" t="s">
        <v>53</v>
      </c>
      <c r="F231" s="4">
        <v>12</v>
      </c>
      <c r="G231" s="4">
        <v>175</v>
      </c>
      <c r="H231" s="4">
        <v>48</v>
      </c>
      <c r="I231" s="4">
        <v>8.9</v>
      </c>
      <c r="J231" s="4">
        <v>3.39</v>
      </c>
    </row>
    <row r="232" spans="2:10">
      <c r="B232" s="4">
        <v>204</v>
      </c>
      <c r="C232" s="4">
        <v>26</v>
      </c>
      <c r="D232" s="24" t="s">
        <v>188</v>
      </c>
      <c r="E232" s="25" t="s">
        <v>53</v>
      </c>
      <c r="F232" s="4">
        <v>17.9</v>
      </c>
      <c r="G232" s="4">
        <v>215</v>
      </c>
      <c r="H232" s="4">
        <v>47</v>
      </c>
      <c r="I232" s="4">
        <v>8.3</v>
      </c>
      <c r="J232" s="4">
        <v>3.33</v>
      </c>
    </row>
    <row r="233" spans="2:10">
      <c r="B233" s="4">
        <v>204</v>
      </c>
      <c r="C233" s="4">
        <v>27</v>
      </c>
      <c r="D233" s="24" t="s">
        <v>189</v>
      </c>
      <c r="E233" s="25" t="s">
        <v>53</v>
      </c>
      <c r="F233" s="4">
        <v>18.6</v>
      </c>
      <c r="G233" s="4">
        <v>187</v>
      </c>
      <c r="H233" s="4">
        <v>51</v>
      </c>
      <c r="I233" s="4">
        <v>8.8</v>
      </c>
      <c r="J233" s="4">
        <v>3.47</v>
      </c>
    </row>
    <row r="235" s="1" customFormat="1" spans="1:11">
      <c r="A235" s="33" t="s">
        <v>190</v>
      </c>
      <c r="B235" s="24" t="s">
        <v>1</v>
      </c>
      <c r="C235" s="26" t="s">
        <v>2</v>
      </c>
      <c r="D235" s="27" t="s">
        <v>3</v>
      </c>
      <c r="E235" s="27" t="s">
        <v>4</v>
      </c>
      <c r="F235" s="28" t="s">
        <v>5</v>
      </c>
      <c r="G235" s="28" t="s">
        <v>6</v>
      </c>
      <c r="H235" s="28" t="s">
        <v>7</v>
      </c>
      <c r="I235" s="28">
        <v>50</v>
      </c>
      <c r="J235" s="28" t="s">
        <v>8</v>
      </c>
      <c r="K235" s="26" t="s">
        <v>9</v>
      </c>
    </row>
    <row r="236" spans="2:10">
      <c r="B236" s="4">
        <v>204</v>
      </c>
      <c r="C236" s="4">
        <v>28</v>
      </c>
      <c r="D236" s="33" t="s">
        <v>191</v>
      </c>
      <c r="E236" s="25" t="s">
        <v>53</v>
      </c>
      <c r="F236" s="4">
        <v>19.5</v>
      </c>
      <c r="G236" s="4">
        <v>206</v>
      </c>
      <c r="H236" s="4">
        <v>54</v>
      </c>
      <c r="I236" s="4">
        <v>8.1</v>
      </c>
      <c r="J236" s="4">
        <v>3.38</v>
      </c>
    </row>
    <row r="237" spans="2:10">
      <c r="B237" s="4">
        <v>204</v>
      </c>
      <c r="C237" s="4">
        <v>29</v>
      </c>
      <c r="D237" s="24" t="s">
        <v>192</v>
      </c>
      <c r="E237" s="25" t="s">
        <v>53</v>
      </c>
      <c r="F237" s="4">
        <v>23</v>
      </c>
      <c r="G237" s="4">
        <v>190</v>
      </c>
      <c r="H237" s="4">
        <v>40</v>
      </c>
      <c r="I237" s="4">
        <v>8.7</v>
      </c>
      <c r="J237" s="4">
        <v>4.2</v>
      </c>
    </row>
    <row r="238" spans="2:10">
      <c r="B238" s="4">
        <v>204</v>
      </c>
      <c r="C238" s="4">
        <v>30</v>
      </c>
      <c r="D238" s="24" t="s">
        <v>193</v>
      </c>
      <c r="E238" s="25" t="s">
        <v>53</v>
      </c>
      <c r="F238" s="4">
        <v>23.5</v>
      </c>
      <c r="G238" s="4">
        <v>200</v>
      </c>
      <c r="H238" s="4">
        <v>51</v>
      </c>
      <c r="I238" s="4">
        <v>8.2</v>
      </c>
      <c r="J238" s="4">
        <v>3.3</v>
      </c>
    </row>
    <row r="239" spans="2:10">
      <c r="B239" s="4">
        <v>204</v>
      </c>
      <c r="C239" s="4">
        <v>31</v>
      </c>
      <c r="D239" s="24" t="s">
        <v>194</v>
      </c>
      <c r="E239" s="25" t="s">
        <v>53</v>
      </c>
      <c r="F239" s="4">
        <v>12.5</v>
      </c>
      <c r="G239" s="4">
        <v>173</v>
      </c>
      <c r="H239" s="4">
        <v>37</v>
      </c>
      <c r="I239" s="4">
        <v>8.8</v>
      </c>
      <c r="J239" s="4">
        <v>4.03</v>
      </c>
    </row>
    <row r="240" spans="2:10">
      <c r="B240" s="4">
        <v>204</v>
      </c>
      <c r="C240" s="4">
        <v>32</v>
      </c>
      <c r="D240" s="24" t="s">
        <v>195</v>
      </c>
      <c r="E240" s="25" t="s">
        <v>53</v>
      </c>
      <c r="F240" s="4">
        <v>18</v>
      </c>
      <c r="G240" s="4">
        <v>189</v>
      </c>
      <c r="H240" s="4">
        <v>45</v>
      </c>
      <c r="I240" s="4">
        <v>7.5</v>
      </c>
      <c r="J240" s="4">
        <v>3.25</v>
      </c>
    </row>
    <row r="241" spans="2:11">
      <c r="B241" s="4">
        <v>204</v>
      </c>
      <c r="C241" s="4">
        <v>33</v>
      </c>
      <c r="D241" s="24" t="s">
        <v>196</v>
      </c>
      <c r="E241" s="25" t="s">
        <v>53</v>
      </c>
      <c r="K241" s="4" t="s">
        <v>16</v>
      </c>
    </row>
    <row r="242" spans="2:8">
      <c r="B242" s="4">
        <v>204</v>
      </c>
      <c r="C242" s="4">
        <v>34</v>
      </c>
      <c r="D242" s="24" t="s">
        <v>197</v>
      </c>
      <c r="E242" s="25" t="s">
        <v>53</v>
      </c>
      <c r="F242" s="4">
        <v>30</v>
      </c>
      <c r="H242" s="4">
        <v>45</v>
      </c>
    </row>
    <row r="243" spans="2:10">
      <c r="B243" s="4">
        <v>204</v>
      </c>
      <c r="C243" s="4">
        <v>35</v>
      </c>
      <c r="D243" s="24" t="s">
        <v>198</v>
      </c>
      <c r="E243" s="25" t="s">
        <v>53</v>
      </c>
      <c r="F243" s="4">
        <v>16.4</v>
      </c>
      <c r="G243" s="4">
        <v>196</v>
      </c>
      <c r="H243" s="4">
        <v>43</v>
      </c>
      <c r="I243" s="4">
        <v>8.6</v>
      </c>
      <c r="J243" s="4">
        <v>3.37</v>
      </c>
    </row>
    <row r="244" spans="2:11">
      <c r="B244" s="4">
        <v>204</v>
      </c>
      <c r="C244" s="4">
        <v>36</v>
      </c>
      <c r="D244" s="24" t="s">
        <v>199</v>
      </c>
      <c r="E244" s="25" t="s">
        <v>53</v>
      </c>
      <c r="K244" s="4" t="s">
        <v>16</v>
      </c>
    </row>
    <row r="245" spans="2:10">
      <c r="B245" s="4">
        <v>204</v>
      </c>
      <c r="C245" s="4">
        <v>37</v>
      </c>
      <c r="D245" s="24" t="s">
        <v>200</v>
      </c>
      <c r="E245" s="25" t="s">
        <v>53</v>
      </c>
      <c r="F245" s="4">
        <v>17.5</v>
      </c>
      <c r="G245" s="4">
        <v>170</v>
      </c>
      <c r="H245" s="4">
        <v>43</v>
      </c>
      <c r="I245" s="4">
        <v>8.7</v>
      </c>
      <c r="J245" s="4">
        <v>3.5</v>
      </c>
    </row>
    <row r="246" s="1" customFormat="1" spans="1:11">
      <c r="A246" s="33" t="s">
        <v>201</v>
      </c>
      <c r="B246" s="24" t="s">
        <v>1</v>
      </c>
      <c r="C246" s="26" t="s">
        <v>2</v>
      </c>
      <c r="D246" s="27" t="s">
        <v>3</v>
      </c>
      <c r="E246" s="27" t="s">
        <v>4</v>
      </c>
      <c r="F246" s="28" t="s">
        <v>5</v>
      </c>
      <c r="G246" s="28" t="s">
        <v>6</v>
      </c>
      <c r="H246" s="28" t="s">
        <v>7</v>
      </c>
      <c r="I246" s="28">
        <v>50</v>
      </c>
      <c r="J246" s="28" t="s">
        <v>8</v>
      </c>
      <c r="K246" s="26" t="s">
        <v>9</v>
      </c>
    </row>
    <row r="247" spans="2:10">
      <c r="B247" s="4">
        <v>204</v>
      </c>
      <c r="C247" s="4">
        <v>38</v>
      </c>
      <c r="D247" s="33" t="s">
        <v>202</v>
      </c>
      <c r="E247" s="25" t="s">
        <v>53</v>
      </c>
      <c r="F247" s="4">
        <v>25.5</v>
      </c>
      <c r="G247" s="4">
        <v>184</v>
      </c>
      <c r="H247" s="4">
        <v>56</v>
      </c>
      <c r="I247" s="4">
        <v>8.2</v>
      </c>
      <c r="J247" s="4">
        <v>3.29</v>
      </c>
    </row>
    <row r="248" spans="2:10">
      <c r="B248" s="4">
        <v>204</v>
      </c>
      <c r="C248" s="4">
        <v>39</v>
      </c>
      <c r="D248" s="24" t="s">
        <v>203</v>
      </c>
      <c r="E248" s="25" t="s">
        <v>53</v>
      </c>
      <c r="F248" s="4">
        <v>27.7</v>
      </c>
      <c r="G248" s="4">
        <v>215</v>
      </c>
      <c r="H248" s="4">
        <v>55</v>
      </c>
      <c r="I248" s="4">
        <v>7.8</v>
      </c>
      <c r="J248" s="4">
        <v>3.34</v>
      </c>
    </row>
    <row r="249" spans="2:10">
      <c r="B249" s="4">
        <v>204</v>
      </c>
      <c r="C249" s="4">
        <v>40</v>
      </c>
      <c r="D249" s="24" t="s">
        <v>204</v>
      </c>
      <c r="E249" s="25" t="s">
        <v>53</v>
      </c>
      <c r="F249" s="4">
        <v>9.2</v>
      </c>
      <c r="G249" s="4">
        <v>175</v>
      </c>
      <c r="H249" s="4">
        <v>43</v>
      </c>
      <c r="I249" s="4">
        <v>9.2</v>
      </c>
      <c r="J249" s="4">
        <v>4.17</v>
      </c>
    </row>
    <row r="250" spans="2:10">
      <c r="B250" s="4">
        <v>204</v>
      </c>
      <c r="C250" s="4">
        <v>41</v>
      </c>
      <c r="D250" s="24" t="s">
        <v>205</v>
      </c>
      <c r="E250" s="25" t="s">
        <v>53</v>
      </c>
      <c r="F250" s="4">
        <v>12.8</v>
      </c>
      <c r="G250" s="4">
        <v>212</v>
      </c>
      <c r="H250" s="4">
        <v>52</v>
      </c>
      <c r="I250" s="4">
        <v>7.8</v>
      </c>
      <c r="J250" s="4">
        <v>3.3</v>
      </c>
    </row>
    <row r="251" spans="2:10">
      <c r="B251" s="4">
        <v>204</v>
      </c>
      <c r="C251" s="4">
        <v>42</v>
      </c>
      <c r="D251" s="24" t="s">
        <v>206</v>
      </c>
      <c r="E251" s="25" t="s">
        <v>53</v>
      </c>
      <c r="F251" s="4">
        <v>25</v>
      </c>
      <c r="G251" s="4">
        <v>180</v>
      </c>
      <c r="H251" s="4">
        <v>53</v>
      </c>
      <c r="I251" s="4">
        <v>8.8</v>
      </c>
      <c r="J251" s="4">
        <v>3.45</v>
      </c>
    </row>
    <row r="252" spans="2:10">
      <c r="B252" s="4">
        <v>204</v>
      </c>
      <c r="C252" s="4">
        <v>43</v>
      </c>
      <c r="D252" s="24" t="s">
        <v>207</v>
      </c>
      <c r="E252" s="25" t="s">
        <v>53</v>
      </c>
      <c r="F252" s="4">
        <v>17.5</v>
      </c>
      <c r="G252" s="4">
        <v>192</v>
      </c>
      <c r="H252" s="4">
        <v>49</v>
      </c>
      <c r="I252" s="4">
        <v>8.8</v>
      </c>
      <c r="J252" s="4">
        <v>3.47</v>
      </c>
    </row>
    <row r="253" spans="2:10">
      <c r="B253" s="4">
        <v>204</v>
      </c>
      <c r="C253" s="4">
        <v>44</v>
      </c>
      <c r="D253" s="24" t="s">
        <v>208</v>
      </c>
      <c r="E253" s="25" t="s">
        <v>53</v>
      </c>
      <c r="F253" s="4">
        <v>23</v>
      </c>
      <c r="G253" s="4">
        <v>186</v>
      </c>
      <c r="H253" s="4">
        <v>51</v>
      </c>
      <c r="I253" s="4">
        <v>8.9</v>
      </c>
      <c r="J253" s="4">
        <v>3.42</v>
      </c>
    </row>
    <row r="254" spans="2:10">
      <c r="B254" s="4">
        <v>204</v>
      </c>
      <c r="C254" s="4">
        <v>45</v>
      </c>
      <c r="D254" s="24" t="s">
        <v>209</v>
      </c>
      <c r="E254" s="25" t="s">
        <v>53</v>
      </c>
      <c r="F254" s="4">
        <v>19.1</v>
      </c>
      <c r="G254" s="4">
        <v>210</v>
      </c>
      <c r="H254" s="4">
        <v>49</v>
      </c>
      <c r="I254" s="4">
        <v>8.4</v>
      </c>
      <c r="J254" s="4">
        <v>3.39</v>
      </c>
    </row>
    <row r="255" spans="2:10">
      <c r="B255" s="4">
        <v>204</v>
      </c>
      <c r="C255" s="4">
        <v>46</v>
      </c>
      <c r="D255" s="24" t="s">
        <v>210</v>
      </c>
      <c r="E255" s="25" t="s">
        <v>53</v>
      </c>
      <c r="F255" s="4">
        <v>28</v>
      </c>
      <c r="G255" s="4">
        <v>166</v>
      </c>
      <c r="H255" s="4">
        <v>42</v>
      </c>
      <c r="J255" s="4">
        <v>4.39</v>
      </c>
    </row>
    <row r="256" spans="2:10">
      <c r="B256" s="4">
        <v>204</v>
      </c>
      <c r="C256" s="4">
        <v>47</v>
      </c>
      <c r="D256" s="24" t="s">
        <v>211</v>
      </c>
      <c r="E256" s="25" t="s">
        <v>53</v>
      </c>
      <c r="F256" s="4">
        <v>11.5</v>
      </c>
      <c r="G256" s="4">
        <v>157</v>
      </c>
      <c r="H256" s="4">
        <v>44</v>
      </c>
      <c r="J256" s="4">
        <v>4.4</v>
      </c>
    </row>
    <row r="257" s="29" customFormat="1" spans="1:11">
      <c r="A257" s="33"/>
      <c r="B257" s="24"/>
      <c r="C257" s="26"/>
      <c r="D257" s="27"/>
      <c r="E257" s="27"/>
      <c r="F257" s="28"/>
      <c r="G257" s="28"/>
      <c r="H257" s="28"/>
      <c r="I257" s="28"/>
      <c r="J257" s="28"/>
      <c r="K257" s="26"/>
    </row>
    <row r="258" s="1" customFormat="1" spans="1:11">
      <c r="A258" s="33" t="s">
        <v>212</v>
      </c>
      <c r="B258" s="24" t="s">
        <v>1</v>
      </c>
      <c r="C258" s="26" t="s">
        <v>2</v>
      </c>
      <c r="D258" s="27" t="s">
        <v>3</v>
      </c>
      <c r="E258" s="27" t="s">
        <v>4</v>
      </c>
      <c r="F258" s="28" t="s">
        <v>5</v>
      </c>
      <c r="G258" s="28" t="s">
        <v>6</v>
      </c>
      <c r="H258" s="28" t="s">
        <v>7</v>
      </c>
      <c r="I258" s="28">
        <v>50</v>
      </c>
      <c r="J258" s="28" t="s">
        <v>8</v>
      </c>
      <c r="K258" s="26" t="s">
        <v>9</v>
      </c>
    </row>
    <row r="259" spans="2:11">
      <c r="B259" s="4">
        <v>205</v>
      </c>
      <c r="C259" s="4">
        <v>1</v>
      </c>
      <c r="D259" s="33" t="s">
        <v>213</v>
      </c>
      <c r="E259" s="25" t="s">
        <v>11</v>
      </c>
      <c r="I259" s="4">
        <v>7.1</v>
      </c>
      <c r="K259" s="4" t="s">
        <v>16</v>
      </c>
    </row>
    <row r="260" spans="2:10">
      <c r="B260" s="4">
        <v>205</v>
      </c>
      <c r="C260" s="4">
        <v>2</v>
      </c>
      <c r="D260" s="24" t="s">
        <v>214</v>
      </c>
      <c r="E260" s="25" t="s">
        <v>11</v>
      </c>
      <c r="F260" s="4">
        <v>7</v>
      </c>
      <c r="G260" s="4">
        <v>203</v>
      </c>
      <c r="H260" s="4">
        <v>0</v>
      </c>
      <c r="I260" s="4">
        <v>8</v>
      </c>
      <c r="J260" s="4">
        <v>5.17</v>
      </c>
    </row>
    <row r="261" spans="2:10">
      <c r="B261" s="4">
        <v>205</v>
      </c>
      <c r="C261" s="4">
        <v>3</v>
      </c>
      <c r="D261" s="24" t="s">
        <v>215</v>
      </c>
      <c r="E261" s="25" t="s">
        <v>11</v>
      </c>
      <c r="F261" s="4">
        <v>9.6</v>
      </c>
      <c r="G261" s="4">
        <v>236</v>
      </c>
      <c r="H261" s="4">
        <v>27</v>
      </c>
      <c r="I261" s="4">
        <v>7.3</v>
      </c>
      <c r="J261" s="4">
        <v>3.59</v>
      </c>
    </row>
    <row r="262" spans="2:10">
      <c r="B262" s="4">
        <v>205</v>
      </c>
      <c r="C262" s="4">
        <v>4</v>
      </c>
      <c r="D262" s="24" t="s">
        <v>216</v>
      </c>
      <c r="E262" s="25" t="s">
        <v>11</v>
      </c>
      <c r="F262" s="4">
        <v>7.5</v>
      </c>
      <c r="G262" s="4">
        <v>220</v>
      </c>
      <c r="H262" s="4">
        <v>20</v>
      </c>
      <c r="I262" s="4">
        <v>7.2</v>
      </c>
      <c r="J262" s="4">
        <v>3.5</v>
      </c>
    </row>
    <row r="263" spans="2:10">
      <c r="B263" s="4">
        <v>205</v>
      </c>
      <c r="C263" s="4">
        <v>5</v>
      </c>
      <c r="D263" s="24" t="s">
        <v>217</v>
      </c>
      <c r="E263" s="25" t="s">
        <v>11</v>
      </c>
      <c r="F263" s="4">
        <v>10.6</v>
      </c>
      <c r="G263" s="4">
        <v>190</v>
      </c>
      <c r="H263" s="4">
        <v>3</v>
      </c>
      <c r="I263" s="4">
        <v>8.1</v>
      </c>
      <c r="J263" s="4">
        <v>5.02</v>
      </c>
    </row>
    <row r="264" spans="2:5">
      <c r="B264" s="4">
        <v>205</v>
      </c>
      <c r="C264" s="4">
        <v>6</v>
      </c>
      <c r="D264" s="24" t="s">
        <v>218</v>
      </c>
      <c r="E264" s="25" t="s">
        <v>11</v>
      </c>
    </row>
    <row r="265" spans="2:10">
      <c r="B265" s="4">
        <v>205</v>
      </c>
      <c r="C265" s="4">
        <v>7</v>
      </c>
      <c r="D265" s="24" t="s">
        <v>219</v>
      </c>
      <c r="E265" s="25" t="s">
        <v>11</v>
      </c>
      <c r="F265" s="4">
        <v>2.3</v>
      </c>
      <c r="G265" s="4">
        <v>220</v>
      </c>
      <c r="H265" s="4">
        <v>0</v>
      </c>
      <c r="I265" s="4">
        <v>7.7</v>
      </c>
      <c r="J265" s="4">
        <v>4.38</v>
      </c>
    </row>
    <row r="266" spans="2:10">
      <c r="B266" s="4">
        <v>205</v>
      </c>
      <c r="C266" s="4">
        <v>8</v>
      </c>
      <c r="D266" s="24" t="s">
        <v>220</v>
      </c>
      <c r="E266" s="25" t="s">
        <v>11</v>
      </c>
      <c r="F266" s="4">
        <v>14</v>
      </c>
      <c r="G266" s="4">
        <v>219</v>
      </c>
      <c r="H266" s="4">
        <v>3</v>
      </c>
      <c r="I266" s="4">
        <v>7.4</v>
      </c>
      <c r="J266" s="4">
        <v>4.04</v>
      </c>
    </row>
    <row r="267" spans="2:5">
      <c r="B267" s="4">
        <v>205</v>
      </c>
      <c r="C267" s="4">
        <v>9</v>
      </c>
      <c r="D267" s="24" t="s">
        <v>221</v>
      </c>
      <c r="E267" s="25" t="s">
        <v>11</v>
      </c>
    </row>
    <row r="268" spans="2:10">
      <c r="B268" s="4">
        <v>205</v>
      </c>
      <c r="C268" s="4">
        <v>10</v>
      </c>
      <c r="D268" s="24" t="s">
        <v>222</v>
      </c>
      <c r="E268" s="25" t="s">
        <v>11</v>
      </c>
      <c r="F268" s="4">
        <v>14</v>
      </c>
      <c r="G268" s="4">
        <v>235</v>
      </c>
      <c r="H268" s="4">
        <v>17</v>
      </c>
      <c r="I268" s="4">
        <v>7.3</v>
      </c>
      <c r="J268" s="4">
        <v>4.08</v>
      </c>
    </row>
    <row r="270" s="1" customFormat="1" spans="1:11">
      <c r="A270" s="33" t="s">
        <v>223</v>
      </c>
      <c r="B270" s="24" t="s">
        <v>1</v>
      </c>
      <c r="C270" s="26" t="s">
        <v>2</v>
      </c>
      <c r="D270" s="27" t="s">
        <v>3</v>
      </c>
      <c r="E270" s="27" t="s">
        <v>4</v>
      </c>
      <c r="F270" s="28" t="s">
        <v>5</v>
      </c>
      <c r="G270" s="28" t="s">
        <v>6</v>
      </c>
      <c r="H270" s="28" t="s">
        <v>7</v>
      </c>
      <c r="I270" s="28">
        <v>50</v>
      </c>
      <c r="J270" s="28" t="s">
        <v>8</v>
      </c>
      <c r="K270" s="26" t="s">
        <v>9</v>
      </c>
    </row>
    <row r="271" spans="2:10">
      <c r="B271" s="4">
        <v>205</v>
      </c>
      <c r="C271" s="4">
        <v>11</v>
      </c>
      <c r="D271" s="33" t="s">
        <v>224</v>
      </c>
      <c r="E271" s="25" t="s">
        <v>11</v>
      </c>
      <c r="F271" s="4">
        <v>1</v>
      </c>
      <c r="G271" s="4">
        <v>243</v>
      </c>
      <c r="H271" s="4">
        <v>6</v>
      </c>
      <c r="J271" s="4">
        <v>3.51</v>
      </c>
    </row>
    <row r="272" spans="2:10">
      <c r="B272" s="4">
        <v>205</v>
      </c>
      <c r="C272" s="4">
        <v>12</v>
      </c>
      <c r="D272" s="24" t="s">
        <v>225</v>
      </c>
      <c r="E272" s="25" t="s">
        <v>11</v>
      </c>
      <c r="F272" s="4">
        <v>10</v>
      </c>
      <c r="G272" s="4">
        <v>190</v>
      </c>
      <c r="H272" s="4">
        <v>1</v>
      </c>
      <c r="I272" s="4">
        <v>8</v>
      </c>
      <c r="J272" s="4">
        <v>4.36</v>
      </c>
    </row>
    <row r="273" spans="2:10">
      <c r="B273" s="4">
        <v>205</v>
      </c>
      <c r="C273" s="4">
        <v>13</v>
      </c>
      <c r="D273" s="24" t="s">
        <v>226</v>
      </c>
      <c r="E273" s="25" t="s">
        <v>11</v>
      </c>
      <c r="F273" s="4">
        <v>14</v>
      </c>
      <c r="G273" s="4">
        <v>223</v>
      </c>
      <c r="H273" s="4">
        <v>5</v>
      </c>
      <c r="I273" s="4">
        <v>7.3</v>
      </c>
      <c r="J273" s="4">
        <v>4.14</v>
      </c>
    </row>
    <row r="274" spans="2:10">
      <c r="B274" s="4">
        <v>205</v>
      </c>
      <c r="C274" s="4">
        <v>14</v>
      </c>
      <c r="D274" s="24" t="s">
        <v>227</v>
      </c>
      <c r="E274" s="25" t="s">
        <v>11</v>
      </c>
      <c r="F274" s="4">
        <v>22.5</v>
      </c>
      <c r="G274" s="4">
        <v>247</v>
      </c>
      <c r="H274" s="4">
        <v>8</v>
      </c>
      <c r="I274" s="4">
        <v>7.4</v>
      </c>
      <c r="J274" s="4">
        <v>3.22</v>
      </c>
    </row>
    <row r="275" spans="2:10">
      <c r="B275" s="4">
        <v>205</v>
      </c>
      <c r="C275" s="4">
        <v>15</v>
      </c>
      <c r="D275" s="24" t="s">
        <v>228</v>
      </c>
      <c r="E275" s="25" t="s">
        <v>11</v>
      </c>
      <c r="F275" s="4">
        <v>2</v>
      </c>
      <c r="G275" s="4">
        <v>210</v>
      </c>
      <c r="H275" s="4">
        <v>5</v>
      </c>
      <c r="I275" s="4">
        <v>7.4</v>
      </c>
      <c r="J275" s="4">
        <v>4.09</v>
      </c>
    </row>
    <row r="276" spans="2:10">
      <c r="B276" s="4">
        <v>205</v>
      </c>
      <c r="C276" s="4">
        <v>16</v>
      </c>
      <c r="D276" s="24" t="s">
        <v>229</v>
      </c>
      <c r="E276" s="25" t="s">
        <v>11</v>
      </c>
      <c r="F276" s="4">
        <v>24.5</v>
      </c>
      <c r="G276" s="4">
        <v>250</v>
      </c>
      <c r="H276" s="4">
        <v>1</v>
      </c>
      <c r="I276" s="4">
        <v>7.2</v>
      </c>
      <c r="J276" s="4">
        <v>4.02</v>
      </c>
    </row>
    <row r="277" spans="2:10">
      <c r="B277" s="4">
        <v>205</v>
      </c>
      <c r="C277" s="4">
        <v>17</v>
      </c>
      <c r="D277" s="24" t="s">
        <v>230</v>
      </c>
      <c r="E277" s="25" t="s">
        <v>11</v>
      </c>
      <c r="F277" s="4">
        <v>7.5</v>
      </c>
      <c r="G277" s="4">
        <v>237</v>
      </c>
      <c r="H277" s="4">
        <v>12</v>
      </c>
      <c r="I277" s="4">
        <v>6.9</v>
      </c>
      <c r="J277" s="4">
        <v>3.54</v>
      </c>
    </row>
    <row r="278" spans="2:10">
      <c r="B278" s="4">
        <v>205</v>
      </c>
      <c r="C278" s="4">
        <v>18</v>
      </c>
      <c r="D278" s="24" t="s">
        <v>231</v>
      </c>
      <c r="E278" s="25" t="s">
        <v>11</v>
      </c>
      <c r="F278" s="4">
        <v>3</v>
      </c>
      <c r="G278" s="4">
        <v>250</v>
      </c>
      <c r="H278" s="4">
        <v>13</v>
      </c>
      <c r="I278" s="4">
        <v>7.1</v>
      </c>
      <c r="J278" s="4">
        <v>3.38</v>
      </c>
    </row>
    <row r="279" spans="2:10">
      <c r="B279" s="4">
        <v>205</v>
      </c>
      <c r="C279" s="4">
        <v>19</v>
      </c>
      <c r="D279" s="24" t="s">
        <v>232</v>
      </c>
      <c r="E279" s="25" t="s">
        <v>11</v>
      </c>
      <c r="F279" s="4">
        <v>17</v>
      </c>
      <c r="G279" s="4">
        <v>225</v>
      </c>
      <c r="H279" s="4">
        <v>17</v>
      </c>
      <c r="I279" s="4">
        <v>7.2</v>
      </c>
      <c r="J279" s="4">
        <v>4.12</v>
      </c>
    </row>
    <row r="280" spans="2:10">
      <c r="B280" s="4">
        <v>205</v>
      </c>
      <c r="C280" s="4">
        <v>20</v>
      </c>
      <c r="D280" s="24" t="s">
        <v>233</v>
      </c>
      <c r="E280" s="25" t="s">
        <v>11</v>
      </c>
      <c r="F280" s="4">
        <v>8</v>
      </c>
      <c r="G280" s="4">
        <v>265</v>
      </c>
      <c r="H280" s="4">
        <v>8</v>
      </c>
      <c r="I280" s="4">
        <v>7</v>
      </c>
      <c r="J280" s="4">
        <v>4.03</v>
      </c>
    </row>
    <row r="281" spans="4:5">
      <c r="D281" s="24"/>
      <c r="E281" s="25"/>
    </row>
    <row r="282" s="1" customFormat="1" spans="1:11">
      <c r="A282" s="33" t="s">
        <v>234</v>
      </c>
      <c r="B282" s="24" t="s">
        <v>1</v>
      </c>
      <c r="C282" s="26" t="s">
        <v>2</v>
      </c>
      <c r="D282" s="27" t="s">
        <v>3</v>
      </c>
      <c r="E282" s="27" t="s">
        <v>4</v>
      </c>
      <c r="F282" s="28" t="s">
        <v>5</v>
      </c>
      <c r="G282" s="28" t="s">
        <v>6</v>
      </c>
      <c r="H282" s="28" t="s">
        <v>7</v>
      </c>
      <c r="I282" s="28">
        <v>50</v>
      </c>
      <c r="J282" s="28" t="s">
        <v>8</v>
      </c>
      <c r="K282" s="26" t="s">
        <v>9</v>
      </c>
    </row>
    <row r="283" spans="2:10">
      <c r="B283" s="4">
        <v>205</v>
      </c>
      <c r="C283" s="4">
        <v>21</v>
      </c>
      <c r="D283" s="33" t="s">
        <v>235</v>
      </c>
      <c r="E283" s="25" t="s">
        <v>11</v>
      </c>
      <c r="F283" s="4">
        <v>-7</v>
      </c>
      <c r="G283" s="4">
        <v>237</v>
      </c>
      <c r="H283" s="4">
        <v>2</v>
      </c>
      <c r="I283" s="4">
        <v>7.5</v>
      </c>
      <c r="J283" s="4">
        <v>4.1</v>
      </c>
    </row>
    <row r="284" spans="2:11">
      <c r="B284" s="4">
        <v>205</v>
      </c>
      <c r="C284" s="4">
        <v>22</v>
      </c>
      <c r="D284" s="24" t="s">
        <v>236</v>
      </c>
      <c r="E284" s="25" t="s">
        <v>11</v>
      </c>
      <c r="G284" s="4">
        <v>236</v>
      </c>
      <c r="H284" s="4">
        <v>15</v>
      </c>
      <c r="I284" s="4">
        <v>7</v>
      </c>
      <c r="J284" s="4">
        <v>4.1</v>
      </c>
      <c r="K284" s="4" t="s">
        <v>146</v>
      </c>
    </row>
    <row r="285" spans="2:10">
      <c r="B285" s="4">
        <v>205</v>
      </c>
      <c r="C285" s="4">
        <v>23</v>
      </c>
      <c r="D285" s="24" t="s">
        <v>237</v>
      </c>
      <c r="E285" s="25" t="s">
        <v>11</v>
      </c>
      <c r="F285" s="4">
        <v>18</v>
      </c>
      <c r="G285" s="4">
        <v>228</v>
      </c>
      <c r="H285" s="4">
        <v>1</v>
      </c>
      <c r="I285" s="4">
        <v>7.5</v>
      </c>
      <c r="J285" s="4">
        <v>3.57</v>
      </c>
    </row>
    <row r="286" spans="2:11">
      <c r="B286" s="4">
        <v>205</v>
      </c>
      <c r="C286" s="4">
        <v>24</v>
      </c>
      <c r="D286" s="24" t="s">
        <v>238</v>
      </c>
      <c r="E286" s="25" t="s">
        <v>11</v>
      </c>
      <c r="I286" s="4">
        <v>7.1</v>
      </c>
      <c r="K286" s="4" t="s">
        <v>14</v>
      </c>
    </row>
    <row r="287" spans="2:10">
      <c r="B287" s="4">
        <v>205</v>
      </c>
      <c r="C287" s="4">
        <v>25</v>
      </c>
      <c r="D287" s="24" t="s">
        <v>239</v>
      </c>
      <c r="E287" s="25" t="s">
        <v>11</v>
      </c>
      <c r="F287" s="4">
        <v>15.5</v>
      </c>
      <c r="G287" s="4">
        <v>272</v>
      </c>
      <c r="H287" s="4">
        <v>10</v>
      </c>
      <c r="I287" s="4">
        <v>6.9</v>
      </c>
      <c r="J287" s="4">
        <v>3.3</v>
      </c>
    </row>
    <row r="288" spans="2:10">
      <c r="B288" s="4">
        <v>205</v>
      </c>
      <c r="C288" s="4">
        <v>26</v>
      </c>
      <c r="D288" s="24" t="s">
        <v>240</v>
      </c>
      <c r="E288" s="25" t="s">
        <v>11</v>
      </c>
      <c r="F288" s="4">
        <v>20</v>
      </c>
      <c r="G288" s="4">
        <v>238</v>
      </c>
      <c r="H288" s="4">
        <v>15</v>
      </c>
      <c r="I288" s="4">
        <v>7.4</v>
      </c>
      <c r="J288" s="4">
        <v>4.04</v>
      </c>
    </row>
    <row r="289" spans="2:10">
      <c r="B289" s="4">
        <v>205</v>
      </c>
      <c r="C289" s="4">
        <v>27</v>
      </c>
      <c r="D289" s="24" t="s">
        <v>241</v>
      </c>
      <c r="E289" s="25" t="s">
        <v>11</v>
      </c>
      <c r="F289" s="4">
        <v>15</v>
      </c>
      <c r="G289" s="4">
        <v>252</v>
      </c>
      <c r="H289" s="4">
        <v>4</v>
      </c>
      <c r="I289" s="4">
        <v>7</v>
      </c>
      <c r="J289" s="4">
        <v>4.05</v>
      </c>
    </row>
    <row r="290" spans="2:10">
      <c r="B290" s="4">
        <v>205</v>
      </c>
      <c r="C290" s="4">
        <v>28</v>
      </c>
      <c r="D290" s="24" t="s">
        <v>242</v>
      </c>
      <c r="E290" s="25" t="s">
        <v>11</v>
      </c>
      <c r="F290" s="4">
        <v>15</v>
      </c>
      <c r="G290" s="4">
        <v>279</v>
      </c>
      <c r="H290" s="4">
        <v>10</v>
      </c>
      <c r="I290" s="4">
        <v>7.3</v>
      </c>
      <c r="J290" s="4">
        <v>3.36</v>
      </c>
    </row>
    <row r="291" spans="2:10">
      <c r="B291" s="4">
        <v>205</v>
      </c>
      <c r="C291" s="4">
        <v>29</v>
      </c>
      <c r="D291" s="24" t="s">
        <v>243</v>
      </c>
      <c r="E291" s="25" t="s">
        <v>11</v>
      </c>
      <c r="F291" s="4">
        <v>18.5</v>
      </c>
      <c r="G291" s="4">
        <v>198</v>
      </c>
      <c r="H291" s="4">
        <v>5</v>
      </c>
      <c r="I291" s="4">
        <v>9.2</v>
      </c>
      <c r="J291" s="4">
        <v>4.17</v>
      </c>
    </row>
    <row r="292" spans="2:11">
      <c r="B292" s="4">
        <v>205</v>
      </c>
      <c r="C292" s="4">
        <v>30</v>
      </c>
      <c r="D292" s="24" t="s">
        <v>244</v>
      </c>
      <c r="E292" s="25" t="s">
        <v>11</v>
      </c>
      <c r="G292" s="4">
        <v>214</v>
      </c>
      <c r="H292" s="4">
        <v>2</v>
      </c>
      <c r="I292" s="4">
        <v>7.7</v>
      </c>
      <c r="J292" s="4">
        <v>4.39</v>
      </c>
      <c r="K292" s="4" t="s">
        <v>146</v>
      </c>
    </row>
    <row r="293" customFormat="1" spans="1:11">
      <c r="A293" s="4"/>
      <c r="B293" s="4"/>
      <c r="C293" s="4"/>
      <c r="D293" s="24"/>
      <c r="E293" s="25"/>
      <c r="F293" s="4"/>
      <c r="G293" s="4"/>
      <c r="H293" s="4"/>
      <c r="I293" s="4"/>
      <c r="J293" s="4"/>
      <c r="K293" s="4"/>
    </row>
    <row r="294" customFormat="1" spans="1:11">
      <c r="A294" s="4"/>
      <c r="B294" s="4"/>
      <c r="C294" s="4"/>
      <c r="D294" s="24"/>
      <c r="E294" s="25"/>
      <c r="F294" s="4"/>
      <c r="G294" s="4"/>
      <c r="H294" s="4"/>
      <c r="I294" s="4"/>
      <c r="J294" s="4"/>
      <c r="K294" s="4"/>
    </row>
    <row r="295" customFormat="1" spans="1:11">
      <c r="A295" s="4"/>
      <c r="B295" s="4"/>
      <c r="C295" s="4"/>
      <c r="D295" s="24"/>
      <c r="E295" s="25"/>
      <c r="F295" s="4"/>
      <c r="G295" s="4"/>
      <c r="H295" s="4"/>
      <c r="I295" s="4"/>
      <c r="J295" s="4"/>
      <c r="K295" s="4"/>
    </row>
    <row r="296" customFormat="1" spans="1:11">
      <c r="A296" s="4"/>
      <c r="B296" s="4"/>
      <c r="C296" s="4"/>
      <c r="D296" s="24"/>
      <c r="E296" s="25"/>
      <c r="F296" s="4"/>
      <c r="G296" s="4"/>
      <c r="H296" s="4"/>
      <c r="I296" s="4"/>
      <c r="J296" s="4"/>
      <c r="K296" s="4"/>
    </row>
    <row r="297" customFormat="1" spans="1:11">
      <c r="A297" s="4"/>
      <c r="B297" s="4"/>
      <c r="C297" s="4"/>
      <c r="D297" s="24"/>
      <c r="E297" s="25"/>
      <c r="F297" s="4"/>
      <c r="G297" s="4"/>
      <c r="H297" s="4"/>
      <c r="I297" s="4"/>
      <c r="J297" s="4"/>
      <c r="K297" s="4"/>
    </row>
    <row r="298" customFormat="1" spans="1:11">
      <c r="A298" s="4"/>
      <c r="B298" s="4"/>
      <c r="C298" s="4"/>
      <c r="D298" s="24"/>
      <c r="E298" s="25"/>
      <c r="F298" s="4"/>
      <c r="G298" s="4"/>
      <c r="H298" s="4"/>
      <c r="I298" s="4"/>
      <c r="J298" s="4"/>
      <c r="K298" s="4"/>
    </row>
    <row r="299" customFormat="1" spans="1:11">
      <c r="A299" s="4"/>
      <c r="B299" s="4"/>
      <c r="C299" s="4"/>
      <c r="D299" s="24"/>
      <c r="E299" s="25"/>
      <c r="F299" s="4"/>
      <c r="G299" s="4"/>
      <c r="H299" s="4"/>
      <c r="I299" s="4"/>
      <c r="J299" s="4"/>
      <c r="K299" s="4"/>
    </row>
    <row r="300" customFormat="1" spans="1:11">
      <c r="A300" s="4"/>
      <c r="B300" s="4"/>
      <c r="C300" s="4"/>
      <c r="D300" s="24"/>
      <c r="E300" s="25"/>
      <c r="F300" s="4"/>
      <c r="G300" s="4"/>
      <c r="H300" s="4"/>
      <c r="I300" s="4"/>
      <c r="J300" s="4"/>
      <c r="K300" s="4"/>
    </row>
    <row r="301" customFormat="1" spans="1:11">
      <c r="A301" s="4"/>
      <c r="B301" s="4"/>
      <c r="C301" s="4"/>
      <c r="D301" s="24"/>
      <c r="E301" s="25"/>
      <c r="F301" s="4"/>
      <c r="G301" s="4"/>
      <c r="H301" s="4"/>
      <c r="I301" s="4"/>
      <c r="J301" s="4"/>
      <c r="K301" s="4"/>
    </row>
    <row r="302" customFormat="1" spans="1:11">
      <c r="A302" s="4"/>
      <c r="B302" s="4"/>
      <c r="C302" s="4"/>
      <c r="D302" s="24"/>
      <c r="E302" s="25"/>
      <c r="F302" s="4"/>
      <c r="G302" s="4"/>
      <c r="H302" s="4"/>
      <c r="I302" s="4"/>
      <c r="J302" s="4"/>
      <c r="K302" s="4"/>
    </row>
    <row r="303" customFormat="1" spans="1:11">
      <c r="A303" s="4"/>
      <c r="B303" s="4"/>
      <c r="C303" s="4"/>
      <c r="D303" s="24"/>
      <c r="E303" s="25"/>
      <c r="F303" s="4"/>
      <c r="G303" s="4"/>
      <c r="H303" s="4"/>
      <c r="I303" s="4"/>
      <c r="J303" s="4"/>
      <c r="K303" s="4"/>
    </row>
    <row r="304" customFormat="1" spans="1:11">
      <c r="A304" s="4"/>
      <c r="B304" s="4"/>
      <c r="C304" s="4"/>
      <c r="D304" s="24"/>
      <c r="E304" s="25"/>
      <c r="F304" s="4"/>
      <c r="G304" s="4"/>
      <c r="H304" s="4"/>
      <c r="I304" s="4"/>
      <c r="J304" s="4"/>
      <c r="K304" s="4"/>
    </row>
    <row r="305" s="1" customFormat="1" spans="1:11">
      <c r="A305" s="33" t="s">
        <v>245</v>
      </c>
      <c r="B305" s="24" t="s">
        <v>1</v>
      </c>
      <c r="C305" s="26" t="s">
        <v>2</v>
      </c>
      <c r="D305" s="27" t="s">
        <v>3</v>
      </c>
      <c r="E305" s="27" t="s">
        <v>4</v>
      </c>
      <c r="F305" s="28" t="s">
        <v>5</v>
      </c>
      <c r="G305" s="28" t="s">
        <v>6</v>
      </c>
      <c r="H305" s="28" t="s">
        <v>7</v>
      </c>
      <c r="I305" s="28">
        <v>50</v>
      </c>
      <c r="J305" s="28" t="s">
        <v>8</v>
      </c>
      <c r="K305" s="26" t="s">
        <v>9</v>
      </c>
    </row>
    <row r="306" spans="2:10">
      <c r="B306" s="4">
        <v>205</v>
      </c>
      <c r="C306" s="4">
        <v>31</v>
      </c>
      <c r="D306" s="33" t="s">
        <v>246</v>
      </c>
      <c r="E306" s="25" t="s">
        <v>11</v>
      </c>
      <c r="F306" s="4">
        <v>22.5</v>
      </c>
      <c r="G306" s="4">
        <v>247</v>
      </c>
      <c r="H306" s="4">
        <v>9</v>
      </c>
      <c r="I306" s="4">
        <v>7</v>
      </c>
      <c r="J306" s="4">
        <v>4.04</v>
      </c>
    </row>
    <row r="307" spans="2:11">
      <c r="B307" s="4">
        <v>205</v>
      </c>
      <c r="C307" s="4">
        <v>32</v>
      </c>
      <c r="D307" s="24" t="s">
        <v>247</v>
      </c>
      <c r="E307" s="25" t="s">
        <v>11</v>
      </c>
      <c r="H307" s="4">
        <v>0</v>
      </c>
      <c r="I307" s="4">
        <v>8.4</v>
      </c>
      <c r="J307" s="4">
        <v>4.47</v>
      </c>
      <c r="K307" s="4" t="s">
        <v>16</v>
      </c>
    </row>
    <row r="308" spans="2:10">
      <c r="B308" s="4">
        <v>205</v>
      </c>
      <c r="C308" s="4">
        <v>33</v>
      </c>
      <c r="D308" s="24" t="s">
        <v>248</v>
      </c>
      <c r="E308" s="25" t="s">
        <v>11</v>
      </c>
      <c r="F308" s="4">
        <v>3.2</v>
      </c>
      <c r="G308" s="4">
        <v>218</v>
      </c>
      <c r="H308" s="4">
        <v>0</v>
      </c>
      <c r="I308" s="4">
        <v>8.2</v>
      </c>
      <c r="J308" s="4">
        <v>4.5</v>
      </c>
    </row>
    <row r="309" spans="2:10">
      <c r="B309" s="4">
        <v>205</v>
      </c>
      <c r="C309" s="4">
        <v>34</v>
      </c>
      <c r="D309" s="24" t="s">
        <v>249</v>
      </c>
      <c r="E309" s="25" t="s">
        <v>11</v>
      </c>
      <c r="F309" s="4">
        <v>19</v>
      </c>
      <c r="G309" s="4">
        <v>242</v>
      </c>
      <c r="H309" s="4">
        <v>17</v>
      </c>
      <c r="I309" s="4">
        <v>7.7</v>
      </c>
      <c r="J309" s="4">
        <v>4.07</v>
      </c>
    </row>
    <row r="310" spans="2:10">
      <c r="B310" s="4">
        <v>205</v>
      </c>
      <c r="C310" s="4">
        <v>35</v>
      </c>
      <c r="D310" s="24" t="s">
        <v>250</v>
      </c>
      <c r="E310" s="25" t="s">
        <v>11</v>
      </c>
      <c r="F310" s="4">
        <v>-11.6</v>
      </c>
      <c r="G310" s="4">
        <v>217</v>
      </c>
      <c r="H310" s="4">
        <v>3</v>
      </c>
      <c r="I310" s="4">
        <v>7.5</v>
      </c>
      <c r="J310" s="4">
        <v>3.54</v>
      </c>
    </row>
    <row r="311" spans="2:10">
      <c r="B311" s="4">
        <v>205</v>
      </c>
      <c r="C311" s="4">
        <v>36</v>
      </c>
      <c r="D311" s="24" t="s">
        <v>251</v>
      </c>
      <c r="E311" s="25" t="s">
        <v>11</v>
      </c>
      <c r="F311" s="4">
        <v>8.9</v>
      </c>
      <c r="G311" s="4">
        <v>260</v>
      </c>
      <c r="H311" s="4">
        <v>10</v>
      </c>
      <c r="I311" s="4">
        <v>6.7</v>
      </c>
      <c r="J311" s="4">
        <v>3.26</v>
      </c>
    </row>
    <row r="312" spans="2:10">
      <c r="B312" s="4">
        <v>205</v>
      </c>
      <c r="C312" s="4">
        <v>37</v>
      </c>
      <c r="D312" s="24" t="s">
        <v>252</v>
      </c>
      <c r="E312" s="25" t="s">
        <v>11</v>
      </c>
      <c r="F312" s="4">
        <v>16</v>
      </c>
      <c r="G312" s="4">
        <v>225</v>
      </c>
      <c r="H312" s="4">
        <v>3</v>
      </c>
      <c r="I312" s="4">
        <v>7</v>
      </c>
      <c r="J312" s="4">
        <v>4.08</v>
      </c>
    </row>
    <row r="313" spans="2:10">
      <c r="B313" s="4">
        <v>205</v>
      </c>
      <c r="C313" s="4">
        <v>38</v>
      </c>
      <c r="D313" s="24" t="s">
        <v>253</v>
      </c>
      <c r="E313" s="25" t="s">
        <v>11</v>
      </c>
      <c r="F313" s="4">
        <v>19</v>
      </c>
      <c r="G313" s="4">
        <v>235</v>
      </c>
      <c r="H313" s="4">
        <v>7</v>
      </c>
      <c r="I313" s="4">
        <v>7.5</v>
      </c>
      <c r="J313" s="4">
        <v>4.07</v>
      </c>
    </row>
    <row r="314" spans="2:10">
      <c r="B314" s="4">
        <v>205</v>
      </c>
      <c r="C314" s="4">
        <v>39</v>
      </c>
      <c r="D314" s="24" t="s">
        <v>254</v>
      </c>
      <c r="E314" s="25" t="s">
        <v>11</v>
      </c>
      <c r="F314" s="4">
        <v>12</v>
      </c>
      <c r="G314" s="4">
        <v>265</v>
      </c>
      <c r="H314" s="4">
        <v>12</v>
      </c>
      <c r="J314" s="4">
        <v>3.24</v>
      </c>
    </row>
    <row r="316" s="1" customFormat="1" spans="1:11">
      <c r="A316" s="33" t="s">
        <v>255</v>
      </c>
      <c r="B316" s="24" t="s">
        <v>1</v>
      </c>
      <c r="C316" s="26" t="s">
        <v>2</v>
      </c>
      <c r="D316" s="27" t="s">
        <v>3</v>
      </c>
      <c r="E316" s="27" t="s">
        <v>4</v>
      </c>
      <c r="F316" s="28" t="s">
        <v>5</v>
      </c>
      <c r="G316" s="28" t="s">
        <v>6</v>
      </c>
      <c r="H316" s="28" t="s">
        <v>7</v>
      </c>
      <c r="I316" s="28">
        <v>50</v>
      </c>
      <c r="J316" s="28" t="s">
        <v>8</v>
      </c>
      <c r="K316" s="26" t="s">
        <v>9</v>
      </c>
    </row>
    <row r="317" spans="2:10">
      <c r="B317" s="4">
        <v>205</v>
      </c>
      <c r="C317" s="4">
        <v>40</v>
      </c>
      <c r="D317" s="33" t="s">
        <v>256</v>
      </c>
      <c r="E317" s="25" t="s">
        <v>53</v>
      </c>
      <c r="F317" s="4">
        <v>18.4</v>
      </c>
      <c r="G317" s="4">
        <v>172</v>
      </c>
      <c r="H317" s="4">
        <v>48</v>
      </c>
      <c r="I317" s="4">
        <v>9.1</v>
      </c>
      <c r="J317" s="4">
        <v>3.5</v>
      </c>
    </row>
    <row r="318" spans="2:10">
      <c r="B318" s="4">
        <v>205</v>
      </c>
      <c r="C318" s="4">
        <v>41</v>
      </c>
      <c r="D318" s="24" t="s">
        <v>257</v>
      </c>
      <c r="E318" s="25" t="s">
        <v>53</v>
      </c>
      <c r="F318" s="4">
        <v>28.4</v>
      </c>
      <c r="G318" s="4">
        <v>200</v>
      </c>
      <c r="H318" s="4">
        <v>57</v>
      </c>
      <c r="I318" s="4">
        <v>8.2</v>
      </c>
      <c r="J318" s="4">
        <v>3.27</v>
      </c>
    </row>
    <row r="319" spans="2:10">
      <c r="B319" s="4">
        <v>205</v>
      </c>
      <c r="C319" s="4">
        <v>42</v>
      </c>
      <c r="D319" s="24" t="s">
        <v>258</v>
      </c>
      <c r="E319" s="25" t="s">
        <v>53</v>
      </c>
      <c r="F319" s="4">
        <v>13.5</v>
      </c>
      <c r="G319" s="4">
        <v>185</v>
      </c>
      <c r="H319" s="4">
        <v>60</v>
      </c>
      <c r="I319" s="4">
        <v>8.7</v>
      </c>
      <c r="J319" s="4">
        <v>3.42</v>
      </c>
    </row>
    <row r="320" spans="2:10">
      <c r="B320" s="4">
        <v>205</v>
      </c>
      <c r="C320" s="4">
        <v>43</v>
      </c>
      <c r="D320" s="24" t="s">
        <v>259</v>
      </c>
      <c r="E320" s="25" t="s">
        <v>53</v>
      </c>
      <c r="F320" s="4">
        <v>27.7</v>
      </c>
      <c r="G320" s="4">
        <v>165</v>
      </c>
      <c r="H320" s="4">
        <v>53</v>
      </c>
      <c r="I320" s="4">
        <v>9.3</v>
      </c>
      <c r="J320" s="4">
        <v>3.5</v>
      </c>
    </row>
    <row r="321" spans="2:10">
      <c r="B321" s="4">
        <v>205</v>
      </c>
      <c r="C321" s="4">
        <v>44</v>
      </c>
      <c r="D321" s="24" t="s">
        <v>260</v>
      </c>
      <c r="E321" s="25" t="s">
        <v>53</v>
      </c>
      <c r="F321" s="4">
        <v>16.5</v>
      </c>
      <c r="G321" s="4">
        <v>165</v>
      </c>
      <c r="H321" s="4">
        <v>48</v>
      </c>
      <c r="I321" s="4">
        <v>9.2</v>
      </c>
      <c r="J321" s="4">
        <v>3.53</v>
      </c>
    </row>
    <row r="322" spans="2:10">
      <c r="B322" s="4">
        <v>205</v>
      </c>
      <c r="C322" s="4">
        <v>45</v>
      </c>
      <c r="D322" s="24" t="s">
        <v>261</v>
      </c>
      <c r="E322" s="25" t="s">
        <v>53</v>
      </c>
      <c r="F322" s="4">
        <v>23.1</v>
      </c>
      <c r="G322" s="4">
        <v>191</v>
      </c>
      <c r="H322" s="4">
        <v>57</v>
      </c>
      <c r="I322" s="4">
        <v>8.4</v>
      </c>
      <c r="J322" s="4">
        <v>3.26</v>
      </c>
    </row>
    <row r="323" spans="2:10">
      <c r="B323" s="4">
        <v>205</v>
      </c>
      <c r="C323" s="4">
        <v>46</v>
      </c>
      <c r="D323" s="24" t="s">
        <v>262</v>
      </c>
      <c r="E323" s="25" t="s">
        <v>53</v>
      </c>
      <c r="F323" s="4">
        <v>23</v>
      </c>
      <c r="G323" s="4">
        <v>183</v>
      </c>
      <c r="H323" s="4">
        <v>59</v>
      </c>
      <c r="I323" s="4">
        <v>8.9</v>
      </c>
      <c r="J323" s="4">
        <v>3.36</v>
      </c>
    </row>
    <row r="324" spans="2:10">
      <c r="B324" s="4">
        <v>205</v>
      </c>
      <c r="C324" s="4">
        <v>47</v>
      </c>
      <c r="D324" s="24" t="s">
        <v>263</v>
      </c>
      <c r="E324" s="25" t="s">
        <v>53</v>
      </c>
      <c r="F324" s="4">
        <v>22.8</v>
      </c>
      <c r="G324" s="4">
        <v>165</v>
      </c>
      <c r="H324" s="4">
        <v>46</v>
      </c>
      <c r="I324" s="4">
        <v>9.3</v>
      </c>
      <c r="J324" s="4">
        <v>3.51</v>
      </c>
    </row>
    <row r="325" spans="2:10">
      <c r="B325" s="4">
        <v>205</v>
      </c>
      <c r="C325" s="4">
        <v>48</v>
      </c>
      <c r="D325" s="24" t="s">
        <v>264</v>
      </c>
      <c r="E325" s="25" t="s">
        <v>53</v>
      </c>
      <c r="F325" s="4">
        <v>22.2</v>
      </c>
      <c r="G325" s="4">
        <v>210</v>
      </c>
      <c r="H325" s="4">
        <v>45</v>
      </c>
      <c r="I325" s="4">
        <v>8.3</v>
      </c>
      <c r="J325" s="4">
        <v>3.29</v>
      </c>
    </row>
    <row r="326" spans="2:11">
      <c r="B326" s="4">
        <v>205</v>
      </c>
      <c r="C326" s="4">
        <v>49</v>
      </c>
      <c r="D326" s="24" t="s">
        <v>265</v>
      </c>
      <c r="E326" s="25" t="s">
        <v>53</v>
      </c>
      <c r="K326" s="4" t="s">
        <v>89</v>
      </c>
    </row>
    <row r="327" spans="2:11">
      <c r="B327" s="4">
        <v>205</v>
      </c>
      <c r="C327" s="4">
        <v>50</v>
      </c>
      <c r="D327" s="24" t="s">
        <v>266</v>
      </c>
      <c r="E327" s="25" t="s">
        <v>53</v>
      </c>
      <c r="K327" s="4" t="s">
        <v>14</v>
      </c>
    </row>
    <row r="328" spans="2:10">
      <c r="B328" s="4">
        <v>205</v>
      </c>
      <c r="C328" s="4">
        <v>51</v>
      </c>
      <c r="D328" s="24" t="s">
        <v>267</v>
      </c>
      <c r="E328" s="25" t="s">
        <v>53</v>
      </c>
      <c r="F328" s="4">
        <v>26.7</v>
      </c>
      <c r="G328" s="4">
        <v>191</v>
      </c>
      <c r="H328" s="4">
        <v>53</v>
      </c>
      <c r="I328" s="4">
        <v>8.5</v>
      </c>
      <c r="J328" s="4">
        <v>3.32</v>
      </c>
    </row>
    <row r="329" customFormat="1" spans="1:11">
      <c r="A329" s="4"/>
      <c r="B329" s="4"/>
      <c r="C329" s="4"/>
      <c r="D329" s="24"/>
      <c r="E329" s="25"/>
      <c r="F329" s="4"/>
      <c r="G329" s="4"/>
      <c r="H329" s="4"/>
      <c r="I329" s="4"/>
      <c r="J329" s="4"/>
      <c r="K329" s="4"/>
    </row>
    <row r="330" customFormat="1" spans="1:11">
      <c r="A330" s="4"/>
      <c r="B330" s="4"/>
      <c r="C330" s="4"/>
      <c r="D330" s="24"/>
      <c r="E330" s="25"/>
      <c r="F330" s="4"/>
      <c r="G330" s="4"/>
      <c r="H330" s="4"/>
      <c r="I330" s="4"/>
      <c r="J330" s="4"/>
      <c r="K330" s="4"/>
    </row>
    <row r="331" customFormat="1" spans="1:11">
      <c r="A331" s="4"/>
      <c r="B331" s="4"/>
      <c r="C331" s="4"/>
      <c r="D331" s="24"/>
      <c r="E331" s="25"/>
      <c r="F331" s="4"/>
      <c r="G331" s="4"/>
      <c r="H331" s="4"/>
      <c r="I331" s="4"/>
      <c r="J331" s="4"/>
      <c r="K331" s="4"/>
    </row>
    <row r="332" customFormat="1" spans="1:11">
      <c r="A332" s="4"/>
      <c r="B332" s="4"/>
      <c r="C332" s="4"/>
      <c r="D332" s="24"/>
      <c r="E332" s="25"/>
      <c r="F332" s="4"/>
      <c r="G332" s="4"/>
      <c r="H332" s="4"/>
      <c r="I332" s="4"/>
      <c r="J332" s="4"/>
      <c r="K332" s="4"/>
    </row>
    <row r="333" customFormat="1" spans="1:11">
      <c r="A333" s="4"/>
      <c r="B333" s="4"/>
      <c r="C333" s="4"/>
      <c r="D333" s="24"/>
      <c r="E333" s="25"/>
      <c r="F333" s="4"/>
      <c r="G333" s="4"/>
      <c r="H333" s="4"/>
      <c r="I333" s="4"/>
      <c r="J333" s="4"/>
      <c r="K333" s="4"/>
    </row>
    <row r="334" customFormat="1" spans="1:11">
      <c r="A334" s="4"/>
      <c r="B334" s="4"/>
      <c r="C334" s="4"/>
      <c r="D334" s="24"/>
      <c r="E334" s="25"/>
      <c r="F334" s="4"/>
      <c r="G334" s="4"/>
      <c r="H334" s="4"/>
      <c r="I334" s="4"/>
      <c r="J334" s="4"/>
      <c r="K334" s="4"/>
    </row>
    <row r="335" customFormat="1" spans="1:11">
      <c r="A335" s="4"/>
      <c r="B335" s="4"/>
      <c r="C335" s="4"/>
      <c r="D335" s="24"/>
      <c r="E335" s="25"/>
      <c r="F335" s="4"/>
      <c r="G335" s="4"/>
      <c r="H335" s="4"/>
      <c r="I335" s="4"/>
      <c r="J335" s="4"/>
      <c r="K335" s="4"/>
    </row>
    <row r="336" customFormat="1" spans="1:11">
      <c r="A336" s="4"/>
      <c r="B336" s="4"/>
      <c r="C336" s="4"/>
      <c r="D336" s="24"/>
      <c r="E336" s="25"/>
      <c r="F336" s="4"/>
      <c r="G336" s="4"/>
      <c r="H336" s="4"/>
      <c r="I336" s="4"/>
      <c r="J336" s="4"/>
      <c r="K336" s="4"/>
    </row>
    <row r="337" customFormat="1" spans="1:11">
      <c r="A337" s="4"/>
      <c r="B337" s="4"/>
      <c r="C337" s="4"/>
      <c r="D337" s="24"/>
      <c r="E337" s="25"/>
      <c r="F337" s="4"/>
      <c r="G337" s="4"/>
      <c r="H337" s="4"/>
      <c r="I337" s="4"/>
      <c r="J337" s="4"/>
      <c r="K337" s="4"/>
    </row>
    <row r="338" s="1" customFormat="1" spans="1:11">
      <c r="A338" s="33" t="s">
        <v>268</v>
      </c>
      <c r="B338" s="24" t="s">
        <v>1</v>
      </c>
      <c r="C338" s="26" t="s">
        <v>2</v>
      </c>
      <c r="D338" s="27" t="s">
        <v>3</v>
      </c>
      <c r="E338" s="27" t="s">
        <v>4</v>
      </c>
      <c r="F338" s="28" t="s">
        <v>5</v>
      </c>
      <c r="G338" s="28" t="s">
        <v>6</v>
      </c>
      <c r="H338" s="28" t="s">
        <v>7</v>
      </c>
      <c r="I338" s="28">
        <v>50</v>
      </c>
      <c r="J338" s="28" t="s">
        <v>8</v>
      </c>
      <c r="K338" s="26" t="s">
        <v>9</v>
      </c>
    </row>
    <row r="339" spans="2:10">
      <c r="B339" s="4">
        <v>206</v>
      </c>
      <c r="C339" s="4">
        <v>1</v>
      </c>
      <c r="D339" s="33" t="s">
        <v>269</v>
      </c>
      <c r="E339" s="25" t="s">
        <v>11</v>
      </c>
      <c r="F339" s="4">
        <v>13</v>
      </c>
      <c r="G339" s="4">
        <v>253</v>
      </c>
      <c r="H339" s="4">
        <v>20</v>
      </c>
      <c r="I339" s="4">
        <v>7.3</v>
      </c>
      <c r="J339" s="4">
        <v>4.18</v>
      </c>
    </row>
    <row r="340" spans="2:10">
      <c r="B340" s="4">
        <v>206</v>
      </c>
      <c r="C340" s="4">
        <v>2</v>
      </c>
      <c r="D340" s="24" t="s">
        <v>270</v>
      </c>
      <c r="E340" s="25" t="s">
        <v>11</v>
      </c>
      <c r="F340" s="4">
        <v>8.5</v>
      </c>
      <c r="G340" s="4">
        <v>237</v>
      </c>
      <c r="H340" s="4">
        <v>3</v>
      </c>
      <c r="I340" s="4">
        <v>7.1</v>
      </c>
      <c r="J340" s="4">
        <v>4.21</v>
      </c>
    </row>
    <row r="341" spans="2:10">
      <c r="B341" s="4">
        <v>206</v>
      </c>
      <c r="C341" s="4">
        <v>3</v>
      </c>
      <c r="D341" s="24" t="s">
        <v>271</v>
      </c>
      <c r="E341" s="25" t="s">
        <v>11</v>
      </c>
      <c r="F341" s="4">
        <v>18</v>
      </c>
      <c r="G341" s="4">
        <v>260</v>
      </c>
      <c r="H341" s="4">
        <v>20</v>
      </c>
      <c r="I341" s="4">
        <v>7.2</v>
      </c>
      <c r="J341" s="4">
        <v>4.39</v>
      </c>
    </row>
    <row r="342" spans="2:11">
      <c r="B342" s="4">
        <v>206</v>
      </c>
      <c r="C342" s="4">
        <v>4</v>
      </c>
      <c r="D342" s="24" t="s">
        <v>272</v>
      </c>
      <c r="E342" s="25" t="s">
        <v>11</v>
      </c>
      <c r="K342" s="4" t="s">
        <v>14</v>
      </c>
    </row>
    <row r="343" spans="2:10">
      <c r="B343" s="4">
        <v>206</v>
      </c>
      <c r="C343" s="4">
        <v>5</v>
      </c>
      <c r="D343" s="24" t="s">
        <v>273</v>
      </c>
      <c r="E343" s="25" t="s">
        <v>11</v>
      </c>
      <c r="F343" s="4">
        <v>25</v>
      </c>
      <c r="G343" s="4">
        <v>240</v>
      </c>
      <c r="H343" s="4">
        <v>19</v>
      </c>
      <c r="I343" s="4">
        <v>7.2</v>
      </c>
      <c r="J343" s="4">
        <v>3.4</v>
      </c>
    </row>
    <row r="344" spans="2:10">
      <c r="B344" s="4">
        <v>206</v>
      </c>
      <c r="C344" s="4">
        <v>6</v>
      </c>
      <c r="D344" s="24" t="s">
        <v>274</v>
      </c>
      <c r="E344" s="25" t="s">
        <v>11</v>
      </c>
      <c r="F344" s="4">
        <v>16.6</v>
      </c>
      <c r="G344" s="4">
        <v>200</v>
      </c>
      <c r="H344" s="4">
        <v>10</v>
      </c>
      <c r="I344" s="4">
        <v>7.6</v>
      </c>
      <c r="J344" s="4">
        <v>4.4</v>
      </c>
    </row>
    <row r="345" spans="2:11">
      <c r="B345" s="4">
        <v>206</v>
      </c>
      <c r="C345" s="4">
        <v>7</v>
      </c>
      <c r="D345" s="24" t="s">
        <v>275</v>
      </c>
      <c r="E345" s="25" t="s">
        <v>11</v>
      </c>
      <c r="K345" s="4" t="s">
        <v>14</v>
      </c>
    </row>
    <row r="346" spans="2:10">
      <c r="B346" s="4">
        <v>206</v>
      </c>
      <c r="C346" s="4">
        <v>8</v>
      </c>
      <c r="D346" s="24" t="s">
        <v>276</v>
      </c>
      <c r="E346" s="25" t="s">
        <v>11</v>
      </c>
      <c r="F346" s="4">
        <v>7.4</v>
      </c>
      <c r="G346" s="4">
        <v>235</v>
      </c>
      <c r="H346" s="4">
        <v>13</v>
      </c>
      <c r="I346" s="4">
        <v>7</v>
      </c>
      <c r="J346" s="4">
        <v>3.53</v>
      </c>
    </row>
    <row r="347" spans="2:10">
      <c r="B347" s="4">
        <v>206</v>
      </c>
      <c r="C347" s="4">
        <v>9</v>
      </c>
      <c r="D347" s="24" t="s">
        <v>277</v>
      </c>
      <c r="E347" s="25" t="s">
        <v>11</v>
      </c>
      <c r="F347" s="4">
        <v>6.1</v>
      </c>
      <c r="G347" s="4">
        <v>185</v>
      </c>
      <c r="H347" s="4">
        <v>4</v>
      </c>
      <c r="I347" s="4">
        <v>7.5</v>
      </c>
      <c r="J347" s="4">
        <v>4.08</v>
      </c>
    </row>
    <row r="348" spans="2:10">
      <c r="B348" s="4">
        <v>206</v>
      </c>
      <c r="C348" s="4">
        <v>10</v>
      </c>
      <c r="D348" s="24" t="s">
        <v>278</v>
      </c>
      <c r="E348" s="25" t="s">
        <v>11</v>
      </c>
      <c r="F348" s="4">
        <v>13</v>
      </c>
      <c r="G348" s="4">
        <v>230</v>
      </c>
      <c r="H348" s="4">
        <v>3</v>
      </c>
      <c r="I348" s="4">
        <v>7.1</v>
      </c>
      <c r="J348" s="4">
        <v>3.39</v>
      </c>
    </row>
    <row r="349" customFormat="1" spans="1:11">
      <c r="A349" s="4"/>
      <c r="B349" s="4"/>
      <c r="C349" s="4"/>
      <c r="D349" s="24"/>
      <c r="E349" s="25"/>
      <c r="F349" s="4"/>
      <c r="G349" s="4"/>
      <c r="H349" s="4"/>
      <c r="I349" s="4"/>
      <c r="J349" s="4"/>
      <c r="K349" s="4"/>
    </row>
    <row r="350" customFormat="1" spans="1:11">
      <c r="A350" s="4"/>
      <c r="B350" s="4"/>
      <c r="C350" s="4"/>
      <c r="D350" s="24"/>
      <c r="E350" s="25"/>
      <c r="F350" s="4"/>
      <c r="G350" s="4"/>
      <c r="H350" s="4"/>
      <c r="I350" s="4"/>
      <c r="J350" s="4"/>
      <c r="K350" s="4"/>
    </row>
    <row r="351" s="1" customFormat="1" spans="1:11">
      <c r="A351" s="33" t="s">
        <v>279</v>
      </c>
      <c r="B351" s="24" t="s">
        <v>1</v>
      </c>
      <c r="C351" s="26" t="s">
        <v>2</v>
      </c>
      <c r="D351" s="27" t="s">
        <v>3</v>
      </c>
      <c r="E351" s="27" t="s">
        <v>4</v>
      </c>
      <c r="F351" s="28" t="s">
        <v>5</v>
      </c>
      <c r="G351" s="28" t="s">
        <v>6</v>
      </c>
      <c r="H351" s="28" t="s">
        <v>7</v>
      </c>
      <c r="I351" s="28">
        <v>50</v>
      </c>
      <c r="J351" s="28" t="s">
        <v>8</v>
      </c>
      <c r="K351" s="26" t="s">
        <v>9</v>
      </c>
    </row>
    <row r="352" spans="2:10">
      <c r="B352" s="4">
        <v>206</v>
      </c>
      <c r="C352" s="4">
        <v>11</v>
      </c>
      <c r="D352" s="33" t="s">
        <v>280</v>
      </c>
      <c r="E352" s="25" t="s">
        <v>11</v>
      </c>
      <c r="F352" s="4">
        <v>6.8</v>
      </c>
      <c r="G352" s="4">
        <v>194</v>
      </c>
      <c r="H352" s="4">
        <v>5</v>
      </c>
      <c r="I352" s="4">
        <v>8</v>
      </c>
      <c r="J352" s="4">
        <v>4.16</v>
      </c>
    </row>
    <row r="353" spans="2:10">
      <c r="B353" s="4">
        <v>206</v>
      </c>
      <c r="C353" s="4">
        <v>12</v>
      </c>
      <c r="D353" s="24" t="s">
        <v>281</v>
      </c>
      <c r="E353" s="25" t="s">
        <v>11</v>
      </c>
      <c r="F353" s="4">
        <v>9.9</v>
      </c>
      <c r="G353" s="4">
        <v>172</v>
      </c>
      <c r="H353" s="4">
        <v>0</v>
      </c>
      <c r="I353" s="4">
        <v>9.4</v>
      </c>
      <c r="J353" s="4">
        <v>4.36</v>
      </c>
    </row>
    <row r="354" spans="2:10">
      <c r="B354" s="4">
        <v>206</v>
      </c>
      <c r="C354" s="4">
        <v>13</v>
      </c>
      <c r="D354" s="24" t="s">
        <v>282</v>
      </c>
      <c r="E354" s="25" t="s">
        <v>11</v>
      </c>
      <c r="F354" s="4">
        <v>19.4</v>
      </c>
      <c r="G354" s="4">
        <v>256</v>
      </c>
      <c r="H354" s="4">
        <v>20</v>
      </c>
      <c r="J354" s="4">
        <v>3.29</v>
      </c>
    </row>
    <row r="355" spans="2:10">
      <c r="B355" s="4">
        <v>206</v>
      </c>
      <c r="C355" s="4">
        <v>14</v>
      </c>
      <c r="D355" s="24" t="s">
        <v>283</v>
      </c>
      <c r="E355" s="25" t="s">
        <v>11</v>
      </c>
      <c r="F355" s="4">
        <v>14.9</v>
      </c>
      <c r="G355" s="4">
        <v>208</v>
      </c>
      <c r="H355" s="4">
        <v>2</v>
      </c>
      <c r="I355" s="4">
        <v>8.2</v>
      </c>
      <c r="J355" s="4">
        <v>4.35</v>
      </c>
    </row>
    <row r="356" spans="2:10">
      <c r="B356" s="4">
        <v>206</v>
      </c>
      <c r="C356" s="4">
        <v>15</v>
      </c>
      <c r="D356" s="24" t="s">
        <v>284</v>
      </c>
      <c r="E356" s="25" t="s">
        <v>11</v>
      </c>
      <c r="F356" s="4">
        <v>0</v>
      </c>
      <c r="G356" s="4">
        <v>170</v>
      </c>
      <c r="H356" s="4">
        <v>3</v>
      </c>
      <c r="I356" s="4">
        <v>7.9</v>
      </c>
      <c r="J356" s="4">
        <v>4.49</v>
      </c>
    </row>
    <row r="357" spans="2:10">
      <c r="B357" s="4">
        <v>206</v>
      </c>
      <c r="C357" s="4">
        <v>16</v>
      </c>
      <c r="D357" s="24" t="s">
        <v>285</v>
      </c>
      <c r="E357" s="25" t="s">
        <v>11</v>
      </c>
      <c r="F357" s="4">
        <v>6.9</v>
      </c>
      <c r="G357" s="4">
        <v>220</v>
      </c>
      <c r="H357" s="4">
        <v>3</v>
      </c>
      <c r="I357" s="4">
        <v>7.7</v>
      </c>
      <c r="J357" s="4">
        <v>5.05</v>
      </c>
    </row>
    <row r="358" spans="2:10">
      <c r="B358" s="4">
        <v>206</v>
      </c>
      <c r="C358" s="4">
        <v>17</v>
      </c>
      <c r="D358" s="24" t="s">
        <v>286</v>
      </c>
      <c r="E358" s="25" t="s">
        <v>11</v>
      </c>
      <c r="F358" s="4">
        <v>14.4</v>
      </c>
      <c r="G358" s="4">
        <v>275</v>
      </c>
      <c r="H358" s="4">
        <v>20</v>
      </c>
      <c r="I358" s="4">
        <v>6.7</v>
      </c>
      <c r="J358" s="4">
        <v>3.2</v>
      </c>
    </row>
    <row r="359" spans="2:10">
      <c r="B359" s="4">
        <v>206</v>
      </c>
      <c r="C359" s="4">
        <v>18</v>
      </c>
      <c r="D359" s="24" t="s">
        <v>287</v>
      </c>
      <c r="E359" s="25" t="s">
        <v>11</v>
      </c>
      <c r="F359" s="4">
        <v>16.2</v>
      </c>
      <c r="G359" s="4">
        <v>262</v>
      </c>
      <c r="H359" s="4">
        <v>19</v>
      </c>
      <c r="I359" s="4">
        <v>7.5</v>
      </c>
      <c r="J359" s="4">
        <v>3.42</v>
      </c>
    </row>
    <row r="360" spans="2:10">
      <c r="B360" s="4">
        <v>206</v>
      </c>
      <c r="C360" s="4">
        <v>19</v>
      </c>
      <c r="D360" s="24" t="s">
        <v>288</v>
      </c>
      <c r="E360" s="25" t="s">
        <v>11</v>
      </c>
      <c r="F360" s="4">
        <v>16.5</v>
      </c>
      <c r="G360" s="4">
        <v>208</v>
      </c>
      <c r="H360" s="4">
        <v>0</v>
      </c>
      <c r="I360" s="4">
        <v>8.8</v>
      </c>
      <c r="J360" s="4">
        <v>4.07</v>
      </c>
    </row>
    <row r="361" spans="4:5">
      <c r="D361" s="24"/>
      <c r="E361" s="25"/>
    </row>
    <row r="363" s="1" customFormat="1" spans="1:11">
      <c r="A363" s="33" t="s">
        <v>289</v>
      </c>
      <c r="B363" s="24" t="s">
        <v>1</v>
      </c>
      <c r="C363" s="26" t="s">
        <v>2</v>
      </c>
      <c r="D363" s="27" t="s">
        <v>3</v>
      </c>
      <c r="E363" s="27" t="s">
        <v>4</v>
      </c>
      <c r="F363" s="28" t="s">
        <v>5</v>
      </c>
      <c r="G363" s="28" t="s">
        <v>6</v>
      </c>
      <c r="H363" s="28" t="s">
        <v>7</v>
      </c>
      <c r="I363" s="28">
        <v>50</v>
      </c>
      <c r="J363" s="28" t="s">
        <v>8</v>
      </c>
      <c r="K363" s="26" t="s">
        <v>9</v>
      </c>
    </row>
    <row r="364" spans="2:10">
      <c r="B364" s="4">
        <v>206</v>
      </c>
      <c r="C364" s="4">
        <v>20</v>
      </c>
      <c r="D364" s="33" t="s">
        <v>290</v>
      </c>
      <c r="E364" s="25" t="s">
        <v>11</v>
      </c>
      <c r="F364" s="4">
        <v>12</v>
      </c>
      <c r="G364" s="4">
        <v>226</v>
      </c>
      <c r="H364" s="4">
        <v>1</v>
      </c>
      <c r="I364" s="4">
        <v>7.4</v>
      </c>
      <c r="J364" s="4">
        <v>3.5</v>
      </c>
    </row>
    <row r="365" spans="2:10">
      <c r="B365" s="4">
        <v>206</v>
      </c>
      <c r="C365" s="4">
        <v>21</v>
      </c>
      <c r="D365" s="24" t="s">
        <v>291</v>
      </c>
      <c r="E365" s="25" t="s">
        <v>11</v>
      </c>
      <c r="F365" s="4">
        <v>7</v>
      </c>
      <c r="G365" s="4">
        <v>217</v>
      </c>
      <c r="H365" s="4">
        <v>7</v>
      </c>
      <c r="J365" s="4">
        <v>3.48</v>
      </c>
    </row>
    <row r="366" spans="2:10">
      <c r="B366" s="4">
        <v>206</v>
      </c>
      <c r="C366" s="4">
        <v>22</v>
      </c>
      <c r="D366" s="24" t="s">
        <v>292</v>
      </c>
      <c r="E366" s="25" t="s">
        <v>11</v>
      </c>
      <c r="F366" s="4">
        <v>31</v>
      </c>
      <c r="G366" s="4">
        <v>264</v>
      </c>
      <c r="H366" s="4">
        <v>20</v>
      </c>
      <c r="I366" s="4">
        <v>7</v>
      </c>
      <c r="J366" s="4">
        <v>3.41</v>
      </c>
    </row>
    <row r="367" spans="2:10">
      <c r="B367" s="4">
        <v>206</v>
      </c>
      <c r="C367" s="4">
        <v>23</v>
      </c>
      <c r="D367" s="24" t="s">
        <v>293</v>
      </c>
      <c r="E367" s="25" t="s">
        <v>11</v>
      </c>
      <c r="F367" s="4">
        <v>9</v>
      </c>
      <c r="G367" s="4">
        <v>188</v>
      </c>
      <c r="H367" s="4">
        <v>16</v>
      </c>
      <c r="J367" s="4">
        <v>4.12</v>
      </c>
    </row>
    <row r="368" spans="2:11">
      <c r="B368" s="4">
        <v>206</v>
      </c>
      <c r="C368" s="4">
        <v>24</v>
      </c>
      <c r="D368" s="24" t="s">
        <v>294</v>
      </c>
      <c r="E368" s="25" t="s">
        <v>11</v>
      </c>
      <c r="F368" s="4">
        <v>16.5</v>
      </c>
      <c r="G368" s="4">
        <v>183</v>
      </c>
      <c r="H368" s="4">
        <v>0</v>
      </c>
      <c r="I368" s="4">
        <v>8.6</v>
      </c>
      <c r="K368" s="4" t="s">
        <v>295</v>
      </c>
    </row>
    <row r="369" spans="2:10">
      <c r="B369" s="4">
        <v>206</v>
      </c>
      <c r="C369" s="4">
        <v>25</v>
      </c>
      <c r="D369" s="24" t="s">
        <v>296</v>
      </c>
      <c r="E369" s="25" t="s">
        <v>11</v>
      </c>
      <c r="F369" s="4">
        <v>20</v>
      </c>
      <c r="G369" s="4">
        <v>215</v>
      </c>
      <c r="H369" s="4">
        <v>6</v>
      </c>
      <c r="I369" s="4">
        <v>7.3</v>
      </c>
      <c r="J369" s="4">
        <v>3.32</v>
      </c>
    </row>
    <row r="370" spans="2:10">
      <c r="B370" s="4">
        <v>206</v>
      </c>
      <c r="C370" s="4">
        <v>26</v>
      </c>
      <c r="D370" s="24" t="s">
        <v>297</v>
      </c>
      <c r="E370" s="25" t="s">
        <v>11</v>
      </c>
      <c r="F370" s="4">
        <v>8.3</v>
      </c>
      <c r="G370" s="4">
        <v>234</v>
      </c>
      <c r="H370" s="4">
        <v>3</v>
      </c>
      <c r="I370" s="4">
        <v>7.2</v>
      </c>
      <c r="J370" s="4">
        <v>3.45</v>
      </c>
    </row>
    <row r="371" spans="2:10">
      <c r="B371" s="4">
        <v>206</v>
      </c>
      <c r="C371" s="4">
        <v>27</v>
      </c>
      <c r="D371" s="24" t="s">
        <v>298</v>
      </c>
      <c r="E371" s="25" t="s">
        <v>11</v>
      </c>
      <c r="F371" s="4">
        <v>30.6</v>
      </c>
      <c r="G371" s="4">
        <v>243</v>
      </c>
      <c r="H371" s="4">
        <v>10</v>
      </c>
      <c r="I371" s="4">
        <v>7.2</v>
      </c>
      <c r="J371" s="4">
        <v>3.49</v>
      </c>
    </row>
    <row r="372" spans="2:10">
      <c r="B372" s="4">
        <v>206</v>
      </c>
      <c r="C372" s="4">
        <v>28</v>
      </c>
      <c r="D372" s="24" t="s">
        <v>299</v>
      </c>
      <c r="E372" s="25" t="s">
        <v>11</v>
      </c>
      <c r="F372" s="4">
        <v>18</v>
      </c>
      <c r="G372" s="4">
        <v>241</v>
      </c>
      <c r="H372" s="4">
        <v>20</v>
      </c>
      <c r="I372" s="4">
        <v>6.6</v>
      </c>
      <c r="J372" s="4">
        <v>3.15</v>
      </c>
    </row>
    <row r="373" spans="4:5">
      <c r="D373" s="24"/>
      <c r="E373" s="25"/>
    </row>
    <row r="375" s="1" customFormat="1" spans="1:11">
      <c r="A375" s="33" t="s">
        <v>300</v>
      </c>
      <c r="B375" s="24" t="s">
        <v>1</v>
      </c>
      <c r="C375" s="26" t="s">
        <v>2</v>
      </c>
      <c r="D375" s="27" t="s">
        <v>3</v>
      </c>
      <c r="E375" s="27" t="s">
        <v>4</v>
      </c>
      <c r="F375" s="28" t="s">
        <v>5</v>
      </c>
      <c r="G375" s="28" t="s">
        <v>6</v>
      </c>
      <c r="H375" s="28" t="s">
        <v>7</v>
      </c>
      <c r="I375" s="28">
        <v>50</v>
      </c>
      <c r="J375" s="28" t="s">
        <v>8</v>
      </c>
      <c r="K375" s="26" t="s">
        <v>9</v>
      </c>
    </row>
    <row r="376" spans="2:10">
      <c r="B376" s="4">
        <v>206</v>
      </c>
      <c r="C376" s="4">
        <v>29</v>
      </c>
      <c r="D376" s="24" t="s">
        <v>301</v>
      </c>
      <c r="E376" s="25" t="s">
        <v>11</v>
      </c>
      <c r="F376" s="4">
        <v>22</v>
      </c>
      <c r="G376" s="4">
        <v>308</v>
      </c>
      <c r="H376" s="4">
        <v>14</v>
      </c>
      <c r="I376" s="4">
        <v>6.8</v>
      </c>
      <c r="J376" s="4">
        <v>3.16</v>
      </c>
    </row>
    <row r="377" spans="2:10">
      <c r="B377" s="4">
        <v>206</v>
      </c>
      <c r="C377" s="4">
        <v>30</v>
      </c>
      <c r="D377" s="24" t="s">
        <v>302</v>
      </c>
      <c r="E377" s="25" t="s">
        <v>11</v>
      </c>
      <c r="F377" s="4">
        <v>11</v>
      </c>
      <c r="G377" s="4">
        <v>215</v>
      </c>
      <c r="H377" s="4">
        <v>0</v>
      </c>
      <c r="J377" s="4">
        <v>4.4</v>
      </c>
    </row>
    <row r="378" spans="2:10">
      <c r="B378" s="4">
        <v>206</v>
      </c>
      <c r="C378" s="4">
        <v>31</v>
      </c>
      <c r="D378" s="24" t="s">
        <v>303</v>
      </c>
      <c r="E378" s="25" t="s">
        <v>11</v>
      </c>
      <c r="F378" s="4">
        <v>11</v>
      </c>
      <c r="G378" s="4">
        <v>235</v>
      </c>
      <c r="H378" s="4">
        <v>17</v>
      </c>
      <c r="I378" s="4">
        <v>6.5</v>
      </c>
      <c r="J378" s="4">
        <v>3.29</v>
      </c>
    </row>
    <row r="379" spans="2:10">
      <c r="B379" s="4">
        <v>206</v>
      </c>
      <c r="C379" s="4">
        <v>32</v>
      </c>
      <c r="D379" s="24" t="s">
        <v>304</v>
      </c>
      <c r="E379" s="25" t="s">
        <v>11</v>
      </c>
      <c r="F379" s="4">
        <v>0</v>
      </c>
      <c r="G379" s="4">
        <v>225</v>
      </c>
      <c r="H379" s="4">
        <v>21</v>
      </c>
      <c r="J379" s="4">
        <v>3.44</v>
      </c>
    </row>
    <row r="380" spans="2:10">
      <c r="B380" s="4">
        <v>206</v>
      </c>
      <c r="C380" s="4">
        <v>33</v>
      </c>
      <c r="D380" s="24" t="s">
        <v>305</v>
      </c>
      <c r="E380" s="25" t="s">
        <v>11</v>
      </c>
      <c r="F380" s="4">
        <v>25</v>
      </c>
      <c r="G380" s="4">
        <v>260</v>
      </c>
      <c r="H380" s="4">
        <v>13</v>
      </c>
      <c r="I380" s="4">
        <v>7.1</v>
      </c>
      <c r="J380" s="4">
        <v>4.11</v>
      </c>
    </row>
    <row r="381" spans="2:10">
      <c r="B381" s="4">
        <v>206</v>
      </c>
      <c r="C381" s="4">
        <v>34</v>
      </c>
      <c r="D381" s="24" t="s">
        <v>306</v>
      </c>
      <c r="E381" s="25" t="s">
        <v>11</v>
      </c>
      <c r="F381" s="4">
        <v>14</v>
      </c>
      <c r="G381" s="4">
        <v>240</v>
      </c>
      <c r="H381" s="4">
        <v>7</v>
      </c>
      <c r="I381" s="4">
        <v>7.1</v>
      </c>
      <c r="J381" s="4">
        <v>5.37</v>
      </c>
    </row>
    <row r="382" spans="2:10">
      <c r="B382" s="4">
        <v>206</v>
      </c>
      <c r="C382" s="4">
        <v>35</v>
      </c>
      <c r="D382" s="24" t="s">
        <v>307</v>
      </c>
      <c r="E382" s="25" t="s">
        <v>11</v>
      </c>
      <c r="F382" s="4">
        <v>16</v>
      </c>
      <c r="G382" s="4">
        <v>234</v>
      </c>
      <c r="H382" s="4">
        <v>4</v>
      </c>
      <c r="I382" s="4">
        <v>7.2</v>
      </c>
      <c r="J382" s="4">
        <v>3.37</v>
      </c>
    </row>
    <row r="383" spans="2:10">
      <c r="B383" s="4">
        <v>206</v>
      </c>
      <c r="C383" s="4">
        <v>36</v>
      </c>
      <c r="D383" s="24" t="s">
        <v>308</v>
      </c>
      <c r="E383" s="25" t="s">
        <v>11</v>
      </c>
      <c r="F383" s="4">
        <v>3</v>
      </c>
      <c r="G383" s="4">
        <v>255</v>
      </c>
      <c r="H383" s="4">
        <v>13</v>
      </c>
      <c r="I383" s="4">
        <v>6.9</v>
      </c>
      <c r="J383" s="4">
        <v>3.44</v>
      </c>
    </row>
    <row r="384" spans="2:10">
      <c r="B384" s="4">
        <v>206</v>
      </c>
      <c r="C384" s="4">
        <v>37</v>
      </c>
      <c r="D384" s="24" t="s">
        <v>309</v>
      </c>
      <c r="E384" s="25" t="s">
        <v>11</v>
      </c>
      <c r="F384" s="4">
        <v>4</v>
      </c>
      <c r="G384" s="4">
        <v>227</v>
      </c>
      <c r="H384" s="4">
        <v>8</v>
      </c>
      <c r="I384" s="4">
        <v>8</v>
      </c>
      <c r="J384" s="4">
        <v>4.03</v>
      </c>
    </row>
    <row r="385" spans="2:8">
      <c r="B385" s="4">
        <v>206</v>
      </c>
      <c r="C385" s="4">
        <v>38</v>
      </c>
      <c r="D385" s="26" t="s">
        <v>310</v>
      </c>
      <c r="E385" s="26" t="s">
        <v>11</v>
      </c>
      <c r="F385" s="4">
        <v>6</v>
      </c>
      <c r="G385" s="4">
        <v>180</v>
      </c>
      <c r="H385" s="4">
        <v>0</v>
      </c>
    </row>
    <row r="386" spans="4:5">
      <c r="D386" s="26"/>
      <c r="E386" s="26"/>
    </row>
    <row r="387" s="1" customFormat="1" spans="1:11">
      <c r="A387" s="33" t="s">
        <v>311</v>
      </c>
      <c r="B387" s="24" t="s">
        <v>1</v>
      </c>
      <c r="C387" s="26" t="s">
        <v>2</v>
      </c>
      <c r="D387" s="27" t="s">
        <v>3</v>
      </c>
      <c r="E387" s="27" t="s">
        <v>4</v>
      </c>
      <c r="F387" s="28" t="s">
        <v>5</v>
      </c>
      <c r="G387" s="28" t="s">
        <v>6</v>
      </c>
      <c r="H387" s="28" t="s">
        <v>7</v>
      </c>
      <c r="I387" s="28">
        <v>50</v>
      </c>
      <c r="J387" s="28" t="s">
        <v>8</v>
      </c>
      <c r="K387" s="26" t="s">
        <v>9</v>
      </c>
    </row>
    <row r="388" spans="2:10">
      <c r="B388" s="4">
        <v>206</v>
      </c>
      <c r="C388" s="4">
        <v>39</v>
      </c>
      <c r="D388" s="33" t="s">
        <v>312</v>
      </c>
      <c r="E388" s="25" t="s">
        <v>53</v>
      </c>
      <c r="F388" s="4">
        <v>14.9</v>
      </c>
      <c r="G388" s="4">
        <v>155</v>
      </c>
      <c r="H388" s="4">
        <v>36</v>
      </c>
      <c r="I388" s="4">
        <v>9.2</v>
      </c>
      <c r="J388" s="4">
        <v>4.34</v>
      </c>
    </row>
    <row r="389" spans="2:10">
      <c r="B389" s="4">
        <v>206</v>
      </c>
      <c r="C389" s="4">
        <v>40</v>
      </c>
      <c r="D389" s="24" t="s">
        <v>313</v>
      </c>
      <c r="E389" s="25" t="s">
        <v>53</v>
      </c>
      <c r="F389" s="4">
        <v>16</v>
      </c>
      <c r="G389" s="4">
        <v>186</v>
      </c>
      <c r="H389" s="4">
        <v>39</v>
      </c>
      <c r="I389" s="4">
        <v>9</v>
      </c>
      <c r="J389" s="4">
        <v>4.1</v>
      </c>
    </row>
    <row r="390" spans="2:10">
      <c r="B390" s="4">
        <v>206</v>
      </c>
      <c r="C390" s="4">
        <v>41</v>
      </c>
      <c r="D390" s="24" t="s">
        <v>314</v>
      </c>
      <c r="E390" s="25" t="s">
        <v>53</v>
      </c>
      <c r="F390" s="4">
        <v>12.5</v>
      </c>
      <c r="G390" s="4">
        <v>160</v>
      </c>
      <c r="H390" s="4">
        <v>44</v>
      </c>
      <c r="I390" s="4">
        <v>9.6</v>
      </c>
      <c r="J390" s="4">
        <v>4.13</v>
      </c>
    </row>
    <row r="391" spans="2:10">
      <c r="B391" s="4">
        <v>206</v>
      </c>
      <c r="C391" s="4">
        <v>42</v>
      </c>
      <c r="D391" s="24" t="s">
        <v>315</v>
      </c>
      <c r="E391" s="25" t="s">
        <v>53</v>
      </c>
      <c r="F391" s="4">
        <v>20</v>
      </c>
      <c r="G391" s="4">
        <v>172</v>
      </c>
      <c r="H391" s="4">
        <v>42</v>
      </c>
      <c r="I391" s="4">
        <v>9</v>
      </c>
      <c r="J391" s="4">
        <v>3.5</v>
      </c>
    </row>
    <row r="392" spans="2:10">
      <c r="B392" s="4">
        <v>206</v>
      </c>
      <c r="C392" s="4">
        <v>43</v>
      </c>
      <c r="D392" s="24" t="s">
        <v>316</v>
      </c>
      <c r="E392" s="25" t="s">
        <v>53</v>
      </c>
      <c r="F392" s="4">
        <v>25</v>
      </c>
      <c r="G392" s="4">
        <v>173</v>
      </c>
      <c r="H392" s="4">
        <v>46</v>
      </c>
      <c r="I392" s="4">
        <v>8.2</v>
      </c>
      <c r="J392" s="4">
        <v>3.47</v>
      </c>
    </row>
    <row r="393" spans="2:10">
      <c r="B393" s="4">
        <v>206</v>
      </c>
      <c r="C393" s="4">
        <v>44</v>
      </c>
      <c r="D393" s="24" t="s">
        <v>317</v>
      </c>
      <c r="E393" s="25" t="s">
        <v>53</v>
      </c>
      <c r="F393" s="4">
        <v>26.3</v>
      </c>
      <c r="G393" s="4">
        <v>178</v>
      </c>
      <c r="H393" s="4">
        <v>36</v>
      </c>
      <c r="I393" s="4">
        <v>9.2</v>
      </c>
      <c r="J393" s="4">
        <v>3.49</v>
      </c>
    </row>
    <row r="394" spans="2:10">
      <c r="B394" s="4">
        <v>206</v>
      </c>
      <c r="C394" s="4">
        <v>45</v>
      </c>
      <c r="D394" s="24" t="s">
        <v>318</v>
      </c>
      <c r="E394" s="25" t="s">
        <v>53</v>
      </c>
      <c r="F394" s="4">
        <v>16</v>
      </c>
      <c r="G394" s="4">
        <v>200</v>
      </c>
      <c r="H394" s="4">
        <v>45</v>
      </c>
      <c r="I394" s="4">
        <v>8.1</v>
      </c>
      <c r="J394" s="4">
        <v>3.29</v>
      </c>
    </row>
    <row r="395" spans="2:10">
      <c r="B395" s="4">
        <v>206</v>
      </c>
      <c r="C395" s="4">
        <v>46</v>
      </c>
      <c r="D395" s="24" t="s">
        <v>319</v>
      </c>
      <c r="E395" s="25" t="s">
        <v>53</v>
      </c>
      <c r="F395" s="4">
        <v>17.2</v>
      </c>
      <c r="G395" s="4">
        <v>138</v>
      </c>
      <c r="H395" s="4">
        <v>54</v>
      </c>
      <c r="I395" s="4">
        <v>10.6</v>
      </c>
      <c r="J395" s="4">
        <v>4.32</v>
      </c>
    </row>
    <row r="396" spans="2:10">
      <c r="B396" s="4">
        <v>206</v>
      </c>
      <c r="C396" s="4">
        <v>47</v>
      </c>
      <c r="D396" s="24" t="s">
        <v>320</v>
      </c>
      <c r="E396" s="25" t="s">
        <v>53</v>
      </c>
      <c r="F396" s="4">
        <v>14.5</v>
      </c>
      <c r="G396" s="4">
        <v>180</v>
      </c>
      <c r="H396" s="4">
        <v>53</v>
      </c>
      <c r="I396" s="4">
        <v>8.3</v>
      </c>
      <c r="J396" s="4">
        <v>3.4</v>
      </c>
    </row>
    <row r="397" spans="2:10">
      <c r="B397" s="4">
        <v>206</v>
      </c>
      <c r="C397" s="4">
        <v>48</v>
      </c>
      <c r="D397" s="24" t="s">
        <v>321</v>
      </c>
      <c r="E397" s="25" t="s">
        <v>53</v>
      </c>
      <c r="F397" s="4">
        <v>20</v>
      </c>
      <c r="G397" s="4">
        <v>177</v>
      </c>
      <c r="H397" s="4">
        <v>47</v>
      </c>
      <c r="I397" s="4">
        <v>8.9</v>
      </c>
      <c r="J397" s="4">
        <v>4.28</v>
      </c>
    </row>
    <row r="398" spans="2:10">
      <c r="B398" s="4">
        <v>206</v>
      </c>
      <c r="C398" s="4">
        <v>49</v>
      </c>
      <c r="D398" s="24" t="s">
        <v>322</v>
      </c>
      <c r="E398" s="25" t="s">
        <v>53</v>
      </c>
      <c r="F398" s="4">
        <v>18.9</v>
      </c>
      <c r="G398" s="4">
        <v>165</v>
      </c>
      <c r="H398" s="4">
        <v>49</v>
      </c>
      <c r="I398" s="4">
        <v>8.5</v>
      </c>
      <c r="J398" s="4">
        <v>3.46</v>
      </c>
    </row>
    <row r="399" spans="2:10">
      <c r="B399" s="4">
        <v>206</v>
      </c>
      <c r="C399" s="4">
        <v>50</v>
      </c>
      <c r="D399" s="24" t="s">
        <v>323</v>
      </c>
      <c r="E399" s="25" t="s">
        <v>53</v>
      </c>
      <c r="F399" s="4">
        <v>23</v>
      </c>
      <c r="G399" s="4">
        <v>175</v>
      </c>
      <c r="H399" s="4">
        <v>54</v>
      </c>
      <c r="I399" s="4">
        <v>9</v>
      </c>
      <c r="J399" s="4">
        <v>3.33</v>
      </c>
    </row>
    <row r="400" spans="2:10">
      <c r="B400" s="4">
        <v>206</v>
      </c>
      <c r="C400" s="4">
        <v>51</v>
      </c>
      <c r="D400" s="24" t="s">
        <v>324</v>
      </c>
      <c r="E400" s="25" t="s">
        <v>53</v>
      </c>
      <c r="F400" s="4">
        <v>22.5</v>
      </c>
      <c r="G400" s="4">
        <v>195</v>
      </c>
      <c r="H400" s="4">
        <v>62</v>
      </c>
      <c r="I400" s="4">
        <v>8.4</v>
      </c>
      <c r="J400" s="4">
        <v>3.31</v>
      </c>
    </row>
    <row r="407" s="1" customFormat="1" spans="1:11">
      <c r="A407" s="33" t="s">
        <v>325</v>
      </c>
      <c r="B407" s="24" t="s">
        <v>1</v>
      </c>
      <c r="C407" s="26" t="s">
        <v>2</v>
      </c>
      <c r="D407" s="27" t="s">
        <v>3</v>
      </c>
      <c r="E407" s="27" t="s">
        <v>4</v>
      </c>
      <c r="F407" s="28" t="s">
        <v>5</v>
      </c>
      <c r="G407" s="28" t="s">
        <v>6</v>
      </c>
      <c r="H407" s="28" t="s">
        <v>7</v>
      </c>
      <c r="I407" s="28">
        <v>50</v>
      </c>
      <c r="J407" s="28" t="s">
        <v>8</v>
      </c>
      <c r="K407" s="26" t="s">
        <v>9</v>
      </c>
    </row>
    <row r="408" spans="2:10">
      <c r="B408" s="4">
        <v>207</v>
      </c>
      <c r="C408" s="4">
        <v>1</v>
      </c>
      <c r="D408" s="33" t="s">
        <v>326</v>
      </c>
      <c r="E408" s="25" t="s">
        <v>11</v>
      </c>
      <c r="F408" s="4">
        <v>10</v>
      </c>
      <c r="G408" s="4">
        <v>220</v>
      </c>
      <c r="H408" s="4">
        <v>18</v>
      </c>
      <c r="I408" s="4">
        <v>7</v>
      </c>
      <c r="J408" s="4">
        <v>3.34</v>
      </c>
    </row>
    <row r="409" spans="2:10">
      <c r="B409" s="4">
        <v>207</v>
      </c>
      <c r="C409" s="4">
        <v>2</v>
      </c>
      <c r="D409" s="24" t="s">
        <v>327</v>
      </c>
      <c r="E409" s="25" t="s">
        <v>11</v>
      </c>
      <c r="F409" s="4">
        <v>21</v>
      </c>
      <c r="G409" s="4">
        <v>245</v>
      </c>
      <c r="H409" s="4">
        <v>23</v>
      </c>
      <c r="I409" s="4">
        <v>7.1</v>
      </c>
      <c r="J409" s="4">
        <v>3.57</v>
      </c>
    </row>
    <row r="410" spans="2:10">
      <c r="B410" s="4">
        <v>207</v>
      </c>
      <c r="C410" s="4">
        <v>3</v>
      </c>
      <c r="D410" s="24" t="s">
        <v>328</v>
      </c>
      <c r="E410" s="25" t="s">
        <v>11</v>
      </c>
      <c r="F410" s="4">
        <v>6</v>
      </c>
      <c r="G410" s="4">
        <v>230</v>
      </c>
      <c r="H410" s="4">
        <v>20</v>
      </c>
      <c r="I410" s="4">
        <v>6.8</v>
      </c>
      <c r="J410" s="4">
        <v>3.39</v>
      </c>
    </row>
    <row r="411" spans="2:10">
      <c r="B411" s="4">
        <v>207</v>
      </c>
      <c r="C411" s="4">
        <v>4</v>
      </c>
      <c r="D411" s="24" t="s">
        <v>329</v>
      </c>
      <c r="E411" s="25" t="s">
        <v>11</v>
      </c>
      <c r="F411" s="4">
        <v>20</v>
      </c>
      <c r="G411" s="4">
        <v>240</v>
      </c>
      <c r="H411" s="4">
        <v>20</v>
      </c>
      <c r="I411" s="4">
        <v>7.4</v>
      </c>
      <c r="J411" s="4">
        <v>4.58</v>
      </c>
    </row>
    <row r="412" spans="2:11">
      <c r="B412" s="4">
        <v>207</v>
      </c>
      <c r="C412" s="4">
        <v>5</v>
      </c>
      <c r="D412" s="24" t="s">
        <v>330</v>
      </c>
      <c r="E412" s="25" t="s">
        <v>11</v>
      </c>
      <c r="K412" s="4" t="s">
        <v>14</v>
      </c>
    </row>
    <row r="413" spans="2:11">
      <c r="B413" s="4">
        <v>207</v>
      </c>
      <c r="C413" s="4">
        <v>6</v>
      </c>
      <c r="D413" s="24" t="s">
        <v>331</v>
      </c>
      <c r="E413" s="25" t="s">
        <v>11</v>
      </c>
      <c r="K413" s="4" t="s">
        <v>14</v>
      </c>
    </row>
    <row r="414" spans="2:10">
      <c r="B414" s="4">
        <v>207</v>
      </c>
      <c r="C414" s="4">
        <v>7</v>
      </c>
      <c r="D414" s="24" t="s">
        <v>332</v>
      </c>
      <c r="E414" s="25" t="s">
        <v>11</v>
      </c>
      <c r="F414" s="4">
        <v>12.5</v>
      </c>
      <c r="G414" s="4">
        <v>240</v>
      </c>
      <c r="H414" s="4">
        <v>0</v>
      </c>
      <c r="I414" s="4">
        <v>7.2</v>
      </c>
      <c r="J414" s="4">
        <v>3.54</v>
      </c>
    </row>
    <row r="415" spans="2:10">
      <c r="B415" s="4">
        <v>207</v>
      </c>
      <c r="C415" s="4">
        <v>8</v>
      </c>
      <c r="D415" s="24" t="s">
        <v>333</v>
      </c>
      <c r="E415" s="25" t="s">
        <v>11</v>
      </c>
      <c r="F415" s="4">
        <v>13</v>
      </c>
      <c r="G415" s="4">
        <v>255</v>
      </c>
      <c r="H415" s="4">
        <v>23</v>
      </c>
      <c r="I415" s="4">
        <v>7.5</v>
      </c>
      <c r="J415" s="4">
        <v>4.15</v>
      </c>
    </row>
    <row r="416" spans="2:10">
      <c r="B416" s="4">
        <v>207</v>
      </c>
      <c r="C416" s="4">
        <v>9</v>
      </c>
      <c r="D416" s="24" t="s">
        <v>334</v>
      </c>
      <c r="E416" s="25" t="s">
        <v>11</v>
      </c>
      <c r="F416" s="4">
        <v>14</v>
      </c>
      <c r="G416" s="4">
        <v>215</v>
      </c>
      <c r="H416" s="4">
        <v>12</v>
      </c>
      <c r="I416" s="4">
        <v>7.3</v>
      </c>
      <c r="J416" s="4">
        <v>3.52</v>
      </c>
    </row>
    <row r="417" spans="2:10">
      <c r="B417" s="4">
        <v>207</v>
      </c>
      <c r="C417" s="4">
        <v>10</v>
      </c>
      <c r="D417" s="24" t="s">
        <v>335</v>
      </c>
      <c r="E417" s="25" t="s">
        <v>11</v>
      </c>
      <c r="F417" s="4">
        <v>14</v>
      </c>
      <c r="G417" s="4">
        <v>215</v>
      </c>
      <c r="H417" s="4">
        <v>0</v>
      </c>
      <c r="I417" s="4">
        <v>7.7</v>
      </c>
      <c r="J417" s="4">
        <v>3.55</v>
      </c>
    </row>
    <row r="418" spans="2:10">
      <c r="B418" s="4">
        <v>207</v>
      </c>
      <c r="C418" s="4">
        <v>11</v>
      </c>
      <c r="D418" s="24" t="s">
        <v>336</v>
      </c>
      <c r="E418" s="25" t="s">
        <v>11</v>
      </c>
      <c r="F418" s="4">
        <v>5</v>
      </c>
      <c r="G418" s="4">
        <v>223</v>
      </c>
      <c r="H418" s="4">
        <v>15</v>
      </c>
      <c r="I418" s="4">
        <v>7.1</v>
      </c>
      <c r="J418" s="4">
        <v>3.34</v>
      </c>
    </row>
    <row r="419" spans="2:10">
      <c r="B419" s="4">
        <v>207</v>
      </c>
      <c r="C419" s="4">
        <v>12</v>
      </c>
      <c r="D419" s="24" t="s">
        <v>337</v>
      </c>
      <c r="E419" s="25" t="s">
        <v>11</v>
      </c>
      <c r="F419" s="4">
        <v>13</v>
      </c>
      <c r="G419" s="4">
        <v>237</v>
      </c>
      <c r="H419" s="4">
        <v>2</v>
      </c>
      <c r="I419" s="4">
        <v>7.5</v>
      </c>
      <c r="J419" s="4">
        <v>3.48</v>
      </c>
    </row>
    <row r="421" s="1" customFormat="1" spans="1:11">
      <c r="A421" s="33" t="s">
        <v>338</v>
      </c>
      <c r="B421" s="24" t="s">
        <v>1</v>
      </c>
      <c r="C421" s="26" t="s">
        <v>2</v>
      </c>
      <c r="D421" s="27" t="s">
        <v>3</v>
      </c>
      <c r="E421" s="27" t="s">
        <v>4</v>
      </c>
      <c r="F421" s="28" t="s">
        <v>5</v>
      </c>
      <c r="G421" s="28" t="s">
        <v>6</v>
      </c>
      <c r="H421" s="28" t="s">
        <v>7</v>
      </c>
      <c r="I421" s="28">
        <v>50</v>
      </c>
      <c r="J421" s="28" t="s">
        <v>8</v>
      </c>
      <c r="K421" s="26" t="s">
        <v>9</v>
      </c>
    </row>
    <row r="422" spans="2:10">
      <c r="B422" s="4">
        <v>207</v>
      </c>
      <c r="C422" s="4">
        <v>13</v>
      </c>
      <c r="D422" s="33" t="s">
        <v>339</v>
      </c>
      <c r="E422" s="25" t="s">
        <v>11</v>
      </c>
      <c r="F422" s="4">
        <v>21</v>
      </c>
      <c r="G422" s="4">
        <v>258</v>
      </c>
      <c r="H422" s="4">
        <v>17</v>
      </c>
      <c r="I422" s="4">
        <v>6.7</v>
      </c>
      <c r="J422" s="4">
        <v>3.45</v>
      </c>
    </row>
    <row r="423" spans="2:10">
      <c r="B423" s="4">
        <v>207</v>
      </c>
      <c r="C423" s="4">
        <v>14</v>
      </c>
      <c r="D423" s="24" t="s">
        <v>340</v>
      </c>
      <c r="E423" s="25" t="s">
        <v>11</v>
      </c>
      <c r="F423" s="4">
        <v>6.2</v>
      </c>
      <c r="G423" s="4">
        <v>214</v>
      </c>
      <c r="H423" s="4">
        <v>5</v>
      </c>
      <c r="I423" s="4">
        <v>7.3</v>
      </c>
      <c r="J423" s="4">
        <v>3.58</v>
      </c>
    </row>
    <row r="424" spans="2:10">
      <c r="B424" s="4">
        <v>207</v>
      </c>
      <c r="C424" s="4">
        <v>15</v>
      </c>
      <c r="D424" s="24" t="s">
        <v>341</v>
      </c>
      <c r="E424" s="25" t="s">
        <v>11</v>
      </c>
      <c r="F424" s="4">
        <v>6.6</v>
      </c>
      <c r="G424" s="4">
        <v>201</v>
      </c>
      <c r="H424" s="4">
        <v>5</v>
      </c>
      <c r="I424" s="4">
        <v>7.1</v>
      </c>
      <c r="J424" s="4">
        <v>4.45</v>
      </c>
    </row>
    <row r="425" spans="2:10">
      <c r="B425" s="4">
        <v>207</v>
      </c>
      <c r="C425" s="4">
        <v>16</v>
      </c>
      <c r="D425" s="24" t="s">
        <v>342</v>
      </c>
      <c r="E425" s="25" t="s">
        <v>11</v>
      </c>
      <c r="F425" s="4">
        <v>12.5</v>
      </c>
      <c r="G425" s="4">
        <v>260</v>
      </c>
      <c r="H425" s="4">
        <v>19</v>
      </c>
      <c r="I425" s="4">
        <v>6.9</v>
      </c>
      <c r="J425" s="4">
        <v>3.44</v>
      </c>
    </row>
    <row r="426" spans="2:10">
      <c r="B426" s="4">
        <v>207</v>
      </c>
      <c r="C426" s="4">
        <v>17</v>
      </c>
      <c r="D426" s="24" t="s">
        <v>343</v>
      </c>
      <c r="E426" s="25" t="s">
        <v>11</v>
      </c>
      <c r="F426" s="4">
        <v>10.8</v>
      </c>
      <c r="G426" s="4">
        <v>259</v>
      </c>
      <c r="H426" s="4">
        <v>20</v>
      </c>
      <c r="I426" s="4">
        <v>6.7</v>
      </c>
      <c r="J426" s="4">
        <v>3.39</v>
      </c>
    </row>
    <row r="427" spans="2:10">
      <c r="B427" s="4">
        <v>207</v>
      </c>
      <c r="C427" s="4">
        <v>18</v>
      </c>
      <c r="D427" s="24" t="s">
        <v>344</v>
      </c>
      <c r="E427" s="25" t="s">
        <v>11</v>
      </c>
      <c r="F427" s="4">
        <v>19.5</v>
      </c>
      <c r="G427" s="4">
        <v>243</v>
      </c>
      <c r="H427" s="4">
        <v>21</v>
      </c>
      <c r="I427" s="4">
        <v>7.2</v>
      </c>
      <c r="J427" s="4">
        <v>3.46</v>
      </c>
    </row>
    <row r="428" spans="2:10">
      <c r="B428" s="4">
        <v>207</v>
      </c>
      <c r="C428" s="4">
        <v>19</v>
      </c>
      <c r="D428" s="24" t="s">
        <v>345</v>
      </c>
      <c r="E428" s="25" t="s">
        <v>11</v>
      </c>
      <c r="F428" s="4">
        <v>10.3</v>
      </c>
      <c r="G428" s="4">
        <v>241</v>
      </c>
      <c r="H428" s="4">
        <v>19</v>
      </c>
      <c r="I428" s="4">
        <v>7.3</v>
      </c>
      <c r="J428" s="4">
        <v>3.56</v>
      </c>
    </row>
    <row r="429" spans="2:5">
      <c r="B429" s="4">
        <v>207</v>
      </c>
      <c r="C429" s="4">
        <v>20</v>
      </c>
      <c r="D429" s="24" t="s">
        <v>346</v>
      </c>
      <c r="E429" s="25" t="s">
        <v>11</v>
      </c>
    </row>
    <row r="430" spans="2:10">
      <c r="B430" s="4">
        <v>207</v>
      </c>
      <c r="C430" s="4">
        <v>21</v>
      </c>
      <c r="D430" s="24" t="s">
        <v>347</v>
      </c>
      <c r="E430" s="25" t="s">
        <v>11</v>
      </c>
      <c r="F430" s="4">
        <v>10.5</v>
      </c>
      <c r="G430" s="4">
        <v>227</v>
      </c>
      <c r="H430" s="4">
        <v>14</v>
      </c>
      <c r="I430" s="4">
        <v>7.4</v>
      </c>
      <c r="J430" s="4">
        <v>3.29</v>
      </c>
    </row>
    <row r="431" spans="2:10">
      <c r="B431" s="4">
        <v>207</v>
      </c>
      <c r="C431" s="4">
        <v>22</v>
      </c>
      <c r="D431" s="24" t="s">
        <v>348</v>
      </c>
      <c r="E431" s="25" t="s">
        <v>11</v>
      </c>
      <c r="F431" s="4">
        <v>10.4</v>
      </c>
      <c r="G431" s="4">
        <v>234</v>
      </c>
      <c r="H431" s="4">
        <v>7</v>
      </c>
      <c r="I431" s="4">
        <v>6.7</v>
      </c>
      <c r="J431" s="4">
        <v>3.54</v>
      </c>
    </row>
    <row r="432" spans="2:10">
      <c r="B432" s="4">
        <v>207</v>
      </c>
      <c r="C432" s="4">
        <v>23</v>
      </c>
      <c r="D432" s="24" t="s">
        <v>349</v>
      </c>
      <c r="E432" s="25" t="s">
        <v>11</v>
      </c>
      <c r="F432" s="4">
        <v>19.5</v>
      </c>
      <c r="G432" s="4">
        <v>252</v>
      </c>
      <c r="H432" s="4">
        <v>20</v>
      </c>
      <c r="I432" s="4">
        <v>7.3</v>
      </c>
      <c r="J432" s="4">
        <v>3.32</v>
      </c>
    </row>
    <row r="433" spans="2:10">
      <c r="B433" s="4">
        <v>207</v>
      </c>
      <c r="C433" s="4">
        <v>24</v>
      </c>
      <c r="D433" s="24" t="s">
        <v>350</v>
      </c>
      <c r="E433" s="25" t="s">
        <v>11</v>
      </c>
      <c r="F433" s="4">
        <v>14.8</v>
      </c>
      <c r="G433" s="4">
        <v>245</v>
      </c>
      <c r="H433" s="4">
        <v>14</v>
      </c>
      <c r="I433" s="4">
        <v>7</v>
      </c>
      <c r="J433" s="4">
        <v>3.39</v>
      </c>
    </row>
    <row r="434" spans="4:5">
      <c r="D434" s="24"/>
      <c r="E434" s="25"/>
    </row>
    <row r="435" spans="4:5">
      <c r="D435" s="24"/>
      <c r="E435" s="25"/>
    </row>
    <row r="436" spans="4:5">
      <c r="D436" s="24"/>
      <c r="E436" s="25"/>
    </row>
    <row r="437" spans="4:5">
      <c r="D437" s="24"/>
      <c r="E437" s="25"/>
    </row>
    <row r="438" spans="4:5">
      <c r="D438" s="24"/>
      <c r="E438" s="25"/>
    </row>
    <row r="439" spans="4:5">
      <c r="D439" s="24"/>
      <c r="E439" s="25"/>
    </row>
    <row r="440" spans="4:5">
      <c r="D440" s="24"/>
      <c r="E440" s="25"/>
    </row>
    <row r="442" s="1" customFormat="1" spans="1:11">
      <c r="A442" s="33" t="s">
        <v>351</v>
      </c>
      <c r="B442" s="24" t="s">
        <v>1</v>
      </c>
      <c r="C442" s="26" t="s">
        <v>2</v>
      </c>
      <c r="D442" s="27" t="s">
        <v>3</v>
      </c>
      <c r="E442" s="27" t="s">
        <v>4</v>
      </c>
      <c r="F442" s="28" t="s">
        <v>5</v>
      </c>
      <c r="G442" s="28" t="s">
        <v>6</v>
      </c>
      <c r="H442" s="28" t="s">
        <v>7</v>
      </c>
      <c r="I442" s="28">
        <v>50</v>
      </c>
      <c r="J442" s="28" t="s">
        <v>8</v>
      </c>
      <c r="K442" s="26" t="s">
        <v>9</v>
      </c>
    </row>
    <row r="443" spans="2:11">
      <c r="B443" s="4">
        <v>207</v>
      </c>
      <c r="C443" s="4">
        <v>25</v>
      </c>
      <c r="D443" s="33" t="s">
        <v>352</v>
      </c>
      <c r="E443" s="25" t="s">
        <v>11</v>
      </c>
      <c r="K443" s="4" t="s">
        <v>14</v>
      </c>
    </row>
    <row r="444" spans="2:10">
      <c r="B444" s="4">
        <v>207</v>
      </c>
      <c r="C444" s="4">
        <v>26</v>
      </c>
      <c r="D444" s="24" t="s">
        <v>353</v>
      </c>
      <c r="E444" s="25" t="s">
        <v>11</v>
      </c>
      <c r="F444" s="4">
        <v>10.4</v>
      </c>
      <c r="G444" s="4">
        <v>236</v>
      </c>
      <c r="H444" s="4">
        <v>9</v>
      </c>
      <c r="I444" s="4">
        <v>6.9</v>
      </c>
      <c r="J444" s="4">
        <v>3.19</v>
      </c>
    </row>
    <row r="445" spans="2:11">
      <c r="B445" s="4">
        <v>207</v>
      </c>
      <c r="C445" s="4">
        <v>27</v>
      </c>
      <c r="D445" s="24" t="s">
        <v>354</v>
      </c>
      <c r="E445" s="25" t="s">
        <v>11</v>
      </c>
      <c r="K445" s="4" t="s">
        <v>14</v>
      </c>
    </row>
    <row r="446" spans="2:11">
      <c r="B446" s="4">
        <v>207</v>
      </c>
      <c r="C446" s="4">
        <v>28</v>
      </c>
      <c r="D446" s="24" t="s">
        <v>355</v>
      </c>
      <c r="E446" s="25" t="s">
        <v>11</v>
      </c>
      <c r="K446" s="4" t="s">
        <v>14</v>
      </c>
    </row>
    <row r="447" spans="2:10">
      <c r="B447" s="4">
        <v>207</v>
      </c>
      <c r="C447" s="4">
        <v>29</v>
      </c>
      <c r="D447" s="24" t="s">
        <v>356</v>
      </c>
      <c r="E447" s="25" t="s">
        <v>11</v>
      </c>
      <c r="F447" s="4">
        <v>112</v>
      </c>
      <c r="G447" s="4">
        <v>224</v>
      </c>
      <c r="H447" s="4">
        <v>21</v>
      </c>
      <c r="I447" s="4">
        <v>7.7</v>
      </c>
      <c r="J447" s="4">
        <v>3.31</v>
      </c>
    </row>
    <row r="448" spans="2:10">
      <c r="B448" s="4">
        <v>207</v>
      </c>
      <c r="C448" s="4">
        <v>30</v>
      </c>
      <c r="D448" s="24" t="s">
        <v>357</v>
      </c>
      <c r="E448" s="25" t="s">
        <v>11</v>
      </c>
      <c r="F448" s="4">
        <v>13.6</v>
      </c>
      <c r="G448" s="4">
        <v>226</v>
      </c>
      <c r="H448" s="4">
        <v>3</v>
      </c>
      <c r="I448" s="4">
        <v>7.3</v>
      </c>
      <c r="J448" s="4">
        <v>3.42</v>
      </c>
    </row>
    <row r="449" spans="2:10">
      <c r="B449" s="4">
        <v>207</v>
      </c>
      <c r="C449" s="4">
        <v>31</v>
      </c>
      <c r="D449" s="24" t="s">
        <v>358</v>
      </c>
      <c r="E449" s="25" t="s">
        <v>11</v>
      </c>
      <c r="F449" s="4">
        <v>24</v>
      </c>
      <c r="G449" s="4">
        <v>232</v>
      </c>
      <c r="H449" s="4">
        <v>11</v>
      </c>
      <c r="I449" s="4">
        <v>7.5</v>
      </c>
      <c r="J449" s="4">
        <v>4.06</v>
      </c>
    </row>
    <row r="450" spans="2:10">
      <c r="B450" s="4">
        <v>207</v>
      </c>
      <c r="C450" s="4">
        <v>32</v>
      </c>
      <c r="D450" s="24" t="s">
        <v>359</v>
      </c>
      <c r="E450" s="25" t="s">
        <v>11</v>
      </c>
      <c r="F450" s="4">
        <v>11.4</v>
      </c>
      <c r="G450" s="4">
        <v>215</v>
      </c>
      <c r="H450" s="4">
        <v>3</v>
      </c>
      <c r="I450" s="4">
        <v>7.1</v>
      </c>
      <c r="J450" s="4">
        <v>3.34</v>
      </c>
    </row>
    <row r="451" spans="2:11">
      <c r="B451" s="4">
        <v>207</v>
      </c>
      <c r="C451" s="4">
        <v>33</v>
      </c>
      <c r="D451" s="24" t="s">
        <v>360</v>
      </c>
      <c r="E451" s="25" t="s">
        <v>11</v>
      </c>
      <c r="K451" s="4" t="s">
        <v>14</v>
      </c>
    </row>
    <row r="452" spans="2:10">
      <c r="B452" s="4">
        <v>207</v>
      </c>
      <c r="C452" s="4">
        <v>34</v>
      </c>
      <c r="D452" s="24" t="s">
        <v>361</v>
      </c>
      <c r="E452" s="25" t="s">
        <v>11</v>
      </c>
      <c r="F452" s="4">
        <v>5.5</v>
      </c>
      <c r="G452" s="4">
        <v>180</v>
      </c>
      <c r="H452" s="4">
        <v>0</v>
      </c>
      <c r="I452" s="4">
        <v>8.5</v>
      </c>
      <c r="J452" s="4">
        <v>5.09</v>
      </c>
    </row>
    <row r="453" spans="2:10">
      <c r="B453" s="4">
        <v>207</v>
      </c>
      <c r="C453" s="4">
        <v>35</v>
      </c>
      <c r="D453" s="24" t="s">
        <v>362</v>
      </c>
      <c r="E453" s="25" t="s">
        <v>11</v>
      </c>
      <c r="F453" s="4">
        <v>13.5</v>
      </c>
      <c r="G453" s="4">
        <v>251</v>
      </c>
      <c r="H453" s="4">
        <v>17</v>
      </c>
      <c r="I453" s="4">
        <v>7.6</v>
      </c>
      <c r="J453" s="4">
        <v>4.12</v>
      </c>
    </row>
    <row r="454" spans="2:10">
      <c r="B454" s="4">
        <v>207</v>
      </c>
      <c r="C454" s="4">
        <v>36</v>
      </c>
      <c r="D454" s="24" t="s">
        <v>363</v>
      </c>
      <c r="E454" s="25" t="s">
        <v>11</v>
      </c>
      <c r="F454" s="4">
        <v>13</v>
      </c>
      <c r="G454" s="4">
        <v>239</v>
      </c>
      <c r="H454" s="4">
        <v>11</v>
      </c>
      <c r="I454" s="4">
        <v>7.5</v>
      </c>
      <c r="J454" s="4">
        <v>3.37</v>
      </c>
    </row>
    <row r="456" s="1" customFormat="1" spans="1:11">
      <c r="A456" s="33" t="s">
        <v>364</v>
      </c>
      <c r="B456" s="24" t="s">
        <v>1</v>
      </c>
      <c r="C456" s="26" t="s">
        <v>2</v>
      </c>
      <c r="D456" s="27" t="s">
        <v>3</v>
      </c>
      <c r="E456" s="27" t="s">
        <v>4</v>
      </c>
      <c r="F456" s="28" t="s">
        <v>5</v>
      </c>
      <c r="G456" s="28" t="s">
        <v>6</v>
      </c>
      <c r="H456" s="28" t="s">
        <v>7</v>
      </c>
      <c r="I456" s="28">
        <v>50</v>
      </c>
      <c r="J456" s="28" t="s">
        <v>8</v>
      </c>
      <c r="K456" s="26" t="s">
        <v>9</v>
      </c>
    </row>
    <row r="457" spans="2:10">
      <c r="B457" s="4">
        <v>207</v>
      </c>
      <c r="C457" s="4">
        <v>37</v>
      </c>
      <c r="D457" s="33" t="s">
        <v>365</v>
      </c>
      <c r="E457" s="25" t="s">
        <v>53</v>
      </c>
      <c r="F457" s="4">
        <v>17</v>
      </c>
      <c r="G457" s="4">
        <v>178</v>
      </c>
      <c r="H457" s="4">
        <v>45</v>
      </c>
      <c r="I457" s="4">
        <v>8.6</v>
      </c>
      <c r="J457" s="4">
        <v>3.19</v>
      </c>
    </row>
    <row r="458" spans="2:10">
      <c r="B458" s="4">
        <v>207</v>
      </c>
      <c r="C458" s="4">
        <v>38</v>
      </c>
      <c r="D458" s="24" t="s">
        <v>366</v>
      </c>
      <c r="E458" s="25" t="s">
        <v>53</v>
      </c>
      <c r="F458" s="4">
        <v>17</v>
      </c>
      <c r="G458" s="4">
        <v>190</v>
      </c>
      <c r="H458" s="4">
        <v>50</v>
      </c>
      <c r="I458" s="4">
        <v>9.2</v>
      </c>
      <c r="J458" s="4">
        <v>3.45</v>
      </c>
    </row>
    <row r="459" spans="2:10">
      <c r="B459" s="4">
        <v>207</v>
      </c>
      <c r="C459" s="4">
        <v>39</v>
      </c>
      <c r="D459" s="24" t="s">
        <v>367</v>
      </c>
      <c r="E459" s="25" t="s">
        <v>53</v>
      </c>
      <c r="F459" s="4">
        <v>18</v>
      </c>
      <c r="G459" s="4">
        <v>171</v>
      </c>
      <c r="H459" s="4">
        <v>57</v>
      </c>
      <c r="I459" s="4">
        <v>8.3</v>
      </c>
      <c r="J459" s="4">
        <v>3.12</v>
      </c>
    </row>
    <row r="460" spans="2:10">
      <c r="B460" s="4">
        <v>207</v>
      </c>
      <c r="C460" s="4">
        <v>40</v>
      </c>
      <c r="D460" s="24" t="s">
        <v>368</v>
      </c>
      <c r="E460" s="25" t="s">
        <v>53</v>
      </c>
      <c r="F460" s="4">
        <v>18</v>
      </c>
      <c r="G460" s="4">
        <v>162</v>
      </c>
      <c r="H460" s="4">
        <v>49</v>
      </c>
      <c r="I460" s="4">
        <v>8.8</v>
      </c>
      <c r="J460" s="4">
        <v>3.34</v>
      </c>
    </row>
    <row r="461" spans="2:10">
      <c r="B461" s="4">
        <v>207</v>
      </c>
      <c r="C461" s="4">
        <v>41</v>
      </c>
      <c r="D461" s="24" t="s">
        <v>369</v>
      </c>
      <c r="E461" s="25" t="s">
        <v>53</v>
      </c>
      <c r="F461" s="4">
        <v>25.6</v>
      </c>
      <c r="G461" s="4">
        <v>180</v>
      </c>
      <c r="H461" s="4">
        <v>42</v>
      </c>
      <c r="I461" s="4">
        <v>8.8</v>
      </c>
      <c r="J461" s="4">
        <v>3.37</v>
      </c>
    </row>
    <row r="462" spans="2:10">
      <c r="B462" s="4">
        <v>207</v>
      </c>
      <c r="C462" s="4">
        <v>42</v>
      </c>
      <c r="D462" s="24" t="s">
        <v>370</v>
      </c>
      <c r="E462" s="25" t="s">
        <v>53</v>
      </c>
      <c r="F462" s="4">
        <v>15.3</v>
      </c>
      <c r="G462" s="4">
        <v>187</v>
      </c>
      <c r="H462" s="4">
        <v>43</v>
      </c>
      <c r="I462" s="4">
        <v>8.3</v>
      </c>
      <c r="J462" s="4">
        <v>3.55</v>
      </c>
    </row>
    <row r="463" spans="2:10">
      <c r="B463" s="4">
        <v>207</v>
      </c>
      <c r="C463" s="4">
        <v>43</v>
      </c>
      <c r="D463" s="24" t="s">
        <v>371</v>
      </c>
      <c r="E463" s="25" t="s">
        <v>53</v>
      </c>
      <c r="F463" s="4">
        <v>17.3</v>
      </c>
      <c r="G463" s="4">
        <v>160</v>
      </c>
      <c r="H463" s="4">
        <v>45</v>
      </c>
      <c r="I463" s="4">
        <v>8.5</v>
      </c>
      <c r="J463" s="4">
        <v>3.35</v>
      </c>
    </row>
    <row r="464" spans="2:10">
      <c r="B464" s="4">
        <v>207</v>
      </c>
      <c r="C464" s="4">
        <v>44</v>
      </c>
      <c r="D464" s="24" t="s">
        <v>372</v>
      </c>
      <c r="E464" s="25" t="s">
        <v>53</v>
      </c>
      <c r="F464" s="4">
        <v>25</v>
      </c>
      <c r="G464" s="4">
        <v>205</v>
      </c>
      <c r="H464" s="4">
        <v>54</v>
      </c>
      <c r="I464" s="4">
        <v>8.5</v>
      </c>
      <c r="J464" s="4">
        <v>3.37</v>
      </c>
    </row>
    <row r="465" spans="2:10">
      <c r="B465" s="4">
        <v>207</v>
      </c>
      <c r="C465" s="4">
        <v>45</v>
      </c>
      <c r="D465" s="24" t="s">
        <v>373</v>
      </c>
      <c r="E465" s="25" t="s">
        <v>53</v>
      </c>
      <c r="F465" s="4">
        <v>12.3</v>
      </c>
      <c r="G465" s="4">
        <v>152</v>
      </c>
      <c r="H465" s="4">
        <v>49</v>
      </c>
      <c r="I465" s="4">
        <v>8.9</v>
      </c>
      <c r="J465" s="4">
        <v>3.43</v>
      </c>
    </row>
    <row r="466" spans="2:10">
      <c r="B466" s="4">
        <v>207</v>
      </c>
      <c r="C466" s="4">
        <v>46</v>
      </c>
      <c r="D466" s="24" t="s">
        <v>374</v>
      </c>
      <c r="E466" s="25" t="s">
        <v>53</v>
      </c>
      <c r="F466" s="4">
        <v>21.4</v>
      </c>
      <c r="G466" s="4">
        <v>197</v>
      </c>
      <c r="H466" s="4">
        <v>45</v>
      </c>
      <c r="I466" s="4">
        <v>8.5</v>
      </c>
      <c r="J466" s="4">
        <v>4.01</v>
      </c>
    </row>
    <row r="467" spans="2:10">
      <c r="B467" s="4">
        <v>207</v>
      </c>
      <c r="C467" s="4">
        <v>47</v>
      </c>
      <c r="D467" s="24" t="s">
        <v>375</v>
      </c>
      <c r="E467" s="25" t="s">
        <v>53</v>
      </c>
      <c r="F467" s="4">
        <v>23</v>
      </c>
      <c r="G467" s="4">
        <v>180</v>
      </c>
      <c r="H467" s="4">
        <v>56</v>
      </c>
      <c r="I467" s="4">
        <v>8.6</v>
      </c>
      <c r="J467" s="4">
        <v>4.05</v>
      </c>
    </row>
    <row r="468" spans="2:10">
      <c r="B468" s="4">
        <v>207</v>
      </c>
      <c r="C468" s="4">
        <v>48</v>
      </c>
      <c r="D468" s="24" t="s">
        <v>376</v>
      </c>
      <c r="E468" s="25" t="s">
        <v>53</v>
      </c>
      <c r="F468" s="4">
        <v>25.4</v>
      </c>
      <c r="G468" s="4">
        <v>177</v>
      </c>
      <c r="H468" s="4">
        <v>44</v>
      </c>
      <c r="I468" s="4">
        <v>8.6</v>
      </c>
      <c r="J468" s="4">
        <v>3.41</v>
      </c>
    </row>
    <row r="469" spans="2:10">
      <c r="B469" s="4">
        <v>207</v>
      </c>
      <c r="C469" s="4">
        <v>49</v>
      </c>
      <c r="D469" s="24" t="s">
        <v>377</v>
      </c>
      <c r="E469" s="25" t="s">
        <v>53</v>
      </c>
      <c r="F469" s="4">
        <v>19</v>
      </c>
      <c r="G469" s="4">
        <v>182</v>
      </c>
      <c r="H469" s="4">
        <v>56</v>
      </c>
      <c r="I469" s="4">
        <v>9.3</v>
      </c>
      <c r="J469" s="4">
        <v>3.48</v>
      </c>
    </row>
    <row r="470" spans="2:10">
      <c r="B470" s="4">
        <v>207</v>
      </c>
      <c r="C470" s="4">
        <v>50</v>
      </c>
      <c r="D470" s="24" t="s">
        <v>378</v>
      </c>
      <c r="E470" s="25" t="s">
        <v>53</v>
      </c>
      <c r="F470" s="4">
        <v>10.2</v>
      </c>
      <c r="G470" s="4">
        <v>173</v>
      </c>
      <c r="H470" s="4">
        <v>42</v>
      </c>
      <c r="I470" s="4">
        <v>9.2</v>
      </c>
      <c r="J470" s="4">
        <v>3.59</v>
      </c>
    </row>
    <row r="477" s="1" customFormat="1" spans="1:11">
      <c r="A477" s="33" t="s">
        <v>379</v>
      </c>
      <c r="B477" s="24" t="s">
        <v>1</v>
      </c>
      <c r="C477" s="26" t="s">
        <v>2</v>
      </c>
      <c r="D477" s="27" t="s">
        <v>3</v>
      </c>
      <c r="E477" s="27" t="s">
        <v>4</v>
      </c>
      <c r="F477" s="28" t="s">
        <v>5</v>
      </c>
      <c r="G477" s="28" t="s">
        <v>6</v>
      </c>
      <c r="H477" s="28" t="s">
        <v>7</v>
      </c>
      <c r="I477" s="28">
        <v>50</v>
      </c>
      <c r="J477" s="28" t="s">
        <v>8</v>
      </c>
      <c r="K477" s="26" t="s">
        <v>9</v>
      </c>
    </row>
    <row r="478" spans="2:5">
      <c r="B478" s="4">
        <v>208</v>
      </c>
      <c r="C478" s="4">
        <v>1</v>
      </c>
      <c r="D478" s="33" t="s">
        <v>380</v>
      </c>
      <c r="E478" s="25" t="s">
        <v>11</v>
      </c>
    </row>
    <row r="479" spans="2:10">
      <c r="B479" s="4">
        <v>208</v>
      </c>
      <c r="C479" s="4">
        <v>2</v>
      </c>
      <c r="D479" s="24" t="s">
        <v>381</v>
      </c>
      <c r="E479" s="25" t="s">
        <v>11</v>
      </c>
      <c r="F479" s="4">
        <v>24</v>
      </c>
      <c r="G479" s="4">
        <v>250</v>
      </c>
      <c r="H479" s="4">
        <v>12</v>
      </c>
      <c r="I479" s="4">
        <v>7.1</v>
      </c>
      <c r="J479" s="4">
        <v>3.49</v>
      </c>
    </row>
    <row r="480" spans="2:10">
      <c r="B480" s="4">
        <v>208</v>
      </c>
      <c r="C480" s="4">
        <v>3</v>
      </c>
      <c r="D480" s="24" t="s">
        <v>382</v>
      </c>
      <c r="E480" s="25" t="s">
        <v>11</v>
      </c>
      <c r="F480" s="4">
        <v>14.5</v>
      </c>
      <c r="G480" s="4">
        <v>229</v>
      </c>
      <c r="H480" s="4">
        <v>14</v>
      </c>
      <c r="I480" s="4">
        <v>7.5</v>
      </c>
      <c r="J480" s="4">
        <v>3.46</v>
      </c>
    </row>
    <row r="481" spans="2:10">
      <c r="B481" s="4">
        <v>208</v>
      </c>
      <c r="C481" s="4">
        <v>4</v>
      </c>
      <c r="D481" s="24" t="s">
        <v>383</v>
      </c>
      <c r="E481" s="25" t="s">
        <v>11</v>
      </c>
      <c r="F481" s="4">
        <v>13</v>
      </c>
      <c r="G481" s="4">
        <v>281</v>
      </c>
      <c r="H481" s="4">
        <v>15</v>
      </c>
      <c r="I481" s="4">
        <v>6.8</v>
      </c>
      <c r="J481" s="4">
        <v>3.48</v>
      </c>
    </row>
    <row r="482" spans="2:10">
      <c r="B482" s="4">
        <v>208</v>
      </c>
      <c r="C482" s="4">
        <v>5</v>
      </c>
      <c r="D482" s="24" t="s">
        <v>384</v>
      </c>
      <c r="E482" s="25" t="s">
        <v>11</v>
      </c>
      <c r="F482" s="4">
        <v>15</v>
      </c>
      <c r="G482" s="4">
        <v>240</v>
      </c>
      <c r="H482" s="4">
        <v>0</v>
      </c>
      <c r="I482" s="4">
        <v>7.2</v>
      </c>
      <c r="J482" s="4">
        <v>3.54</v>
      </c>
    </row>
    <row r="483" spans="2:11">
      <c r="B483" s="4">
        <v>208</v>
      </c>
      <c r="C483" s="4">
        <v>6</v>
      </c>
      <c r="D483" s="24" t="s">
        <v>385</v>
      </c>
      <c r="E483" s="25" t="s">
        <v>11</v>
      </c>
      <c r="K483" s="4" t="s">
        <v>14</v>
      </c>
    </row>
    <row r="484" spans="2:10">
      <c r="B484" s="4">
        <v>208</v>
      </c>
      <c r="C484" s="4">
        <v>7</v>
      </c>
      <c r="D484" s="24" t="s">
        <v>386</v>
      </c>
      <c r="E484" s="25" t="s">
        <v>11</v>
      </c>
      <c r="F484" s="4">
        <v>26.5</v>
      </c>
      <c r="G484" s="4">
        <v>265</v>
      </c>
      <c r="H484" s="4">
        <v>27</v>
      </c>
      <c r="I484" s="4">
        <v>7.3</v>
      </c>
      <c r="J484" s="4">
        <v>4.1</v>
      </c>
    </row>
    <row r="485" spans="2:10">
      <c r="B485" s="4">
        <v>208</v>
      </c>
      <c r="C485" s="4">
        <v>8</v>
      </c>
      <c r="D485" s="24" t="s">
        <v>387</v>
      </c>
      <c r="E485" s="25" t="s">
        <v>11</v>
      </c>
      <c r="F485" s="4">
        <v>2</v>
      </c>
      <c r="G485" s="4">
        <v>235</v>
      </c>
      <c r="H485" s="4">
        <v>4</v>
      </c>
      <c r="I485" s="4">
        <v>8.3</v>
      </c>
      <c r="J485" s="4">
        <v>4.41</v>
      </c>
    </row>
    <row r="486" spans="2:10">
      <c r="B486" s="4">
        <v>208</v>
      </c>
      <c r="C486" s="4">
        <v>9</v>
      </c>
      <c r="D486" s="24" t="s">
        <v>388</v>
      </c>
      <c r="E486" s="25" t="s">
        <v>11</v>
      </c>
      <c r="F486" s="4">
        <v>11</v>
      </c>
      <c r="G486" s="4">
        <v>213</v>
      </c>
      <c r="H486" s="4">
        <v>9</v>
      </c>
      <c r="I486" s="4">
        <v>7.8</v>
      </c>
      <c r="J486" s="4">
        <v>3.54</v>
      </c>
    </row>
    <row r="487" spans="2:10">
      <c r="B487" s="4">
        <v>208</v>
      </c>
      <c r="C487" s="4">
        <v>10</v>
      </c>
      <c r="D487" s="24" t="s">
        <v>389</v>
      </c>
      <c r="E487" s="25" t="s">
        <v>11</v>
      </c>
      <c r="F487" s="4">
        <v>19.5</v>
      </c>
      <c r="G487" s="4">
        <v>228</v>
      </c>
      <c r="H487" s="4">
        <v>13</v>
      </c>
      <c r="I487" s="4">
        <v>7.2</v>
      </c>
      <c r="J487" s="4">
        <v>3.4</v>
      </c>
    </row>
    <row r="488" spans="2:10">
      <c r="B488" s="4">
        <v>208</v>
      </c>
      <c r="C488" s="4">
        <v>11</v>
      </c>
      <c r="D488" s="24" t="s">
        <v>390</v>
      </c>
      <c r="E488" s="25" t="s">
        <v>11</v>
      </c>
      <c r="F488" s="4">
        <v>23</v>
      </c>
      <c r="G488" s="4">
        <v>241</v>
      </c>
      <c r="H488" s="4">
        <v>12</v>
      </c>
      <c r="I488" s="4">
        <v>7.5</v>
      </c>
      <c r="J488" s="4">
        <v>3.36</v>
      </c>
    </row>
    <row r="489" spans="2:10">
      <c r="B489" s="4">
        <v>208</v>
      </c>
      <c r="C489" s="4">
        <v>12</v>
      </c>
      <c r="D489" s="24" t="s">
        <v>391</v>
      </c>
      <c r="E489" s="25" t="s">
        <v>11</v>
      </c>
      <c r="F489" s="4">
        <v>18</v>
      </c>
      <c r="G489" s="4">
        <v>235</v>
      </c>
      <c r="H489" s="4">
        <v>16</v>
      </c>
      <c r="I489" s="4">
        <v>7.5</v>
      </c>
      <c r="J489" s="4">
        <v>4.07</v>
      </c>
    </row>
    <row r="491" s="1" customFormat="1" spans="1:11">
      <c r="A491" s="33" t="s">
        <v>392</v>
      </c>
      <c r="B491" s="24" t="s">
        <v>1</v>
      </c>
      <c r="C491" s="26" t="s">
        <v>2</v>
      </c>
      <c r="D491" s="27" t="s">
        <v>3</v>
      </c>
      <c r="E491" s="27" t="s">
        <v>4</v>
      </c>
      <c r="F491" s="28" t="s">
        <v>5</v>
      </c>
      <c r="G491" s="28" t="s">
        <v>6</v>
      </c>
      <c r="H491" s="28" t="s">
        <v>7</v>
      </c>
      <c r="I491" s="28">
        <v>50</v>
      </c>
      <c r="J491" s="28" t="s">
        <v>8</v>
      </c>
      <c r="K491" s="26" t="s">
        <v>9</v>
      </c>
    </row>
    <row r="492" spans="2:10">
      <c r="B492" s="4">
        <v>208</v>
      </c>
      <c r="C492" s="4">
        <v>13</v>
      </c>
      <c r="D492" s="33" t="s">
        <v>393</v>
      </c>
      <c r="E492" s="25" t="s">
        <v>11</v>
      </c>
      <c r="F492" s="4">
        <v>7.9</v>
      </c>
      <c r="G492" s="4">
        <v>201</v>
      </c>
      <c r="H492" s="4">
        <v>1</v>
      </c>
      <c r="J492" s="4">
        <v>4.13</v>
      </c>
    </row>
    <row r="493" spans="2:10">
      <c r="B493" s="4">
        <v>208</v>
      </c>
      <c r="C493" s="4">
        <v>14</v>
      </c>
      <c r="D493" s="24" t="s">
        <v>394</v>
      </c>
      <c r="E493" s="25" t="s">
        <v>11</v>
      </c>
      <c r="F493" s="4">
        <v>14.1</v>
      </c>
      <c r="G493" s="4">
        <v>292</v>
      </c>
      <c r="H493" s="4">
        <v>27</v>
      </c>
      <c r="I493" s="4">
        <v>6.6</v>
      </c>
      <c r="J493" s="4">
        <v>3.19</v>
      </c>
    </row>
    <row r="494" spans="2:11">
      <c r="B494" s="4">
        <v>208</v>
      </c>
      <c r="C494" s="4">
        <v>15</v>
      </c>
      <c r="D494" s="24" t="s">
        <v>395</v>
      </c>
      <c r="E494" s="25" t="s">
        <v>11</v>
      </c>
      <c r="K494" s="4" t="s">
        <v>14</v>
      </c>
    </row>
    <row r="495" spans="2:10">
      <c r="B495" s="4">
        <v>208</v>
      </c>
      <c r="C495" s="4">
        <v>16</v>
      </c>
      <c r="D495" s="24" t="s">
        <v>396</v>
      </c>
      <c r="E495" s="25" t="s">
        <v>11</v>
      </c>
      <c r="F495" s="4">
        <v>7.7</v>
      </c>
      <c r="G495" s="4">
        <v>223</v>
      </c>
      <c r="H495" s="4">
        <v>3</v>
      </c>
      <c r="I495" s="4">
        <v>7.3</v>
      </c>
      <c r="J495" s="4">
        <v>3.48</v>
      </c>
    </row>
    <row r="496" spans="2:10">
      <c r="B496" s="4">
        <v>208</v>
      </c>
      <c r="C496" s="4">
        <v>17</v>
      </c>
      <c r="D496" s="24" t="s">
        <v>397</v>
      </c>
      <c r="E496" s="25" t="s">
        <v>11</v>
      </c>
      <c r="F496" s="4">
        <v>16.5</v>
      </c>
      <c r="G496" s="4">
        <v>271</v>
      </c>
      <c r="H496" s="4">
        <v>30</v>
      </c>
      <c r="I496" s="4">
        <v>6.4</v>
      </c>
      <c r="J496" s="4">
        <v>3.18</v>
      </c>
    </row>
    <row r="497" spans="2:11">
      <c r="B497" s="4">
        <v>208</v>
      </c>
      <c r="C497" s="4">
        <v>18</v>
      </c>
      <c r="D497" s="24" t="s">
        <v>398</v>
      </c>
      <c r="E497" s="25" t="s">
        <v>11</v>
      </c>
      <c r="K497" s="4" t="s">
        <v>14</v>
      </c>
    </row>
    <row r="498" spans="2:10">
      <c r="B498" s="4">
        <v>208</v>
      </c>
      <c r="C498" s="4">
        <v>19</v>
      </c>
      <c r="D498" s="24" t="s">
        <v>399</v>
      </c>
      <c r="E498" s="25" t="s">
        <v>11</v>
      </c>
      <c r="F498" s="4">
        <v>11</v>
      </c>
      <c r="G498" s="4">
        <v>240</v>
      </c>
      <c r="H498" s="4">
        <v>25</v>
      </c>
      <c r="I498" s="4">
        <v>7.3</v>
      </c>
      <c r="J498" s="4">
        <v>4.04</v>
      </c>
    </row>
    <row r="499" spans="2:10">
      <c r="B499" s="4">
        <v>208</v>
      </c>
      <c r="C499" s="4">
        <v>20</v>
      </c>
      <c r="D499" s="24" t="s">
        <v>400</v>
      </c>
      <c r="E499" s="25" t="s">
        <v>11</v>
      </c>
      <c r="F499" s="4">
        <v>21.3</v>
      </c>
      <c r="G499" s="4">
        <v>250</v>
      </c>
      <c r="H499" s="4">
        <v>19</v>
      </c>
      <c r="I499" s="4">
        <v>7.2</v>
      </c>
      <c r="J499" s="4">
        <v>5.16</v>
      </c>
    </row>
    <row r="500" spans="2:10">
      <c r="B500" s="4">
        <v>208</v>
      </c>
      <c r="C500" s="4">
        <v>21</v>
      </c>
      <c r="D500" s="24" t="s">
        <v>401</v>
      </c>
      <c r="E500" s="25" t="s">
        <v>11</v>
      </c>
      <c r="F500" s="4">
        <v>16</v>
      </c>
      <c r="G500" s="4">
        <v>261</v>
      </c>
      <c r="H500" s="4">
        <v>27</v>
      </c>
      <c r="I500" s="4">
        <v>7</v>
      </c>
      <c r="J500" s="4">
        <v>3.19</v>
      </c>
    </row>
    <row r="501" spans="2:11">
      <c r="B501" s="4">
        <v>208</v>
      </c>
      <c r="C501" s="4">
        <v>22</v>
      </c>
      <c r="D501" s="24" t="s">
        <v>402</v>
      </c>
      <c r="E501" s="25" t="s">
        <v>11</v>
      </c>
      <c r="K501" s="4" t="s">
        <v>14</v>
      </c>
    </row>
    <row r="502" spans="2:10">
      <c r="B502" s="4">
        <v>208</v>
      </c>
      <c r="C502" s="4">
        <v>23</v>
      </c>
      <c r="D502" s="24" t="s">
        <v>403</v>
      </c>
      <c r="E502" s="25" t="s">
        <v>11</v>
      </c>
      <c r="F502" s="4">
        <v>9</v>
      </c>
      <c r="G502" s="4">
        <v>241</v>
      </c>
      <c r="H502" s="4">
        <v>17</v>
      </c>
      <c r="I502" s="4">
        <v>7.3</v>
      </c>
      <c r="J502" s="4">
        <v>3.43</v>
      </c>
    </row>
    <row r="503" spans="2:10">
      <c r="B503" s="4">
        <v>208</v>
      </c>
      <c r="C503" s="4">
        <v>24</v>
      </c>
      <c r="D503" s="24" t="s">
        <v>404</v>
      </c>
      <c r="E503" s="25" t="s">
        <v>11</v>
      </c>
      <c r="F503" s="4">
        <v>30</v>
      </c>
      <c r="G503" s="4">
        <v>240</v>
      </c>
      <c r="H503" s="4">
        <v>1</v>
      </c>
      <c r="I503" s="4">
        <v>7.3</v>
      </c>
      <c r="J503" s="4">
        <v>3.47</v>
      </c>
    </row>
    <row r="504" spans="4:5">
      <c r="D504" s="24"/>
      <c r="E504" s="25"/>
    </row>
    <row r="505" spans="4:5">
      <c r="D505" s="24"/>
      <c r="E505" s="25"/>
    </row>
    <row r="506" spans="4:5">
      <c r="D506" s="24"/>
      <c r="E506" s="25"/>
    </row>
    <row r="507" spans="4:5">
      <c r="D507" s="24"/>
      <c r="E507" s="25"/>
    </row>
    <row r="508" spans="4:5">
      <c r="D508" s="24"/>
      <c r="E508" s="25"/>
    </row>
    <row r="509" spans="4:5">
      <c r="D509" s="24"/>
      <c r="E509" s="25"/>
    </row>
    <row r="510" spans="4:5">
      <c r="D510" s="24"/>
      <c r="E510" s="25"/>
    </row>
    <row r="512" s="1" customFormat="1" spans="1:11">
      <c r="A512" s="33" t="s">
        <v>405</v>
      </c>
      <c r="B512" s="24" t="s">
        <v>1</v>
      </c>
      <c r="C512" s="26" t="s">
        <v>2</v>
      </c>
      <c r="D512" s="27" t="s">
        <v>3</v>
      </c>
      <c r="E512" s="27" t="s">
        <v>4</v>
      </c>
      <c r="F512" s="28" t="s">
        <v>5</v>
      </c>
      <c r="G512" s="28" t="s">
        <v>6</v>
      </c>
      <c r="H512" s="28" t="s">
        <v>7</v>
      </c>
      <c r="I512" s="28">
        <v>50</v>
      </c>
      <c r="J512" s="28" t="s">
        <v>8</v>
      </c>
      <c r="K512" s="26" t="s">
        <v>9</v>
      </c>
    </row>
    <row r="513" spans="2:10">
      <c r="B513" s="4">
        <v>208</v>
      </c>
      <c r="C513" s="4">
        <v>25</v>
      </c>
      <c r="D513" s="33" t="s">
        <v>406</v>
      </c>
      <c r="E513" s="25" t="s">
        <v>11</v>
      </c>
      <c r="F513" s="4">
        <v>15.5</v>
      </c>
      <c r="G513" s="4">
        <v>223</v>
      </c>
      <c r="H513" s="4">
        <v>0</v>
      </c>
      <c r="I513" s="4">
        <v>7.4</v>
      </c>
      <c r="J513" s="4">
        <v>3.54</v>
      </c>
    </row>
    <row r="514" spans="2:10">
      <c r="B514" s="4">
        <v>208</v>
      </c>
      <c r="C514" s="4">
        <v>26</v>
      </c>
      <c r="D514" s="24" t="s">
        <v>407</v>
      </c>
      <c r="E514" s="25" t="s">
        <v>11</v>
      </c>
      <c r="F514" s="4">
        <v>27</v>
      </c>
      <c r="G514" s="4">
        <v>220</v>
      </c>
      <c r="H514" s="4">
        <v>7</v>
      </c>
      <c r="I514" s="4">
        <v>7.4</v>
      </c>
      <c r="J514" s="4">
        <v>3.39</v>
      </c>
    </row>
    <row r="515" spans="2:10">
      <c r="B515" s="4">
        <v>208</v>
      </c>
      <c r="C515" s="4">
        <v>27</v>
      </c>
      <c r="D515" s="24" t="s">
        <v>408</v>
      </c>
      <c r="E515" s="25" t="s">
        <v>11</v>
      </c>
      <c r="F515" s="4">
        <v>21.9</v>
      </c>
      <c r="G515" s="4">
        <v>218</v>
      </c>
      <c r="H515" s="4">
        <v>7</v>
      </c>
      <c r="I515" s="4">
        <v>7</v>
      </c>
      <c r="J515" s="4">
        <v>3.37</v>
      </c>
    </row>
    <row r="516" spans="2:10">
      <c r="B516" s="4">
        <v>208</v>
      </c>
      <c r="C516" s="4">
        <v>28</v>
      </c>
      <c r="D516" s="24" t="s">
        <v>409</v>
      </c>
      <c r="E516" s="25" t="s">
        <v>11</v>
      </c>
      <c r="F516" s="4">
        <v>14</v>
      </c>
      <c r="G516" s="4">
        <v>231</v>
      </c>
      <c r="H516" s="4">
        <v>12</v>
      </c>
      <c r="I516" s="4">
        <v>7.1</v>
      </c>
      <c r="J516" s="4">
        <v>3.44</v>
      </c>
    </row>
    <row r="517" spans="2:10">
      <c r="B517" s="4">
        <v>208</v>
      </c>
      <c r="C517" s="4">
        <v>29</v>
      </c>
      <c r="D517" s="24" t="s">
        <v>410</v>
      </c>
      <c r="E517" s="25" t="s">
        <v>11</v>
      </c>
      <c r="F517" s="4">
        <v>6.4</v>
      </c>
      <c r="G517" s="4">
        <v>180</v>
      </c>
      <c r="H517" s="4">
        <v>0</v>
      </c>
      <c r="I517" s="4">
        <v>7.6</v>
      </c>
      <c r="J517" s="4">
        <v>4.09</v>
      </c>
    </row>
    <row r="518" spans="2:10">
      <c r="B518" s="4">
        <v>208</v>
      </c>
      <c r="C518" s="4">
        <v>30</v>
      </c>
      <c r="D518" s="24" t="s">
        <v>411</v>
      </c>
      <c r="E518" s="25" t="s">
        <v>11</v>
      </c>
      <c r="F518" s="4">
        <v>15.9</v>
      </c>
      <c r="G518" s="4">
        <v>265</v>
      </c>
      <c r="H518" s="4">
        <v>4</v>
      </c>
      <c r="I518" s="4">
        <v>7</v>
      </c>
      <c r="J518" s="4">
        <v>3.45</v>
      </c>
    </row>
    <row r="519" spans="2:10">
      <c r="B519" s="4">
        <v>208</v>
      </c>
      <c r="C519" s="4">
        <v>31</v>
      </c>
      <c r="D519" s="24" t="s">
        <v>412</v>
      </c>
      <c r="E519" s="25" t="s">
        <v>11</v>
      </c>
      <c r="F519" s="4">
        <v>11.7</v>
      </c>
      <c r="G519" s="4">
        <v>246</v>
      </c>
      <c r="H519" s="4">
        <v>13</v>
      </c>
      <c r="I519" s="4">
        <v>7.5</v>
      </c>
      <c r="J519" s="4">
        <v>4.12</v>
      </c>
    </row>
    <row r="520" spans="2:10">
      <c r="B520" s="4">
        <v>208</v>
      </c>
      <c r="C520" s="4">
        <v>32</v>
      </c>
      <c r="D520" s="24" t="s">
        <v>413</v>
      </c>
      <c r="E520" s="25" t="s">
        <v>11</v>
      </c>
      <c r="F520" s="4">
        <v>2.6</v>
      </c>
      <c r="G520" s="4">
        <v>267</v>
      </c>
      <c r="H520" s="4">
        <v>17</v>
      </c>
      <c r="I520" s="4">
        <v>6.8</v>
      </c>
      <c r="J520" s="4">
        <v>4.38</v>
      </c>
    </row>
    <row r="521" spans="2:10">
      <c r="B521" s="4">
        <v>208</v>
      </c>
      <c r="C521" s="4">
        <v>33</v>
      </c>
      <c r="D521" s="24" t="s">
        <v>414</v>
      </c>
      <c r="E521" s="25" t="s">
        <v>11</v>
      </c>
      <c r="F521" s="4">
        <v>9</v>
      </c>
      <c r="G521" s="4">
        <v>246</v>
      </c>
      <c r="H521" s="4">
        <v>15</v>
      </c>
      <c r="I521" s="4">
        <v>8</v>
      </c>
      <c r="J521" s="4">
        <v>3.54</v>
      </c>
    </row>
    <row r="522" spans="2:10">
      <c r="B522" s="4">
        <v>208</v>
      </c>
      <c r="C522" s="4">
        <v>34</v>
      </c>
      <c r="D522" s="24" t="s">
        <v>415</v>
      </c>
      <c r="E522" s="25" t="s">
        <v>11</v>
      </c>
      <c r="F522" s="4">
        <v>22.5</v>
      </c>
      <c r="G522" s="4">
        <v>248</v>
      </c>
      <c r="H522" s="4">
        <v>10</v>
      </c>
      <c r="I522" s="4">
        <v>7.4</v>
      </c>
      <c r="J522" s="4">
        <v>3.51</v>
      </c>
    </row>
    <row r="523" spans="2:11">
      <c r="B523" s="4">
        <v>208</v>
      </c>
      <c r="C523" s="4">
        <v>35</v>
      </c>
      <c r="D523" s="24" t="s">
        <v>416</v>
      </c>
      <c r="E523" s="25" t="s">
        <v>11</v>
      </c>
      <c r="K523" s="4" t="s">
        <v>14</v>
      </c>
    </row>
    <row r="524" spans="2:10">
      <c r="B524" s="4">
        <v>208</v>
      </c>
      <c r="C524" s="4">
        <v>36</v>
      </c>
      <c r="D524" s="24" t="s">
        <v>417</v>
      </c>
      <c r="E524" s="25" t="s">
        <v>11</v>
      </c>
      <c r="F524" s="4">
        <v>11.9</v>
      </c>
      <c r="G524" s="4">
        <v>251</v>
      </c>
      <c r="H524" s="4">
        <v>5</v>
      </c>
      <c r="I524" s="4">
        <v>7.2</v>
      </c>
      <c r="J524" s="4">
        <v>3.5</v>
      </c>
    </row>
    <row r="526" s="1" customFormat="1" spans="1:11">
      <c r="A526" s="33" t="s">
        <v>418</v>
      </c>
      <c r="B526" s="24" t="s">
        <v>1</v>
      </c>
      <c r="C526" s="26" t="s">
        <v>2</v>
      </c>
      <c r="D526" s="27" t="s">
        <v>3</v>
      </c>
      <c r="E526" s="27" t="s">
        <v>4</v>
      </c>
      <c r="F526" s="28" t="s">
        <v>5</v>
      </c>
      <c r="G526" s="28" t="s">
        <v>6</v>
      </c>
      <c r="H526" s="28" t="s">
        <v>7</v>
      </c>
      <c r="I526" s="28">
        <v>50</v>
      </c>
      <c r="J526" s="28" t="s">
        <v>8</v>
      </c>
      <c r="K526" s="26" t="s">
        <v>9</v>
      </c>
    </row>
    <row r="527" spans="2:10">
      <c r="B527" s="4">
        <v>208</v>
      </c>
      <c r="C527" s="4">
        <v>37</v>
      </c>
      <c r="D527" s="33" t="s">
        <v>419</v>
      </c>
      <c r="E527" s="25" t="s">
        <v>53</v>
      </c>
      <c r="F527" s="4">
        <v>12</v>
      </c>
      <c r="G527" s="4">
        <v>186</v>
      </c>
      <c r="H527" s="4">
        <v>39</v>
      </c>
      <c r="I527" s="4">
        <v>8.3</v>
      </c>
      <c r="J527" s="4">
        <v>3.36</v>
      </c>
    </row>
    <row r="528" spans="2:10">
      <c r="B528" s="4">
        <v>208</v>
      </c>
      <c r="C528" s="4">
        <v>38</v>
      </c>
      <c r="D528" s="24" t="s">
        <v>420</v>
      </c>
      <c r="E528" s="25" t="s">
        <v>53</v>
      </c>
      <c r="F528" s="4">
        <v>23.5</v>
      </c>
      <c r="G528" s="4">
        <v>165</v>
      </c>
      <c r="H528" s="4">
        <v>43</v>
      </c>
      <c r="I528" s="4">
        <v>9.4</v>
      </c>
      <c r="J528" s="4">
        <v>3.5</v>
      </c>
    </row>
    <row r="529" spans="2:10">
      <c r="B529" s="4">
        <v>208</v>
      </c>
      <c r="C529" s="4">
        <v>39</v>
      </c>
      <c r="D529" s="24" t="s">
        <v>421</v>
      </c>
      <c r="E529" s="25" t="s">
        <v>53</v>
      </c>
      <c r="F529" s="4">
        <v>30</v>
      </c>
      <c r="G529" s="4">
        <v>198</v>
      </c>
      <c r="H529" s="4">
        <v>59</v>
      </c>
      <c r="I529" s="4">
        <v>8.3</v>
      </c>
      <c r="J529" s="4">
        <v>3.49</v>
      </c>
    </row>
    <row r="530" spans="2:10">
      <c r="B530" s="4">
        <v>208</v>
      </c>
      <c r="C530" s="4">
        <v>40</v>
      </c>
      <c r="D530" s="24" t="s">
        <v>422</v>
      </c>
      <c r="E530" s="25" t="s">
        <v>53</v>
      </c>
      <c r="F530" s="4">
        <v>9</v>
      </c>
      <c r="G530" s="4">
        <v>167</v>
      </c>
      <c r="H530" s="4">
        <v>46</v>
      </c>
      <c r="I530" s="4">
        <v>9.7</v>
      </c>
      <c r="J530" s="4">
        <v>3.47</v>
      </c>
    </row>
    <row r="531" spans="2:10">
      <c r="B531" s="4">
        <v>208</v>
      </c>
      <c r="C531" s="4">
        <v>41</v>
      </c>
      <c r="D531" s="24" t="s">
        <v>423</v>
      </c>
      <c r="E531" s="25" t="s">
        <v>53</v>
      </c>
      <c r="F531" s="4">
        <v>24.2</v>
      </c>
      <c r="G531" s="4">
        <v>220</v>
      </c>
      <c r="H531" s="4">
        <v>37</v>
      </c>
      <c r="I531" s="4">
        <v>8.3</v>
      </c>
      <c r="J531" s="4">
        <v>3.23</v>
      </c>
    </row>
    <row r="532" spans="2:10">
      <c r="B532" s="4">
        <v>208</v>
      </c>
      <c r="C532" s="4">
        <v>42</v>
      </c>
      <c r="D532" s="24" t="s">
        <v>424</v>
      </c>
      <c r="E532" s="25" t="s">
        <v>53</v>
      </c>
      <c r="F532" s="4">
        <v>12.5</v>
      </c>
      <c r="G532" s="4">
        <v>191</v>
      </c>
      <c r="H532" s="4">
        <v>42</v>
      </c>
      <c r="I532" s="4">
        <v>8.1</v>
      </c>
      <c r="J532" s="4">
        <v>3.27</v>
      </c>
    </row>
    <row r="533" spans="2:10">
      <c r="B533" s="4">
        <v>208</v>
      </c>
      <c r="C533" s="4">
        <v>43</v>
      </c>
      <c r="D533" s="24" t="s">
        <v>425</v>
      </c>
      <c r="E533" s="25" t="s">
        <v>53</v>
      </c>
      <c r="F533" s="4">
        <v>21</v>
      </c>
      <c r="G533" s="4">
        <v>166</v>
      </c>
      <c r="H533" s="4">
        <v>45</v>
      </c>
      <c r="I533" s="4">
        <v>9.3</v>
      </c>
      <c r="J533" s="4">
        <v>4.2</v>
      </c>
    </row>
    <row r="534" spans="2:9">
      <c r="B534" s="4">
        <v>208</v>
      </c>
      <c r="C534" s="4">
        <v>44</v>
      </c>
      <c r="D534" s="24" t="s">
        <v>426</v>
      </c>
      <c r="E534" s="25" t="s">
        <v>53</v>
      </c>
      <c r="F534" s="4">
        <v>16</v>
      </c>
      <c r="G534" s="4">
        <v>168</v>
      </c>
      <c r="H534" s="4">
        <v>44</v>
      </c>
      <c r="I534" s="4">
        <v>8.7</v>
      </c>
    </row>
    <row r="535" spans="4:5">
      <c r="D535" s="24"/>
      <c r="E535" s="25"/>
    </row>
    <row r="536" spans="4:5">
      <c r="D536" s="24"/>
      <c r="E536" s="25"/>
    </row>
    <row r="538" s="1" customFormat="1" spans="1:11">
      <c r="A538" s="33" t="s">
        <v>427</v>
      </c>
      <c r="B538" s="24" t="s">
        <v>1</v>
      </c>
      <c r="C538" s="26" t="s">
        <v>2</v>
      </c>
      <c r="D538" s="27" t="s">
        <v>3</v>
      </c>
      <c r="E538" s="27" t="s">
        <v>4</v>
      </c>
      <c r="F538" s="28" t="s">
        <v>5</v>
      </c>
      <c r="G538" s="28" t="s">
        <v>6</v>
      </c>
      <c r="H538" s="28" t="s">
        <v>7</v>
      </c>
      <c r="I538" s="28">
        <v>50</v>
      </c>
      <c r="J538" s="28" t="s">
        <v>8</v>
      </c>
      <c r="K538" s="26" t="s">
        <v>9</v>
      </c>
    </row>
    <row r="539" spans="2:10">
      <c r="B539" s="4">
        <v>208</v>
      </c>
      <c r="C539" s="4">
        <v>45</v>
      </c>
      <c r="D539" s="33" t="s">
        <v>428</v>
      </c>
      <c r="E539" s="25" t="s">
        <v>53</v>
      </c>
      <c r="F539" s="4">
        <v>13.6</v>
      </c>
      <c r="G539" s="4">
        <v>177</v>
      </c>
      <c r="H539" s="4">
        <v>48</v>
      </c>
      <c r="I539" s="4">
        <v>9.1</v>
      </c>
      <c r="J539" s="4">
        <v>3.35</v>
      </c>
    </row>
    <row r="540" spans="2:9">
      <c r="B540" s="4">
        <v>208</v>
      </c>
      <c r="C540" s="4">
        <v>46</v>
      </c>
      <c r="D540" s="24" t="s">
        <v>429</v>
      </c>
      <c r="E540" s="25" t="s">
        <v>53</v>
      </c>
      <c r="F540" s="4">
        <v>20.7</v>
      </c>
      <c r="G540" s="4">
        <v>180</v>
      </c>
      <c r="H540" s="4">
        <v>58</v>
      </c>
      <c r="I540" s="4">
        <v>8.7</v>
      </c>
    </row>
    <row r="541" spans="2:10">
      <c r="B541" s="4">
        <v>208</v>
      </c>
      <c r="C541" s="4">
        <v>47</v>
      </c>
      <c r="D541" s="24" t="s">
        <v>430</v>
      </c>
      <c r="E541" s="25" t="s">
        <v>53</v>
      </c>
      <c r="F541" s="4">
        <v>17.6</v>
      </c>
      <c r="G541" s="4">
        <v>165</v>
      </c>
      <c r="H541" s="4">
        <v>54</v>
      </c>
      <c r="I541" s="4">
        <v>9.1</v>
      </c>
      <c r="J541" s="4">
        <v>3.25</v>
      </c>
    </row>
    <row r="542" spans="2:10">
      <c r="B542" s="4">
        <v>208</v>
      </c>
      <c r="C542" s="4">
        <v>48</v>
      </c>
      <c r="D542" s="24" t="s">
        <v>431</v>
      </c>
      <c r="E542" s="25" t="s">
        <v>53</v>
      </c>
      <c r="F542" s="4">
        <v>13.7</v>
      </c>
      <c r="G542" s="4">
        <v>153</v>
      </c>
      <c r="H542" s="4">
        <v>47</v>
      </c>
      <c r="I542" s="4">
        <v>9.1</v>
      </c>
      <c r="J542" s="4">
        <v>3.25</v>
      </c>
    </row>
    <row r="543" spans="2:10">
      <c r="B543" s="4">
        <v>208</v>
      </c>
      <c r="C543" s="4">
        <v>49</v>
      </c>
      <c r="D543" s="24" t="s">
        <v>432</v>
      </c>
      <c r="E543" s="25" t="s">
        <v>53</v>
      </c>
      <c r="F543" s="4">
        <v>17.1</v>
      </c>
      <c r="G543" s="4">
        <v>165</v>
      </c>
      <c r="H543" s="4">
        <v>56</v>
      </c>
      <c r="I543" s="4">
        <v>8.1</v>
      </c>
      <c r="J543" s="4">
        <v>3.45</v>
      </c>
    </row>
    <row r="544" spans="2:10">
      <c r="B544" s="4">
        <v>208</v>
      </c>
      <c r="C544" s="4">
        <v>50</v>
      </c>
      <c r="D544" s="24" t="s">
        <v>433</v>
      </c>
      <c r="E544" s="25" t="s">
        <v>53</v>
      </c>
      <c r="F544" s="4">
        <v>27</v>
      </c>
      <c r="G544" s="4">
        <v>203</v>
      </c>
      <c r="H544" s="4">
        <v>51</v>
      </c>
      <c r="I544" s="4">
        <v>8.2</v>
      </c>
      <c r="J544" s="4">
        <v>3.46</v>
      </c>
    </row>
    <row r="545" spans="2:10">
      <c r="B545" s="4">
        <v>208</v>
      </c>
      <c r="C545" s="4">
        <v>51</v>
      </c>
      <c r="D545" s="24" t="s">
        <v>434</v>
      </c>
      <c r="E545" s="25" t="s">
        <v>53</v>
      </c>
      <c r="F545" s="4">
        <v>22</v>
      </c>
      <c r="G545" s="4">
        <v>140</v>
      </c>
      <c r="H545" s="4">
        <v>38</v>
      </c>
      <c r="I545" s="4">
        <v>9.2</v>
      </c>
      <c r="J545" s="4">
        <v>3.34</v>
      </c>
    </row>
    <row r="549" s="1" customFormat="1" spans="1:11">
      <c r="A549" s="33" t="s">
        <v>435</v>
      </c>
      <c r="B549" s="24" t="s">
        <v>1</v>
      </c>
      <c r="C549" s="26" t="s">
        <v>2</v>
      </c>
      <c r="D549" s="27" t="s">
        <v>3</v>
      </c>
      <c r="E549" s="27" t="s">
        <v>4</v>
      </c>
      <c r="F549" s="28" t="s">
        <v>5</v>
      </c>
      <c r="G549" s="28" t="s">
        <v>6</v>
      </c>
      <c r="H549" s="28" t="s">
        <v>7</v>
      </c>
      <c r="I549" s="28">
        <v>50</v>
      </c>
      <c r="J549" s="28" t="s">
        <v>8</v>
      </c>
      <c r="K549" s="26" t="s">
        <v>9</v>
      </c>
    </row>
    <row r="550" spans="2:10">
      <c r="B550" s="4">
        <v>209</v>
      </c>
      <c r="C550" s="4">
        <v>1</v>
      </c>
      <c r="D550" s="33" t="s">
        <v>436</v>
      </c>
      <c r="E550" s="25" t="s">
        <v>11</v>
      </c>
      <c r="F550" s="4">
        <v>0</v>
      </c>
      <c r="G550" s="4">
        <v>233</v>
      </c>
      <c r="H550" s="4">
        <v>0</v>
      </c>
      <c r="I550" s="4">
        <v>7.6</v>
      </c>
      <c r="J550" s="4">
        <v>4.06</v>
      </c>
    </row>
    <row r="551" spans="2:10">
      <c r="B551" s="4">
        <v>209</v>
      </c>
      <c r="C551" s="4">
        <v>2</v>
      </c>
      <c r="D551" s="24" t="s">
        <v>437</v>
      </c>
      <c r="E551" s="25" t="s">
        <v>11</v>
      </c>
      <c r="F551" s="4">
        <v>21</v>
      </c>
      <c r="G551" s="4">
        <v>255</v>
      </c>
      <c r="H551" s="4">
        <v>5</v>
      </c>
      <c r="I551" s="4">
        <v>7</v>
      </c>
      <c r="J551" s="4">
        <v>3.21</v>
      </c>
    </row>
    <row r="552" spans="2:10">
      <c r="B552" s="4">
        <v>209</v>
      </c>
      <c r="C552" s="4">
        <v>3</v>
      </c>
      <c r="D552" s="24" t="s">
        <v>438</v>
      </c>
      <c r="E552" s="25" t="s">
        <v>11</v>
      </c>
      <c r="F552" s="4">
        <v>2.8</v>
      </c>
      <c r="G552" s="4">
        <v>218</v>
      </c>
      <c r="H552" s="4">
        <v>2</v>
      </c>
      <c r="I552" s="4">
        <v>7.1</v>
      </c>
      <c r="J552" s="4">
        <v>3.35</v>
      </c>
    </row>
    <row r="553" spans="2:10">
      <c r="B553" s="4">
        <v>209</v>
      </c>
      <c r="C553" s="4">
        <v>4</v>
      </c>
      <c r="D553" s="24" t="s">
        <v>439</v>
      </c>
      <c r="E553" s="25" t="s">
        <v>11</v>
      </c>
      <c r="F553" s="4">
        <v>12</v>
      </c>
      <c r="G553" s="4">
        <v>270</v>
      </c>
      <c r="H553" s="4">
        <v>21</v>
      </c>
      <c r="I553" s="4">
        <v>7.3</v>
      </c>
      <c r="J553" s="4">
        <v>3.26</v>
      </c>
    </row>
    <row r="554" spans="2:10">
      <c r="B554" s="4">
        <v>209</v>
      </c>
      <c r="C554" s="4">
        <v>5</v>
      </c>
      <c r="D554" s="24" t="s">
        <v>440</v>
      </c>
      <c r="E554" s="25" t="s">
        <v>11</v>
      </c>
      <c r="F554" s="4">
        <v>8.3</v>
      </c>
      <c r="G554" s="4">
        <v>238</v>
      </c>
      <c r="H554" s="4">
        <v>18</v>
      </c>
      <c r="I554" s="4">
        <v>7.2</v>
      </c>
      <c r="J554" s="4">
        <v>3.24</v>
      </c>
    </row>
    <row r="555" spans="2:10">
      <c r="B555" s="4">
        <v>209</v>
      </c>
      <c r="C555" s="4">
        <v>6</v>
      </c>
      <c r="D555" s="24" t="s">
        <v>441</v>
      </c>
      <c r="E555" s="25" t="s">
        <v>11</v>
      </c>
      <c r="F555" s="4">
        <v>5.4</v>
      </c>
      <c r="G555" s="4">
        <v>253</v>
      </c>
      <c r="H555" s="4">
        <v>15</v>
      </c>
      <c r="I555" s="4">
        <v>7</v>
      </c>
      <c r="J555" s="4">
        <v>3.48</v>
      </c>
    </row>
    <row r="556" spans="2:10">
      <c r="B556" s="4">
        <v>209</v>
      </c>
      <c r="C556" s="4">
        <v>7</v>
      </c>
      <c r="D556" s="24" t="s">
        <v>442</v>
      </c>
      <c r="E556" s="25" t="s">
        <v>11</v>
      </c>
      <c r="F556" s="4">
        <v>7.3</v>
      </c>
      <c r="G556" s="4">
        <v>219</v>
      </c>
      <c r="H556" s="4">
        <v>8</v>
      </c>
      <c r="I556" s="4">
        <v>7.7</v>
      </c>
      <c r="J556" s="4">
        <v>3.51</v>
      </c>
    </row>
    <row r="557" spans="2:10">
      <c r="B557" s="4">
        <v>209</v>
      </c>
      <c r="C557" s="4">
        <v>8</v>
      </c>
      <c r="D557" s="24" t="s">
        <v>443</v>
      </c>
      <c r="E557" s="25" t="s">
        <v>11</v>
      </c>
      <c r="F557" s="4">
        <v>0.5</v>
      </c>
      <c r="G557" s="4">
        <v>214</v>
      </c>
      <c r="H557" s="4">
        <v>5</v>
      </c>
      <c r="I557" s="4">
        <v>7.5</v>
      </c>
      <c r="J557" s="4">
        <v>4.05</v>
      </c>
    </row>
    <row r="558" spans="2:11">
      <c r="B558" s="4">
        <v>209</v>
      </c>
      <c r="C558" s="4">
        <v>9</v>
      </c>
      <c r="D558" s="24" t="s">
        <v>444</v>
      </c>
      <c r="E558" s="25" t="s">
        <v>11</v>
      </c>
      <c r="K558" s="4" t="s">
        <v>14</v>
      </c>
    </row>
    <row r="559" spans="2:10">
      <c r="B559" s="4">
        <v>209</v>
      </c>
      <c r="C559" s="4">
        <v>10</v>
      </c>
      <c r="D559" s="24" t="s">
        <v>445</v>
      </c>
      <c r="E559" s="25" t="s">
        <v>11</v>
      </c>
      <c r="F559" s="4">
        <v>6.9</v>
      </c>
      <c r="G559" s="4">
        <v>247</v>
      </c>
      <c r="H559" s="4">
        <v>6</v>
      </c>
      <c r="I559" s="4">
        <v>7.4</v>
      </c>
      <c r="J559" s="4">
        <v>4.07</v>
      </c>
    </row>
    <row r="561" s="1" customFormat="1" spans="1:11">
      <c r="A561" s="33" t="s">
        <v>446</v>
      </c>
      <c r="B561" s="24" t="s">
        <v>1</v>
      </c>
      <c r="C561" s="26" t="s">
        <v>2</v>
      </c>
      <c r="D561" s="27" t="s">
        <v>3</v>
      </c>
      <c r="E561" s="27" t="s">
        <v>4</v>
      </c>
      <c r="F561" s="28" t="s">
        <v>5</v>
      </c>
      <c r="G561" s="28" t="s">
        <v>6</v>
      </c>
      <c r="H561" s="28" t="s">
        <v>7</v>
      </c>
      <c r="I561" s="28">
        <v>50</v>
      </c>
      <c r="J561" s="28" t="s">
        <v>8</v>
      </c>
      <c r="K561" s="26" t="s">
        <v>9</v>
      </c>
    </row>
    <row r="562" spans="2:10">
      <c r="B562" s="4">
        <v>209</v>
      </c>
      <c r="C562" s="4">
        <v>11</v>
      </c>
      <c r="D562" s="33" t="s">
        <v>447</v>
      </c>
      <c r="E562" s="25" t="s">
        <v>11</v>
      </c>
      <c r="F562" s="4">
        <v>8.8</v>
      </c>
      <c r="G562" s="4">
        <v>205</v>
      </c>
      <c r="H562" s="4">
        <v>11</v>
      </c>
      <c r="I562" s="4">
        <v>7.7</v>
      </c>
      <c r="J562" s="4">
        <v>4.17</v>
      </c>
    </row>
    <row r="563" spans="2:10">
      <c r="B563" s="4">
        <v>209</v>
      </c>
      <c r="C563" s="4">
        <v>12</v>
      </c>
      <c r="D563" s="24" t="s">
        <v>448</v>
      </c>
      <c r="E563" s="25" t="s">
        <v>11</v>
      </c>
      <c r="F563" s="4">
        <v>8.5</v>
      </c>
      <c r="G563" s="4">
        <v>234</v>
      </c>
      <c r="H563" s="4">
        <v>0</v>
      </c>
      <c r="I563" s="4">
        <v>7.6</v>
      </c>
      <c r="J563" s="4">
        <v>3.5</v>
      </c>
    </row>
    <row r="564" spans="2:10">
      <c r="B564" s="4">
        <v>209</v>
      </c>
      <c r="C564" s="4">
        <v>13</v>
      </c>
      <c r="D564" s="24" t="s">
        <v>449</v>
      </c>
      <c r="E564" s="25" t="s">
        <v>11</v>
      </c>
      <c r="F564" s="4">
        <v>25.5</v>
      </c>
      <c r="G564" s="4">
        <v>258</v>
      </c>
      <c r="H564" s="4">
        <v>7</v>
      </c>
      <c r="I564" s="4">
        <v>6.9</v>
      </c>
      <c r="J564" s="4">
        <v>3.28</v>
      </c>
    </row>
    <row r="565" spans="2:10">
      <c r="B565" s="4">
        <v>209</v>
      </c>
      <c r="C565" s="4">
        <v>14</v>
      </c>
      <c r="D565" s="24" t="s">
        <v>450</v>
      </c>
      <c r="E565" s="25" t="s">
        <v>11</v>
      </c>
      <c r="F565" s="4">
        <v>0</v>
      </c>
      <c r="G565" s="4">
        <v>265</v>
      </c>
      <c r="H565" s="4">
        <v>20</v>
      </c>
      <c r="I565" s="4">
        <v>6.6</v>
      </c>
      <c r="J565" s="4">
        <v>4.13</v>
      </c>
    </row>
    <row r="566" spans="2:10">
      <c r="B566" s="4">
        <v>209</v>
      </c>
      <c r="C566" s="4">
        <v>15</v>
      </c>
      <c r="D566" s="24" t="s">
        <v>451</v>
      </c>
      <c r="E566" s="25" t="s">
        <v>11</v>
      </c>
      <c r="F566" s="4">
        <v>1.2</v>
      </c>
      <c r="G566" s="4">
        <v>280</v>
      </c>
      <c r="H566" s="4">
        <v>11</v>
      </c>
      <c r="I566" s="4">
        <v>7.1</v>
      </c>
      <c r="J566" s="4">
        <v>3.54</v>
      </c>
    </row>
    <row r="567" spans="2:10">
      <c r="B567" s="4">
        <v>209</v>
      </c>
      <c r="C567" s="4">
        <v>16</v>
      </c>
      <c r="D567" s="24" t="s">
        <v>452</v>
      </c>
      <c r="E567" s="25" t="s">
        <v>11</v>
      </c>
      <c r="F567" s="4">
        <v>8.1</v>
      </c>
      <c r="G567" s="4">
        <v>197</v>
      </c>
      <c r="H567" s="4">
        <v>0</v>
      </c>
      <c r="I567" s="4">
        <v>8.2</v>
      </c>
      <c r="J567" s="4">
        <v>4.26</v>
      </c>
    </row>
    <row r="568" spans="2:11">
      <c r="B568" s="4">
        <v>209</v>
      </c>
      <c r="C568" s="4">
        <v>17</v>
      </c>
      <c r="D568" s="24" t="s">
        <v>453</v>
      </c>
      <c r="E568" s="25" t="s">
        <v>11</v>
      </c>
      <c r="F568" s="4">
        <v>8</v>
      </c>
      <c r="G568" s="4">
        <v>204</v>
      </c>
      <c r="H568" s="4">
        <v>0</v>
      </c>
      <c r="K568" s="4" t="s">
        <v>454</v>
      </c>
    </row>
    <row r="569" spans="2:10">
      <c r="B569" s="4">
        <v>209</v>
      </c>
      <c r="C569" s="4">
        <v>18</v>
      </c>
      <c r="D569" s="24" t="s">
        <v>455</v>
      </c>
      <c r="E569" s="25" t="s">
        <v>11</v>
      </c>
      <c r="F569" s="4">
        <v>20</v>
      </c>
      <c r="G569" s="4">
        <v>227</v>
      </c>
      <c r="H569" s="4">
        <v>0</v>
      </c>
      <c r="I569" s="4">
        <v>7.9</v>
      </c>
      <c r="J569" s="4">
        <v>3.52</v>
      </c>
    </row>
    <row r="570" spans="2:10">
      <c r="B570" s="4">
        <v>209</v>
      </c>
      <c r="C570" s="4">
        <v>19</v>
      </c>
      <c r="D570" s="24" t="s">
        <v>456</v>
      </c>
      <c r="E570" s="25" t="s">
        <v>11</v>
      </c>
      <c r="F570" s="4">
        <v>5.5</v>
      </c>
      <c r="G570" s="4">
        <v>210</v>
      </c>
      <c r="H570" s="4">
        <v>8</v>
      </c>
      <c r="I570" s="4">
        <v>7.1</v>
      </c>
      <c r="J570" s="4">
        <v>3.51</v>
      </c>
    </row>
    <row r="571" spans="2:10">
      <c r="B571" s="4">
        <v>209</v>
      </c>
      <c r="C571" s="4">
        <v>20</v>
      </c>
      <c r="D571" s="24" t="s">
        <v>457</v>
      </c>
      <c r="E571" s="25" t="s">
        <v>11</v>
      </c>
      <c r="F571" s="4">
        <v>8.2</v>
      </c>
      <c r="G571" s="4">
        <v>290</v>
      </c>
      <c r="H571" s="4">
        <v>10</v>
      </c>
      <c r="I571" s="4">
        <v>6.5</v>
      </c>
      <c r="J571" s="4">
        <v>3.12</v>
      </c>
    </row>
    <row r="573" s="1" customFormat="1" spans="1:11">
      <c r="A573" s="33" t="s">
        <v>458</v>
      </c>
      <c r="B573" s="24" t="s">
        <v>1</v>
      </c>
      <c r="C573" s="26" t="s">
        <v>2</v>
      </c>
      <c r="D573" s="27" t="s">
        <v>3</v>
      </c>
      <c r="E573" s="27" t="s">
        <v>4</v>
      </c>
      <c r="F573" s="28" t="s">
        <v>5</v>
      </c>
      <c r="G573" s="28" t="s">
        <v>6</v>
      </c>
      <c r="H573" s="28" t="s">
        <v>7</v>
      </c>
      <c r="I573" s="28">
        <v>50</v>
      </c>
      <c r="J573" s="28" t="s">
        <v>8</v>
      </c>
      <c r="K573" s="26" t="s">
        <v>9</v>
      </c>
    </row>
    <row r="574" spans="2:9">
      <c r="B574" s="4">
        <v>209</v>
      </c>
      <c r="C574" s="4">
        <v>21</v>
      </c>
      <c r="D574" s="33" t="s">
        <v>459</v>
      </c>
      <c r="E574" s="25" t="s">
        <v>11</v>
      </c>
      <c r="F574" s="4">
        <v>17.3</v>
      </c>
      <c r="G574" s="4">
        <v>240</v>
      </c>
      <c r="H574" s="4">
        <v>22</v>
      </c>
      <c r="I574" s="4">
        <v>6.9</v>
      </c>
    </row>
    <row r="575" spans="2:10">
      <c r="B575" s="4">
        <v>209</v>
      </c>
      <c r="C575" s="4">
        <v>22</v>
      </c>
      <c r="D575" s="24" t="s">
        <v>460</v>
      </c>
      <c r="E575" s="25" t="s">
        <v>11</v>
      </c>
      <c r="F575" s="4">
        <v>2.8</v>
      </c>
      <c r="G575" s="4">
        <v>210</v>
      </c>
      <c r="H575" s="4">
        <v>8</v>
      </c>
      <c r="I575" s="4">
        <v>6.9</v>
      </c>
      <c r="J575" s="4">
        <v>4.07</v>
      </c>
    </row>
    <row r="576" spans="2:10">
      <c r="B576" s="4">
        <v>209</v>
      </c>
      <c r="C576" s="4">
        <v>23</v>
      </c>
      <c r="D576" s="24" t="s">
        <v>461</v>
      </c>
      <c r="E576" s="25" t="s">
        <v>11</v>
      </c>
      <c r="F576" s="4">
        <v>17</v>
      </c>
      <c r="G576" s="4">
        <v>205</v>
      </c>
      <c r="H576" s="4">
        <v>3</v>
      </c>
      <c r="I576" s="4">
        <v>7.7</v>
      </c>
      <c r="J576" s="4">
        <v>4.08</v>
      </c>
    </row>
    <row r="577" spans="2:10">
      <c r="B577" s="4">
        <v>209</v>
      </c>
      <c r="C577" s="4">
        <v>24</v>
      </c>
      <c r="D577" s="24" t="s">
        <v>462</v>
      </c>
      <c r="E577" s="25" t="s">
        <v>11</v>
      </c>
      <c r="F577" s="4">
        <v>22.2</v>
      </c>
      <c r="G577" s="4">
        <v>260</v>
      </c>
      <c r="H577" s="4">
        <v>0</v>
      </c>
      <c r="I577" s="4">
        <v>6.7</v>
      </c>
      <c r="J577" s="4">
        <v>3.44</v>
      </c>
    </row>
    <row r="578" spans="2:10">
      <c r="B578" s="4">
        <v>209</v>
      </c>
      <c r="C578" s="4">
        <v>25</v>
      </c>
      <c r="D578" s="24" t="s">
        <v>463</v>
      </c>
      <c r="E578" s="25" t="s">
        <v>11</v>
      </c>
      <c r="F578" s="4">
        <v>18.4</v>
      </c>
      <c r="G578" s="4">
        <v>260</v>
      </c>
      <c r="H578" s="4">
        <v>5</v>
      </c>
      <c r="J578" s="4">
        <v>4.12</v>
      </c>
    </row>
    <row r="579" spans="2:10">
      <c r="B579" s="4">
        <v>209</v>
      </c>
      <c r="C579" s="4">
        <v>26</v>
      </c>
      <c r="D579" s="24" t="s">
        <v>464</v>
      </c>
      <c r="E579" s="25" t="s">
        <v>11</v>
      </c>
      <c r="F579" s="4">
        <v>3.6</v>
      </c>
      <c r="G579" s="4">
        <v>230</v>
      </c>
      <c r="H579" s="4">
        <v>16</v>
      </c>
      <c r="I579" s="4">
        <v>7.1</v>
      </c>
      <c r="J579" s="4">
        <v>3.26</v>
      </c>
    </row>
    <row r="580" spans="2:10">
      <c r="B580" s="4">
        <v>209</v>
      </c>
      <c r="C580" s="4">
        <v>27</v>
      </c>
      <c r="D580" s="24" t="s">
        <v>465</v>
      </c>
      <c r="E580" s="25" t="s">
        <v>11</v>
      </c>
      <c r="F580" s="4">
        <v>2.9</v>
      </c>
      <c r="G580" s="4">
        <v>265</v>
      </c>
      <c r="H580" s="4">
        <v>14</v>
      </c>
      <c r="I580" s="4">
        <v>7</v>
      </c>
      <c r="J580" s="4">
        <v>3.36</v>
      </c>
    </row>
    <row r="581" spans="2:10">
      <c r="B581" s="4">
        <v>209</v>
      </c>
      <c r="C581" s="4">
        <v>28</v>
      </c>
      <c r="D581" s="24" t="s">
        <v>466</v>
      </c>
      <c r="E581" s="25" t="s">
        <v>11</v>
      </c>
      <c r="F581" s="4">
        <v>14.5</v>
      </c>
      <c r="G581" s="4">
        <v>223</v>
      </c>
      <c r="H581" s="4">
        <v>22</v>
      </c>
      <c r="I581" s="4">
        <v>7.5</v>
      </c>
      <c r="J581" s="4">
        <v>4.08</v>
      </c>
    </row>
    <row r="582" spans="2:10">
      <c r="B582" s="4">
        <v>209</v>
      </c>
      <c r="C582" s="4">
        <v>29</v>
      </c>
      <c r="D582" s="24" t="s">
        <v>467</v>
      </c>
      <c r="E582" s="25" t="s">
        <v>11</v>
      </c>
      <c r="F582" s="4">
        <v>20</v>
      </c>
      <c r="G582" s="4">
        <v>237</v>
      </c>
      <c r="H582" s="4">
        <v>27</v>
      </c>
      <c r="I582" s="4">
        <v>6.8</v>
      </c>
      <c r="J582" s="4">
        <v>3.3</v>
      </c>
    </row>
    <row r="583" spans="2:10">
      <c r="B583" s="4">
        <v>209</v>
      </c>
      <c r="C583" s="4">
        <v>30</v>
      </c>
      <c r="D583" s="24" t="s">
        <v>468</v>
      </c>
      <c r="E583" s="25" t="s">
        <v>11</v>
      </c>
      <c r="F583" s="4">
        <v>18.9</v>
      </c>
      <c r="G583" s="4">
        <v>260</v>
      </c>
      <c r="H583" s="4">
        <v>18</v>
      </c>
      <c r="I583" s="4">
        <v>7</v>
      </c>
      <c r="J583" s="4">
        <v>3.38</v>
      </c>
    </row>
    <row r="585" s="1" customFormat="1" spans="1:11">
      <c r="A585" s="33" t="s">
        <v>469</v>
      </c>
      <c r="B585" s="24" t="s">
        <v>1</v>
      </c>
      <c r="C585" s="26" t="s">
        <v>2</v>
      </c>
      <c r="D585" s="27" t="s">
        <v>3</v>
      </c>
      <c r="E585" s="27" t="s">
        <v>4</v>
      </c>
      <c r="F585" s="28" t="s">
        <v>5</v>
      </c>
      <c r="G585" s="28" t="s">
        <v>6</v>
      </c>
      <c r="H585" s="28" t="s">
        <v>7</v>
      </c>
      <c r="I585" s="28">
        <v>50</v>
      </c>
      <c r="J585" s="28" t="s">
        <v>8</v>
      </c>
      <c r="K585" s="26" t="s">
        <v>9</v>
      </c>
    </row>
    <row r="586" spans="2:10">
      <c r="B586" s="4">
        <v>209</v>
      </c>
      <c r="C586" s="4">
        <v>31</v>
      </c>
      <c r="D586" s="33" t="s">
        <v>470</v>
      </c>
      <c r="E586" s="25" t="s">
        <v>11</v>
      </c>
      <c r="F586" s="4">
        <v>20.1</v>
      </c>
      <c r="G586" s="4">
        <v>214</v>
      </c>
      <c r="H586" s="4">
        <v>4</v>
      </c>
      <c r="I586" s="4">
        <v>7.6</v>
      </c>
      <c r="J586" s="4">
        <v>3.4</v>
      </c>
    </row>
    <row r="587" spans="2:10">
      <c r="B587" s="4">
        <v>209</v>
      </c>
      <c r="C587" s="4">
        <v>32</v>
      </c>
      <c r="D587" s="24" t="s">
        <v>471</v>
      </c>
      <c r="E587" s="25" t="s">
        <v>11</v>
      </c>
      <c r="F587" s="4">
        <v>16.7</v>
      </c>
      <c r="G587" s="4">
        <v>218</v>
      </c>
      <c r="H587" s="4">
        <v>7</v>
      </c>
      <c r="I587" s="4">
        <v>7.4</v>
      </c>
      <c r="J587" s="4" t="s">
        <v>472</v>
      </c>
    </row>
    <row r="588" spans="2:10">
      <c r="B588" s="4">
        <v>209</v>
      </c>
      <c r="C588" s="4">
        <v>33</v>
      </c>
      <c r="D588" s="24" t="s">
        <v>473</v>
      </c>
      <c r="E588" s="25" t="s">
        <v>11</v>
      </c>
      <c r="F588" s="4">
        <v>18.5</v>
      </c>
      <c r="G588" s="4">
        <v>240</v>
      </c>
      <c r="H588" s="4">
        <v>0</v>
      </c>
      <c r="I588" s="4">
        <v>7.2</v>
      </c>
      <c r="J588" s="4">
        <v>4.04</v>
      </c>
    </row>
    <row r="589" spans="2:10">
      <c r="B589" s="4">
        <v>209</v>
      </c>
      <c r="C589" s="4">
        <v>34</v>
      </c>
      <c r="D589" s="24" t="s">
        <v>474</v>
      </c>
      <c r="E589" s="25" t="s">
        <v>11</v>
      </c>
      <c r="F589" s="4">
        <v>12.3</v>
      </c>
      <c r="G589" s="4">
        <v>207</v>
      </c>
      <c r="H589" s="4">
        <v>1</v>
      </c>
      <c r="I589" s="4">
        <v>7.9</v>
      </c>
      <c r="J589" s="4">
        <v>4.03</v>
      </c>
    </row>
    <row r="590" spans="2:10">
      <c r="B590" s="4">
        <v>209</v>
      </c>
      <c r="C590" s="4">
        <v>35</v>
      </c>
      <c r="D590" s="24" t="s">
        <v>475</v>
      </c>
      <c r="E590" s="25" t="s">
        <v>11</v>
      </c>
      <c r="F590" s="4">
        <v>16.3</v>
      </c>
      <c r="G590" s="4">
        <v>255</v>
      </c>
      <c r="H590" s="4">
        <v>26</v>
      </c>
      <c r="I590" s="4">
        <v>6.8</v>
      </c>
      <c r="J590" s="4">
        <v>3.07</v>
      </c>
    </row>
    <row r="591" spans="2:10">
      <c r="B591" s="4">
        <v>209</v>
      </c>
      <c r="C591" s="4">
        <v>36</v>
      </c>
      <c r="D591" s="24" t="s">
        <v>476</v>
      </c>
      <c r="E591" s="25" t="s">
        <v>11</v>
      </c>
      <c r="F591" s="4">
        <v>12.9</v>
      </c>
      <c r="G591" s="4">
        <v>205</v>
      </c>
      <c r="H591" s="4">
        <v>0</v>
      </c>
      <c r="I591" s="4">
        <v>7.9</v>
      </c>
      <c r="J591" s="4">
        <v>4.32</v>
      </c>
    </row>
    <row r="592" spans="2:10">
      <c r="B592" s="4">
        <v>209</v>
      </c>
      <c r="C592" s="4">
        <v>37</v>
      </c>
      <c r="D592" s="24" t="s">
        <v>477</v>
      </c>
      <c r="E592" s="25" t="s">
        <v>11</v>
      </c>
      <c r="F592" s="4">
        <v>20</v>
      </c>
      <c r="G592" s="4">
        <v>270</v>
      </c>
      <c r="H592" s="4">
        <v>1</v>
      </c>
      <c r="I592" s="4">
        <v>6.8</v>
      </c>
      <c r="J592" s="4">
        <v>3.59</v>
      </c>
    </row>
    <row r="593" spans="2:10">
      <c r="B593" s="4">
        <v>209</v>
      </c>
      <c r="C593" s="4">
        <v>38</v>
      </c>
      <c r="D593" s="24" t="s">
        <v>478</v>
      </c>
      <c r="E593" s="25" t="s">
        <v>11</v>
      </c>
      <c r="F593" s="4">
        <v>17.4</v>
      </c>
      <c r="G593" s="4">
        <v>230</v>
      </c>
      <c r="H593" s="4">
        <v>10</v>
      </c>
      <c r="I593" s="4">
        <v>7.3</v>
      </c>
      <c r="J593" s="4">
        <v>3.48</v>
      </c>
    </row>
    <row r="594" spans="2:10">
      <c r="B594" s="4">
        <v>209</v>
      </c>
      <c r="C594" s="4">
        <v>39</v>
      </c>
      <c r="D594" s="24" t="s">
        <v>479</v>
      </c>
      <c r="E594" s="25" t="s">
        <v>11</v>
      </c>
      <c r="F594" s="4">
        <v>17.6</v>
      </c>
      <c r="G594" s="4">
        <v>215</v>
      </c>
      <c r="H594" s="4">
        <v>13</v>
      </c>
      <c r="I594" s="4">
        <v>6.8</v>
      </c>
      <c r="J594" s="4">
        <v>3.27</v>
      </c>
    </row>
    <row r="595" spans="2:10">
      <c r="B595" s="4">
        <v>209</v>
      </c>
      <c r="C595" s="4">
        <v>40</v>
      </c>
      <c r="D595" s="24" t="s">
        <v>480</v>
      </c>
      <c r="E595" s="25" t="s">
        <v>11</v>
      </c>
      <c r="F595" s="4">
        <v>19.5</v>
      </c>
      <c r="G595" s="4">
        <v>270</v>
      </c>
      <c r="H595" s="4">
        <v>27</v>
      </c>
      <c r="I595" s="4">
        <v>6.2</v>
      </c>
      <c r="J595" s="4">
        <v>3.34</v>
      </c>
    </row>
    <row r="596" spans="4:5">
      <c r="D596" s="24"/>
      <c r="E596" s="25"/>
    </row>
    <row r="597" s="1" customFormat="1" spans="1:11">
      <c r="A597" s="33" t="s">
        <v>481</v>
      </c>
      <c r="B597" s="24" t="s">
        <v>1</v>
      </c>
      <c r="C597" s="26" t="s">
        <v>2</v>
      </c>
      <c r="D597" s="27" t="s">
        <v>3</v>
      </c>
      <c r="E597" s="27" t="s">
        <v>4</v>
      </c>
      <c r="F597" s="28" t="s">
        <v>5</v>
      </c>
      <c r="G597" s="28" t="s">
        <v>6</v>
      </c>
      <c r="H597" s="28" t="s">
        <v>7</v>
      </c>
      <c r="I597" s="28">
        <v>50</v>
      </c>
      <c r="J597" s="28" t="s">
        <v>8</v>
      </c>
      <c r="K597" s="26" t="s">
        <v>9</v>
      </c>
    </row>
    <row r="598" spans="2:10">
      <c r="B598" s="4">
        <v>209</v>
      </c>
      <c r="C598" s="4">
        <v>41</v>
      </c>
      <c r="D598" s="33" t="s">
        <v>482</v>
      </c>
      <c r="E598" s="25" t="s">
        <v>53</v>
      </c>
      <c r="F598" s="4">
        <v>25.4</v>
      </c>
      <c r="G598" s="4">
        <v>181</v>
      </c>
      <c r="H598" s="4">
        <v>51</v>
      </c>
      <c r="I598" s="4">
        <v>8.2</v>
      </c>
      <c r="J598" s="4">
        <v>3.18</v>
      </c>
    </row>
    <row r="599" spans="2:10">
      <c r="B599" s="4">
        <v>209</v>
      </c>
      <c r="C599" s="4">
        <v>42</v>
      </c>
      <c r="D599" s="24" t="s">
        <v>483</v>
      </c>
      <c r="E599" s="25" t="s">
        <v>53</v>
      </c>
      <c r="F599" s="4">
        <v>16.9</v>
      </c>
      <c r="G599" s="4">
        <v>185</v>
      </c>
      <c r="H599" s="4">
        <v>47</v>
      </c>
      <c r="I599" s="4">
        <v>8.2</v>
      </c>
      <c r="J599" s="4">
        <v>3.43</v>
      </c>
    </row>
    <row r="600" spans="2:11">
      <c r="B600" s="4">
        <v>209</v>
      </c>
      <c r="C600" s="4">
        <v>43</v>
      </c>
      <c r="D600" s="24" t="s">
        <v>484</v>
      </c>
      <c r="E600" s="25" t="s">
        <v>53</v>
      </c>
      <c r="I600" s="4">
        <v>8.5</v>
      </c>
      <c r="K600" s="4" t="s">
        <v>16</v>
      </c>
    </row>
    <row r="601" spans="2:10">
      <c r="B601" s="4">
        <v>209</v>
      </c>
      <c r="C601" s="4">
        <v>44</v>
      </c>
      <c r="D601" s="24" t="s">
        <v>485</v>
      </c>
      <c r="E601" s="25" t="s">
        <v>53</v>
      </c>
      <c r="F601" s="4">
        <v>17.6</v>
      </c>
      <c r="G601" s="4">
        <v>148</v>
      </c>
      <c r="H601" s="4">
        <v>53</v>
      </c>
      <c r="I601" s="4">
        <v>8.7</v>
      </c>
      <c r="J601" s="4">
        <v>3.5</v>
      </c>
    </row>
    <row r="602" spans="2:10">
      <c r="B602" s="4">
        <v>209</v>
      </c>
      <c r="C602" s="4">
        <v>45</v>
      </c>
      <c r="D602" s="24" t="s">
        <v>486</v>
      </c>
      <c r="E602" s="25" t="s">
        <v>53</v>
      </c>
      <c r="F602" s="4">
        <v>25.3</v>
      </c>
      <c r="G602" s="4">
        <v>178</v>
      </c>
      <c r="H602" s="4">
        <v>58</v>
      </c>
      <c r="I602" s="4">
        <v>8.2</v>
      </c>
      <c r="J602" s="4">
        <v>3.16</v>
      </c>
    </row>
    <row r="603" spans="2:10">
      <c r="B603" s="4">
        <v>209</v>
      </c>
      <c r="C603" s="4">
        <v>46</v>
      </c>
      <c r="D603" s="24" t="s">
        <v>487</v>
      </c>
      <c r="E603" s="25" t="s">
        <v>53</v>
      </c>
      <c r="F603" s="4">
        <v>18</v>
      </c>
      <c r="G603" s="4">
        <v>188</v>
      </c>
      <c r="H603" s="4">
        <v>61</v>
      </c>
      <c r="I603" s="4">
        <v>8.2</v>
      </c>
      <c r="J603" s="4">
        <v>3.34</v>
      </c>
    </row>
    <row r="604" spans="2:10">
      <c r="B604" s="4">
        <v>209</v>
      </c>
      <c r="C604" s="4">
        <v>47</v>
      </c>
      <c r="D604" s="24" t="s">
        <v>488</v>
      </c>
      <c r="E604" s="25" t="s">
        <v>53</v>
      </c>
      <c r="F604" s="4">
        <v>24.5</v>
      </c>
      <c r="G604" s="4">
        <v>177</v>
      </c>
      <c r="H604" s="4">
        <v>50</v>
      </c>
      <c r="I604" s="4">
        <v>8.4</v>
      </c>
      <c r="J604" s="4">
        <v>3.19</v>
      </c>
    </row>
    <row r="605" spans="2:10">
      <c r="B605" s="4">
        <v>209</v>
      </c>
      <c r="C605" s="4">
        <v>48</v>
      </c>
      <c r="D605" s="24" t="s">
        <v>489</v>
      </c>
      <c r="E605" s="25" t="s">
        <v>53</v>
      </c>
      <c r="F605" s="4">
        <v>24.5</v>
      </c>
      <c r="G605" s="4">
        <v>190</v>
      </c>
      <c r="H605" s="4">
        <v>40</v>
      </c>
      <c r="J605" s="4">
        <v>4.45</v>
      </c>
    </row>
    <row r="606" spans="2:10">
      <c r="B606" s="4">
        <v>209</v>
      </c>
      <c r="C606" s="4">
        <v>49</v>
      </c>
      <c r="D606" s="24" t="s">
        <v>490</v>
      </c>
      <c r="E606" s="25" t="s">
        <v>53</v>
      </c>
      <c r="F606" s="4">
        <v>25</v>
      </c>
      <c r="G606" s="4">
        <v>180</v>
      </c>
      <c r="H606" s="4">
        <v>54</v>
      </c>
      <c r="I606" s="4">
        <v>8.5</v>
      </c>
      <c r="J606" s="4">
        <v>3.18</v>
      </c>
    </row>
    <row r="607" spans="2:11">
      <c r="B607" s="4">
        <v>209</v>
      </c>
      <c r="C607" s="4">
        <v>50</v>
      </c>
      <c r="D607" s="24" t="s">
        <v>491</v>
      </c>
      <c r="E607" s="25" t="s">
        <v>53</v>
      </c>
      <c r="K607" s="4" t="s">
        <v>16</v>
      </c>
    </row>
    <row r="608" spans="2:10">
      <c r="B608" s="4">
        <v>209</v>
      </c>
      <c r="C608" s="4">
        <v>51</v>
      </c>
      <c r="D608" s="24" t="s">
        <v>492</v>
      </c>
      <c r="E608" s="25" t="s">
        <v>53</v>
      </c>
      <c r="F608" s="4">
        <v>28.9</v>
      </c>
      <c r="G608" s="4">
        <v>205</v>
      </c>
      <c r="H608" s="4">
        <v>56</v>
      </c>
      <c r="I608" s="4">
        <v>8.6</v>
      </c>
      <c r="J608" s="4">
        <v>3.28</v>
      </c>
    </row>
    <row r="617" s="1" customFormat="1" spans="1:11">
      <c r="A617" s="33" t="s">
        <v>493</v>
      </c>
      <c r="B617" s="24" t="s">
        <v>1</v>
      </c>
      <c r="C617" s="26" t="s">
        <v>2</v>
      </c>
      <c r="D617" s="27" t="s">
        <v>3</v>
      </c>
      <c r="E617" s="27" t="s">
        <v>4</v>
      </c>
      <c r="F617" s="28" t="s">
        <v>5</v>
      </c>
      <c r="G617" s="28" t="s">
        <v>6</v>
      </c>
      <c r="H617" s="28" t="s">
        <v>7</v>
      </c>
      <c r="I617" s="28">
        <v>50</v>
      </c>
      <c r="J617" s="28" t="s">
        <v>8</v>
      </c>
      <c r="K617" s="26" t="s">
        <v>9</v>
      </c>
    </row>
    <row r="618" spans="2:10">
      <c r="B618" s="4">
        <v>210</v>
      </c>
      <c r="C618" s="4">
        <v>1</v>
      </c>
      <c r="D618" s="33" t="s">
        <v>494</v>
      </c>
      <c r="E618" s="25" t="s">
        <v>11</v>
      </c>
      <c r="F618" s="4">
        <v>6.1</v>
      </c>
      <c r="G618" s="4">
        <v>243</v>
      </c>
      <c r="H618" s="4">
        <v>17</v>
      </c>
      <c r="I618" s="4">
        <v>6.7</v>
      </c>
      <c r="J618" s="4">
        <v>3.4</v>
      </c>
    </row>
    <row r="619" spans="2:10">
      <c r="B619" s="4">
        <v>210</v>
      </c>
      <c r="C619" s="4">
        <v>2</v>
      </c>
      <c r="D619" s="24" t="s">
        <v>495</v>
      </c>
      <c r="E619" s="25" t="s">
        <v>11</v>
      </c>
      <c r="F619" s="4">
        <v>37</v>
      </c>
      <c r="G619" s="4">
        <v>278</v>
      </c>
      <c r="H619" s="4">
        <v>25</v>
      </c>
      <c r="I619" s="4">
        <v>6.9</v>
      </c>
      <c r="J619" s="4">
        <v>3.34</v>
      </c>
    </row>
    <row r="620" spans="2:5">
      <c r="B620" s="4">
        <v>210</v>
      </c>
      <c r="C620" s="4">
        <v>3</v>
      </c>
      <c r="D620" s="24" t="s">
        <v>496</v>
      </c>
      <c r="E620" s="25" t="s">
        <v>11</v>
      </c>
    </row>
    <row r="621" spans="2:5">
      <c r="B621" s="4">
        <v>210</v>
      </c>
      <c r="C621" s="4">
        <v>4</v>
      </c>
      <c r="D621" s="24" t="s">
        <v>497</v>
      </c>
      <c r="E621" s="25" t="s">
        <v>11</v>
      </c>
    </row>
    <row r="622" spans="2:10">
      <c r="B622" s="4">
        <v>210</v>
      </c>
      <c r="C622" s="4">
        <v>5</v>
      </c>
      <c r="D622" s="24" t="s">
        <v>498</v>
      </c>
      <c r="E622" s="25" t="s">
        <v>11</v>
      </c>
      <c r="F622" s="4">
        <v>5.5</v>
      </c>
      <c r="G622" s="4">
        <v>245</v>
      </c>
      <c r="H622" s="4">
        <v>2</v>
      </c>
      <c r="I622" s="4">
        <v>7.1</v>
      </c>
      <c r="J622" s="4">
        <v>3.25</v>
      </c>
    </row>
    <row r="623" spans="2:10">
      <c r="B623" s="4">
        <v>210</v>
      </c>
      <c r="C623" s="4">
        <v>6</v>
      </c>
      <c r="D623" s="24" t="s">
        <v>499</v>
      </c>
      <c r="E623" s="25" t="s">
        <v>11</v>
      </c>
      <c r="F623" s="4">
        <v>21</v>
      </c>
      <c r="G623" s="4">
        <v>246</v>
      </c>
      <c r="H623" s="4">
        <v>20</v>
      </c>
      <c r="I623" s="4">
        <v>7.5</v>
      </c>
      <c r="J623" s="4">
        <v>3.58</v>
      </c>
    </row>
    <row r="624" spans="2:5">
      <c r="B624" s="4">
        <v>210</v>
      </c>
      <c r="C624" s="4">
        <v>7</v>
      </c>
      <c r="D624" s="24" t="s">
        <v>500</v>
      </c>
      <c r="E624" s="25" t="s">
        <v>11</v>
      </c>
    </row>
    <row r="625" spans="2:10">
      <c r="B625" s="4">
        <v>210</v>
      </c>
      <c r="C625" s="4">
        <v>8</v>
      </c>
      <c r="D625" s="24" t="s">
        <v>501</v>
      </c>
      <c r="E625" s="25" t="s">
        <v>11</v>
      </c>
      <c r="F625" s="4">
        <v>11.1</v>
      </c>
      <c r="G625" s="4">
        <v>225</v>
      </c>
      <c r="H625" s="4">
        <v>22</v>
      </c>
      <c r="I625" s="4">
        <v>7.4</v>
      </c>
      <c r="J625" s="4">
        <v>3.5</v>
      </c>
    </row>
    <row r="626" spans="2:10">
      <c r="B626" s="4">
        <v>210</v>
      </c>
      <c r="C626" s="4">
        <v>9</v>
      </c>
      <c r="D626" s="24" t="s">
        <v>502</v>
      </c>
      <c r="E626" s="25" t="s">
        <v>11</v>
      </c>
      <c r="F626" s="4">
        <v>21.7</v>
      </c>
      <c r="G626" s="4">
        <v>229</v>
      </c>
      <c r="H626" s="4">
        <v>7</v>
      </c>
      <c r="I626" s="4">
        <v>8.4</v>
      </c>
      <c r="J626" s="4">
        <v>4.11</v>
      </c>
    </row>
    <row r="627" spans="2:10">
      <c r="B627" s="4">
        <v>210</v>
      </c>
      <c r="C627" s="4">
        <v>10</v>
      </c>
      <c r="D627" s="24" t="s">
        <v>503</v>
      </c>
      <c r="E627" s="25" t="s">
        <v>11</v>
      </c>
      <c r="F627" s="4">
        <v>23.2</v>
      </c>
      <c r="G627" s="4">
        <v>205</v>
      </c>
      <c r="H627" s="4">
        <v>0</v>
      </c>
      <c r="I627" s="4">
        <v>7.8</v>
      </c>
      <c r="J627" s="4">
        <v>4.57</v>
      </c>
    </row>
    <row r="628" spans="2:5">
      <c r="B628" s="4">
        <v>210</v>
      </c>
      <c r="C628" s="4">
        <v>11</v>
      </c>
      <c r="D628" s="24" t="s">
        <v>504</v>
      </c>
      <c r="E628" s="25" t="s">
        <v>11</v>
      </c>
    </row>
    <row r="629" spans="2:10">
      <c r="B629" s="4">
        <v>210</v>
      </c>
      <c r="C629" s="4">
        <v>12</v>
      </c>
      <c r="D629" s="24" t="s">
        <v>505</v>
      </c>
      <c r="E629" s="25" t="s">
        <v>11</v>
      </c>
      <c r="F629" s="4">
        <v>25</v>
      </c>
      <c r="G629" s="4">
        <v>215</v>
      </c>
      <c r="H629" s="4">
        <v>2</v>
      </c>
      <c r="I629" s="4">
        <v>7.8</v>
      </c>
      <c r="J629" s="4">
        <v>3.57</v>
      </c>
    </row>
    <row r="631" s="1" customFormat="1" spans="1:11">
      <c r="A631" s="33" t="s">
        <v>506</v>
      </c>
      <c r="B631" s="24" t="s">
        <v>1</v>
      </c>
      <c r="C631" s="26" t="s">
        <v>2</v>
      </c>
      <c r="D631" s="27" t="s">
        <v>3</v>
      </c>
      <c r="E631" s="27" t="s">
        <v>4</v>
      </c>
      <c r="F631" s="28" t="s">
        <v>5</v>
      </c>
      <c r="G631" s="28" t="s">
        <v>6</v>
      </c>
      <c r="H631" s="28" t="s">
        <v>7</v>
      </c>
      <c r="I631" s="28">
        <v>50</v>
      </c>
      <c r="J631" s="28" t="s">
        <v>8</v>
      </c>
      <c r="K631" s="26" t="s">
        <v>9</v>
      </c>
    </row>
    <row r="632" spans="2:10">
      <c r="B632" s="4">
        <v>210</v>
      </c>
      <c r="C632" s="4">
        <v>13</v>
      </c>
      <c r="D632" s="33" t="s">
        <v>507</v>
      </c>
      <c r="E632" s="25" t="s">
        <v>11</v>
      </c>
      <c r="F632" s="4">
        <v>16</v>
      </c>
      <c r="G632" s="4">
        <v>275</v>
      </c>
      <c r="H632" s="4">
        <v>16</v>
      </c>
      <c r="I632" s="4">
        <v>7.1</v>
      </c>
      <c r="J632" s="4">
        <v>3.19</v>
      </c>
    </row>
    <row r="633" spans="2:10">
      <c r="B633" s="4">
        <v>210</v>
      </c>
      <c r="C633" s="4">
        <v>14</v>
      </c>
      <c r="D633" s="24" t="s">
        <v>508</v>
      </c>
      <c r="E633" s="25" t="s">
        <v>11</v>
      </c>
      <c r="F633" s="4">
        <v>12.7</v>
      </c>
      <c r="G633" s="4">
        <v>221</v>
      </c>
      <c r="H633" s="4">
        <v>2</v>
      </c>
      <c r="I633" s="4">
        <v>7</v>
      </c>
      <c r="J633" s="4">
        <v>3.51</v>
      </c>
    </row>
    <row r="634" spans="2:10">
      <c r="B634" s="4">
        <v>210</v>
      </c>
      <c r="C634" s="4">
        <v>15</v>
      </c>
      <c r="D634" s="24" t="s">
        <v>509</v>
      </c>
      <c r="E634" s="25" t="s">
        <v>11</v>
      </c>
      <c r="F634" s="4">
        <v>15.5</v>
      </c>
      <c r="G634" s="4">
        <v>245</v>
      </c>
      <c r="H634" s="4">
        <v>1</v>
      </c>
      <c r="I634" s="4">
        <v>7.4</v>
      </c>
      <c r="J634" s="4">
        <v>3.47</v>
      </c>
    </row>
    <row r="635" spans="2:10">
      <c r="B635" s="4">
        <v>210</v>
      </c>
      <c r="C635" s="4">
        <v>16</v>
      </c>
      <c r="D635" s="24" t="s">
        <v>510</v>
      </c>
      <c r="E635" s="25" t="s">
        <v>11</v>
      </c>
      <c r="F635" s="4">
        <v>13.2</v>
      </c>
      <c r="G635" s="4">
        <v>273</v>
      </c>
      <c r="H635" s="4">
        <v>2</v>
      </c>
      <c r="I635" s="4">
        <v>7.4</v>
      </c>
      <c r="J635" s="4">
        <v>3.39</v>
      </c>
    </row>
    <row r="636" spans="2:10">
      <c r="B636" s="4">
        <v>210</v>
      </c>
      <c r="C636" s="4">
        <v>17</v>
      </c>
      <c r="D636" s="24" t="s">
        <v>511</v>
      </c>
      <c r="E636" s="25" t="s">
        <v>11</v>
      </c>
      <c r="F636" s="4">
        <v>13.4</v>
      </c>
      <c r="G636" s="4">
        <v>232</v>
      </c>
      <c r="H636" s="4">
        <v>3</v>
      </c>
      <c r="I636" s="4">
        <v>7.2</v>
      </c>
      <c r="J636" s="4">
        <v>3.34</v>
      </c>
    </row>
    <row r="637" spans="2:10">
      <c r="B637" s="4">
        <v>210</v>
      </c>
      <c r="C637" s="4">
        <v>18</v>
      </c>
      <c r="D637" s="24" t="s">
        <v>512</v>
      </c>
      <c r="E637" s="25" t="s">
        <v>11</v>
      </c>
      <c r="F637" s="4">
        <v>18.4</v>
      </c>
      <c r="G637" s="4">
        <v>278</v>
      </c>
      <c r="H637" s="4">
        <v>13</v>
      </c>
      <c r="I637" s="4">
        <v>7</v>
      </c>
      <c r="J637" s="4">
        <v>3.5</v>
      </c>
    </row>
    <row r="638" spans="2:10">
      <c r="B638" s="4">
        <v>210</v>
      </c>
      <c r="C638" s="4">
        <v>19</v>
      </c>
      <c r="D638" s="24" t="s">
        <v>513</v>
      </c>
      <c r="E638" s="25" t="s">
        <v>11</v>
      </c>
      <c r="F638" s="4">
        <v>15.4</v>
      </c>
      <c r="G638" s="4">
        <v>195</v>
      </c>
      <c r="H638" s="4">
        <v>1</v>
      </c>
      <c r="I638" s="4">
        <v>7.8</v>
      </c>
      <c r="J638" s="4">
        <v>4.35</v>
      </c>
    </row>
    <row r="639" spans="2:10">
      <c r="B639" s="4">
        <v>210</v>
      </c>
      <c r="C639" s="4">
        <v>20</v>
      </c>
      <c r="D639" s="24" t="s">
        <v>514</v>
      </c>
      <c r="E639" s="25" t="s">
        <v>11</v>
      </c>
      <c r="F639" s="4">
        <v>3</v>
      </c>
      <c r="G639" s="4">
        <v>261</v>
      </c>
      <c r="H639" s="4">
        <v>20</v>
      </c>
      <c r="I639" s="4">
        <v>7.2</v>
      </c>
      <c r="J639" s="4">
        <v>4</v>
      </c>
    </row>
    <row r="640" spans="2:10">
      <c r="B640" s="4">
        <v>210</v>
      </c>
      <c r="C640" s="4">
        <v>21</v>
      </c>
      <c r="D640" s="24" t="s">
        <v>515</v>
      </c>
      <c r="E640" s="25" t="s">
        <v>11</v>
      </c>
      <c r="F640" s="4">
        <v>4.6</v>
      </c>
      <c r="G640" s="4">
        <v>251</v>
      </c>
      <c r="H640" s="4">
        <v>20</v>
      </c>
      <c r="I640" s="4">
        <v>7.7</v>
      </c>
      <c r="J640" s="4">
        <v>4</v>
      </c>
    </row>
    <row r="641" spans="2:10">
      <c r="B641" s="4">
        <v>210</v>
      </c>
      <c r="C641" s="4">
        <v>22</v>
      </c>
      <c r="D641" s="24" t="s">
        <v>516</v>
      </c>
      <c r="E641" s="25" t="s">
        <v>11</v>
      </c>
      <c r="F641" s="4">
        <v>20.8</v>
      </c>
      <c r="G641" s="4">
        <v>235</v>
      </c>
      <c r="H641" s="4">
        <v>8</v>
      </c>
      <c r="I641" s="4">
        <v>7.7</v>
      </c>
      <c r="J641" s="4">
        <v>3.24</v>
      </c>
    </row>
    <row r="642" spans="2:10">
      <c r="B642" s="4">
        <v>210</v>
      </c>
      <c r="C642" s="4">
        <v>23</v>
      </c>
      <c r="D642" s="24" t="s">
        <v>517</v>
      </c>
      <c r="E642" s="25" t="s">
        <v>11</v>
      </c>
      <c r="F642" s="4">
        <v>15.3</v>
      </c>
      <c r="G642" s="4">
        <v>256</v>
      </c>
      <c r="H642" s="4">
        <v>9</v>
      </c>
      <c r="I642" s="4">
        <v>7</v>
      </c>
      <c r="J642" s="4">
        <v>3.51</v>
      </c>
    </row>
    <row r="643" spans="2:10">
      <c r="B643" s="4">
        <v>210</v>
      </c>
      <c r="C643" s="4">
        <v>24</v>
      </c>
      <c r="D643" s="24" t="s">
        <v>518</v>
      </c>
      <c r="E643" s="25" t="s">
        <v>11</v>
      </c>
      <c r="F643" s="4">
        <v>25.5</v>
      </c>
      <c r="G643" s="4">
        <v>276</v>
      </c>
      <c r="H643" s="4">
        <v>24</v>
      </c>
      <c r="I643" s="4">
        <v>6.5</v>
      </c>
      <c r="J643" s="4">
        <v>3.23</v>
      </c>
    </row>
    <row r="644" spans="4:5">
      <c r="D644" s="24"/>
      <c r="E644" s="25"/>
    </row>
    <row r="645" spans="4:5">
      <c r="D645" s="24"/>
      <c r="E645" s="25"/>
    </row>
    <row r="646" spans="4:5">
      <c r="D646" s="24"/>
      <c r="E646" s="25"/>
    </row>
    <row r="647" spans="4:5">
      <c r="D647" s="24"/>
      <c r="E647" s="25"/>
    </row>
    <row r="648" spans="4:5">
      <c r="D648" s="24"/>
      <c r="E648" s="25"/>
    </row>
    <row r="649" spans="4:5">
      <c r="D649" s="24"/>
      <c r="E649" s="25"/>
    </row>
    <row r="650" spans="4:5">
      <c r="D650" s="24"/>
      <c r="E650" s="25"/>
    </row>
    <row r="651" spans="4:5">
      <c r="D651" s="24"/>
      <c r="E651" s="25"/>
    </row>
    <row r="652" spans="4:5">
      <c r="D652" s="24"/>
      <c r="E652" s="25"/>
    </row>
    <row r="654" s="1" customFormat="1" spans="1:11">
      <c r="A654" s="33" t="s">
        <v>519</v>
      </c>
      <c r="B654" s="24" t="s">
        <v>1</v>
      </c>
      <c r="C654" s="26" t="s">
        <v>2</v>
      </c>
      <c r="D654" s="27" t="s">
        <v>3</v>
      </c>
      <c r="E654" s="27" t="s">
        <v>4</v>
      </c>
      <c r="F654" s="28" t="s">
        <v>5</v>
      </c>
      <c r="G654" s="28" t="s">
        <v>6</v>
      </c>
      <c r="H654" s="28" t="s">
        <v>7</v>
      </c>
      <c r="I654" s="28">
        <v>50</v>
      </c>
      <c r="J654" s="28" t="s">
        <v>8</v>
      </c>
      <c r="K654" s="26" t="s">
        <v>9</v>
      </c>
    </row>
    <row r="655" spans="2:10">
      <c r="B655" s="4">
        <v>210</v>
      </c>
      <c r="C655" s="4">
        <v>25</v>
      </c>
      <c r="D655" s="33" t="s">
        <v>520</v>
      </c>
      <c r="E655" s="25" t="s">
        <v>11</v>
      </c>
      <c r="F655" s="4">
        <v>7.9</v>
      </c>
      <c r="G655" s="4">
        <v>235</v>
      </c>
      <c r="H655" s="4">
        <v>2</v>
      </c>
      <c r="I655" s="4">
        <v>7.7</v>
      </c>
      <c r="J655" s="4">
        <v>3.32</v>
      </c>
    </row>
    <row r="656" spans="2:10">
      <c r="B656" s="4">
        <v>210</v>
      </c>
      <c r="C656" s="4">
        <v>26</v>
      </c>
      <c r="D656" s="24" t="s">
        <v>521</v>
      </c>
      <c r="E656" s="25" t="s">
        <v>11</v>
      </c>
      <c r="F656" s="4">
        <v>16</v>
      </c>
      <c r="G656" s="4">
        <v>236</v>
      </c>
      <c r="H656" s="4">
        <v>4</v>
      </c>
      <c r="I656" s="4">
        <v>7.3</v>
      </c>
      <c r="J656" s="4">
        <v>3.32</v>
      </c>
    </row>
    <row r="657" spans="2:10">
      <c r="B657" s="4">
        <v>210</v>
      </c>
      <c r="C657" s="4">
        <v>27</v>
      </c>
      <c r="D657" s="24" t="s">
        <v>522</v>
      </c>
      <c r="E657" s="25" t="s">
        <v>11</v>
      </c>
      <c r="F657" s="4">
        <v>22</v>
      </c>
      <c r="G657" s="4">
        <v>251</v>
      </c>
      <c r="H657" s="4">
        <v>18</v>
      </c>
      <c r="I657" s="4">
        <v>7.5</v>
      </c>
      <c r="J657" s="4">
        <v>3.45</v>
      </c>
    </row>
    <row r="658" spans="2:5">
      <c r="B658" s="4">
        <v>210</v>
      </c>
      <c r="C658" s="4">
        <v>28</v>
      </c>
      <c r="D658" s="24" t="s">
        <v>523</v>
      </c>
      <c r="E658" s="25" t="s">
        <v>11</v>
      </c>
    </row>
    <row r="659" spans="2:10">
      <c r="B659" s="4">
        <v>210</v>
      </c>
      <c r="C659" s="4">
        <v>29</v>
      </c>
      <c r="D659" s="24" t="s">
        <v>524</v>
      </c>
      <c r="E659" s="25" t="s">
        <v>11</v>
      </c>
      <c r="F659" s="4">
        <v>25.5</v>
      </c>
      <c r="G659" s="4">
        <v>271</v>
      </c>
      <c r="H659" s="4">
        <v>21</v>
      </c>
      <c r="I659" s="4">
        <v>6.5</v>
      </c>
      <c r="J659" s="4">
        <v>3.17</v>
      </c>
    </row>
    <row r="660" spans="2:10">
      <c r="B660" s="4">
        <v>210</v>
      </c>
      <c r="C660" s="4">
        <v>30</v>
      </c>
      <c r="D660" s="24" t="s">
        <v>525</v>
      </c>
      <c r="E660" s="25" t="s">
        <v>11</v>
      </c>
      <c r="F660" s="4">
        <v>19.7</v>
      </c>
      <c r="G660" s="4">
        <v>210</v>
      </c>
      <c r="H660" s="4">
        <v>10</v>
      </c>
      <c r="I660" s="4">
        <v>8</v>
      </c>
      <c r="J660" s="4">
        <v>4.01</v>
      </c>
    </row>
    <row r="661" spans="2:10">
      <c r="B661" s="4">
        <v>210</v>
      </c>
      <c r="C661" s="4">
        <v>31</v>
      </c>
      <c r="D661" s="24" t="s">
        <v>526</v>
      </c>
      <c r="E661" s="25" t="s">
        <v>11</v>
      </c>
      <c r="F661" s="4">
        <v>8.8</v>
      </c>
      <c r="G661" s="4">
        <v>272</v>
      </c>
      <c r="H661" s="4">
        <v>23</v>
      </c>
      <c r="I661" s="4">
        <v>6.4</v>
      </c>
      <c r="J661" s="4">
        <v>3.36</v>
      </c>
    </row>
    <row r="662" spans="2:10">
      <c r="B662" s="4">
        <v>210</v>
      </c>
      <c r="C662" s="4">
        <v>32</v>
      </c>
      <c r="D662" s="24" t="s">
        <v>527</v>
      </c>
      <c r="E662" s="25" t="s">
        <v>11</v>
      </c>
      <c r="F662" s="4">
        <v>16.5</v>
      </c>
      <c r="G662" s="4">
        <v>215</v>
      </c>
      <c r="H662" s="4">
        <v>0</v>
      </c>
      <c r="I662" s="4">
        <v>7.9</v>
      </c>
      <c r="J662" s="4">
        <v>4.02</v>
      </c>
    </row>
    <row r="663" spans="2:10">
      <c r="B663" s="4">
        <v>210</v>
      </c>
      <c r="C663" s="4">
        <v>33</v>
      </c>
      <c r="D663" s="24" t="s">
        <v>528</v>
      </c>
      <c r="E663" s="25" t="s">
        <v>11</v>
      </c>
      <c r="F663" s="4">
        <v>25</v>
      </c>
      <c r="G663" s="4">
        <v>216</v>
      </c>
      <c r="H663" s="4">
        <v>1</v>
      </c>
      <c r="I663" s="4">
        <v>6.8</v>
      </c>
      <c r="J663" s="4">
        <v>3.11</v>
      </c>
    </row>
    <row r="664" spans="2:10">
      <c r="B664" s="4">
        <v>210</v>
      </c>
      <c r="C664" s="4">
        <v>34</v>
      </c>
      <c r="D664" s="24" t="s">
        <v>529</v>
      </c>
      <c r="E664" s="25" t="s">
        <v>11</v>
      </c>
      <c r="F664" s="4">
        <v>7.58</v>
      </c>
      <c r="G664" s="4">
        <v>225</v>
      </c>
      <c r="H664" s="4">
        <v>12</v>
      </c>
      <c r="I664" s="4">
        <v>7.8</v>
      </c>
      <c r="J664" s="4">
        <v>4.06</v>
      </c>
    </row>
    <row r="665" spans="2:10">
      <c r="B665" s="4">
        <v>210</v>
      </c>
      <c r="C665" s="4">
        <v>35</v>
      </c>
      <c r="D665" s="24" t="s">
        <v>530</v>
      </c>
      <c r="E665" s="25" t="s">
        <v>11</v>
      </c>
      <c r="F665" s="4">
        <v>15.3</v>
      </c>
      <c r="G665" s="4">
        <v>274</v>
      </c>
      <c r="H665" s="4">
        <v>12</v>
      </c>
      <c r="I665" s="4">
        <v>6.8</v>
      </c>
      <c r="J665" s="4">
        <v>3.29</v>
      </c>
    </row>
    <row r="666" spans="4:5">
      <c r="D666" s="24"/>
      <c r="E666" s="25"/>
    </row>
    <row r="667" s="1" customFormat="1" spans="1:11">
      <c r="A667" s="33" t="s">
        <v>531</v>
      </c>
      <c r="B667" s="24" t="s">
        <v>1</v>
      </c>
      <c r="C667" s="26" t="s">
        <v>2</v>
      </c>
      <c r="D667" s="27" t="s">
        <v>3</v>
      </c>
      <c r="E667" s="27" t="s">
        <v>4</v>
      </c>
      <c r="F667" s="28" t="s">
        <v>5</v>
      </c>
      <c r="G667" s="28" t="s">
        <v>6</v>
      </c>
      <c r="H667" s="28" t="s">
        <v>7</v>
      </c>
      <c r="I667" s="28">
        <v>50</v>
      </c>
      <c r="J667" s="28" t="s">
        <v>8</v>
      </c>
      <c r="K667" s="26" t="s">
        <v>9</v>
      </c>
    </row>
    <row r="668" spans="2:10">
      <c r="B668" s="4">
        <v>210</v>
      </c>
      <c r="C668" s="4">
        <v>36</v>
      </c>
      <c r="D668" s="33" t="s">
        <v>532</v>
      </c>
      <c r="E668" s="25" t="s">
        <v>53</v>
      </c>
      <c r="F668" s="4">
        <v>21</v>
      </c>
      <c r="G668" s="4">
        <v>166</v>
      </c>
      <c r="H668" s="4">
        <v>54</v>
      </c>
      <c r="I668" s="4">
        <v>9.5</v>
      </c>
      <c r="J668" s="4">
        <v>4.06</v>
      </c>
    </row>
    <row r="669" spans="2:10">
      <c r="B669" s="4">
        <v>210</v>
      </c>
      <c r="C669" s="4">
        <v>37</v>
      </c>
      <c r="D669" s="24" t="s">
        <v>533</v>
      </c>
      <c r="E669" s="25" t="s">
        <v>53</v>
      </c>
      <c r="F669" s="4">
        <v>22.5</v>
      </c>
      <c r="G669" s="4">
        <v>177</v>
      </c>
      <c r="H669" s="4">
        <v>43</v>
      </c>
      <c r="I669" s="4">
        <v>8.6</v>
      </c>
      <c r="J669" s="4">
        <v>3.32</v>
      </c>
    </row>
    <row r="670" spans="2:10">
      <c r="B670" s="4">
        <v>210</v>
      </c>
      <c r="C670" s="4">
        <v>38</v>
      </c>
      <c r="D670" s="24" t="s">
        <v>534</v>
      </c>
      <c r="E670" s="25" t="s">
        <v>53</v>
      </c>
      <c r="F670" s="4">
        <v>22.5</v>
      </c>
      <c r="G670" s="4">
        <v>182</v>
      </c>
      <c r="H670" s="4">
        <v>58</v>
      </c>
      <c r="I670" s="4">
        <v>8.9</v>
      </c>
      <c r="J670" s="4">
        <v>3.31</v>
      </c>
    </row>
    <row r="671" spans="2:10">
      <c r="B671" s="4">
        <v>210</v>
      </c>
      <c r="C671" s="4">
        <v>39</v>
      </c>
      <c r="D671" s="24" t="s">
        <v>535</v>
      </c>
      <c r="E671" s="25" t="s">
        <v>53</v>
      </c>
      <c r="F671" s="4">
        <v>22</v>
      </c>
      <c r="G671" s="4">
        <v>187</v>
      </c>
      <c r="H671" s="4">
        <v>49</v>
      </c>
      <c r="I671" s="4">
        <v>8.6</v>
      </c>
      <c r="J671" s="4">
        <v>3.53</v>
      </c>
    </row>
    <row r="672" spans="2:10">
      <c r="B672" s="4">
        <v>210</v>
      </c>
      <c r="C672" s="4">
        <v>40</v>
      </c>
      <c r="D672" s="24" t="s">
        <v>536</v>
      </c>
      <c r="E672" s="25" t="s">
        <v>53</v>
      </c>
      <c r="F672" s="4">
        <v>23.5</v>
      </c>
      <c r="G672" s="4">
        <v>175</v>
      </c>
      <c r="H672" s="4">
        <v>51</v>
      </c>
      <c r="I672" s="4">
        <v>8.6</v>
      </c>
      <c r="J672" s="4">
        <v>3.5</v>
      </c>
    </row>
    <row r="673" spans="2:10">
      <c r="B673" s="4">
        <v>210</v>
      </c>
      <c r="C673" s="4">
        <v>41</v>
      </c>
      <c r="D673" s="24" t="s">
        <v>537</v>
      </c>
      <c r="E673" s="25" t="s">
        <v>53</v>
      </c>
      <c r="F673" s="4">
        <v>26</v>
      </c>
      <c r="G673" s="4">
        <v>170</v>
      </c>
      <c r="H673" s="4">
        <v>54</v>
      </c>
      <c r="I673" s="4">
        <v>9</v>
      </c>
      <c r="J673" s="4">
        <v>3.37</v>
      </c>
    </row>
    <row r="674" spans="2:10">
      <c r="B674" s="4">
        <v>210</v>
      </c>
      <c r="C674" s="4">
        <v>42</v>
      </c>
      <c r="D674" s="24" t="s">
        <v>538</v>
      </c>
      <c r="E674" s="25" t="s">
        <v>53</v>
      </c>
      <c r="F674" s="4">
        <v>17</v>
      </c>
      <c r="G674" s="4">
        <v>153</v>
      </c>
      <c r="H674" s="4">
        <v>43</v>
      </c>
      <c r="I674" s="4">
        <v>8</v>
      </c>
      <c r="J674" s="4">
        <v>3.56</v>
      </c>
    </row>
    <row r="675" spans="2:10">
      <c r="B675" s="4">
        <v>210</v>
      </c>
      <c r="C675" s="4">
        <v>43</v>
      </c>
      <c r="D675" s="24" t="s">
        <v>539</v>
      </c>
      <c r="E675" s="25" t="s">
        <v>53</v>
      </c>
      <c r="F675" s="4">
        <v>22</v>
      </c>
      <c r="G675" s="4">
        <v>208</v>
      </c>
      <c r="H675" s="4">
        <v>60</v>
      </c>
      <c r="I675" s="4">
        <v>7.7</v>
      </c>
      <c r="J675" s="4">
        <v>3.22</v>
      </c>
    </row>
    <row r="676" spans="4:5">
      <c r="D676" s="24"/>
      <c r="E676" s="25"/>
    </row>
    <row r="678" s="1" customFormat="1" spans="1:11">
      <c r="A678" s="33" t="s">
        <v>540</v>
      </c>
      <c r="B678" s="24" t="s">
        <v>1</v>
      </c>
      <c r="C678" s="26" t="s">
        <v>2</v>
      </c>
      <c r="D678" s="27" t="s">
        <v>3</v>
      </c>
      <c r="E678" s="27" t="s">
        <v>4</v>
      </c>
      <c r="F678" s="28" t="s">
        <v>5</v>
      </c>
      <c r="G678" s="28" t="s">
        <v>6</v>
      </c>
      <c r="H678" s="28" t="s">
        <v>7</v>
      </c>
      <c r="I678" s="28">
        <v>50</v>
      </c>
      <c r="J678" s="28" t="s">
        <v>8</v>
      </c>
      <c r="K678" s="26" t="s">
        <v>9</v>
      </c>
    </row>
    <row r="679" spans="2:10">
      <c r="B679" s="4">
        <v>210</v>
      </c>
      <c r="C679" s="4">
        <v>44</v>
      </c>
      <c r="D679" s="33" t="s">
        <v>541</v>
      </c>
      <c r="E679" s="25" t="s">
        <v>53</v>
      </c>
      <c r="F679" s="4">
        <v>25.6</v>
      </c>
      <c r="G679" s="4">
        <v>156</v>
      </c>
      <c r="H679" s="4">
        <v>37</v>
      </c>
      <c r="I679" s="4">
        <v>9.9</v>
      </c>
      <c r="J679" s="4">
        <v>4.11</v>
      </c>
    </row>
    <row r="680" spans="2:10">
      <c r="B680" s="4">
        <v>210</v>
      </c>
      <c r="C680" s="4">
        <v>45</v>
      </c>
      <c r="D680" s="24" t="s">
        <v>542</v>
      </c>
      <c r="E680" s="25" t="s">
        <v>53</v>
      </c>
      <c r="F680" s="4">
        <v>23</v>
      </c>
      <c r="G680" s="4">
        <v>190</v>
      </c>
      <c r="H680" s="4">
        <v>50</v>
      </c>
      <c r="I680" s="4">
        <v>8.3</v>
      </c>
      <c r="J680" s="4">
        <v>3.47</v>
      </c>
    </row>
    <row r="681" spans="2:10">
      <c r="B681" s="4">
        <v>210</v>
      </c>
      <c r="C681" s="4">
        <v>46</v>
      </c>
      <c r="D681" s="24" t="s">
        <v>543</v>
      </c>
      <c r="E681" s="25" t="s">
        <v>53</v>
      </c>
      <c r="F681" s="4">
        <v>13</v>
      </c>
      <c r="G681" s="4">
        <v>187</v>
      </c>
      <c r="H681" s="4">
        <v>49</v>
      </c>
      <c r="I681" s="4">
        <v>8.5</v>
      </c>
      <c r="J681" s="4">
        <v>3.36</v>
      </c>
    </row>
    <row r="682" spans="2:10">
      <c r="B682" s="4">
        <v>210</v>
      </c>
      <c r="C682" s="4">
        <v>47</v>
      </c>
      <c r="D682" s="24" t="s">
        <v>544</v>
      </c>
      <c r="E682" s="25" t="s">
        <v>53</v>
      </c>
      <c r="F682" s="4">
        <v>19</v>
      </c>
      <c r="G682" s="4">
        <v>191</v>
      </c>
      <c r="H682" s="4">
        <v>58</v>
      </c>
      <c r="I682" s="4">
        <v>7.9</v>
      </c>
      <c r="J682" s="4">
        <v>3.12</v>
      </c>
    </row>
    <row r="683" spans="2:10">
      <c r="B683" s="4">
        <v>210</v>
      </c>
      <c r="C683" s="4">
        <v>48</v>
      </c>
      <c r="D683" s="24" t="s">
        <v>545</v>
      </c>
      <c r="E683" s="25" t="s">
        <v>53</v>
      </c>
      <c r="F683" s="4">
        <v>15</v>
      </c>
      <c r="G683" s="4">
        <v>210</v>
      </c>
      <c r="H683" s="4">
        <v>55</v>
      </c>
      <c r="I683" s="4">
        <v>8.3</v>
      </c>
      <c r="J683" s="4">
        <v>3.35</v>
      </c>
    </row>
    <row r="684" spans="2:10">
      <c r="B684" s="4">
        <v>210</v>
      </c>
      <c r="C684" s="4">
        <v>49</v>
      </c>
      <c r="D684" s="24" t="s">
        <v>546</v>
      </c>
      <c r="E684" s="25" t="s">
        <v>53</v>
      </c>
      <c r="F684" s="4">
        <v>21</v>
      </c>
      <c r="G684" s="4">
        <v>200</v>
      </c>
      <c r="H684" s="4">
        <v>60</v>
      </c>
      <c r="I684" s="4">
        <v>7.5</v>
      </c>
      <c r="J684" s="4">
        <v>3</v>
      </c>
    </row>
    <row r="685" spans="2:11">
      <c r="B685" s="4">
        <v>210</v>
      </c>
      <c r="C685" s="4">
        <v>50</v>
      </c>
      <c r="D685" s="24" t="s">
        <v>547</v>
      </c>
      <c r="E685" s="25" t="s">
        <v>53</v>
      </c>
      <c r="K685" s="4" t="s">
        <v>14</v>
      </c>
    </row>
    <row r="686" spans="2:10">
      <c r="B686" s="4">
        <v>210</v>
      </c>
      <c r="C686" s="4">
        <v>51</v>
      </c>
      <c r="D686" s="24" t="s">
        <v>548</v>
      </c>
      <c r="E686" s="25" t="s">
        <v>53</v>
      </c>
      <c r="F686" s="4">
        <v>25.3</v>
      </c>
      <c r="G686" s="4">
        <v>200</v>
      </c>
      <c r="H686" s="4">
        <v>51</v>
      </c>
      <c r="I686" s="4">
        <v>7.8</v>
      </c>
      <c r="J686" s="4">
        <v>3.02</v>
      </c>
    </row>
    <row r="689" s="1" customFormat="1" spans="1:11">
      <c r="A689" s="33" t="s">
        <v>549</v>
      </c>
      <c r="B689" s="24" t="s">
        <v>1</v>
      </c>
      <c r="C689" s="26" t="s">
        <v>2</v>
      </c>
      <c r="D689" s="27" t="s">
        <v>3</v>
      </c>
      <c r="E689" s="27" t="s">
        <v>4</v>
      </c>
      <c r="F689" s="28" t="s">
        <v>5</v>
      </c>
      <c r="G689" s="28" t="s">
        <v>6</v>
      </c>
      <c r="H689" s="28" t="s">
        <v>7</v>
      </c>
      <c r="I689" s="28">
        <v>50</v>
      </c>
      <c r="J689" s="28" t="s">
        <v>8</v>
      </c>
      <c r="K689" s="26" t="s">
        <v>9</v>
      </c>
    </row>
    <row r="690" spans="2:10">
      <c r="B690" s="4">
        <v>211</v>
      </c>
      <c r="C690" s="4">
        <v>1</v>
      </c>
      <c r="D690" s="33" t="s">
        <v>550</v>
      </c>
      <c r="E690" s="25" t="s">
        <v>11</v>
      </c>
      <c r="F690" s="4">
        <v>17.2</v>
      </c>
      <c r="G690" s="4">
        <v>265</v>
      </c>
      <c r="H690" s="4">
        <v>10</v>
      </c>
      <c r="I690" s="4">
        <v>6.9</v>
      </c>
      <c r="J690" s="4">
        <v>3.15</v>
      </c>
    </row>
    <row r="691" spans="2:10">
      <c r="B691" s="4">
        <v>211</v>
      </c>
      <c r="C691" s="4">
        <v>2</v>
      </c>
      <c r="D691" s="24" t="s">
        <v>551</v>
      </c>
      <c r="E691" s="25" t="s">
        <v>11</v>
      </c>
      <c r="F691" s="4">
        <v>6.5</v>
      </c>
      <c r="G691" s="4">
        <v>250</v>
      </c>
      <c r="H691" s="4">
        <v>0</v>
      </c>
      <c r="I691" s="4">
        <v>7.3</v>
      </c>
      <c r="J691" s="4">
        <v>3.39</v>
      </c>
    </row>
    <row r="692" spans="2:10">
      <c r="B692" s="4">
        <v>211</v>
      </c>
      <c r="C692" s="4">
        <v>3</v>
      </c>
      <c r="D692" s="24" t="s">
        <v>552</v>
      </c>
      <c r="E692" s="25" t="s">
        <v>11</v>
      </c>
      <c r="F692" s="4">
        <v>18.2</v>
      </c>
      <c r="G692" s="4">
        <v>245</v>
      </c>
      <c r="H692" s="4">
        <v>7</v>
      </c>
      <c r="I692" s="4">
        <v>7</v>
      </c>
      <c r="J692" s="4">
        <v>3.57</v>
      </c>
    </row>
    <row r="693" spans="2:10">
      <c r="B693" s="4">
        <v>211</v>
      </c>
      <c r="C693" s="4">
        <v>4</v>
      </c>
      <c r="D693" s="24" t="s">
        <v>553</v>
      </c>
      <c r="E693" s="25" t="s">
        <v>11</v>
      </c>
      <c r="F693" s="4">
        <v>23.5</v>
      </c>
      <c r="G693" s="4">
        <v>260</v>
      </c>
      <c r="H693" s="4">
        <v>18</v>
      </c>
      <c r="I693" s="4">
        <v>7.4</v>
      </c>
      <c r="J693" s="4">
        <v>4.13</v>
      </c>
    </row>
    <row r="694" spans="2:10">
      <c r="B694" s="4">
        <v>211</v>
      </c>
      <c r="C694" s="4">
        <v>5</v>
      </c>
      <c r="D694" s="24" t="s">
        <v>554</v>
      </c>
      <c r="E694" s="25" t="s">
        <v>11</v>
      </c>
      <c r="F694" s="4">
        <v>7.4</v>
      </c>
      <c r="G694" s="4">
        <v>228</v>
      </c>
      <c r="H694" s="4">
        <v>22</v>
      </c>
      <c r="I694" s="4">
        <v>7.2</v>
      </c>
      <c r="J694" s="4">
        <v>4.1</v>
      </c>
    </row>
    <row r="695" spans="2:10">
      <c r="B695" s="4">
        <v>211</v>
      </c>
      <c r="C695" s="4">
        <v>6</v>
      </c>
      <c r="D695" s="24" t="s">
        <v>555</v>
      </c>
      <c r="E695" s="25" t="s">
        <v>11</v>
      </c>
      <c r="F695" s="4">
        <v>17</v>
      </c>
      <c r="G695" s="4">
        <v>239</v>
      </c>
      <c r="H695" s="4">
        <v>0</v>
      </c>
      <c r="I695" s="4">
        <v>7.7</v>
      </c>
      <c r="J695" s="4">
        <v>4.24</v>
      </c>
    </row>
    <row r="696" spans="2:10">
      <c r="B696" s="4">
        <v>211</v>
      </c>
      <c r="C696" s="4">
        <v>7</v>
      </c>
      <c r="D696" s="24" t="s">
        <v>556</v>
      </c>
      <c r="E696" s="25" t="s">
        <v>11</v>
      </c>
      <c r="F696" s="4">
        <v>10</v>
      </c>
      <c r="G696" s="4">
        <v>247</v>
      </c>
      <c r="H696" s="4">
        <v>12</v>
      </c>
      <c r="I696" s="4">
        <v>9.2</v>
      </c>
      <c r="J696" s="4">
        <v>3.41</v>
      </c>
    </row>
    <row r="697" spans="2:10">
      <c r="B697" s="4">
        <v>211</v>
      </c>
      <c r="C697" s="4">
        <v>8</v>
      </c>
      <c r="D697" s="24" t="s">
        <v>557</v>
      </c>
      <c r="E697" s="25" t="s">
        <v>11</v>
      </c>
      <c r="F697" s="4">
        <v>13.8</v>
      </c>
      <c r="G697" s="4">
        <v>257</v>
      </c>
      <c r="H697" s="4">
        <v>40</v>
      </c>
      <c r="I697" s="4">
        <v>7.2</v>
      </c>
      <c r="J697" s="4">
        <v>3.47</v>
      </c>
    </row>
    <row r="698" spans="2:10">
      <c r="B698" s="4">
        <v>211</v>
      </c>
      <c r="C698" s="4">
        <v>9</v>
      </c>
      <c r="D698" s="24" t="s">
        <v>558</v>
      </c>
      <c r="E698" s="25" t="s">
        <v>11</v>
      </c>
      <c r="F698" s="4">
        <v>19.3</v>
      </c>
      <c r="G698" s="4">
        <v>214</v>
      </c>
      <c r="H698" s="4">
        <v>6</v>
      </c>
      <c r="I698" s="4">
        <v>7.1</v>
      </c>
      <c r="J698" s="4">
        <v>3.58</v>
      </c>
    </row>
    <row r="699" spans="2:9">
      <c r="B699" s="4">
        <v>211</v>
      </c>
      <c r="C699" s="4">
        <v>10</v>
      </c>
      <c r="D699" s="24" t="s">
        <v>559</v>
      </c>
      <c r="E699" s="25" t="s">
        <v>11</v>
      </c>
      <c r="F699" s="4">
        <v>18.5</v>
      </c>
      <c r="G699" s="4">
        <v>260</v>
      </c>
      <c r="H699" s="4">
        <v>17</v>
      </c>
      <c r="I699" s="4">
        <v>6.8</v>
      </c>
    </row>
    <row r="700" spans="2:11">
      <c r="B700" s="4">
        <v>211</v>
      </c>
      <c r="C700" s="4">
        <v>11</v>
      </c>
      <c r="D700" s="24" t="s">
        <v>560</v>
      </c>
      <c r="E700" s="25" t="s">
        <v>11</v>
      </c>
      <c r="F700" s="4">
        <v>22.7</v>
      </c>
      <c r="H700" s="4">
        <v>7</v>
      </c>
      <c r="K700" s="4" t="s">
        <v>561</v>
      </c>
    </row>
    <row r="701" spans="4:5">
      <c r="D701" s="24"/>
      <c r="E701" s="25"/>
    </row>
    <row r="702" s="1" customFormat="1" spans="1:11">
      <c r="A702" s="33" t="s">
        <v>562</v>
      </c>
      <c r="B702" s="24" t="s">
        <v>1</v>
      </c>
      <c r="C702" s="26" t="s">
        <v>2</v>
      </c>
      <c r="D702" s="27" t="s">
        <v>3</v>
      </c>
      <c r="E702" s="27" t="s">
        <v>4</v>
      </c>
      <c r="F702" s="28" t="s">
        <v>5</v>
      </c>
      <c r="G702" s="28" t="s">
        <v>6</v>
      </c>
      <c r="H702" s="28" t="s">
        <v>7</v>
      </c>
      <c r="I702" s="28">
        <v>50</v>
      </c>
      <c r="J702" s="28" t="s">
        <v>8</v>
      </c>
      <c r="K702" s="26" t="s">
        <v>9</v>
      </c>
    </row>
    <row r="703" spans="2:5">
      <c r="B703" s="4">
        <v>211</v>
      </c>
      <c r="C703" s="4">
        <v>12</v>
      </c>
      <c r="D703" s="33" t="s">
        <v>563</v>
      </c>
      <c r="E703" s="25" t="s">
        <v>11</v>
      </c>
    </row>
    <row r="704" spans="2:10">
      <c r="B704" s="4">
        <v>211</v>
      </c>
      <c r="C704" s="4">
        <v>13</v>
      </c>
      <c r="D704" s="24" t="s">
        <v>564</v>
      </c>
      <c r="E704" s="25" t="s">
        <v>11</v>
      </c>
      <c r="F704" s="4">
        <v>4</v>
      </c>
      <c r="G704" s="4">
        <v>220</v>
      </c>
      <c r="H704" s="4">
        <v>10</v>
      </c>
      <c r="I704" s="4">
        <v>7.7</v>
      </c>
      <c r="J704" s="4">
        <v>3.54</v>
      </c>
    </row>
    <row r="705" spans="2:10">
      <c r="B705" s="4">
        <v>211</v>
      </c>
      <c r="C705" s="4">
        <v>14</v>
      </c>
      <c r="D705" s="24" t="s">
        <v>565</v>
      </c>
      <c r="E705" s="25" t="s">
        <v>11</v>
      </c>
      <c r="F705" s="4">
        <v>19</v>
      </c>
      <c r="G705" s="4">
        <v>261</v>
      </c>
      <c r="H705" s="4">
        <v>22</v>
      </c>
      <c r="I705" s="4">
        <v>7.1</v>
      </c>
      <c r="J705" s="4">
        <v>3.49</v>
      </c>
    </row>
    <row r="706" spans="2:10">
      <c r="B706" s="4">
        <v>211</v>
      </c>
      <c r="C706" s="4">
        <v>15</v>
      </c>
      <c r="D706" s="24" t="s">
        <v>566</v>
      </c>
      <c r="E706" s="25" t="s">
        <v>11</v>
      </c>
      <c r="F706" s="4">
        <v>19</v>
      </c>
      <c r="G706" s="4">
        <v>236</v>
      </c>
      <c r="H706" s="4">
        <v>8</v>
      </c>
      <c r="I706" s="4">
        <v>7.2</v>
      </c>
      <c r="J706" s="4">
        <v>3.28</v>
      </c>
    </row>
    <row r="707" spans="2:10">
      <c r="B707" s="4">
        <v>211</v>
      </c>
      <c r="C707" s="4">
        <v>16</v>
      </c>
      <c r="D707" s="24" t="s">
        <v>567</v>
      </c>
      <c r="E707" s="25" t="s">
        <v>11</v>
      </c>
      <c r="F707" s="4">
        <v>19</v>
      </c>
      <c r="G707" s="4">
        <v>218</v>
      </c>
      <c r="H707" s="4">
        <v>0</v>
      </c>
      <c r="I707" s="4">
        <v>8.2</v>
      </c>
      <c r="J707" s="4">
        <v>4.34</v>
      </c>
    </row>
    <row r="708" spans="2:10">
      <c r="B708" s="4">
        <v>211</v>
      </c>
      <c r="C708" s="4">
        <v>17</v>
      </c>
      <c r="D708" s="24" t="s">
        <v>568</v>
      </c>
      <c r="E708" s="25" t="s">
        <v>11</v>
      </c>
      <c r="F708" s="4">
        <v>26</v>
      </c>
      <c r="G708" s="4">
        <v>245</v>
      </c>
      <c r="H708" s="4">
        <v>27</v>
      </c>
      <c r="I708" s="4">
        <v>7.1</v>
      </c>
      <c r="J708" s="4">
        <v>3.15</v>
      </c>
    </row>
    <row r="709" spans="2:10">
      <c r="B709" s="4">
        <v>211</v>
      </c>
      <c r="C709" s="4">
        <v>18</v>
      </c>
      <c r="D709" s="24" t="s">
        <v>569</v>
      </c>
      <c r="E709" s="25" t="s">
        <v>11</v>
      </c>
      <c r="F709" s="4">
        <v>4</v>
      </c>
      <c r="G709" s="4">
        <v>248</v>
      </c>
      <c r="H709" s="4">
        <v>27</v>
      </c>
      <c r="I709" s="4">
        <v>7.1</v>
      </c>
      <c r="J709" s="4">
        <v>3.4</v>
      </c>
    </row>
    <row r="710" spans="2:10">
      <c r="B710" s="4">
        <v>211</v>
      </c>
      <c r="C710" s="4">
        <v>19</v>
      </c>
      <c r="D710" s="24" t="s">
        <v>570</v>
      </c>
      <c r="E710" s="25" t="s">
        <v>11</v>
      </c>
      <c r="F710" s="4">
        <v>19.2</v>
      </c>
      <c r="G710" s="4">
        <v>252</v>
      </c>
      <c r="H710" s="4">
        <v>1</v>
      </c>
      <c r="I710" s="4">
        <v>7.8</v>
      </c>
      <c r="J710" s="4">
        <v>3.56</v>
      </c>
    </row>
    <row r="711" spans="2:10">
      <c r="B711" s="4">
        <v>211</v>
      </c>
      <c r="C711" s="4">
        <v>20</v>
      </c>
      <c r="D711" s="24" t="s">
        <v>571</v>
      </c>
      <c r="E711" s="25" t="s">
        <v>11</v>
      </c>
      <c r="F711" s="4">
        <v>23</v>
      </c>
      <c r="G711" s="4">
        <v>265</v>
      </c>
      <c r="H711" s="4">
        <v>9</v>
      </c>
      <c r="I711" s="4">
        <v>7.1</v>
      </c>
      <c r="J711" s="4">
        <v>3.28</v>
      </c>
    </row>
    <row r="712" spans="2:10">
      <c r="B712" s="4">
        <v>211</v>
      </c>
      <c r="C712" s="4">
        <v>21</v>
      </c>
      <c r="D712" s="24" t="s">
        <v>572</v>
      </c>
      <c r="E712" s="25" t="s">
        <v>11</v>
      </c>
      <c r="F712" s="4">
        <v>21</v>
      </c>
      <c r="G712" s="4">
        <v>238</v>
      </c>
      <c r="H712" s="4">
        <v>21</v>
      </c>
      <c r="I712" s="4">
        <v>7.1</v>
      </c>
      <c r="J712" s="4">
        <v>3.45</v>
      </c>
    </row>
    <row r="713" spans="2:10">
      <c r="B713" s="4">
        <v>211</v>
      </c>
      <c r="C713" s="4">
        <v>22</v>
      </c>
      <c r="D713" s="24" t="s">
        <v>573</v>
      </c>
      <c r="E713" s="25" t="s">
        <v>11</v>
      </c>
      <c r="F713" s="4">
        <v>20</v>
      </c>
      <c r="G713" s="4">
        <v>271</v>
      </c>
      <c r="H713" s="4">
        <v>18</v>
      </c>
      <c r="I713" s="4">
        <v>6.8</v>
      </c>
      <c r="J713" s="4">
        <v>3.27</v>
      </c>
    </row>
    <row r="714" spans="4:5">
      <c r="D714" s="24"/>
      <c r="E714" s="25"/>
    </row>
    <row r="715" spans="4:5">
      <c r="D715" s="24"/>
      <c r="E715" s="25"/>
    </row>
    <row r="716" spans="4:5">
      <c r="D716" s="24"/>
      <c r="E716" s="25"/>
    </row>
    <row r="717" spans="4:5">
      <c r="D717" s="24"/>
      <c r="E717" s="25"/>
    </row>
    <row r="718" spans="4:5">
      <c r="D718" s="24"/>
      <c r="E718" s="25"/>
    </row>
    <row r="719" spans="4:5">
      <c r="D719" s="24"/>
      <c r="E719" s="25"/>
    </row>
    <row r="720" spans="4:5">
      <c r="D720" s="24"/>
      <c r="E720" s="25"/>
    </row>
    <row r="721" spans="4:5">
      <c r="D721" s="24"/>
      <c r="E721" s="25"/>
    </row>
    <row r="722" spans="4:5">
      <c r="D722" s="24"/>
      <c r="E722" s="25"/>
    </row>
    <row r="724" s="1" customFormat="1" spans="1:11">
      <c r="A724" s="33" t="s">
        <v>574</v>
      </c>
      <c r="B724" s="24" t="s">
        <v>1</v>
      </c>
      <c r="C724" s="26" t="s">
        <v>2</v>
      </c>
      <c r="D724" s="27" t="s">
        <v>3</v>
      </c>
      <c r="E724" s="27" t="s">
        <v>4</v>
      </c>
      <c r="F724" s="28" t="s">
        <v>5</v>
      </c>
      <c r="G724" s="28" t="s">
        <v>6</v>
      </c>
      <c r="H724" s="28" t="s">
        <v>7</v>
      </c>
      <c r="I724" s="28">
        <v>50</v>
      </c>
      <c r="J724" s="28" t="s">
        <v>8</v>
      </c>
      <c r="K724" s="26" t="s">
        <v>9</v>
      </c>
    </row>
    <row r="725" spans="2:11">
      <c r="B725" s="4">
        <v>211</v>
      </c>
      <c r="C725" s="4">
        <v>23</v>
      </c>
      <c r="D725" s="33" t="s">
        <v>575</v>
      </c>
      <c r="E725" s="25" t="s">
        <v>11</v>
      </c>
      <c r="K725" s="4" t="s">
        <v>14</v>
      </c>
    </row>
    <row r="726" spans="2:10">
      <c r="B726" s="4">
        <v>211</v>
      </c>
      <c r="C726" s="4">
        <v>24</v>
      </c>
      <c r="D726" s="24" t="s">
        <v>576</v>
      </c>
      <c r="E726" s="25" t="s">
        <v>11</v>
      </c>
      <c r="F726" s="4">
        <v>15</v>
      </c>
      <c r="G726" s="4">
        <v>256</v>
      </c>
      <c r="H726" s="4">
        <v>27</v>
      </c>
      <c r="J726" s="4">
        <v>4.05</v>
      </c>
    </row>
    <row r="727" spans="2:10">
      <c r="B727" s="4">
        <v>211</v>
      </c>
      <c r="C727" s="4">
        <v>25</v>
      </c>
      <c r="D727" s="24" t="s">
        <v>577</v>
      </c>
      <c r="E727" s="25" t="s">
        <v>11</v>
      </c>
      <c r="F727" s="4">
        <v>21.5</v>
      </c>
      <c r="G727" s="4">
        <v>253</v>
      </c>
      <c r="H727" s="4">
        <v>10</v>
      </c>
      <c r="I727" s="4">
        <v>7.3</v>
      </c>
      <c r="J727" s="4">
        <v>4.04</v>
      </c>
    </row>
    <row r="728" spans="2:10">
      <c r="B728" s="4">
        <v>211</v>
      </c>
      <c r="C728" s="4">
        <v>26</v>
      </c>
      <c r="D728" s="24" t="s">
        <v>578</v>
      </c>
      <c r="E728" s="25" t="s">
        <v>11</v>
      </c>
      <c r="F728" s="4">
        <v>13.5</v>
      </c>
      <c r="G728" s="4">
        <v>181</v>
      </c>
      <c r="H728" s="4">
        <v>0</v>
      </c>
      <c r="I728" s="4">
        <v>8.2</v>
      </c>
      <c r="J728" s="4">
        <v>4.57</v>
      </c>
    </row>
    <row r="729" spans="2:10">
      <c r="B729" s="4">
        <v>211</v>
      </c>
      <c r="C729" s="4">
        <v>27</v>
      </c>
      <c r="D729" s="24" t="s">
        <v>579</v>
      </c>
      <c r="E729" s="25" t="s">
        <v>11</v>
      </c>
      <c r="F729" s="4">
        <v>5</v>
      </c>
      <c r="G729" s="4">
        <v>212</v>
      </c>
      <c r="H729" s="4">
        <v>0</v>
      </c>
      <c r="I729" s="4">
        <v>7.6</v>
      </c>
      <c r="J729" s="4">
        <v>4.03</v>
      </c>
    </row>
    <row r="730" spans="2:10">
      <c r="B730" s="4">
        <v>211</v>
      </c>
      <c r="C730" s="4">
        <v>28</v>
      </c>
      <c r="D730" s="24" t="s">
        <v>580</v>
      </c>
      <c r="E730" s="25" t="s">
        <v>11</v>
      </c>
      <c r="F730" s="4">
        <v>26</v>
      </c>
      <c r="G730" s="4">
        <v>250</v>
      </c>
      <c r="H730" s="4">
        <v>12</v>
      </c>
      <c r="I730" s="4">
        <v>6.8</v>
      </c>
      <c r="J730" s="4">
        <v>3.12</v>
      </c>
    </row>
    <row r="731" spans="2:10">
      <c r="B731" s="4">
        <v>211</v>
      </c>
      <c r="C731" s="4">
        <v>29</v>
      </c>
      <c r="D731" s="24" t="s">
        <v>581</v>
      </c>
      <c r="E731" s="25" t="s">
        <v>11</v>
      </c>
      <c r="F731" s="4">
        <v>11</v>
      </c>
      <c r="G731" s="4">
        <v>257</v>
      </c>
      <c r="H731" s="4">
        <v>16</v>
      </c>
      <c r="I731" s="4">
        <v>7.3</v>
      </c>
      <c r="J731" s="4">
        <v>3.29</v>
      </c>
    </row>
    <row r="732" spans="2:10">
      <c r="B732" s="4">
        <v>211</v>
      </c>
      <c r="C732" s="4">
        <v>30</v>
      </c>
      <c r="D732" s="24" t="s">
        <v>582</v>
      </c>
      <c r="E732" s="25" t="s">
        <v>11</v>
      </c>
      <c r="F732" s="4">
        <v>12</v>
      </c>
      <c r="G732" s="4">
        <v>221</v>
      </c>
      <c r="H732" s="4">
        <v>22</v>
      </c>
      <c r="I732" s="4">
        <v>6.9</v>
      </c>
      <c r="J732" s="4">
        <v>3.49</v>
      </c>
    </row>
    <row r="733" spans="2:10">
      <c r="B733" s="4">
        <v>211</v>
      </c>
      <c r="C733" s="4">
        <v>31</v>
      </c>
      <c r="D733" s="24" t="s">
        <v>583</v>
      </c>
      <c r="E733" s="25" t="s">
        <v>11</v>
      </c>
      <c r="F733" s="4">
        <v>18.5</v>
      </c>
      <c r="G733" s="4">
        <v>246</v>
      </c>
      <c r="H733" s="4">
        <v>15</v>
      </c>
      <c r="I733" s="4">
        <v>6.9</v>
      </c>
      <c r="J733" s="4">
        <v>3.2</v>
      </c>
    </row>
    <row r="734" spans="2:10">
      <c r="B734" s="4">
        <v>211</v>
      </c>
      <c r="C734" s="4">
        <v>32</v>
      </c>
      <c r="D734" s="24" t="s">
        <v>584</v>
      </c>
      <c r="E734" s="25" t="s">
        <v>11</v>
      </c>
      <c r="F734" s="4">
        <v>19.6</v>
      </c>
      <c r="G734" s="4">
        <v>260</v>
      </c>
      <c r="H734" s="4">
        <v>8</v>
      </c>
      <c r="I734" s="4">
        <v>6.9</v>
      </c>
      <c r="J734" s="4">
        <v>3.25</v>
      </c>
    </row>
    <row r="736" s="1" customFormat="1" spans="1:11">
      <c r="A736" s="33" t="s">
        <v>585</v>
      </c>
      <c r="B736" s="24" t="s">
        <v>1</v>
      </c>
      <c r="C736" s="26" t="s">
        <v>2</v>
      </c>
      <c r="D736" s="27" t="s">
        <v>3</v>
      </c>
      <c r="E736" s="27" t="s">
        <v>4</v>
      </c>
      <c r="F736" s="28" t="s">
        <v>5</v>
      </c>
      <c r="G736" s="28" t="s">
        <v>6</v>
      </c>
      <c r="H736" s="28" t="s">
        <v>7</v>
      </c>
      <c r="I736" s="28">
        <v>50</v>
      </c>
      <c r="J736" s="28" t="s">
        <v>8</v>
      </c>
      <c r="K736" s="26" t="s">
        <v>9</v>
      </c>
    </row>
    <row r="737" spans="2:10">
      <c r="B737" s="4">
        <v>211</v>
      </c>
      <c r="C737" s="4">
        <v>33</v>
      </c>
      <c r="D737" s="33" t="s">
        <v>586</v>
      </c>
      <c r="E737" s="25" t="s">
        <v>53</v>
      </c>
      <c r="F737" s="4">
        <v>22.2</v>
      </c>
      <c r="G737" s="4">
        <v>150</v>
      </c>
      <c r="H737" s="4">
        <v>35</v>
      </c>
      <c r="I737" s="4">
        <v>9.2</v>
      </c>
      <c r="J737" s="4">
        <v>3.45</v>
      </c>
    </row>
    <row r="738" spans="2:10">
      <c r="B738" s="4">
        <v>211</v>
      </c>
      <c r="C738" s="4">
        <v>34</v>
      </c>
      <c r="D738" s="24" t="s">
        <v>587</v>
      </c>
      <c r="E738" s="25" t="s">
        <v>53</v>
      </c>
      <c r="F738" s="4">
        <v>16</v>
      </c>
      <c r="G738" s="4">
        <v>189</v>
      </c>
      <c r="H738" s="4">
        <v>52</v>
      </c>
      <c r="I738" s="4">
        <v>8.2</v>
      </c>
      <c r="J738" s="4">
        <v>3.19</v>
      </c>
    </row>
    <row r="739" spans="2:10">
      <c r="B739" s="4">
        <v>211</v>
      </c>
      <c r="C739" s="4">
        <v>35</v>
      </c>
      <c r="D739" s="24" t="s">
        <v>588</v>
      </c>
      <c r="E739" s="25" t="s">
        <v>53</v>
      </c>
      <c r="F739" s="4">
        <v>21</v>
      </c>
      <c r="G739" s="4">
        <v>168</v>
      </c>
      <c r="H739" s="4">
        <v>52</v>
      </c>
      <c r="I739" s="4">
        <v>8.9</v>
      </c>
      <c r="J739" s="4">
        <v>4.04</v>
      </c>
    </row>
    <row r="740" spans="2:10">
      <c r="B740" s="4">
        <v>211</v>
      </c>
      <c r="C740" s="4">
        <v>36</v>
      </c>
      <c r="D740" s="24" t="s">
        <v>589</v>
      </c>
      <c r="E740" s="25" t="s">
        <v>53</v>
      </c>
      <c r="F740" s="4">
        <v>21</v>
      </c>
      <c r="G740" s="4">
        <v>210</v>
      </c>
      <c r="H740" s="4">
        <v>58</v>
      </c>
      <c r="I740" s="4">
        <v>8.2</v>
      </c>
      <c r="J740" s="4">
        <v>3.16</v>
      </c>
    </row>
    <row r="741" spans="2:10">
      <c r="B741" s="4">
        <v>211</v>
      </c>
      <c r="C741" s="4">
        <v>37</v>
      </c>
      <c r="D741" s="24" t="s">
        <v>590</v>
      </c>
      <c r="E741" s="25" t="s">
        <v>53</v>
      </c>
      <c r="F741" s="4">
        <v>29</v>
      </c>
      <c r="G741" s="4">
        <v>225</v>
      </c>
      <c r="H741" s="4">
        <v>42</v>
      </c>
      <c r="I741" s="4">
        <v>8.6</v>
      </c>
      <c r="J741" s="4">
        <v>3.35</v>
      </c>
    </row>
    <row r="742" spans="2:10">
      <c r="B742" s="4">
        <v>211</v>
      </c>
      <c r="C742" s="4">
        <v>38</v>
      </c>
      <c r="D742" s="24" t="s">
        <v>591</v>
      </c>
      <c r="E742" s="25" t="s">
        <v>53</v>
      </c>
      <c r="F742" s="4">
        <v>30</v>
      </c>
      <c r="G742" s="4">
        <v>178</v>
      </c>
      <c r="H742" s="4">
        <v>50</v>
      </c>
      <c r="I742" s="4">
        <v>8.6</v>
      </c>
      <c r="J742" s="4">
        <v>3.4</v>
      </c>
    </row>
    <row r="743" spans="2:10">
      <c r="B743" s="4">
        <v>211</v>
      </c>
      <c r="C743" s="4">
        <v>39</v>
      </c>
      <c r="D743" s="24" t="s">
        <v>592</v>
      </c>
      <c r="E743" s="25" t="s">
        <v>53</v>
      </c>
      <c r="F743" s="4">
        <v>14</v>
      </c>
      <c r="G743" s="4">
        <v>180</v>
      </c>
      <c r="H743" s="4">
        <v>49</v>
      </c>
      <c r="I743" s="4">
        <v>8.5</v>
      </c>
      <c r="J743" s="4">
        <v>3.29</v>
      </c>
    </row>
    <row r="744" spans="2:10">
      <c r="B744" s="4">
        <v>211</v>
      </c>
      <c r="C744" s="4">
        <v>40</v>
      </c>
      <c r="D744" s="24" t="s">
        <v>593</v>
      </c>
      <c r="E744" s="25" t="s">
        <v>53</v>
      </c>
      <c r="F744" s="4">
        <v>14</v>
      </c>
      <c r="G744" s="4">
        <v>203</v>
      </c>
      <c r="H744" s="4">
        <v>50</v>
      </c>
      <c r="I744" s="4">
        <v>7.9</v>
      </c>
      <c r="J744" s="4">
        <v>3.26</v>
      </c>
    </row>
    <row r="745" spans="2:10">
      <c r="B745" s="4">
        <v>211</v>
      </c>
      <c r="C745" s="4">
        <v>41</v>
      </c>
      <c r="D745" s="24" t="s">
        <v>594</v>
      </c>
      <c r="E745" s="25" t="s">
        <v>53</v>
      </c>
      <c r="F745" s="4">
        <v>19</v>
      </c>
      <c r="G745" s="4">
        <v>177</v>
      </c>
      <c r="H745" s="4">
        <v>57</v>
      </c>
      <c r="I745" s="4">
        <v>9.7</v>
      </c>
      <c r="J745" s="4">
        <v>4.21</v>
      </c>
    </row>
    <row r="746" spans="2:10">
      <c r="B746" s="4">
        <v>211</v>
      </c>
      <c r="C746" s="4">
        <v>42</v>
      </c>
      <c r="D746" s="24" t="s">
        <v>595</v>
      </c>
      <c r="E746" s="25" t="s">
        <v>53</v>
      </c>
      <c r="F746" s="4">
        <v>20.5</v>
      </c>
      <c r="G746" s="4">
        <v>201</v>
      </c>
      <c r="H746" s="4">
        <v>66</v>
      </c>
      <c r="I746" s="4">
        <v>8.2</v>
      </c>
      <c r="J746" s="4">
        <v>3.29</v>
      </c>
    </row>
    <row r="748" s="1" customFormat="1" spans="1:11">
      <c r="A748" s="33" t="s">
        <v>596</v>
      </c>
      <c r="B748" s="24" t="s">
        <v>1</v>
      </c>
      <c r="C748" s="26" t="s">
        <v>2</v>
      </c>
      <c r="D748" s="27" t="s">
        <v>3</v>
      </c>
      <c r="E748" s="27" t="s">
        <v>4</v>
      </c>
      <c r="F748" s="28" t="s">
        <v>5</v>
      </c>
      <c r="G748" s="28" t="s">
        <v>6</v>
      </c>
      <c r="H748" s="28" t="s">
        <v>7</v>
      </c>
      <c r="I748" s="28">
        <v>50</v>
      </c>
      <c r="J748" s="28" t="s">
        <v>8</v>
      </c>
      <c r="K748" s="26" t="s">
        <v>9</v>
      </c>
    </row>
    <row r="749" spans="2:10">
      <c r="B749" s="4">
        <v>211</v>
      </c>
      <c r="C749" s="4">
        <v>43</v>
      </c>
      <c r="D749" s="33" t="s">
        <v>597</v>
      </c>
      <c r="E749" s="25" t="s">
        <v>53</v>
      </c>
      <c r="F749" s="4">
        <v>16</v>
      </c>
      <c r="G749" s="4">
        <v>207</v>
      </c>
      <c r="H749" s="4">
        <v>44</v>
      </c>
      <c r="I749" s="4">
        <v>9.6</v>
      </c>
      <c r="J749" s="4">
        <v>3.28</v>
      </c>
    </row>
    <row r="750" spans="2:10">
      <c r="B750" s="4">
        <v>211</v>
      </c>
      <c r="C750" s="4">
        <v>44</v>
      </c>
      <c r="D750" s="24" t="s">
        <v>598</v>
      </c>
      <c r="E750" s="25" t="s">
        <v>53</v>
      </c>
      <c r="F750" s="4">
        <v>13</v>
      </c>
      <c r="G750" s="4">
        <v>167</v>
      </c>
      <c r="H750" s="4">
        <v>41</v>
      </c>
      <c r="I750" s="4">
        <v>8</v>
      </c>
      <c r="J750" s="4">
        <v>4.02</v>
      </c>
    </row>
    <row r="751" spans="2:10">
      <c r="B751" s="4">
        <v>211</v>
      </c>
      <c r="C751" s="4">
        <v>45</v>
      </c>
      <c r="D751" s="24" t="s">
        <v>599</v>
      </c>
      <c r="E751" s="25" t="s">
        <v>53</v>
      </c>
      <c r="F751" s="4">
        <v>17.4</v>
      </c>
      <c r="G751" s="4">
        <v>187</v>
      </c>
      <c r="H751" s="4">
        <v>50</v>
      </c>
      <c r="I751" s="4">
        <v>8.1</v>
      </c>
      <c r="J751" s="4">
        <v>3.47</v>
      </c>
    </row>
    <row r="752" spans="2:10">
      <c r="B752" s="4">
        <v>211</v>
      </c>
      <c r="C752" s="4">
        <v>46</v>
      </c>
      <c r="D752" s="24" t="s">
        <v>600</v>
      </c>
      <c r="E752" s="25" t="s">
        <v>53</v>
      </c>
      <c r="F752" s="4">
        <v>27</v>
      </c>
      <c r="G752" s="4">
        <v>193</v>
      </c>
      <c r="H752" s="4">
        <v>60</v>
      </c>
      <c r="I752" s="4">
        <v>8.1</v>
      </c>
      <c r="J752" s="4">
        <v>3.55</v>
      </c>
    </row>
    <row r="753" spans="2:10">
      <c r="B753" s="4">
        <v>211</v>
      </c>
      <c r="C753" s="4">
        <v>47</v>
      </c>
      <c r="D753" s="24" t="s">
        <v>601</v>
      </c>
      <c r="E753" s="25" t="s">
        <v>53</v>
      </c>
      <c r="F753" s="4">
        <v>18.2</v>
      </c>
      <c r="G753" s="4">
        <v>155</v>
      </c>
      <c r="H753" s="4">
        <v>36</v>
      </c>
      <c r="I753" s="4">
        <v>10.3</v>
      </c>
      <c r="J753" s="4">
        <v>4.39</v>
      </c>
    </row>
    <row r="754" spans="2:10">
      <c r="B754" s="4">
        <v>211</v>
      </c>
      <c r="C754" s="4">
        <v>48</v>
      </c>
      <c r="D754" s="24" t="s">
        <v>602</v>
      </c>
      <c r="E754" s="25" t="s">
        <v>53</v>
      </c>
      <c r="F754" s="4">
        <v>22.5</v>
      </c>
      <c r="G754" s="4">
        <v>202</v>
      </c>
      <c r="H754" s="4">
        <v>42</v>
      </c>
      <c r="I754" s="4">
        <v>8.1</v>
      </c>
      <c r="J754" s="4">
        <v>3.44</v>
      </c>
    </row>
    <row r="755" spans="2:10">
      <c r="B755" s="4">
        <v>211</v>
      </c>
      <c r="C755" s="4">
        <v>49</v>
      </c>
      <c r="D755" s="24" t="s">
        <v>603</v>
      </c>
      <c r="E755" s="25" t="s">
        <v>53</v>
      </c>
      <c r="F755" s="4">
        <v>22</v>
      </c>
      <c r="G755" s="4">
        <v>190</v>
      </c>
      <c r="H755" s="4">
        <v>41</v>
      </c>
      <c r="I755" s="4">
        <v>8.7</v>
      </c>
      <c r="J755" s="4">
        <v>3.27</v>
      </c>
    </row>
    <row r="756" spans="2:10">
      <c r="B756" s="4">
        <v>211</v>
      </c>
      <c r="C756" s="4">
        <v>50</v>
      </c>
      <c r="D756" s="24" t="s">
        <v>604</v>
      </c>
      <c r="E756" s="25" t="s">
        <v>53</v>
      </c>
      <c r="F756" s="4">
        <v>12.1</v>
      </c>
      <c r="G756" s="4">
        <v>165</v>
      </c>
      <c r="H756" s="4">
        <v>44</v>
      </c>
      <c r="I756" s="4">
        <v>8.9</v>
      </c>
      <c r="J756" s="4">
        <v>3.44</v>
      </c>
    </row>
    <row r="757" spans="2:10">
      <c r="B757" s="4">
        <v>211</v>
      </c>
      <c r="C757" s="4">
        <v>51</v>
      </c>
      <c r="D757" s="24" t="s">
        <v>605</v>
      </c>
      <c r="E757" s="25" t="s">
        <v>53</v>
      </c>
      <c r="F757" s="4">
        <v>17.3</v>
      </c>
      <c r="G757" s="4">
        <v>155</v>
      </c>
      <c r="H757" s="4">
        <v>39</v>
      </c>
      <c r="I757" s="4">
        <v>10</v>
      </c>
      <c r="J757" s="4">
        <v>4.28</v>
      </c>
    </row>
    <row r="760" s="1" customFormat="1" spans="1:11">
      <c r="A760" s="33" t="s">
        <v>606</v>
      </c>
      <c r="B760" s="24" t="s">
        <v>1</v>
      </c>
      <c r="C760" s="26" t="s">
        <v>2</v>
      </c>
      <c r="D760" s="27" t="s">
        <v>3</v>
      </c>
      <c r="E760" s="27" t="s">
        <v>4</v>
      </c>
      <c r="F760" s="28" t="s">
        <v>5</v>
      </c>
      <c r="G760" s="28" t="s">
        <v>6</v>
      </c>
      <c r="H760" s="28" t="s">
        <v>7</v>
      </c>
      <c r="I760" s="28">
        <v>50</v>
      </c>
      <c r="J760" s="28" t="s">
        <v>8</v>
      </c>
      <c r="K760" s="26" t="s">
        <v>9</v>
      </c>
    </row>
    <row r="761" spans="2:10">
      <c r="B761" s="4">
        <v>212</v>
      </c>
      <c r="C761" s="4">
        <v>1</v>
      </c>
      <c r="D761" s="33" t="s">
        <v>607</v>
      </c>
      <c r="E761" s="25" t="s">
        <v>11</v>
      </c>
      <c r="F761" s="4">
        <v>10.8</v>
      </c>
      <c r="G761" s="4">
        <v>272</v>
      </c>
      <c r="H761" s="4">
        <v>15</v>
      </c>
      <c r="I761" s="4">
        <v>6.8</v>
      </c>
      <c r="J761" s="4">
        <v>3.22</v>
      </c>
    </row>
    <row r="762" spans="2:10">
      <c r="B762" s="4">
        <v>212</v>
      </c>
      <c r="C762" s="4">
        <v>2</v>
      </c>
      <c r="D762" s="24" t="s">
        <v>608</v>
      </c>
      <c r="E762" s="25" t="s">
        <v>11</v>
      </c>
      <c r="F762" s="4">
        <v>16</v>
      </c>
      <c r="G762" s="4">
        <v>228</v>
      </c>
      <c r="H762" s="4">
        <v>4</v>
      </c>
      <c r="I762" s="4">
        <v>7.5</v>
      </c>
      <c r="J762" s="4">
        <v>3.53</v>
      </c>
    </row>
    <row r="763" spans="2:10">
      <c r="B763" s="4">
        <v>212</v>
      </c>
      <c r="C763" s="4">
        <v>3</v>
      </c>
      <c r="D763" s="24" t="s">
        <v>609</v>
      </c>
      <c r="E763" s="25" t="s">
        <v>11</v>
      </c>
      <c r="F763" s="4">
        <v>15.2</v>
      </c>
      <c r="G763" s="4">
        <v>257</v>
      </c>
      <c r="H763" s="4">
        <v>25</v>
      </c>
      <c r="I763" s="4">
        <v>7.1</v>
      </c>
      <c r="J763" s="4">
        <v>3.15</v>
      </c>
    </row>
    <row r="764" spans="2:10">
      <c r="B764" s="4">
        <v>212</v>
      </c>
      <c r="C764" s="4">
        <v>4</v>
      </c>
      <c r="D764" s="24" t="s">
        <v>610</v>
      </c>
      <c r="E764" s="25" t="s">
        <v>11</v>
      </c>
      <c r="F764" s="4">
        <v>8</v>
      </c>
      <c r="G764" s="4">
        <v>201</v>
      </c>
      <c r="H764" s="4">
        <v>9</v>
      </c>
      <c r="J764" s="4">
        <v>5.15</v>
      </c>
    </row>
    <row r="765" spans="2:10">
      <c r="B765" s="4">
        <v>212</v>
      </c>
      <c r="C765" s="4">
        <v>5</v>
      </c>
      <c r="D765" s="24" t="s">
        <v>611</v>
      </c>
      <c r="E765" s="25" t="s">
        <v>11</v>
      </c>
      <c r="F765" s="4">
        <v>17.5</v>
      </c>
      <c r="G765" s="4">
        <v>252</v>
      </c>
      <c r="H765" s="4">
        <v>20</v>
      </c>
      <c r="I765" s="4">
        <v>7</v>
      </c>
      <c r="J765" s="4">
        <v>4.24</v>
      </c>
    </row>
    <row r="766" spans="2:10">
      <c r="B766" s="4">
        <v>212</v>
      </c>
      <c r="C766" s="4">
        <v>6</v>
      </c>
      <c r="D766" s="24" t="s">
        <v>612</v>
      </c>
      <c r="E766" s="25" t="s">
        <v>11</v>
      </c>
      <c r="F766" s="4">
        <v>15</v>
      </c>
      <c r="G766" s="4">
        <v>247</v>
      </c>
      <c r="H766" s="4">
        <v>1</v>
      </c>
      <c r="I766" s="4">
        <v>7.5</v>
      </c>
      <c r="J766" s="4">
        <v>4.29</v>
      </c>
    </row>
    <row r="767" spans="2:10">
      <c r="B767" s="4">
        <v>212</v>
      </c>
      <c r="C767" s="4">
        <v>7</v>
      </c>
      <c r="D767" s="24" t="s">
        <v>613</v>
      </c>
      <c r="E767" s="25" t="s">
        <v>11</v>
      </c>
      <c r="F767" s="4">
        <v>17.8</v>
      </c>
      <c r="G767" s="4">
        <v>226</v>
      </c>
      <c r="H767" s="4">
        <v>0</v>
      </c>
      <c r="I767" s="4">
        <v>7.7</v>
      </c>
      <c r="J767" s="4">
        <v>3.5</v>
      </c>
    </row>
    <row r="768" spans="2:10">
      <c r="B768" s="4">
        <v>212</v>
      </c>
      <c r="C768" s="4">
        <v>8</v>
      </c>
      <c r="D768" s="24" t="s">
        <v>614</v>
      </c>
      <c r="E768" s="25" t="s">
        <v>11</v>
      </c>
      <c r="F768" s="4">
        <v>13</v>
      </c>
      <c r="G768" s="4">
        <v>239</v>
      </c>
      <c r="H768" s="4">
        <v>1</v>
      </c>
      <c r="I768" s="4">
        <v>7.1</v>
      </c>
      <c r="J768" s="4">
        <v>3.28</v>
      </c>
    </row>
    <row r="769" spans="2:10">
      <c r="B769" s="4">
        <v>212</v>
      </c>
      <c r="C769" s="4">
        <v>9</v>
      </c>
      <c r="D769" s="24" t="s">
        <v>615</v>
      </c>
      <c r="E769" s="25" t="s">
        <v>11</v>
      </c>
      <c r="F769" s="4">
        <v>17.5</v>
      </c>
      <c r="G769" s="4">
        <v>270</v>
      </c>
      <c r="H769" s="4">
        <v>27</v>
      </c>
      <c r="I769" s="4">
        <v>6.7</v>
      </c>
      <c r="J769" s="4">
        <v>3.34</v>
      </c>
    </row>
    <row r="770" spans="2:11">
      <c r="B770" s="4">
        <v>212</v>
      </c>
      <c r="C770" s="4">
        <v>10</v>
      </c>
      <c r="D770" s="24" t="s">
        <v>616</v>
      </c>
      <c r="E770" s="25" t="s">
        <v>11</v>
      </c>
      <c r="K770" s="4" t="s">
        <v>617</v>
      </c>
    </row>
    <row r="771" spans="4:5">
      <c r="D771" s="24"/>
      <c r="E771" s="25"/>
    </row>
    <row r="772" s="1" customFormat="1" spans="1:11">
      <c r="A772" s="33" t="s">
        <v>618</v>
      </c>
      <c r="B772" s="24" t="s">
        <v>1</v>
      </c>
      <c r="C772" s="26" t="s">
        <v>2</v>
      </c>
      <c r="D772" s="27" t="s">
        <v>3</v>
      </c>
      <c r="E772" s="27" t="s">
        <v>4</v>
      </c>
      <c r="F772" s="28" t="s">
        <v>5</v>
      </c>
      <c r="G772" s="28" t="s">
        <v>6</v>
      </c>
      <c r="H772" s="28" t="s">
        <v>7</v>
      </c>
      <c r="I772" s="28">
        <v>50</v>
      </c>
      <c r="J772" s="28" t="s">
        <v>8</v>
      </c>
      <c r="K772" s="26" t="s">
        <v>9</v>
      </c>
    </row>
    <row r="773" spans="2:10">
      <c r="B773" s="4">
        <v>212</v>
      </c>
      <c r="C773" s="4">
        <v>11</v>
      </c>
      <c r="D773" s="33" t="s">
        <v>619</v>
      </c>
      <c r="E773" s="25" t="s">
        <v>11</v>
      </c>
      <c r="F773" s="4">
        <v>22</v>
      </c>
      <c r="G773" s="4">
        <v>230</v>
      </c>
      <c r="H773" s="4">
        <v>10</v>
      </c>
      <c r="I773" s="4">
        <v>7.1</v>
      </c>
      <c r="J773" s="4">
        <v>4</v>
      </c>
    </row>
    <row r="774" spans="2:10">
      <c r="B774" s="4">
        <v>212</v>
      </c>
      <c r="C774" s="4">
        <v>12</v>
      </c>
      <c r="D774" s="24" t="s">
        <v>620</v>
      </c>
      <c r="E774" s="25" t="s">
        <v>11</v>
      </c>
      <c r="F774" s="4">
        <v>17.5</v>
      </c>
      <c r="G774" s="4">
        <v>224</v>
      </c>
      <c r="H774" s="4">
        <v>9</v>
      </c>
      <c r="I774" s="4">
        <v>7.6</v>
      </c>
      <c r="J774" s="4">
        <v>4.03</v>
      </c>
    </row>
    <row r="775" spans="2:10">
      <c r="B775" s="4">
        <v>212</v>
      </c>
      <c r="C775" s="4">
        <v>13</v>
      </c>
      <c r="D775" s="24" t="s">
        <v>621</v>
      </c>
      <c r="E775" s="25" t="s">
        <v>11</v>
      </c>
      <c r="F775" s="4">
        <v>6</v>
      </c>
      <c r="G775" s="4">
        <v>178</v>
      </c>
      <c r="H775" s="4">
        <v>1</v>
      </c>
      <c r="I775" s="4">
        <v>8.3</v>
      </c>
      <c r="J775" s="4">
        <v>5.24</v>
      </c>
    </row>
    <row r="776" spans="2:11">
      <c r="B776" s="4">
        <v>212</v>
      </c>
      <c r="C776" s="4">
        <v>14</v>
      </c>
      <c r="D776" s="26" t="s">
        <v>622</v>
      </c>
      <c r="E776" s="25" t="s">
        <v>11</v>
      </c>
      <c r="K776" s="4" t="s">
        <v>617</v>
      </c>
    </row>
    <row r="777" spans="2:10">
      <c r="B777" s="4">
        <v>212</v>
      </c>
      <c r="C777" s="4">
        <v>15</v>
      </c>
      <c r="D777" s="24" t="s">
        <v>623</v>
      </c>
      <c r="E777" s="25" t="s">
        <v>11</v>
      </c>
      <c r="F777" s="4">
        <v>6.5</v>
      </c>
      <c r="G777" s="4">
        <v>214</v>
      </c>
      <c r="H777" s="4">
        <v>16</v>
      </c>
      <c r="I777" s="4">
        <v>7.1</v>
      </c>
      <c r="J777" s="4">
        <v>3.48</v>
      </c>
    </row>
    <row r="778" spans="2:10">
      <c r="B778" s="4">
        <v>212</v>
      </c>
      <c r="C778" s="4">
        <v>16</v>
      </c>
      <c r="D778" s="24" t="s">
        <v>624</v>
      </c>
      <c r="E778" s="25" t="s">
        <v>11</v>
      </c>
      <c r="F778" s="4">
        <v>18.4</v>
      </c>
      <c r="G778" s="4">
        <v>209</v>
      </c>
      <c r="H778" s="4">
        <v>0</v>
      </c>
      <c r="I778" s="4">
        <v>8</v>
      </c>
      <c r="J778" s="4">
        <v>3.52</v>
      </c>
    </row>
    <row r="779" spans="2:10">
      <c r="B779" s="4">
        <v>212</v>
      </c>
      <c r="C779" s="4">
        <v>17</v>
      </c>
      <c r="D779" s="24" t="s">
        <v>625</v>
      </c>
      <c r="E779" s="25" t="s">
        <v>11</v>
      </c>
      <c r="F779" s="4">
        <v>16.6</v>
      </c>
      <c r="G779" s="4">
        <v>215</v>
      </c>
      <c r="H779" s="4">
        <v>11</v>
      </c>
      <c r="I779" s="4">
        <v>7.3</v>
      </c>
      <c r="J779" s="4">
        <v>3.49</v>
      </c>
    </row>
    <row r="780" spans="2:10">
      <c r="B780" s="4">
        <v>212</v>
      </c>
      <c r="C780" s="4">
        <v>18</v>
      </c>
      <c r="D780" s="24" t="s">
        <v>626</v>
      </c>
      <c r="E780" s="25" t="s">
        <v>11</v>
      </c>
      <c r="F780" s="4">
        <v>10.4</v>
      </c>
      <c r="G780" s="4">
        <v>220</v>
      </c>
      <c r="H780" s="4">
        <v>0</v>
      </c>
      <c r="I780" s="4">
        <v>7.5</v>
      </c>
      <c r="J780" s="4">
        <v>4.08</v>
      </c>
    </row>
    <row r="781" spans="2:10">
      <c r="B781" s="4">
        <v>212</v>
      </c>
      <c r="C781" s="4">
        <v>19</v>
      </c>
      <c r="D781" s="24" t="s">
        <v>627</v>
      </c>
      <c r="E781" s="25" t="s">
        <v>11</v>
      </c>
      <c r="F781" s="4">
        <v>16.5</v>
      </c>
      <c r="G781" s="4">
        <v>240</v>
      </c>
      <c r="H781" s="4">
        <v>0</v>
      </c>
      <c r="I781" s="4">
        <v>7.4</v>
      </c>
      <c r="J781" s="4">
        <v>3.25</v>
      </c>
    </row>
    <row r="782" spans="2:11">
      <c r="B782" s="4">
        <v>212</v>
      </c>
      <c r="C782" s="4">
        <v>20</v>
      </c>
      <c r="D782" s="24" t="s">
        <v>628</v>
      </c>
      <c r="E782" s="25" t="s">
        <v>11</v>
      </c>
      <c r="K782" s="4" t="s">
        <v>617</v>
      </c>
    </row>
    <row r="783" spans="4:5">
      <c r="D783" s="24"/>
      <c r="E783" s="25"/>
    </row>
    <row r="784" spans="4:5">
      <c r="D784" s="24"/>
      <c r="E784" s="25"/>
    </row>
    <row r="785" spans="4:5">
      <c r="D785" s="24"/>
      <c r="E785" s="25"/>
    </row>
    <row r="786" spans="4:5">
      <c r="D786" s="24"/>
      <c r="E786" s="25"/>
    </row>
    <row r="787" spans="4:5">
      <c r="D787" s="24"/>
      <c r="E787" s="25"/>
    </row>
    <row r="788" spans="4:5">
      <c r="D788" s="24"/>
      <c r="E788" s="25"/>
    </row>
    <row r="789" spans="4:5">
      <c r="D789" s="24"/>
      <c r="E789" s="25"/>
    </row>
    <row r="790" spans="4:5">
      <c r="D790" s="24"/>
      <c r="E790" s="25"/>
    </row>
    <row r="791" spans="4:5">
      <c r="D791" s="24"/>
      <c r="E791" s="25"/>
    </row>
    <row r="792" spans="4:5">
      <c r="D792" s="24"/>
      <c r="E792" s="25"/>
    </row>
    <row r="793" spans="4:5">
      <c r="D793" s="24"/>
      <c r="E793" s="25"/>
    </row>
    <row r="795" s="1" customFormat="1" spans="1:11">
      <c r="A795" s="33" t="s">
        <v>629</v>
      </c>
      <c r="B795" s="24" t="s">
        <v>1</v>
      </c>
      <c r="C795" s="26" t="s">
        <v>2</v>
      </c>
      <c r="D795" s="27" t="s">
        <v>3</v>
      </c>
      <c r="E795" s="27" t="s">
        <v>4</v>
      </c>
      <c r="F795" s="28" t="s">
        <v>5</v>
      </c>
      <c r="G795" s="28" t="s">
        <v>6</v>
      </c>
      <c r="H795" s="28" t="s">
        <v>7</v>
      </c>
      <c r="I795" s="28">
        <v>50</v>
      </c>
      <c r="J795" s="28" t="s">
        <v>8</v>
      </c>
      <c r="K795" s="26" t="s">
        <v>9</v>
      </c>
    </row>
    <row r="796" spans="2:10">
      <c r="B796" s="4">
        <v>212</v>
      </c>
      <c r="C796" s="4">
        <v>21</v>
      </c>
      <c r="D796" s="33" t="s">
        <v>630</v>
      </c>
      <c r="E796" s="25" t="s">
        <v>11</v>
      </c>
      <c r="F796" s="4">
        <v>9</v>
      </c>
      <c r="G796" s="4">
        <v>225</v>
      </c>
      <c r="H796" s="4">
        <v>3</v>
      </c>
      <c r="I796" s="4">
        <v>7.4</v>
      </c>
      <c r="J796" s="4">
        <v>3.58</v>
      </c>
    </row>
    <row r="797" spans="2:10">
      <c r="B797" s="4">
        <v>212</v>
      </c>
      <c r="C797" s="4">
        <v>22</v>
      </c>
      <c r="D797" s="24" t="s">
        <v>631</v>
      </c>
      <c r="E797" s="25" t="s">
        <v>11</v>
      </c>
      <c r="F797" s="4">
        <v>13.5</v>
      </c>
      <c r="G797" s="4">
        <v>270</v>
      </c>
      <c r="H797" s="4">
        <v>18</v>
      </c>
      <c r="I797" s="4">
        <v>7.2</v>
      </c>
      <c r="J797" s="4">
        <v>3.3</v>
      </c>
    </row>
    <row r="798" spans="2:10">
      <c r="B798" s="4">
        <v>212</v>
      </c>
      <c r="C798" s="4">
        <v>23</v>
      </c>
      <c r="D798" s="24" t="s">
        <v>632</v>
      </c>
      <c r="E798" s="25" t="s">
        <v>11</v>
      </c>
      <c r="F798" s="4">
        <v>23.5</v>
      </c>
      <c r="G798" s="4">
        <v>260</v>
      </c>
      <c r="H798" s="4">
        <v>17</v>
      </c>
      <c r="I798" s="4">
        <v>7.6</v>
      </c>
      <c r="J798" s="4">
        <v>4.14</v>
      </c>
    </row>
    <row r="799" spans="2:11">
      <c r="B799" s="4">
        <v>212</v>
      </c>
      <c r="C799" s="4">
        <v>24</v>
      </c>
      <c r="D799" s="24" t="s">
        <v>633</v>
      </c>
      <c r="E799" s="25" t="s">
        <v>11</v>
      </c>
      <c r="K799" s="4" t="s">
        <v>617</v>
      </c>
    </row>
    <row r="800" spans="2:10">
      <c r="B800" s="4">
        <v>212</v>
      </c>
      <c r="C800" s="4">
        <v>25</v>
      </c>
      <c r="D800" s="24" t="s">
        <v>634</v>
      </c>
      <c r="E800" s="25" t="s">
        <v>11</v>
      </c>
      <c r="F800" s="4">
        <v>24.6</v>
      </c>
      <c r="G800" s="4">
        <v>231</v>
      </c>
      <c r="H800" s="4">
        <v>5</v>
      </c>
      <c r="I800" s="4">
        <v>7.2</v>
      </c>
      <c r="J800" s="4">
        <v>3.32</v>
      </c>
    </row>
    <row r="801" spans="2:10">
      <c r="B801" s="4">
        <v>212</v>
      </c>
      <c r="C801" s="4">
        <v>26</v>
      </c>
      <c r="D801" s="24" t="s">
        <v>635</v>
      </c>
      <c r="E801" s="25" t="s">
        <v>11</v>
      </c>
      <c r="F801" s="4">
        <v>17.4</v>
      </c>
      <c r="H801" s="4">
        <v>0</v>
      </c>
      <c r="I801" s="4">
        <v>8.9</v>
      </c>
      <c r="J801" s="4">
        <v>5.15</v>
      </c>
    </row>
    <row r="802" spans="2:10">
      <c r="B802" s="4">
        <v>212</v>
      </c>
      <c r="C802" s="4">
        <v>27</v>
      </c>
      <c r="D802" s="24" t="s">
        <v>636</v>
      </c>
      <c r="E802" s="25" t="s">
        <v>11</v>
      </c>
      <c r="F802" s="4">
        <v>4.6</v>
      </c>
      <c r="G802" s="4">
        <v>235</v>
      </c>
      <c r="H802" s="4">
        <v>0</v>
      </c>
      <c r="I802" s="4">
        <v>7.5</v>
      </c>
      <c r="J802" s="4">
        <v>3.5</v>
      </c>
    </row>
    <row r="803" spans="2:10">
      <c r="B803" s="4">
        <v>212</v>
      </c>
      <c r="C803" s="4">
        <v>28</v>
      </c>
      <c r="D803" s="24" t="s">
        <v>637</v>
      </c>
      <c r="E803" s="25" t="s">
        <v>11</v>
      </c>
      <c r="F803" s="4">
        <v>6.8</v>
      </c>
      <c r="G803" s="4">
        <v>243</v>
      </c>
      <c r="H803" s="4">
        <v>20</v>
      </c>
      <c r="I803" s="4">
        <v>7.5</v>
      </c>
      <c r="J803" s="4">
        <v>4.24</v>
      </c>
    </row>
    <row r="804" spans="2:10">
      <c r="B804" s="4">
        <v>212</v>
      </c>
      <c r="C804" s="4">
        <v>29</v>
      </c>
      <c r="D804" s="24" t="s">
        <v>638</v>
      </c>
      <c r="E804" s="25" t="s">
        <v>11</v>
      </c>
      <c r="F804" s="4">
        <v>12.1</v>
      </c>
      <c r="G804" s="4">
        <v>240</v>
      </c>
      <c r="H804" s="4">
        <v>1</v>
      </c>
      <c r="I804" s="4">
        <v>8</v>
      </c>
      <c r="J804" s="4">
        <v>4.1</v>
      </c>
    </row>
    <row r="805" spans="2:10">
      <c r="B805" s="4">
        <v>212</v>
      </c>
      <c r="C805" s="4">
        <v>30</v>
      </c>
      <c r="D805" s="26" t="s">
        <v>639</v>
      </c>
      <c r="E805" s="26" t="s">
        <v>11</v>
      </c>
      <c r="F805" s="4">
        <v>15</v>
      </c>
      <c r="H805" s="4">
        <v>3</v>
      </c>
      <c r="I805" s="4">
        <v>7.6</v>
      </c>
      <c r="J805" s="4">
        <v>4.25</v>
      </c>
    </row>
    <row r="806" s="1" customFormat="1" spans="1:11">
      <c r="A806" s="33" t="s">
        <v>640</v>
      </c>
      <c r="B806" s="24" t="s">
        <v>1</v>
      </c>
      <c r="C806" s="26" t="s">
        <v>2</v>
      </c>
      <c r="D806" s="27" t="s">
        <v>3</v>
      </c>
      <c r="E806" s="27" t="s">
        <v>4</v>
      </c>
      <c r="F806" s="28" t="s">
        <v>5</v>
      </c>
      <c r="G806" s="28" t="s">
        <v>6</v>
      </c>
      <c r="H806" s="28" t="s">
        <v>7</v>
      </c>
      <c r="I806" s="28">
        <v>50</v>
      </c>
      <c r="J806" s="28" t="s">
        <v>8</v>
      </c>
      <c r="K806" s="26" t="s">
        <v>9</v>
      </c>
    </row>
    <row r="807" spans="2:10">
      <c r="B807" s="4">
        <v>212</v>
      </c>
      <c r="C807" s="4">
        <v>31</v>
      </c>
      <c r="D807" s="33" t="s">
        <v>641</v>
      </c>
      <c r="E807" s="25" t="s">
        <v>53</v>
      </c>
      <c r="F807" s="4">
        <v>18.4</v>
      </c>
      <c r="G807" s="4">
        <v>194</v>
      </c>
      <c r="H807" s="4">
        <v>48</v>
      </c>
      <c r="I807" s="4">
        <v>7.8</v>
      </c>
      <c r="J807" s="4">
        <v>3.11</v>
      </c>
    </row>
    <row r="808" spans="2:10">
      <c r="B808" s="4">
        <v>212</v>
      </c>
      <c r="C808" s="4">
        <v>32</v>
      </c>
      <c r="D808" s="24" t="s">
        <v>642</v>
      </c>
      <c r="E808" s="25" t="s">
        <v>53</v>
      </c>
      <c r="F808" s="4">
        <v>23.5</v>
      </c>
      <c r="G808" s="4">
        <v>171</v>
      </c>
      <c r="H808" s="4">
        <v>48</v>
      </c>
      <c r="I808" s="4">
        <v>8.4</v>
      </c>
      <c r="J808" s="4">
        <v>3.46</v>
      </c>
    </row>
    <row r="809" spans="2:10">
      <c r="B809" s="4">
        <v>212</v>
      </c>
      <c r="C809" s="4">
        <v>33</v>
      </c>
      <c r="D809" s="24" t="s">
        <v>643</v>
      </c>
      <c r="E809" s="25" t="s">
        <v>53</v>
      </c>
      <c r="F809" s="4">
        <v>21.4</v>
      </c>
      <c r="G809" s="4">
        <v>175</v>
      </c>
      <c r="H809" s="4">
        <v>51</v>
      </c>
      <c r="I809" s="4">
        <v>8.5</v>
      </c>
      <c r="J809" s="4">
        <v>3.29</v>
      </c>
    </row>
    <row r="810" spans="2:10">
      <c r="B810" s="4">
        <v>212</v>
      </c>
      <c r="C810" s="4">
        <v>34</v>
      </c>
      <c r="D810" s="24" t="s">
        <v>644</v>
      </c>
      <c r="E810" s="25" t="s">
        <v>53</v>
      </c>
      <c r="F810" s="4">
        <v>15.5</v>
      </c>
      <c r="G810" s="4">
        <v>165</v>
      </c>
      <c r="H810" s="4">
        <v>35</v>
      </c>
      <c r="I810" s="4">
        <v>8.9</v>
      </c>
      <c r="J810" s="4">
        <v>3.38</v>
      </c>
    </row>
    <row r="811" spans="2:10">
      <c r="B811" s="4">
        <v>212</v>
      </c>
      <c r="C811" s="4">
        <v>35</v>
      </c>
      <c r="D811" s="24" t="s">
        <v>645</v>
      </c>
      <c r="E811" s="25" t="s">
        <v>53</v>
      </c>
      <c r="F811" s="4">
        <v>22</v>
      </c>
      <c r="G811" s="4">
        <v>190</v>
      </c>
      <c r="H811" s="4">
        <v>47</v>
      </c>
      <c r="I811" s="4">
        <v>8.5</v>
      </c>
      <c r="J811" s="4">
        <v>4.03</v>
      </c>
    </row>
    <row r="812" spans="2:10">
      <c r="B812" s="4">
        <v>212</v>
      </c>
      <c r="C812" s="4">
        <v>36</v>
      </c>
      <c r="D812" s="24" t="s">
        <v>646</v>
      </c>
      <c r="E812" s="25" t="s">
        <v>53</v>
      </c>
      <c r="F812" s="4">
        <v>23.3</v>
      </c>
      <c r="G812" s="4">
        <v>180</v>
      </c>
      <c r="H812" s="4">
        <v>47</v>
      </c>
      <c r="I812" s="4">
        <v>8.2</v>
      </c>
      <c r="J812" s="4">
        <v>3.33</v>
      </c>
    </row>
    <row r="813" spans="2:10">
      <c r="B813" s="4">
        <v>212</v>
      </c>
      <c r="C813" s="4">
        <v>37</v>
      </c>
      <c r="D813" s="24" t="s">
        <v>647</v>
      </c>
      <c r="E813" s="25" t="s">
        <v>53</v>
      </c>
      <c r="F813" s="4">
        <v>17</v>
      </c>
      <c r="G813" s="4">
        <v>173</v>
      </c>
      <c r="H813" s="4">
        <v>47</v>
      </c>
      <c r="I813" s="4">
        <v>8.6</v>
      </c>
      <c r="J813" s="4">
        <v>3.53</v>
      </c>
    </row>
    <row r="814" spans="2:11">
      <c r="B814" s="4">
        <v>212</v>
      </c>
      <c r="C814" s="4">
        <v>38</v>
      </c>
      <c r="D814" s="24" t="s">
        <v>648</v>
      </c>
      <c r="E814" s="25" t="s">
        <v>53</v>
      </c>
      <c r="I814" s="4">
        <v>8.8</v>
      </c>
      <c r="K814" s="4" t="s">
        <v>617</v>
      </c>
    </row>
    <row r="815" spans="2:10">
      <c r="B815" s="4">
        <v>212</v>
      </c>
      <c r="C815" s="4">
        <v>39</v>
      </c>
      <c r="D815" s="24" t="s">
        <v>649</v>
      </c>
      <c r="E815" s="25" t="s">
        <v>53</v>
      </c>
      <c r="F815" s="4">
        <v>10.5</v>
      </c>
      <c r="G815" s="4">
        <v>145</v>
      </c>
      <c r="H815" s="4">
        <v>53</v>
      </c>
      <c r="I815" s="4">
        <v>8.9</v>
      </c>
      <c r="J815" s="4">
        <v>3.3</v>
      </c>
    </row>
    <row r="816" spans="2:10">
      <c r="B816" s="4">
        <v>212</v>
      </c>
      <c r="C816" s="4">
        <v>40</v>
      </c>
      <c r="D816" s="24" t="s">
        <v>650</v>
      </c>
      <c r="E816" s="25" t="s">
        <v>53</v>
      </c>
      <c r="F816" s="4">
        <v>10.5</v>
      </c>
      <c r="G816" s="4">
        <v>210</v>
      </c>
      <c r="H816" s="4">
        <v>40</v>
      </c>
      <c r="I816" s="4">
        <v>8.3</v>
      </c>
      <c r="J816" s="4">
        <v>4.01</v>
      </c>
    </row>
    <row r="817" spans="2:10">
      <c r="B817" s="4">
        <v>212</v>
      </c>
      <c r="C817" s="4">
        <v>41</v>
      </c>
      <c r="D817" s="24" t="s">
        <v>651</v>
      </c>
      <c r="E817" s="25" t="s">
        <v>53</v>
      </c>
      <c r="F817" s="4">
        <v>11</v>
      </c>
      <c r="G817" s="4">
        <v>165</v>
      </c>
      <c r="H817" s="4">
        <v>42</v>
      </c>
      <c r="I817" s="4">
        <v>9</v>
      </c>
      <c r="J817" s="4">
        <v>3.49</v>
      </c>
    </row>
    <row r="818" spans="4:5">
      <c r="D818" s="24"/>
      <c r="E818" s="25"/>
    </row>
    <row r="819" spans="4:5">
      <c r="D819" s="24"/>
      <c r="E819" s="25"/>
    </row>
    <row r="820" spans="4:5">
      <c r="D820" s="24"/>
      <c r="E820" s="25"/>
    </row>
    <row r="821" spans="4:5">
      <c r="D821" s="24"/>
      <c r="E821" s="25"/>
    </row>
    <row r="822" spans="4:5">
      <c r="D822" s="24"/>
      <c r="E822" s="25"/>
    </row>
    <row r="823" spans="4:5">
      <c r="D823" s="24"/>
      <c r="E823" s="25"/>
    </row>
    <row r="824" spans="4:5">
      <c r="D824" s="24"/>
      <c r="E824" s="25"/>
    </row>
    <row r="825" spans="4:5">
      <c r="D825" s="24"/>
      <c r="E825" s="25"/>
    </row>
    <row r="827" s="1" customFormat="1" spans="1:11">
      <c r="A827" s="33" t="s">
        <v>652</v>
      </c>
      <c r="B827" s="24" t="s">
        <v>1</v>
      </c>
      <c r="C827" s="26" t="s">
        <v>2</v>
      </c>
      <c r="D827" s="27" t="s">
        <v>3</v>
      </c>
      <c r="E827" s="27" t="s">
        <v>4</v>
      </c>
      <c r="F827" s="28" t="s">
        <v>5</v>
      </c>
      <c r="G827" s="28" t="s">
        <v>6</v>
      </c>
      <c r="H827" s="28" t="s">
        <v>7</v>
      </c>
      <c r="I827" s="28">
        <v>50</v>
      </c>
      <c r="J827" s="28" t="s">
        <v>8</v>
      </c>
      <c r="K827" s="26" t="s">
        <v>9</v>
      </c>
    </row>
    <row r="828" spans="2:10">
      <c r="B828" s="4">
        <v>212</v>
      </c>
      <c r="C828" s="4">
        <v>42</v>
      </c>
      <c r="D828" s="33" t="s">
        <v>653</v>
      </c>
      <c r="E828" s="25" t="s">
        <v>53</v>
      </c>
      <c r="F828" s="4">
        <v>23.1</v>
      </c>
      <c r="G828" s="4">
        <v>196</v>
      </c>
      <c r="H828" s="4">
        <v>62</v>
      </c>
      <c r="I828" s="4">
        <v>7.8</v>
      </c>
      <c r="J828" s="4">
        <v>3.35</v>
      </c>
    </row>
    <row r="829" spans="2:10">
      <c r="B829" s="4">
        <v>212</v>
      </c>
      <c r="C829" s="4">
        <v>43</v>
      </c>
      <c r="D829" s="24" t="s">
        <v>654</v>
      </c>
      <c r="E829" s="25" t="s">
        <v>53</v>
      </c>
      <c r="F829" s="4">
        <v>23</v>
      </c>
      <c r="G829" s="4">
        <v>157</v>
      </c>
      <c r="H829" s="4">
        <v>29</v>
      </c>
      <c r="I829" s="4">
        <v>9.3</v>
      </c>
      <c r="J829" s="4">
        <v>4</v>
      </c>
    </row>
    <row r="830" spans="2:11">
      <c r="B830" s="4">
        <v>212</v>
      </c>
      <c r="C830" s="4">
        <v>44</v>
      </c>
      <c r="D830" s="24" t="s">
        <v>655</v>
      </c>
      <c r="E830" s="25" t="s">
        <v>53</v>
      </c>
      <c r="I830" s="4">
        <v>11.1</v>
      </c>
      <c r="K830" s="4" t="s">
        <v>617</v>
      </c>
    </row>
    <row r="831" spans="2:10">
      <c r="B831" s="4">
        <v>212</v>
      </c>
      <c r="C831" s="4">
        <v>45</v>
      </c>
      <c r="D831" s="24" t="s">
        <v>656</v>
      </c>
      <c r="E831" s="25" t="s">
        <v>53</v>
      </c>
      <c r="F831" s="4">
        <v>11.4</v>
      </c>
      <c r="G831" s="4">
        <v>178</v>
      </c>
      <c r="H831" s="4">
        <v>50</v>
      </c>
      <c r="I831" s="4">
        <v>8.6</v>
      </c>
      <c r="J831" s="4">
        <v>3.39</v>
      </c>
    </row>
    <row r="832" spans="2:10">
      <c r="B832" s="4">
        <v>212</v>
      </c>
      <c r="C832" s="4">
        <v>46</v>
      </c>
      <c r="D832" s="24" t="s">
        <v>657</v>
      </c>
      <c r="E832" s="25" t="s">
        <v>53</v>
      </c>
      <c r="F832" s="4">
        <v>11.5</v>
      </c>
      <c r="G832" s="4">
        <v>197</v>
      </c>
      <c r="H832" s="4">
        <v>45</v>
      </c>
      <c r="I832" s="4">
        <v>7.9</v>
      </c>
      <c r="J832" s="4">
        <v>3.26</v>
      </c>
    </row>
    <row r="833" spans="2:9">
      <c r="B833" s="4">
        <v>212</v>
      </c>
      <c r="C833" s="4">
        <v>47</v>
      </c>
      <c r="D833" s="24" t="s">
        <v>658</v>
      </c>
      <c r="E833" s="25" t="s">
        <v>53</v>
      </c>
      <c r="F833" s="4">
        <v>31</v>
      </c>
      <c r="G833" s="4">
        <v>192</v>
      </c>
      <c r="H833" s="4">
        <v>46</v>
      </c>
      <c r="I833" s="4">
        <v>8.8</v>
      </c>
    </row>
    <row r="834" spans="2:11">
      <c r="B834" s="4">
        <v>212</v>
      </c>
      <c r="C834" s="4">
        <v>48</v>
      </c>
      <c r="D834" s="24" t="s">
        <v>659</v>
      </c>
      <c r="E834" s="25" t="s">
        <v>53</v>
      </c>
      <c r="K834" s="4" t="s">
        <v>660</v>
      </c>
    </row>
    <row r="835" spans="2:10">
      <c r="B835" s="4">
        <v>212</v>
      </c>
      <c r="C835" s="4">
        <v>49</v>
      </c>
      <c r="D835" s="24" t="s">
        <v>661</v>
      </c>
      <c r="E835" s="25" t="s">
        <v>53</v>
      </c>
      <c r="F835" s="4">
        <v>15.5</v>
      </c>
      <c r="G835" s="4">
        <v>169</v>
      </c>
      <c r="H835" s="4">
        <v>50</v>
      </c>
      <c r="I835" s="4">
        <v>8.6</v>
      </c>
      <c r="J835" s="4">
        <v>3.28</v>
      </c>
    </row>
    <row r="836" spans="2:10">
      <c r="B836" s="4">
        <v>212</v>
      </c>
      <c r="C836" s="4">
        <v>50</v>
      </c>
      <c r="D836" s="24" t="s">
        <v>662</v>
      </c>
      <c r="E836" s="25" t="s">
        <v>53</v>
      </c>
      <c r="F836" s="4">
        <v>22.5</v>
      </c>
      <c r="G836" s="4">
        <v>169</v>
      </c>
      <c r="H836" s="4">
        <v>45</v>
      </c>
      <c r="I836" s="4">
        <v>8.9</v>
      </c>
      <c r="J836" s="4">
        <v>3.42</v>
      </c>
    </row>
    <row r="837" spans="2:10">
      <c r="B837" s="4">
        <v>212</v>
      </c>
      <c r="C837" s="4">
        <v>51</v>
      </c>
      <c r="D837" s="24" t="s">
        <v>663</v>
      </c>
      <c r="E837" s="25" t="s">
        <v>53</v>
      </c>
      <c r="F837" s="4">
        <v>8.5</v>
      </c>
      <c r="G837" s="4">
        <v>170</v>
      </c>
      <c r="H837" s="4">
        <v>50</v>
      </c>
      <c r="I837" s="4">
        <v>8.9</v>
      </c>
      <c r="J837" s="4">
        <v>3.57</v>
      </c>
    </row>
    <row r="838" spans="2:11">
      <c r="B838" s="4">
        <v>212</v>
      </c>
      <c r="C838" s="4">
        <v>52</v>
      </c>
      <c r="D838" s="24" t="s">
        <v>664</v>
      </c>
      <c r="E838" s="25" t="s">
        <v>53</v>
      </c>
      <c r="K838" s="4" t="s">
        <v>617</v>
      </c>
    </row>
    <row r="841" s="1" customFormat="1" spans="1:11">
      <c r="A841" s="33" t="s">
        <v>665</v>
      </c>
      <c r="B841" s="24" t="s">
        <v>1</v>
      </c>
      <c r="C841" s="26" t="s">
        <v>2</v>
      </c>
      <c r="D841" s="27" t="s">
        <v>3</v>
      </c>
      <c r="E841" s="27" t="s">
        <v>4</v>
      </c>
      <c r="F841" s="28" t="s">
        <v>5</v>
      </c>
      <c r="G841" s="28" t="s">
        <v>6</v>
      </c>
      <c r="H841" s="28" t="s">
        <v>7</v>
      </c>
      <c r="I841" s="28">
        <v>50</v>
      </c>
      <c r="J841" s="28" t="s">
        <v>8</v>
      </c>
      <c r="K841" s="26" t="s">
        <v>9</v>
      </c>
    </row>
    <row r="842" spans="2:10">
      <c r="B842" s="4">
        <v>213</v>
      </c>
      <c r="C842" s="4">
        <v>1</v>
      </c>
      <c r="D842" s="33" t="s">
        <v>666</v>
      </c>
      <c r="E842" s="25" t="s">
        <v>11</v>
      </c>
      <c r="F842" s="4">
        <v>9.2</v>
      </c>
      <c r="G842" s="4">
        <v>255</v>
      </c>
      <c r="H842" s="4">
        <v>5</v>
      </c>
      <c r="I842" s="4">
        <v>6.9</v>
      </c>
      <c r="J842" s="4">
        <v>3.36</v>
      </c>
    </row>
    <row r="843" spans="2:10">
      <c r="B843" s="4">
        <v>213</v>
      </c>
      <c r="C843" s="4">
        <v>2</v>
      </c>
      <c r="D843" s="24" t="s">
        <v>667</v>
      </c>
      <c r="E843" s="25" t="s">
        <v>11</v>
      </c>
      <c r="F843" s="4">
        <v>13.5</v>
      </c>
      <c r="G843" s="4">
        <v>241</v>
      </c>
      <c r="H843" s="4">
        <v>28</v>
      </c>
      <c r="I843" s="4">
        <v>7</v>
      </c>
      <c r="J843" s="4">
        <v>3.06</v>
      </c>
    </row>
    <row r="844" spans="2:10">
      <c r="B844" s="4">
        <v>213</v>
      </c>
      <c r="C844" s="4">
        <v>3</v>
      </c>
      <c r="D844" s="24" t="s">
        <v>668</v>
      </c>
      <c r="E844" s="25" t="s">
        <v>11</v>
      </c>
      <c r="F844" s="4">
        <v>14.5</v>
      </c>
      <c r="G844" s="4">
        <v>224</v>
      </c>
      <c r="H844" s="4">
        <v>0</v>
      </c>
      <c r="I844" s="4">
        <v>7.5</v>
      </c>
      <c r="J844" s="4">
        <v>4.1</v>
      </c>
    </row>
    <row r="845" spans="2:10">
      <c r="B845" s="4">
        <v>213</v>
      </c>
      <c r="C845" s="4">
        <v>4</v>
      </c>
      <c r="D845" s="24" t="s">
        <v>669</v>
      </c>
      <c r="E845" s="25" t="s">
        <v>11</v>
      </c>
      <c r="F845" s="4">
        <v>16.6</v>
      </c>
      <c r="G845" s="4">
        <v>221</v>
      </c>
      <c r="H845" s="4">
        <v>0</v>
      </c>
      <c r="I845" s="4">
        <v>7.7</v>
      </c>
      <c r="J845" s="4">
        <v>3.57</v>
      </c>
    </row>
    <row r="846" spans="2:10">
      <c r="B846" s="4">
        <v>213</v>
      </c>
      <c r="C846" s="4">
        <v>5</v>
      </c>
      <c r="D846" s="24" t="s">
        <v>670</v>
      </c>
      <c r="E846" s="25" t="s">
        <v>11</v>
      </c>
      <c r="F846" s="4">
        <v>16.9</v>
      </c>
      <c r="G846" s="4">
        <v>226</v>
      </c>
      <c r="H846" s="4">
        <v>0</v>
      </c>
      <c r="I846" s="4">
        <v>7.2</v>
      </c>
      <c r="J846" s="4">
        <v>4.15</v>
      </c>
    </row>
    <row r="847" spans="2:10">
      <c r="B847" s="4">
        <v>213</v>
      </c>
      <c r="C847" s="4">
        <v>6</v>
      </c>
      <c r="D847" s="24" t="s">
        <v>671</v>
      </c>
      <c r="E847" s="25" t="s">
        <v>11</v>
      </c>
      <c r="F847" s="4">
        <v>3</v>
      </c>
      <c r="G847" s="4">
        <v>272</v>
      </c>
      <c r="H847" s="4">
        <v>10</v>
      </c>
      <c r="I847" s="4">
        <v>7.2</v>
      </c>
      <c r="J847" s="4">
        <v>3.23</v>
      </c>
    </row>
    <row r="848" spans="2:10">
      <c r="B848" s="4">
        <v>213</v>
      </c>
      <c r="C848" s="4">
        <v>7</v>
      </c>
      <c r="D848" s="24" t="s">
        <v>672</v>
      </c>
      <c r="E848" s="25" t="s">
        <v>11</v>
      </c>
      <c r="F848" s="4">
        <v>10.3</v>
      </c>
      <c r="G848" s="4">
        <v>243</v>
      </c>
      <c r="H848" s="4">
        <v>0</v>
      </c>
      <c r="I848" s="4">
        <v>7.4</v>
      </c>
      <c r="J848" s="4">
        <v>4.27</v>
      </c>
    </row>
    <row r="849" spans="2:10">
      <c r="B849" s="4">
        <v>213</v>
      </c>
      <c r="C849" s="4">
        <v>8</v>
      </c>
      <c r="D849" s="24" t="s">
        <v>673</v>
      </c>
      <c r="E849" s="25" t="s">
        <v>11</v>
      </c>
      <c r="F849" s="4">
        <v>11.4</v>
      </c>
      <c r="G849" s="4">
        <v>157</v>
      </c>
      <c r="H849" s="4">
        <v>0</v>
      </c>
      <c r="I849" s="4">
        <v>8.8</v>
      </c>
      <c r="J849" s="4">
        <v>6.03</v>
      </c>
    </row>
    <row r="850" spans="2:10">
      <c r="B850" s="4">
        <v>213</v>
      </c>
      <c r="C850" s="4">
        <v>9</v>
      </c>
      <c r="D850" s="24" t="s">
        <v>674</v>
      </c>
      <c r="E850" s="25" t="s">
        <v>11</v>
      </c>
      <c r="F850" s="4">
        <v>9.7</v>
      </c>
      <c r="G850" s="4">
        <v>258</v>
      </c>
      <c r="H850" s="4">
        <v>29</v>
      </c>
      <c r="I850" s="4">
        <v>7</v>
      </c>
      <c r="J850" s="4">
        <v>3.46</v>
      </c>
    </row>
    <row r="851" spans="4:5">
      <c r="D851" s="24"/>
      <c r="E851" s="25"/>
    </row>
    <row r="852" spans="4:5">
      <c r="D852" s="24"/>
      <c r="E852" s="25"/>
    </row>
    <row r="853" spans="4:5">
      <c r="D853" s="24"/>
      <c r="E853" s="25"/>
    </row>
    <row r="854" spans="4:5">
      <c r="D854" s="24"/>
      <c r="E854" s="25"/>
    </row>
    <row r="855" spans="4:5">
      <c r="D855" s="24"/>
      <c r="E855" s="25"/>
    </row>
    <row r="856" spans="4:5">
      <c r="D856" s="24"/>
      <c r="E856" s="25"/>
    </row>
    <row r="857" spans="4:5">
      <c r="D857" s="24"/>
      <c r="E857" s="25"/>
    </row>
    <row r="858" spans="4:5">
      <c r="D858" s="24"/>
      <c r="E858" s="25"/>
    </row>
    <row r="859" spans="4:5">
      <c r="D859" s="24"/>
      <c r="E859" s="25"/>
    </row>
    <row r="860" spans="4:5">
      <c r="D860" s="24"/>
      <c r="E860" s="25"/>
    </row>
    <row r="862" s="1" customFormat="1" spans="1:11">
      <c r="A862" s="33" t="s">
        <v>675</v>
      </c>
      <c r="B862" s="24" t="s">
        <v>1</v>
      </c>
      <c r="C862" s="26" t="s">
        <v>2</v>
      </c>
      <c r="D862" s="27" t="s">
        <v>3</v>
      </c>
      <c r="E862" s="27" t="s">
        <v>4</v>
      </c>
      <c r="F862" s="28" t="s">
        <v>5</v>
      </c>
      <c r="G862" s="28" t="s">
        <v>6</v>
      </c>
      <c r="H862" s="28" t="s">
        <v>7</v>
      </c>
      <c r="I862" s="28">
        <v>50</v>
      </c>
      <c r="J862" s="28" t="s">
        <v>8</v>
      </c>
      <c r="K862" s="26" t="s">
        <v>9</v>
      </c>
    </row>
    <row r="863" spans="2:10">
      <c r="B863" s="4">
        <v>213</v>
      </c>
      <c r="C863" s="4">
        <v>10</v>
      </c>
      <c r="D863" s="33" t="s">
        <v>676</v>
      </c>
      <c r="E863" s="25" t="s">
        <v>53</v>
      </c>
      <c r="F863" s="4">
        <v>26.3</v>
      </c>
      <c r="G863" s="4">
        <v>177</v>
      </c>
      <c r="H863" s="4">
        <v>46</v>
      </c>
      <c r="I863" s="4">
        <v>8.5</v>
      </c>
      <c r="J863" s="4">
        <v>3.54</v>
      </c>
    </row>
    <row r="864" spans="2:10">
      <c r="B864" s="4">
        <v>213</v>
      </c>
      <c r="C864" s="4">
        <v>11</v>
      </c>
      <c r="D864" s="24" t="s">
        <v>677</v>
      </c>
      <c r="E864" s="25" t="s">
        <v>53</v>
      </c>
      <c r="F864" s="4">
        <v>18</v>
      </c>
      <c r="G864" s="4">
        <v>196</v>
      </c>
      <c r="H864" s="4">
        <v>46</v>
      </c>
      <c r="I864" s="4">
        <v>8.7</v>
      </c>
      <c r="J864" s="4">
        <v>3.41</v>
      </c>
    </row>
    <row r="865" spans="2:10">
      <c r="B865" s="4">
        <v>213</v>
      </c>
      <c r="C865" s="4">
        <v>12</v>
      </c>
      <c r="D865" s="24" t="s">
        <v>678</v>
      </c>
      <c r="E865" s="25" t="s">
        <v>53</v>
      </c>
      <c r="F865" s="4">
        <v>14.5</v>
      </c>
      <c r="G865" s="4">
        <v>160</v>
      </c>
      <c r="H865" s="4">
        <v>44</v>
      </c>
      <c r="I865" s="4">
        <v>8.4</v>
      </c>
      <c r="J865" s="4">
        <v>3.26</v>
      </c>
    </row>
    <row r="866" spans="2:10">
      <c r="B866" s="4">
        <v>213</v>
      </c>
      <c r="C866" s="4">
        <v>13</v>
      </c>
      <c r="D866" s="24" t="s">
        <v>679</v>
      </c>
      <c r="E866" s="25" t="s">
        <v>53</v>
      </c>
      <c r="F866" s="4">
        <v>20</v>
      </c>
      <c r="G866" s="4">
        <v>180</v>
      </c>
      <c r="H866" s="4">
        <v>48</v>
      </c>
      <c r="I866" s="4">
        <v>9</v>
      </c>
      <c r="J866" s="4">
        <v>3.45</v>
      </c>
    </row>
    <row r="867" spans="2:10">
      <c r="B867" s="4">
        <v>213</v>
      </c>
      <c r="C867" s="4">
        <v>14</v>
      </c>
      <c r="D867" s="24" t="s">
        <v>680</v>
      </c>
      <c r="E867" s="25" t="s">
        <v>53</v>
      </c>
      <c r="F867" s="4">
        <v>16</v>
      </c>
      <c r="G867" s="4">
        <v>184</v>
      </c>
      <c r="H867" s="4">
        <v>42</v>
      </c>
      <c r="I867" s="4">
        <v>8.8</v>
      </c>
      <c r="J867" s="4">
        <v>3.38</v>
      </c>
    </row>
    <row r="868" spans="2:5">
      <c r="B868" s="4">
        <v>213</v>
      </c>
      <c r="C868" s="4">
        <v>15</v>
      </c>
      <c r="D868" s="24" t="s">
        <v>681</v>
      </c>
      <c r="E868" s="25" t="s">
        <v>53</v>
      </c>
    </row>
    <row r="869" spans="2:10">
      <c r="B869" s="4">
        <v>213</v>
      </c>
      <c r="C869" s="4">
        <v>16</v>
      </c>
      <c r="D869" s="24" t="s">
        <v>682</v>
      </c>
      <c r="E869" s="25" t="s">
        <v>53</v>
      </c>
      <c r="F869" s="4">
        <v>26</v>
      </c>
      <c r="G869" s="4">
        <v>164</v>
      </c>
      <c r="H869" s="4">
        <v>54</v>
      </c>
      <c r="I869" s="4">
        <v>8.6</v>
      </c>
      <c r="J869" s="4">
        <v>3.37</v>
      </c>
    </row>
    <row r="870" spans="2:10">
      <c r="B870" s="4">
        <v>213</v>
      </c>
      <c r="C870" s="4">
        <v>17</v>
      </c>
      <c r="D870" s="24" t="s">
        <v>683</v>
      </c>
      <c r="E870" s="25" t="s">
        <v>53</v>
      </c>
      <c r="F870" s="4">
        <v>12</v>
      </c>
      <c r="G870" s="4">
        <v>145</v>
      </c>
      <c r="H870" s="4">
        <v>59</v>
      </c>
      <c r="I870" s="4">
        <v>9.9</v>
      </c>
      <c r="J870" s="4">
        <v>3.57</v>
      </c>
    </row>
    <row r="871" spans="2:10">
      <c r="B871" s="4">
        <v>213</v>
      </c>
      <c r="C871" s="4">
        <v>18</v>
      </c>
      <c r="D871" s="24" t="s">
        <v>684</v>
      </c>
      <c r="E871" s="25" t="s">
        <v>53</v>
      </c>
      <c r="F871" s="4">
        <v>10</v>
      </c>
      <c r="G871" s="4">
        <v>212</v>
      </c>
      <c r="H871" s="4">
        <v>55</v>
      </c>
      <c r="I871" s="4">
        <v>8.8</v>
      </c>
      <c r="J871" s="4">
        <v>3.4</v>
      </c>
    </row>
    <row r="872" spans="2:10">
      <c r="B872" s="4">
        <v>213</v>
      </c>
      <c r="C872" s="4">
        <v>19</v>
      </c>
      <c r="D872" s="24" t="s">
        <v>685</v>
      </c>
      <c r="E872" s="25" t="s">
        <v>53</v>
      </c>
      <c r="F872" s="4">
        <v>14</v>
      </c>
      <c r="G872" s="4">
        <v>175</v>
      </c>
      <c r="H872" s="4">
        <v>41</v>
      </c>
      <c r="I872" s="4">
        <v>8.7</v>
      </c>
      <c r="J872" s="4">
        <v>4.23</v>
      </c>
    </row>
    <row r="873" spans="2:10">
      <c r="B873" s="4">
        <v>213</v>
      </c>
      <c r="C873" s="4">
        <v>20</v>
      </c>
      <c r="D873" s="24" t="s">
        <v>686</v>
      </c>
      <c r="E873" s="25" t="s">
        <v>53</v>
      </c>
      <c r="F873" s="4">
        <v>20</v>
      </c>
      <c r="G873" s="4">
        <v>182</v>
      </c>
      <c r="H873" s="4">
        <v>43</v>
      </c>
      <c r="I873" s="4">
        <v>8.5</v>
      </c>
      <c r="J873" s="4">
        <v>3.52</v>
      </c>
    </row>
    <row r="874" spans="2:10">
      <c r="B874" s="4">
        <v>213</v>
      </c>
      <c r="C874" s="4">
        <v>21</v>
      </c>
      <c r="D874" s="24" t="s">
        <v>687</v>
      </c>
      <c r="E874" s="25" t="s">
        <v>53</v>
      </c>
      <c r="F874" s="4">
        <v>14.3</v>
      </c>
      <c r="G874" s="4">
        <v>176</v>
      </c>
      <c r="H874" s="4">
        <v>41</v>
      </c>
      <c r="I874" s="4">
        <v>8.8</v>
      </c>
      <c r="J874" s="4">
        <v>3.53</v>
      </c>
    </row>
    <row r="876" s="1" customFormat="1" spans="1:11">
      <c r="A876" s="33" t="s">
        <v>688</v>
      </c>
      <c r="B876" s="24" t="s">
        <v>1</v>
      </c>
      <c r="C876" s="26" t="s">
        <v>2</v>
      </c>
      <c r="D876" s="27" t="s">
        <v>3</v>
      </c>
      <c r="E876" s="27" t="s">
        <v>4</v>
      </c>
      <c r="F876" s="28" t="s">
        <v>5</v>
      </c>
      <c r="G876" s="28" t="s">
        <v>6</v>
      </c>
      <c r="H876" s="28" t="s">
        <v>7</v>
      </c>
      <c r="I876" s="28">
        <v>50</v>
      </c>
      <c r="J876" s="28" t="s">
        <v>8</v>
      </c>
      <c r="K876" s="26" t="s">
        <v>9</v>
      </c>
    </row>
    <row r="877" spans="2:11">
      <c r="B877" s="4">
        <v>213</v>
      </c>
      <c r="C877" s="4">
        <v>22</v>
      </c>
      <c r="D877" s="33" t="s">
        <v>689</v>
      </c>
      <c r="E877" s="25" t="s">
        <v>53</v>
      </c>
      <c r="K877" s="4" t="s">
        <v>617</v>
      </c>
    </row>
    <row r="878" spans="2:10">
      <c r="B878" s="4">
        <v>213</v>
      </c>
      <c r="C878" s="4">
        <v>23</v>
      </c>
      <c r="D878" s="24" t="s">
        <v>690</v>
      </c>
      <c r="E878" s="25" t="s">
        <v>53</v>
      </c>
      <c r="F878" s="4">
        <v>6.5</v>
      </c>
      <c r="G878" s="4">
        <v>170</v>
      </c>
      <c r="H878" s="4">
        <v>38</v>
      </c>
      <c r="I878" s="4">
        <v>8.8</v>
      </c>
      <c r="J878" s="4">
        <v>3.45</v>
      </c>
    </row>
    <row r="879" spans="2:10">
      <c r="B879" s="4">
        <v>213</v>
      </c>
      <c r="C879" s="4">
        <v>24</v>
      </c>
      <c r="D879" s="24" t="s">
        <v>691</v>
      </c>
      <c r="E879" s="25" t="s">
        <v>53</v>
      </c>
      <c r="F879" s="4">
        <v>9.9</v>
      </c>
      <c r="G879" s="4">
        <v>185</v>
      </c>
      <c r="H879" s="4">
        <v>38</v>
      </c>
      <c r="I879" s="4">
        <v>7.9</v>
      </c>
      <c r="J879" s="4">
        <v>3.34</v>
      </c>
    </row>
    <row r="880" spans="2:10">
      <c r="B880" s="4">
        <v>213</v>
      </c>
      <c r="C880" s="4">
        <v>25</v>
      </c>
      <c r="D880" s="24" t="s">
        <v>692</v>
      </c>
      <c r="E880" s="25" t="s">
        <v>53</v>
      </c>
      <c r="F880" s="4">
        <v>18.5</v>
      </c>
      <c r="G880" s="4">
        <v>169</v>
      </c>
      <c r="H880" s="4">
        <v>54</v>
      </c>
      <c r="I880" s="4">
        <v>8.9</v>
      </c>
      <c r="J880" s="4">
        <v>4.52</v>
      </c>
    </row>
    <row r="881" spans="2:10">
      <c r="B881" s="4">
        <v>213</v>
      </c>
      <c r="C881" s="4">
        <v>26</v>
      </c>
      <c r="D881" s="24" t="s">
        <v>693</v>
      </c>
      <c r="E881" s="25" t="s">
        <v>53</v>
      </c>
      <c r="F881" s="4">
        <v>11.5</v>
      </c>
      <c r="G881" s="4">
        <v>156</v>
      </c>
      <c r="H881" s="4">
        <v>60</v>
      </c>
      <c r="I881" s="4">
        <v>9.1</v>
      </c>
      <c r="J881" s="4">
        <v>3.54</v>
      </c>
    </row>
    <row r="882" spans="2:11">
      <c r="B882" s="4">
        <v>213</v>
      </c>
      <c r="C882" s="4">
        <v>27</v>
      </c>
      <c r="D882" s="24" t="s">
        <v>694</v>
      </c>
      <c r="E882" s="25" t="s">
        <v>53</v>
      </c>
      <c r="K882" s="4" t="s">
        <v>617</v>
      </c>
    </row>
    <row r="883" spans="2:10">
      <c r="B883" s="4">
        <v>213</v>
      </c>
      <c r="C883" s="4">
        <v>28</v>
      </c>
      <c r="D883" s="24" t="s">
        <v>695</v>
      </c>
      <c r="E883" s="25" t="s">
        <v>53</v>
      </c>
      <c r="F883" s="4">
        <v>22.5</v>
      </c>
      <c r="G883" s="4">
        <v>200</v>
      </c>
      <c r="H883" s="4">
        <v>25</v>
      </c>
      <c r="I883" s="4">
        <v>8.3</v>
      </c>
      <c r="J883" s="4">
        <v>3.39</v>
      </c>
    </row>
    <row r="884" spans="2:10">
      <c r="B884" s="4">
        <v>213</v>
      </c>
      <c r="C884" s="4">
        <v>29</v>
      </c>
      <c r="D884" s="24" t="s">
        <v>696</v>
      </c>
      <c r="E884" s="25" t="s">
        <v>53</v>
      </c>
      <c r="F884" s="4">
        <v>13.5</v>
      </c>
      <c r="G884" s="4">
        <v>170</v>
      </c>
      <c r="H884" s="4">
        <v>50</v>
      </c>
      <c r="I884" s="4">
        <v>8.6</v>
      </c>
      <c r="J884" s="4">
        <v>3.25</v>
      </c>
    </row>
    <row r="885" spans="2:10">
      <c r="B885" s="4">
        <v>213</v>
      </c>
      <c r="C885" s="4">
        <v>30</v>
      </c>
      <c r="D885" s="24" t="s">
        <v>697</v>
      </c>
      <c r="E885" s="25" t="s">
        <v>53</v>
      </c>
      <c r="F885" s="4">
        <v>23.2</v>
      </c>
      <c r="G885" s="4">
        <v>180</v>
      </c>
      <c r="H885" s="4">
        <v>51</v>
      </c>
      <c r="I885" s="4">
        <v>7.6</v>
      </c>
      <c r="J885" s="4">
        <v>3.13</v>
      </c>
    </row>
    <row r="886" spans="2:10">
      <c r="B886" s="4">
        <v>213</v>
      </c>
      <c r="C886" s="4">
        <v>31</v>
      </c>
      <c r="D886" s="24" t="s">
        <v>698</v>
      </c>
      <c r="E886" s="25" t="s">
        <v>53</v>
      </c>
      <c r="F886" s="4">
        <v>19</v>
      </c>
      <c r="G886" s="4">
        <v>206</v>
      </c>
      <c r="H886" s="4">
        <v>55</v>
      </c>
      <c r="I886" s="4">
        <v>8.1</v>
      </c>
      <c r="J886" s="4">
        <v>3.21</v>
      </c>
    </row>
    <row r="887" spans="2:10">
      <c r="B887" s="4">
        <v>213</v>
      </c>
      <c r="C887" s="4">
        <v>32</v>
      </c>
      <c r="D887" s="24" t="s">
        <v>699</v>
      </c>
      <c r="E887" s="25" t="s">
        <v>53</v>
      </c>
      <c r="F887" s="4">
        <v>14.2</v>
      </c>
      <c r="G887" s="4">
        <v>185</v>
      </c>
      <c r="H887" s="4">
        <v>40</v>
      </c>
      <c r="I887" s="4">
        <v>8.7</v>
      </c>
      <c r="J887" s="4">
        <v>3.48</v>
      </c>
    </row>
    <row r="888" spans="2:11">
      <c r="B888" s="4">
        <v>213</v>
      </c>
      <c r="C888" s="4">
        <v>33</v>
      </c>
      <c r="D888" s="24" t="s">
        <v>700</v>
      </c>
      <c r="E888" s="25" t="s">
        <v>53</v>
      </c>
      <c r="K888" s="4" t="s">
        <v>617</v>
      </c>
    </row>
    <row r="889" spans="4:5">
      <c r="D889" s="24"/>
      <c r="E889" s="25"/>
    </row>
    <row r="890" spans="4:5">
      <c r="D890" s="24"/>
      <c r="E890" s="25"/>
    </row>
    <row r="891" spans="4:5">
      <c r="D891" s="24"/>
      <c r="E891" s="25"/>
    </row>
    <row r="892" spans="4:5">
      <c r="D892" s="24"/>
      <c r="E892" s="25"/>
    </row>
    <row r="893" spans="4:5">
      <c r="D893" s="24"/>
      <c r="E893" s="25"/>
    </row>
    <row r="894" spans="4:5">
      <c r="D894" s="24"/>
      <c r="E894" s="25"/>
    </row>
    <row r="895" spans="4:5">
      <c r="D895" s="24"/>
      <c r="E895" s="25"/>
    </row>
    <row r="897" s="1" customFormat="1" spans="1:11">
      <c r="A897" s="33" t="s">
        <v>701</v>
      </c>
      <c r="B897" s="24" t="s">
        <v>1</v>
      </c>
      <c r="C897" s="26" t="s">
        <v>2</v>
      </c>
      <c r="D897" s="27" t="s">
        <v>3</v>
      </c>
      <c r="E897" s="27" t="s">
        <v>4</v>
      </c>
      <c r="F897" s="28" t="s">
        <v>5</v>
      </c>
      <c r="G897" s="28" t="s">
        <v>6</v>
      </c>
      <c r="H897" s="28" t="s">
        <v>7</v>
      </c>
      <c r="I897" s="28">
        <v>50</v>
      </c>
      <c r="J897" s="28" t="s">
        <v>8</v>
      </c>
      <c r="K897" s="26" t="s">
        <v>9</v>
      </c>
    </row>
    <row r="898" spans="2:10">
      <c r="B898" s="4">
        <v>213</v>
      </c>
      <c r="C898" s="4">
        <v>34</v>
      </c>
      <c r="D898" s="33" t="s">
        <v>702</v>
      </c>
      <c r="E898" s="25" t="s">
        <v>53</v>
      </c>
      <c r="F898" s="4">
        <v>21.4</v>
      </c>
      <c r="G898" s="4">
        <v>167</v>
      </c>
      <c r="H898" s="4">
        <v>53</v>
      </c>
      <c r="I898" s="4">
        <v>9.4</v>
      </c>
      <c r="J898" s="4">
        <v>3.32</v>
      </c>
    </row>
    <row r="899" spans="2:10">
      <c r="B899" s="4">
        <v>213</v>
      </c>
      <c r="C899" s="4">
        <v>35</v>
      </c>
      <c r="D899" s="24" t="s">
        <v>703</v>
      </c>
      <c r="E899" s="25" t="s">
        <v>53</v>
      </c>
      <c r="F899" s="4">
        <v>12.4</v>
      </c>
      <c r="G899" s="4">
        <v>215</v>
      </c>
      <c r="H899" s="4">
        <v>55</v>
      </c>
      <c r="I899" s="4">
        <v>7.9</v>
      </c>
      <c r="J899" s="4">
        <v>3.13</v>
      </c>
    </row>
    <row r="900" spans="2:10">
      <c r="B900" s="4">
        <v>213</v>
      </c>
      <c r="C900" s="4">
        <v>36</v>
      </c>
      <c r="D900" s="24" t="s">
        <v>704</v>
      </c>
      <c r="E900" s="25" t="s">
        <v>53</v>
      </c>
      <c r="F900" s="4">
        <v>20.5</v>
      </c>
      <c r="G900" s="4">
        <v>202</v>
      </c>
      <c r="H900" s="4">
        <v>46</v>
      </c>
      <c r="I900" s="4">
        <v>8</v>
      </c>
      <c r="J900" s="4">
        <v>3.14</v>
      </c>
    </row>
    <row r="901" spans="2:10">
      <c r="B901" s="4">
        <v>213</v>
      </c>
      <c r="C901" s="4">
        <v>37</v>
      </c>
      <c r="D901" s="24" t="s">
        <v>705</v>
      </c>
      <c r="E901" s="25" t="s">
        <v>53</v>
      </c>
      <c r="F901" s="4">
        <v>26</v>
      </c>
      <c r="G901" s="4">
        <v>146</v>
      </c>
      <c r="H901" s="4">
        <v>42</v>
      </c>
      <c r="I901" s="4">
        <v>9.7</v>
      </c>
      <c r="J901" s="4">
        <v>3.44</v>
      </c>
    </row>
    <row r="902" spans="2:11">
      <c r="B902" s="4">
        <v>213</v>
      </c>
      <c r="C902" s="4">
        <v>38</v>
      </c>
      <c r="D902" s="24" t="s">
        <v>706</v>
      </c>
      <c r="E902" s="25" t="s">
        <v>53</v>
      </c>
      <c r="K902" s="4" t="s">
        <v>617</v>
      </c>
    </row>
    <row r="903" spans="2:10">
      <c r="B903" s="4">
        <v>213</v>
      </c>
      <c r="C903" s="4">
        <v>39</v>
      </c>
      <c r="D903" s="24" t="s">
        <v>707</v>
      </c>
      <c r="E903" s="25" t="s">
        <v>53</v>
      </c>
      <c r="F903" s="4">
        <v>17.7</v>
      </c>
      <c r="G903" s="4">
        <v>200</v>
      </c>
      <c r="H903" s="4">
        <v>49</v>
      </c>
      <c r="I903" s="4">
        <v>7.9</v>
      </c>
      <c r="J903" s="4">
        <v>3.2</v>
      </c>
    </row>
    <row r="904" spans="2:10">
      <c r="B904" s="4">
        <v>213</v>
      </c>
      <c r="C904" s="4">
        <v>40</v>
      </c>
      <c r="D904" s="24" t="s">
        <v>708</v>
      </c>
      <c r="E904" s="25" t="s">
        <v>53</v>
      </c>
      <c r="F904" s="4">
        <v>23</v>
      </c>
      <c r="G904" s="4">
        <v>160</v>
      </c>
      <c r="H904" s="4">
        <v>47</v>
      </c>
      <c r="I904" s="4">
        <v>8.9</v>
      </c>
      <c r="J904" s="4">
        <v>4.21</v>
      </c>
    </row>
    <row r="905" spans="2:11">
      <c r="B905" s="4">
        <v>213</v>
      </c>
      <c r="C905" s="4">
        <v>41</v>
      </c>
      <c r="D905" s="24" t="s">
        <v>709</v>
      </c>
      <c r="E905" s="25" t="s">
        <v>53</v>
      </c>
      <c r="K905" s="4" t="s">
        <v>617</v>
      </c>
    </row>
    <row r="906" spans="2:10">
      <c r="B906" s="4">
        <v>213</v>
      </c>
      <c r="C906" s="4">
        <v>42</v>
      </c>
      <c r="D906" s="24" t="s">
        <v>710</v>
      </c>
      <c r="E906" s="25" t="s">
        <v>53</v>
      </c>
      <c r="F906" s="4">
        <v>9.1</v>
      </c>
      <c r="G906" s="4">
        <v>175</v>
      </c>
      <c r="H906" s="4">
        <v>49</v>
      </c>
      <c r="I906" s="4">
        <v>8.6</v>
      </c>
      <c r="J906" s="4">
        <v>3.5</v>
      </c>
    </row>
    <row r="907" spans="2:11">
      <c r="B907" s="4">
        <v>213</v>
      </c>
      <c r="C907" s="4">
        <v>43</v>
      </c>
      <c r="D907" s="24" t="s">
        <v>711</v>
      </c>
      <c r="E907" s="25" t="s">
        <v>53</v>
      </c>
      <c r="K907" s="4" t="s">
        <v>617</v>
      </c>
    </row>
    <row r="908" spans="2:10">
      <c r="B908" s="4">
        <v>213</v>
      </c>
      <c r="C908" s="4">
        <v>44</v>
      </c>
      <c r="D908" s="24" t="s">
        <v>712</v>
      </c>
      <c r="E908" s="25" t="s">
        <v>53</v>
      </c>
      <c r="F908" s="4">
        <v>23</v>
      </c>
      <c r="G908" s="4">
        <v>154</v>
      </c>
      <c r="H908" s="4">
        <v>39</v>
      </c>
      <c r="I908" s="4">
        <v>10.2</v>
      </c>
      <c r="J908" s="4">
        <v>5.03</v>
      </c>
    </row>
    <row r="909" spans="2:10">
      <c r="B909" s="4">
        <v>213</v>
      </c>
      <c r="C909" s="4">
        <v>45</v>
      </c>
      <c r="D909" s="24" t="s">
        <v>713</v>
      </c>
      <c r="E909" s="25" t="s">
        <v>53</v>
      </c>
      <c r="F909" s="4">
        <v>16.8</v>
      </c>
      <c r="G909" s="4">
        <v>180</v>
      </c>
      <c r="H909" s="4">
        <v>52</v>
      </c>
      <c r="I909" s="4">
        <v>9.4</v>
      </c>
      <c r="J909" s="4">
        <v>3.32</v>
      </c>
    </row>
    <row r="911" s="1" customFormat="1" spans="1:11">
      <c r="A911" s="33" t="s">
        <v>714</v>
      </c>
      <c r="B911" s="24" t="s">
        <v>1</v>
      </c>
      <c r="C911" s="26" t="s">
        <v>2</v>
      </c>
      <c r="D911" s="27" t="s">
        <v>3</v>
      </c>
      <c r="E911" s="27" t="s">
        <v>4</v>
      </c>
      <c r="F911" s="28" t="s">
        <v>5</v>
      </c>
      <c r="G911" s="28" t="s">
        <v>6</v>
      </c>
      <c r="H911" s="28" t="s">
        <v>7</v>
      </c>
      <c r="I911" s="28">
        <v>50</v>
      </c>
      <c r="J911" s="28" t="s">
        <v>8</v>
      </c>
      <c r="K911" s="26" t="s">
        <v>9</v>
      </c>
    </row>
    <row r="912" spans="2:10">
      <c r="B912" s="4">
        <v>213</v>
      </c>
      <c r="C912" s="4">
        <v>46</v>
      </c>
      <c r="D912" s="33" t="s">
        <v>715</v>
      </c>
      <c r="E912" s="25" t="s">
        <v>53</v>
      </c>
      <c r="F912" s="4">
        <v>17</v>
      </c>
      <c r="G912" s="4">
        <v>175</v>
      </c>
      <c r="H912" s="4">
        <v>50</v>
      </c>
      <c r="I912" s="4">
        <v>8.4</v>
      </c>
      <c r="J912" s="4">
        <v>3.37</v>
      </c>
    </row>
    <row r="913" spans="2:10">
      <c r="B913" s="4">
        <v>213</v>
      </c>
      <c r="C913" s="4">
        <v>47</v>
      </c>
      <c r="D913" s="24" t="s">
        <v>716</v>
      </c>
      <c r="E913" s="25" t="s">
        <v>53</v>
      </c>
      <c r="F913" s="4">
        <v>16.5</v>
      </c>
      <c r="G913" s="4">
        <v>170</v>
      </c>
      <c r="H913" s="4">
        <v>46</v>
      </c>
      <c r="I913" s="4">
        <v>8.7</v>
      </c>
      <c r="J913" s="4">
        <v>4</v>
      </c>
    </row>
    <row r="914" spans="2:10">
      <c r="B914" s="4">
        <v>213</v>
      </c>
      <c r="C914" s="4">
        <v>48</v>
      </c>
      <c r="D914" s="24" t="s">
        <v>717</v>
      </c>
      <c r="E914" s="25" t="s">
        <v>53</v>
      </c>
      <c r="F914" s="4">
        <v>31.5</v>
      </c>
      <c r="G914" s="4">
        <v>193</v>
      </c>
      <c r="H914" s="4">
        <v>49</v>
      </c>
      <c r="I914" s="4">
        <v>8.6</v>
      </c>
      <c r="J914" s="4">
        <v>3.31</v>
      </c>
    </row>
    <row r="915" spans="2:5">
      <c r="B915" s="4">
        <v>213</v>
      </c>
      <c r="C915" s="4">
        <v>49</v>
      </c>
      <c r="D915" s="24" t="s">
        <v>718</v>
      </c>
      <c r="E915" s="25" t="s">
        <v>53</v>
      </c>
    </row>
    <row r="916" spans="2:10">
      <c r="B916" s="4">
        <v>213</v>
      </c>
      <c r="C916" s="4">
        <v>50</v>
      </c>
      <c r="D916" s="24" t="s">
        <v>719</v>
      </c>
      <c r="E916" s="25" t="s">
        <v>53</v>
      </c>
      <c r="F916" s="4">
        <v>15.6</v>
      </c>
      <c r="G916" s="4">
        <v>175</v>
      </c>
      <c r="H916" s="4">
        <v>46</v>
      </c>
      <c r="I916" s="4">
        <v>8.7</v>
      </c>
      <c r="J916" s="4">
        <v>4.01</v>
      </c>
    </row>
    <row r="917" spans="2:10">
      <c r="B917" s="4">
        <v>213</v>
      </c>
      <c r="C917" s="4">
        <v>51</v>
      </c>
      <c r="D917" s="24" t="s">
        <v>720</v>
      </c>
      <c r="E917" s="25" t="s">
        <v>53</v>
      </c>
      <c r="F917" s="4">
        <v>26.5</v>
      </c>
      <c r="G917" s="4">
        <v>180</v>
      </c>
      <c r="H917" s="4">
        <v>48</v>
      </c>
      <c r="I917" s="4">
        <v>8.8</v>
      </c>
      <c r="J917" s="4">
        <v>3.24</v>
      </c>
    </row>
    <row r="918" spans="2:10">
      <c r="B918" s="4">
        <v>213</v>
      </c>
      <c r="C918" s="4">
        <v>52</v>
      </c>
      <c r="D918" s="24" t="s">
        <v>721</v>
      </c>
      <c r="E918" s="25" t="s">
        <v>53</v>
      </c>
      <c r="F918" s="4">
        <v>19.7</v>
      </c>
      <c r="G918" s="4">
        <v>203</v>
      </c>
      <c r="H918" s="4">
        <v>57</v>
      </c>
      <c r="J918" s="4">
        <v>4</v>
      </c>
    </row>
    <row r="919" spans="2:10">
      <c r="B919" s="4">
        <v>213</v>
      </c>
      <c r="C919" s="4">
        <v>53</v>
      </c>
      <c r="D919" s="24" t="s">
        <v>722</v>
      </c>
      <c r="E919" s="25" t="s">
        <v>53</v>
      </c>
      <c r="F919" s="4">
        <v>11.2</v>
      </c>
      <c r="G919" s="4">
        <v>197</v>
      </c>
      <c r="H919" s="4">
        <v>50</v>
      </c>
      <c r="I919" s="4">
        <v>8.2</v>
      </c>
      <c r="J919" s="4">
        <v>3.26</v>
      </c>
    </row>
    <row r="920" spans="2:10">
      <c r="B920" s="4">
        <v>213</v>
      </c>
      <c r="C920" s="4">
        <v>54</v>
      </c>
      <c r="D920" s="24" t="s">
        <v>723</v>
      </c>
      <c r="E920" s="25" t="s">
        <v>53</v>
      </c>
      <c r="F920" s="4">
        <v>8.6</v>
      </c>
      <c r="G920" s="4">
        <v>190</v>
      </c>
      <c r="H920" s="4">
        <v>49</v>
      </c>
      <c r="I920" s="4">
        <v>7.9</v>
      </c>
      <c r="J920" s="4">
        <v>3.29</v>
      </c>
    </row>
    <row r="921" spans="2:10">
      <c r="B921" s="4">
        <v>213</v>
      </c>
      <c r="C921" s="4">
        <v>55</v>
      </c>
      <c r="D921" s="24" t="s">
        <v>724</v>
      </c>
      <c r="E921" s="25" t="s">
        <v>53</v>
      </c>
      <c r="F921" s="4">
        <v>19.5</v>
      </c>
      <c r="G921" s="4">
        <v>190</v>
      </c>
      <c r="H921" s="4">
        <v>49</v>
      </c>
      <c r="I921" s="4">
        <v>8.7</v>
      </c>
      <c r="J921" s="4">
        <v>3.3</v>
      </c>
    </row>
    <row r="922" spans="2:10">
      <c r="B922" s="4">
        <v>213</v>
      </c>
      <c r="C922" s="4">
        <v>56</v>
      </c>
      <c r="D922" s="24" t="s">
        <v>725</v>
      </c>
      <c r="E922" s="25" t="s">
        <v>53</v>
      </c>
      <c r="F922" s="4">
        <v>26</v>
      </c>
      <c r="G922" s="4">
        <v>202</v>
      </c>
      <c r="H922" s="4">
        <v>52</v>
      </c>
      <c r="I922" s="4">
        <v>8.7</v>
      </c>
      <c r="J922" s="4">
        <v>3.16</v>
      </c>
    </row>
    <row r="931" s="1" customFormat="1" spans="1:11">
      <c r="A931" s="33" t="s">
        <v>726</v>
      </c>
      <c r="B931" s="24" t="s">
        <v>1</v>
      </c>
      <c r="C931" s="26" t="s">
        <v>2</v>
      </c>
      <c r="D931" s="27" t="s">
        <v>3</v>
      </c>
      <c r="E931" s="27" t="s">
        <v>4</v>
      </c>
      <c r="F931" s="28" t="s">
        <v>5</v>
      </c>
      <c r="G931" s="28" t="s">
        <v>6</v>
      </c>
      <c r="H931" s="28" t="s">
        <v>7</v>
      </c>
      <c r="I931" s="28">
        <v>50</v>
      </c>
      <c r="J931" s="28" t="s">
        <v>8</v>
      </c>
      <c r="K931" s="26" t="s">
        <v>9</v>
      </c>
    </row>
    <row r="932" spans="2:10">
      <c r="B932" s="4">
        <v>214</v>
      </c>
      <c r="C932" s="4">
        <v>1</v>
      </c>
      <c r="D932" s="33" t="s">
        <v>727</v>
      </c>
      <c r="E932" s="25" t="s">
        <v>11</v>
      </c>
      <c r="F932" s="4">
        <v>9.7</v>
      </c>
      <c r="G932" s="4">
        <v>226</v>
      </c>
      <c r="H932" s="4">
        <v>4</v>
      </c>
      <c r="I932" s="4">
        <v>7</v>
      </c>
      <c r="J932" s="4">
        <v>3.28</v>
      </c>
    </row>
    <row r="933" spans="2:10">
      <c r="B933" s="4">
        <v>214</v>
      </c>
      <c r="C933" s="4">
        <v>2</v>
      </c>
      <c r="D933" s="24" t="s">
        <v>728</v>
      </c>
      <c r="E933" s="25" t="s">
        <v>11</v>
      </c>
      <c r="F933" s="4">
        <v>15.5</v>
      </c>
      <c r="G933" s="4">
        <v>230</v>
      </c>
      <c r="H933" s="4">
        <v>14</v>
      </c>
      <c r="I933" s="4">
        <v>7.5</v>
      </c>
      <c r="J933" s="4">
        <v>3.32</v>
      </c>
    </row>
    <row r="934" spans="2:5">
      <c r="B934" s="4">
        <v>214</v>
      </c>
      <c r="C934" s="4">
        <v>3</v>
      </c>
      <c r="D934" s="24" t="s">
        <v>729</v>
      </c>
      <c r="E934" s="25" t="s">
        <v>11</v>
      </c>
    </row>
    <row r="935" spans="2:10">
      <c r="B935" s="4">
        <v>214</v>
      </c>
      <c r="C935" s="4">
        <v>4</v>
      </c>
      <c r="D935" s="24" t="s">
        <v>730</v>
      </c>
      <c r="E935" s="25" t="s">
        <v>11</v>
      </c>
      <c r="F935" s="4">
        <v>6.1</v>
      </c>
      <c r="G935" s="4">
        <v>185</v>
      </c>
      <c r="H935" s="4">
        <v>13</v>
      </c>
      <c r="I935" s="4">
        <v>7.8</v>
      </c>
      <c r="J935" s="4">
        <v>3.5</v>
      </c>
    </row>
    <row r="936" spans="2:10">
      <c r="B936" s="4">
        <v>214</v>
      </c>
      <c r="C936" s="4">
        <v>5</v>
      </c>
      <c r="D936" s="24" t="s">
        <v>731</v>
      </c>
      <c r="E936" s="25" t="s">
        <v>11</v>
      </c>
      <c r="F936" s="4">
        <v>18.3</v>
      </c>
      <c r="G936" s="4">
        <v>205</v>
      </c>
      <c r="H936" s="4">
        <v>1</v>
      </c>
      <c r="I936" s="4">
        <v>6.8</v>
      </c>
      <c r="J936" s="4">
        <v>3.44</v>
      </c>
    </row>
    <row r="937" spans="2:10">
      <c r="B937" s="4">
        <v>214</v>
      </c>
      <c r="C937" s="4">
        <v>6</v>
      </c>
      <c r="D937" s="24" t="s">
        <v>732</v>
      </c>
      <c r="E937" s="25" t="s">
        <v>11</v>
      </c>
      <c r="F937" s="4">
        <v>3.7</v>
      </c>
      <c r="G937" s="4">
        <v>211</v>
      </c>
      <c r="H937" s="4">
        <v>10</v>
      </c>
      <c r="I937" s="4">
        <v>8</v>
      </c>
      <c r="J937" s="4">
        <v>4.26</v>
      </c>
    </row>
    <row r="938" spans="2:10">
      <c r="B938" s="4">
        <v>214</v>
      </c>
      <c r="C938" s="4">
        <v>7</v>
      </c>
      <c r="D938" s="24" t="s">
        <v>733</v>
      </c>
      <c r="E938" s="25" t="s">
        <v>11</v>
      </c>
      <c r="F938" s="4">
        <v>12.7</v>
      </c>
      <c r="G938" s="4">
        <v>202</v>
      </c>
      <c r="H938" s="4">
        <v>16</v>
      </c>
      <c r="I938" s="4">
        <v>7.5</v>
      </c>
      <c r="J938" s="4">
        <v>3.54</v>
      </c>
    </row>
    <row r="939" spans="2:10">
      <c r="B939" s="4">
        <v>214</v>
      </c>
      <c r="C939" s="4">
        <v>8</v>
      </c>
      <c r="D939" s="24" t="s">
        <v>734</v>
      </c>
      <c r="E939" s="25" t="s">
        <v>11</v>
      </c>
      <c r="F939" s="4">
        <v>15</v>
      </c>
      <c r="G939" s="4">
        <v>210</v>
      </c>
      <c r="H939" s="4">
        <v>4</v>
      </c>
      <c r="I939" s="4">
        <v>7.2</v>
      </c>
      <c r="J939" s="4">
        <v>3.31</v>
      </c>
    </row>
    <row r="940" spans="2:10">
      <c r="B940" s="4">
        <v>214</v>
      </c>
      <c r="C940" s="4">
        <v>9</v>
      </c>
      <c r="D940" s="24" t="s">
        <v>735</v>
      </c>
      <c r="E940" s="25" t="s">
        <v>11</v>
      </c>
      <c r="F940" s="4">
        <v>17.4</v>
      </c>
      <c r="G940" s="4">
        <v>254</v>
      </c>
      <c r="H940" s="4">
        <v>8</v>
      </c>
      <c r="I940" s="4">
        <v>6.3</v>
      </c>
      <c r="J940" s="4">
        <v>3.4</v>
      </c>
    </row>
    <row r="941" spans="2:5">
      <c r="B941" s="4">
        <v>214</v>
      </c>
      <c r="C941" s="4">
        <v>10</v>
      </c>
      <c r="D941" s="24" t="s">
        <v>736</v>
      </c>
      <c r="E941" s="25" t="s">
        <v>11</v>
      </c>
    </row>
    <row r="942" spans="2:10">
      <c r="B942" s="4">
        <v>214</v>
      </c>
      <c r="C942" s="4">
        <v>11</v>
      </c>
      <c r="D942" s="24" t="s">
        <v>737</v>
      </c>
      <c r="E942" s="25" t="s">
        <v>11</v>
      </c>
      <c r="F942" s="4">
        <v>18.4</v>
      </c>
      <c r="G942" s="4">
        <v>236</v>
      </c>
      <c r="H942" s="4">
        <v>2</v>
      </c>
      <c r="I942" s="4">
        <v>6.8</v>
      </c>
      <c r="J942" s="4">
        <v>4.01</v>
      </c>
    </row>
    <row r="943" spans="2:10">
      <c r="B943" s="4">
        <v>214</v>
      </c>
      <c r="C943" s="4">
        <v>12</v>
      </c>
      <c r="D943" s="24" t="s">
        <v>738</v>
      </c>
      <c r="E943" s="25" t="s">
        <v>11</v>
      </c>
      <c r="F943" s="4">
        <v>-0.4</v>
      </c>
      <c r="G943" s="4">
        <v>141</v>
      </c>
      <c r="H943" s="4">
        <v>0</v>
      </c>
      <c r="I943" s="4">
        <v>10.7</v>
      </c>
      <c r="J943" s="4" t="s">
        <v>739</v>
      </c>
    </row>
    <row r="944" spans="2:10">
      <c r="B944" s="4">
        <v>214</v>
      </c>
      <c r="C944" s="4">
        <v>13</v>
      </c>
      <c r="D944" s="24" t="s">
        <v>740</v>
      </c>
      <c r="E944" s="25" t="s">
        <v>11</v>
      </c>
      <c r="F944" s="4">
        <v>11</v>
      </c>
      <c r="G944" s="4">
        <v>237</v>
      </c>
      <c r="H944" s="4">
        <v>8</v>
      </c>
      <c r="I944" s="4">
        <v>7.2</v>
      </c>
      <c r="J944" s="4">
        <v>4.22</v>
      </c>
    </row>
    <row r="946" s="1" customFormat="1" spans="1:11">
      <c r="A946" s="33" t="s">
        <v>741</v>
      </c>
      <c r="B946" s="24" t="s">
        <v>1</v>
      </c>
      <c r="C946" s="26" t="s">
        <v>2</v>
      </c>
      <c r="D946" s="27" t="s">
        <v>3</v>
      </c>
      <c r="E946" s="27" t="s">
        <v>4</v>
      </c>
      <c r="F946" s="28" t="s">
        <v>5</v>
      </c>
      <c r="G946" s="28" t="s">
        <v>6</v>
      </c>
      <c r="H946" s="28" t="s">
        <v>7</v>
      </c>
      <c r="I946" s="28">
        <v>50</v>
      </c>
      <c r="J946" s="28" t="s">
        <v>8</v>
      </c>
      <c r="K946" s="26" t="s">
        <v>9</v>
      </c>
    </row>
    <row r="947" spans="2:10">
      <c r="B947" s="4">
        <v>214</v>
      </c>
      <c r="C947" s="4">
        <v>14</v>
      </c>
      <c r="D947" s="33" t="s">
        <v>742</v>
      </c>
      <c r="E947" s="25" t="s">
        <v>53</v>
      </c>
      <c r="F947" s="4">
        <v>26.5</v>
      </c>
      <c r="G947" s="4">
        <v>180</v>
      </c>
      <c r="H947" s="4">
        <v>40</v>
      </c>
      <c r="I947" s="4">
        <v>9.3</v>
      </c>
      <c r="J947" s="4">
        <v>3.49</v>
      </c>
    </row>
    <row r="948" spans="2:10">
      <c r="B948" s="4">
        <v>214</v>
      </c>
      <c r="C948" s="4">
        <v>15</v>
      </c>
      <c r="D948" s="24" t="s">
        <v>743</v>
      </c>
      <c r="E948" s="25" t="s">
        <v>53</v>
      </c>
      <c r="F948" s="4">
        <v>17</v>
      </c>
      <c r="G948" s="4">
        <v>196</v>
      </c>
      <c r="H948" s="4">
        <v>59</v>
      </c>
      <c r="I948" s="4">
        <v>8.6</v>
      </c>
      <c r="J948" s="4">
        <v>3.18</v>
      </c>
    </row>
    <row r="949" spans="2:10">
      <c r="B949" s="4">
        <v>214</v>
      </c>
      <c r="C949" s="4">
        <v>16</v>
      </c>
      <c r="D949" s="24" t="s">
        <v>744</v>
      </c>
      <c r="E949" s="25" t="s">
        <v>53</v>
      </c>
      <c r="F949" s="4">
        <v>19.5</v>
      </c>
      <c r="G949" s="4">
        <v>206</v>
      </c>
      <c r="H949" s="4">
        <v>27</v>
      </c>
      <c r="I949" s="4">
        <v>8.6</v>
      </c>
      <c r="J949" s="4">
        <v>3.37</v>
      </c>
    </row>
    <row r="950" spans="2:10">
      <c r="B950" s="4">
        <v>214</v>
      </c>
      <c r="C950" s="4">
        <v>17</v>
      </c>
      <c r="D950" s="24" t="s">
        <v>745</v>
      </c>
      <c r="E950" s="25" t="s">
        <v>53</v>
      </c>
      <c r="F950" s="4">
        <v>16.5</v>
      </c>
      <c r="G950" s="4">
        <v>201</v>
      </c>
      <c r="H950" s="4">
        <v>41</v>
      </c>
      <c r="I950" s="4">
        <v>8.6</v>
      </c>
      <c r="J950" s="4">
        <v>4.11</v>
      </c>
    </row>
    <row r="951" spans="2:10">
      <c r="B951" s="4">
        <v>214</v>
      </c>
      <c r="C951" s="4">
        <v>18</v>
      </c>
      <c r="D951" s="24" t="s">
        <v>746</v>
      </c>
      <c r="E951" s="25" t="s">
        <v>53</v>
      </c>
      <c r="F951" s="4">
        <v>22.5</v>
      </c>
      <c r="G951" s="4">
        <v>163</v>
      </c>
      <c r="H951" s="4">
        <v>47</v>
      </c>
      <c r="I951" s="4">
        <v>9.3</v>
      </c>
      <c r="J951" s="4">
        <v>4.03</v>
      </c>
    </row>
    <row r="952" spans="2:10">
      <c r="B952" s="4">
        <v>214</v>
      </c>
      <c r="C952" s="4">
        <v>19</v>
      </c>
      <c r="D952" s="24" t="s">
        <v>747</v>
      </c>
      <c r="E952" s="25" t="s">
        <v>53</v>
      </c>
      <c r="F952" s="4">
        <v>14</v>
      </c>
      <c r="G952" s="4">
        <v>162</v>
      </c>
      <c r="H952" s="4">
        <v>39</v>
      </c>
      <c r="I952" s="4">
        <v>8.8</v>
      </c>
      <c r="J952" s="4">
        <v>3.46</v>
      </c>
    </row>
    <row r="953" spans="2:10">
      <c r="B953" s="4">
        <v>214</v>
      </c>
      <c r="C953" s="4">
        <v>20</v>
      </c>
      <c r="D953" s="24" t="s">
        <v>748</v>
      </c>
      <c r="E953" s="25" t="s">
        <v>53</v>
      </c>
      <c r="F953" s="4">
        <v>25.5</v>
      </c>
      <c r="G953" s="4">
        <v>180</v>
      </c>
      <c r="H953" s="4">
        <v>47</v>
      </c>
      <c r="I953" s="4">
        <v>10.5</v>
      </c>
      <c r="J953" s="4">
        <v>4.13</v>
      </c>
    </row>
    <row r="954" spans="2:10">
      <c r="B954" s="4">
        <v>214</v>
      </c>
      <c r="C954" s="4">
        <v>21</v>
      </c>
      <c r="D954" s="24" t="s">
        <v>749</v>
      </c>
      <c r="E954" s="25" t="s">
        <v>53</v>
      </c>
      <c r="F954" s="4">
        <v>27</v>
      </c>
      <c r="G954" s="4">
        <v>148</v>
      </c>
      <c r="H954" s="4">
        <v>32</v>
      </c>
      <c r="I954" s="4">
        <v>10.1</v>
      </c>
      <c r="J954" s="4">
        <v>4.12</v>
      </c>
    </row>
    <row r="955" spans="2:10">
      <c r="B955" s="4">
        <v>214</v>
      </c>
      <c r="C955" s="4">
        <v>22</v>
      </c>
      <c r="D955" s="24" t="s">
        <v>750</v>
      </c>
      <c r="E955" s="25" t="s">
        <v>53</v>
      </c>
      <c r="F955" s="4">
        <v>24.2</v>
      </c>
      <c r="G955" s="4">
        <v>162</v>
      </c>
      <c r="H955" s="4">
        <v>54</v>
      </c>
      <c r="I955" s="4">
        <v>9.3</v>
      </c>
      <c r="J955" s="4">
        <v>3.58</v>
      </c>
    </row>
    <row r="956" spans="2:10">
      <c r="B956" s="4">
        <v>214</v>
      </c>
      <c r="C956" s="4">
        <v>23</v>
      </c>
      <c r="D956" s="24" t="s">
        <v>751</v>
      </c>
      <c r="E956" s="25" t="s">
        <v>53</v>
      </c>
      <c r="F956" s="4">
        <v>27.5</v>
      </c>
      <c r="G956" s="4">
        <v>190</v>
      </c>
      <c r="H956" s="4">
        <v>58</v>
      </c>
      <c r="I956" s="4">
        <v>8.4</v>
      </c>
      <c r="J956" s="4">
        <v>3.17</v>
      </c>
    </row>
    <row r="957" spans="4:5">
      <c r="D957" s="24"/>
      <c r="E957" s="25"/>
    </row>
    <row r="958" spans="4:5">
      <c r="D958" s="24"/>
      <c r="E958" s="25"/>
    </row>
    <row r="959" spans="4:5">
      <c r="D959" s="24"/>
      <c r="E959" s="25"/>
    </row>
    <row r="960" spans="4:5">
      <c r="D960" s="24"/>
      <c r="E960" s="25"/>
    </row>
    <row r="961" spans="4:5">
      <c r="D961" s="24"/>
      <c r="E961" s="25"/>
    </row>
    <row r="962" spans="4:5">
      <c r="D962" s="24"/>
      <c r="E962" s="25"/>
    </row>
    <row r="963" spans="4:5">
      <c r="D963" s="24"/>
      <c r="E963" s="25"/>
    </row>
    <row r="964" spans="4:5">
      <c r="D964" s="24"/>
      <c r="E964" s="25"/>
    </row>
    <row r="965" spans="4:5">
      <c r="D965" s="24"/>
      <c r="E965" s="25"/>
    </row>
    <row r="966" spans="4:5">
      <c r="D966" s="24"/>
      <c r="E966" s="25"/>
    </row>
    <row r="967" spans="4:5">
      <c r="D967" s="24"/>
      <c r="E967" s="25"/>
    </row>
    <row r="969" s="1" customFormat="1" spans="1:11">
      <c r="A969" s="33" t="s">
        <v>752</v>
      </c>
      <c r="B969" s="24" t="s">
        <v>1</v>
      </c>
      <c r="C969" s="26" t="s">
        <v>2</v>
      </c>
      <c r="D969" s="27" t="s">
        <v>3</v>
      </c>
      <c r="E969" s="27" t="s">
        <v>4</v>
      </c>
      <c r="F969" s="28" t="s">
        <v>5</v>
      </c>
      <c r="G969" s="28" t="s">
        <v>6</v>
      </c>
      <c r="H969" s="28" t="s">
        <v>7</v>
      </c>
      <c r="I969" s="28">
        <v>50</v>
      </c>
      <c r="J969" s="28" t="s">
        <v>8</v>
      </c>
      <c r="K969" s="26" t="s">
        <v>9</v>
      </c>
    </row>
    <row r="970" spans="2:10">
      <c r="B970" s="4">
        <v>214</v>
      </c>
      <c r="C970" s="4">
        <v>24</v>
      </c>
      <c r="D970" s="33" t="s">
        <v>753</v>
      </c>
      <c r="E970" s="25" t="s">
        <v>53</v>
      </c>
      <c r="F970" s="4">
        <v>19.1</v>
      </c>
      <c r="G970" s="4">
        <v>165</v>
      </c>
      <c r="H970" s="4">
        <v>52</v>
      </c>
      <c r="I970" s="4">
        <v>8.9</v>
      </c>
      <c r="J970" s="4">
        <v>3.53</v>
      </c>
    </row>
    <row r="971" spans="2:10">
      <c r="B971" s="4">
        <v>214</v>
      </c>
      <c r="C971" s="4">
        <v>25</v>
      </c>
      <c r="D971" s="24" t="s">
        <v>754</v>
      </c>
      <c r="E971" s="25" t="s">
        <v>53</v>
      </c>
      <c r="F971" s="4">
        <v>23</v>
      </c>
      <c r="G971" s="4">
        <v>195</v>
      </c>
      <c r="H971" s="4">
        <v>48</v>
      </c>
      <c r="I971" s="4">
        <v>8.1</v>
      </c>
      <c r="J971" s="4">
        <v>3.39</v>
      </c>
    </row>
    <row r="972" spans="2:10">
      <c r="B972" s="4">
        <v>214</v>
      </c>
      <c r="C972" s="4">
        <v>26</v>
      </c>
      <c r="D972" s="24" t="s">
        <v>755</v>
      </c>
      <c r="E972" s="25" t="s">
        <v>53</v>
      </c>
      <c r="F972" s="4">
        <v>23</v>
      </c>
      <c r="G972" s="4">
        <v>150</v>
      </c>
      <c r="H972" s="4">
        <v>36</v>
      </c>
      <c r="I972" s="4">
        <v>9.2</v>
      </c>
      <c r="J972" s="4">
        <v>4.11</v>
      </c>
    </row>
    <row r="973" spans="2:10">
      <c r="B973" s="4">
        <v>214</v>
      </c>
      <c r="C973" s="4">
        <v>27</v>
      </c>
      <c r="D973" s="24" t="s">
        <v>756</v>
      </c>
      <c r="E973" s="25" t="s">
        <v>53</v>
      </c>
      <c r="F973" s="4">
        <v>10</v>
      </c>
      <c r="G973" s="4">
        <v>157</v>
      </c>
      <c r="H973" s="4">
        <v>45</v>
      </c>
      <c r="I973" s="4">
        <v>9</v>
      </c>
      <c r="J973" s="4">
        <v>4.1</v>
      </c>
    </row>
    <row r="974" spans="2:10">
      <c r="B974" s="4">
        <v>214</v>
      </c>
      <c r="C974" s="4">
        <v>28</v>
      </c>
      <c r="D974" s="24" t="s">
        <v>757</v>
      </c>
      <c r="E974" s="25" t="s">
        <v>53</v>
      </c>
      <c r="F974" s="4">
        <v>26</v>
      </c>
      <c r="G974" s="4">
        <v>189</v>
      </c>
      <c r="H974" s="4">
        <v>46</v>
      </c>
      <c r="I974" s="4">
        <v>8.6</v>
      </c>
      <c r="J974" s="4">
        <v>4.1</v>
      </c>
    </row>
    <row r="975" spans="2:10">
      <c r="B975" s="4">
        <v>214</v>
      </c>
      <c r="C975" s="4">
        <v>29</v>
      </c>
      <c r="D975" s="24" t="s">
        <v>758</v>
      </c>
      <c r="E975" s="25" t="s">
        <v>53</v>
      </c>
      <c r="F975" s="4">
        <v>21.1</v>
      </c>
      <c r="G975" s="4">
        <v>170</v>
      </c>
      <c r="H975" s="4">
        <v>50</v>
      </c>
      <c r="I975" s="4">
        <v>9.1</v>
      </c>
      <c r="J975" s="4">
        <v>4.02</v>
      </c>
    </row>
    <row r="976" spans="2:10">
      <c r="B976" s="4">
        <v>214</v>
      </c>
      <c r="C976" s="4">
        <v>30</v>
      </c>
      <c r="D976" s="24" t="s">
        <v>759</v>
      </c>
      <c r="E976" s="25" t="s">
        <v>53</v>
      </c>
      <c r="F976" s="4">
        <v>19.6</v>
      </c>
      <c r="G976" s="4">
        <v>153</v>
      </c>
      <c r="H976" s="4">
        <v>50</v>
      </c>
      <c r="I976" s="4">
        <v>9.1</v>
      </c>
      <c r="J976" s="4">
        <v>3.42</v>
      </c>
    </row>
    <row r="977" spans="2:10">
      <c r="B977" s="4">
        <v>214</v>
      </c>
      <c r="C977" s="4">
        <v>31</v>
      </c>
      <c r="D977" s="24" t="s">
        <v>760</v>
      </c>
      <c r="E977" s="25" t="s">
        <v>53</v>
      </c>
      <c r="F977" s="4">
        <v>9.3</v>
      </c>
      <c r="G977" s="4">
        <v>135</v>
      </c>
      <c r="H977" s="4">
        <v>43</v>
      </c>
      <c r="I977" s="4">
        <v>9.5</v>
      </c>
      <c r="J977" s="4">
        <v>4.1</v>
      </c>
    </row>
    <row r="978" spans="2:10">
      <c r="B978" s="4">
        <v>214</v>
      </c>
      <c r="C978" s="4">
        <v>32</v>
      </c>
      <c r="D978" s="24" t="s">
        <v>761</v>
      </c>
      <c r="E978" s="25" t="s">
        <v>53</v>
      </c>
      <c r="F978" s="4">
        <v>22</v>
      </c>
      <c r="G978" s="4">
        <v>187</v>
      </c>
      <c r="H978" s="4">
        <v>50</v>
      </c>
      <c r="I978" s="4">
        <v>8.3</v>
      </c>
      <c r="J978" s="4">
        <v>3.49</v>
      </c>
    </row>
    <row r="979" spans="2:10">
      <c r="B979" s="4">
        <v>214</v>
      </c>
      <c r="C979" s="4">
        <v>33</v>
      </c>
      <c r="D979" s="24" t="s">
        <v>762</v>
      </c>
      <c r="E979" s="25" t="s">
        <v>53</v>
      </c>
      <c r="F979" s="4">
        <v>16.3</v>
      </c>
      <c r="G979" s="4">
        <v>185</v>
      </c>
      <c r="H979" s="4">
        <v>46</v>
      </c>
      <c r="I979" s="4">
        <v>8.5</v>
      </c>
      <c r="J979" s="4">
        <v>3.43</v>
      </c>
    </row>
    <row r="981" s="1" customFormat="1" spans="1:11">
      <c r="A981" s="33" t="s">
        <v>763</v>
      </c>
      <c r="B981" s="24" t="s">
        <v>1</v>
      </c>
      <c r="C981" s="26" t="s">
        <v>2</v>
      </c>
      <c r="D981" s="27" t="s">
        <v>3</v>
      </c>
      <c r="E981" s="27" t="s">
        <v>4</v>
      </c>
      <c r="F981" s="28" t="s">
        <v>5</v>
      </c>
      <c r="G981" s="28" t="s">
        <v>6</v>
      </c>
      <c r="H981" s="28" t="s">
        <v>7</v>
      </c>
      <c r="I981" s="28">
        <v>50</v>
      </c>
      <c r="J981" s="28" t="s">
        <v>8</v>
      </c>
      <c r="K981" s="26" t="s">
        <v>9</v>
      </c>
    </row>
    <row r="982" spans="2:10">
      <c r="B982" s="4">
        <v>214</v>
      </c>
      <c r="C982" s="4">
        <v>34</v>
      </c>
      <c r="D982" s="33" t="s">
        <v>764</v>
      </c>
      <c r="E982" s="25" t="s">
        <v>53</v>
      </c>
      <c r="F982" s="4">
        <v>20.7</v>
      </c>
      <c r="G982" s="4">
        <v>180</v>
      </c>
      <c r="H982" s="4">
        <v>47</v>
      </c>
      <c r="I982" s="4">
        <v>9.1</v>
      </c>
      <c r="J982" s="4">
        <v>3.44</v>
      </c>
    </row>
    <row r="983" spans="2:10">
      <c r="B983" s="4">
        <v>214</v>
      </c>
      <c r="C983" s="4">
        <v>35</v>
      </c>
      <c r="D983" s="24" t="s">
        <v>765</v>
      </c>
      <c r="E983" s="25" t="s">
        <v>53</v>
      </c>
      <c r="F983" s="4">
        <v>12</v>
      </c>
      <c r="G983" s="4">
        <v>175</v>
      </c>
      <c r="H983" s="4">
        <v>42</v>
      </c>
      <c r="I983" s="4">
        <v>9.2</v>
      </c>
      <c r="J983" s="4">
        <v>4.04</v>
      </c>
    </row>
    <row r="984" spans="2:10">
      <c r="B984" s="4">
        <v>214</v>
      </c>
      <c r="C984" s="4">
        <v>36</v>
      </c>
      <c r="D984" s="24" t="s">
        <v>766</v>
      </c>
      <c r="E984" s="25" t="s">
        <v>53</v>
      </c>
      <c r="F984" s="4">
        <v>17</v>
      </c>
      <c r="G984" s="4">
        <v>191</v>
      </c>
      <c r="H984" s="4">
        <v>40</v>
      </c>
      <c r="I984" s="4">
        <v>8.7</v>
      </c>
      <c r="J984" s="4">
        <v>3.39</v>
      </c>
    </row>
    <row r="985" spans="2:10">
      <c r="B985" s="4">
        <v>214</v>
      </c>
      <c r="C985" s="4">
        <v>37</v>
      </c>
      <c r="D985" s="24" t="s">
        <v>767</v>
      </c>
      <c r="E985" s="25" t="s">
        <v>53</v>
      </c>
      <c r="F985" s="4">
        <v>20.2</v>
      </c>
      <c r="G985" s="4">
        <v>190</v>
      </c>
      <c r="H985" s="4">
        <v>46</v>
      </c>
      <c r="I985" s="4">
        <v>8.7</v>
      </c>
      <c r="J985" s="4">
        <v>3.29</v>
      </c>
    </row>
    <row r="986" spans="2:10">
      <c r="B986" s="4">
        <v>214</v>
      </c>
      <c r="C986" s="4">
        <v>38</v>
      </c>
      <c r="D986" s="24" t="s">
        <v>768</v>
      </c>
      <c r="E986" s="25" t="s">
        <v>53</v>
      </c>
      <c r="F986" s="4">
        <v>19.5</v>
      </c>
      <c r="G986" s="4">
        <v>192</v>
      </c>
      <c r="H986" s="4">
        <v>49</v>
      </c>
      <c r="I986" s="4">
        <v>8.9</v>
      </c>
      <c r="J986" s="4">
        <v>3.3</v>
      </c>
    </row>
    <row r="987" spans="2:10">
      <c r="B987" s="4">
        <v>214</v>
      </c>
      <c r="C987" s="4">
        <v>39</v>
      </c>
      <c r="D987" s="24" t="s">
        <v>769</v>
      </c>
      <c r="E987" s="25" t="s">
        <v>53</v>
      </c>
      <c r="F987" s="4">
        <v>14.8</v>
      </c>
      <c r="G987" s="4">
        <v>186</v>
      </c>
      <c r="H987" s="4">
        <v>56</v>
      </c>
      <c r="I987" s="4">
        <v>9.3</v>
      </c>
      <c r="J987" s="4">
        <v>3.48</v>
      </c>
    </row>
    <row r="988" spans="2:10">
      <c r="B988" s="4">
        <v>214</v>
      </c>
      <c r="C988" s="4">
        <v>40</v>
      </c>
      <c r="D988" s="24" t="s">
        <v>770</v>
      </c>
      <c r="E988" s="25" t="s">
        <v>53</v>
      </c>
      <c r="F988" s="4">
        <v>11.5</v>
      </c>
      <c r="G988" s="4">
        <v>135</v>
      </c>
      <c r="H988" s="4">
        <v>43</v>
      </c>
      <c r="I988" s="4">
        <v>10</v>
      </c>
      <c r="J988" s="4">
        <v>4.15</v>
      </c>
    </row>
    <row r="989" spans="2:10">
      <c r="B989" s="4">
        <v>214</v>
      </c>
      <c r="C989" s="4">
        <v>41</v>
      </c>
      <c r="D989" s="24" t="s">
        <v>771</v>
      </c>
      <c r="E989" s="25" t="s">
        <v>53</v>
      </c>
      <c r="F989" s="4">
        <v>22.4</v>
      </c>
      <c r="G989" s="4">
        <v>203</v>
      </c>
      <c r="H989" s="4">
        <v>53</v>
      </c>
      <c r="I989" s="4">
        <v>8.6</v>
      </c>
      <c r="J989" s="4">
        <v>3.37</v>
      </c>
    </row>
    <row r="990" spans="2:10">
      <c r="B990" s="4">
        <v>214</v>
      </c>
      <c r="C990" s="4">
        <v>42</v>
      </c>
      <c r="D990" s="24" t="s">
        <v>772</v>
      </c>
      <c r="E990" s="25" t="s">
        <v>53</v>
      </c>
      <c r="F990" s="4">
        <v>16.6</v>
      </c>
      <c r="G990" s="4">
        <v>201</v>
      </c>
      <c r="H990" s="4">
        <v>34</v>
      </c>
      <c r="I990" s="4">
        <v>8.6</v>
      </c>
      <c r="J990" s="4">
        <v>3.34</v>
      </c>
    </row>
    <row r="991" spans="2:10">
      <c r="B991" s="4">
        <v>214</v>
      </c>
      <c r="C991" s="4">
        <v>43</v>
      </c>
      <c r="D991" s="24" t="s">
        <v>773</v>
      </c>
      <c r="E991" s="25" t="s">
        <v>53</v>
      </c>
      <c r="F991" s="4">
        <v>19.1</v>
      </c>
      <c r="G991" s="4">
        <v>165</v>
      </c>
      <c r="H991" s="4">
        <v>48</v>
      </c>
      <c r="I991" s="4">
        <v>8.7</v>
      </c>
      <c r="J991" s="4">
        <v>3.41</v>
      </c>
    </row>
    <row r="992" spans="2:10">
      <c r="B992" s="4">
        <v>214</v>
      </c>
      <c r="C992" s="4">
        <v>44</v>
      </c>
      <c r="D992" s="24" t="s">
        <v>774</v>
      </c>
      <c r="E992" s="25" t="s">
        <v>53</v>
      </c>
      <c r="F992" s="4">
        <v>18.5</v>
      </c>
      <c r="G992" s="4">
        <v>206</v>
      </c>
      <c r="H992" s="4">
        <v>50</v>
      </c>
      <c r="I992" s="4">
        <v>7.7</v>
      </c>
      <c r="J992" s="4">
        <v>3.2</v>
      </c>
    </row>
    <row r="993" spans="4:5">
      <c r="D993" s="24"/>
      <c r="E993" s="25"/>
    </row>
    <row r="994" spans="4:5">
      <c r="D994" s="24"/>
      <c r="E994" s="25"/>
    </row>
    <row r="995" spans="4:5">
      <c r="D995" s="24"/>
      <c r="E995" s="25"/>
    </row>
    <row r="996" spans="4:5">
      <c r="D996" s="24"/>
      <c r="E996" s="25"/>
    </row>
    <row r="997" spans="4:5">
      <c r="D997" s="24"/>
      <c r="E997" s="25"/>
    </row>
    <row r="998" spans="4:5">
      <c r="D998" s="24"/>
      <c r="E998" s="25"/>
    </row>
    <row r="999" spans="4:5">
      <c r="D999" s="24"/>
      <c r="E999" s="25"/>
    </row>
    <row r="1001" s="1" customFormat="1" spans="1:11">
      <c r="A1001" s="33" t="s">
        <v>775</v>
      </c>
      <c r="B1001" s="24" t="s">
        <v>1</v>
      </c>
      <c r="C1001" s="26" t="s">
        <v>2</v>
      </c>
      <c r="D1001" s="27" t="s">
        <v>3</v>
      </c>
      <c r="E1001" s="27" t="s">
        <v>4</v>
      </c>
      <c r="F1001" s="28" t="s">
        <v>5</v>
      </c>
      <c r="G1001" s="28" t="s">
        <v>6</v>
      </c>
      <c r="H1001" s="28" t="s">
        <v>7</v>
      </c>
      <c r="I1001" s="28">
        <v>50</v>
      </c>
      <c r="J1001" s="28" t="s">
        <v>8</v>
      </c>
      <c r="K1001" s="26" t="s">
        <v>9</v>
      </c>
    </row>
    <row r="1002" spans="2:10">
      <c r="B1002" s="4">
        <v>214</v>
      </c>
      <c r="C1002" s="4">
        <v>45</v>
      </c>
      <c r="D1002" s="33" t="s">
        <v>776</v>
      </c>
      <c r="E1002" s="25" t="s">
        <v>53</v>
      </c>
      <c r="F1002" s="4">
        <v>17.8</v>
      </c>
      <c r="G1002" s="4">
        <v>171</v>
      </c>
      <c r="H1002" s="4">
        <v>29</v>
      </c>
      <c r="I1002" s="4">
        <v>9.4</v>
      </c>
      <c r="J1002" s="4">
        <v>3.43</v>
      </c>
    </row>
    <row r="1003" spans="2:10">
      <c r="B1003" s="4">
        <v>214</v>
      </c>
      <c r="C1003" s="4">
        <v>46</v>
      </c>
      <c r="D1003" s="24" t="s">
        <v>777</v>
      </c>
      <c r="E1003" s="25" t="s">
        <v>53</v>
      </c>
      <c r="F1003" s="4">
        <v>15.4</v>
      </c>
      <c r="G1003" s="4">
        <v>192</v>
      </c>
      <c r="H1003" s="4">
        <v>56</v>
      </c>
      <c r="I1003" s="4">
        <v>7.4</v>
      </c>
      <c r="J1003" s="4">
        <v>3.46</v>
      </c>
    </row>
    <row r="1004" spans="2:10">
      <c r="B1004" s="4">
        <v>214</v>
      </c>
      <c r="C1004" s="4">
        <v>47</v>
      </c>
      <c r="D1004" s="24" t="s">
        <v>778</v>
      </c>
      <c r="E1004" s="25" t="s">
        <v>53</v>
      </c>
      <c r="F1004" s="4">
        <v>19.9</v>
      </c>
      <c r="G1004" s="4">
        <v>165</v>
      </c>
      <c r="H1004" s="4">
        <v>55</v>
      </c>
      <c r="I1004" s="4">
        <v>9.4</v>
      </c>
      <c r="J1004" s="4">
        <v>3.28</v>
      </c>
    </row>
    <row r="1005" spans="2:10">
      <c r="B1005" s="4">
        <v>214</v>
      </c>
      <c r="C1005" s="4">
        <v>48</v>
      </c>
      <c r="D1005" s="24" t="s">
        <v>779</v>
      </c>
      <c r="E1005" s="25" t="s">
        <v>53</v>
      </c>
      <c r="F1005" s="4">
        <v>18.1</v>
      </c>
      <c r="G1005" s="4">
        <v>196</v>
      </c>
      <c r="H1005" s="4">
        <v>35</v>
      </c>
      <c r="I1005" s="4">
        <v>8.8</v>
      </c>
      <c r="J1005" s="4">
        <v>3.48</v>
      </c>
    </row>
    <row r="1006" spans="2:10">
      <c r="B1006" s="4">
        <v>214</v>
      </c>
      <c r="C1006" s="4">
        <v>49</v>
      </c>
      <c r="D1006" s="24" t="s">
        <v>780</v>
      </c>
      <c r="E1006" s="25" t="s">
        <v>53</v>
      </c>
      <c r="F1006" s="4">
        <v>13</v>
      </c>
      <c r="G1006" s="4">
        <v>187</v>
      </c>
      <c r="H1006" s="4">
        <v>57</v>
      </c>
      <c r="I1006" s="4">
        <v>8.3</v>
      </c>
      <c r="J1006" s="4">
        <v>3.13</v>
      </c>
    </row>
    <row r="1007" spans="2:10">
      <c r="B1007" s="4">
        <v>214</v>
      </c>
      <c r="C1007" s="4">
        <v>50</v>
      </c>
      <c r="D1007" s="24" t="s">
        <v>781</v>
      </c>
      <c r="E1007" s="25" t="s">
        <v>53</v>
      </c>
      <c r="F1007" s="4">
        <v>7.7</v>
      </c>
      <c r="G1007" s="4">
        <v>166</v>
      </c>
      <c r="H1007" s="4">
        <v>44</v>
      </c>
      <c r="I1007" s="4">
        <v>8.8</v>
      </c>
      <c r="J1007" s="4">
        <v>3.46</v>
      </c>
    </row>
    <row r="1008" spans="2:10">
      <c r="B1008" s="4">
        <v>214</v>
      </c>
      <c r="C1008" s="4">
        <v>51</v>
      </c>
      <c r="D1008" s="24" t="s">
        <v>782</v>
      </c>
      <c r="E1008" s="25" t="s">
        <v>53</v>
      </c>
      <c r="F1008" s="4">
        <v>10</v>
      </c>
      <c r="G1008" s="4">
        <v>185</v>
      </c>
      <c r="H1008" s="4">
        <v>38</v>
      </c>
      <c r="I1008" s="4">
        <v>8.6</v>
      </c>
      <c r="J1008" s="4">
        <v>3.32</v>
      </c>
    </row>
    <row r="1009" spans="2:10">
      <c r="B1009" s="4">
        <v>214</v>
      </c>
      <c r="C1009" s="4">
        <v>52</v>
      </c>
      <c r="D1009" s="24" t="s">
        <v>783</v>
      </c>
      <c r="E1009" s="25" t="s">
        <v>53</v>
      </c>
      <c r="F1009" s="4">
        <v>7.9</v>
      </c>
      <c r="G1009" s="4">
        <v>206</v>
      </c>
      <c r="H1009" s="4">
        <v>57</v>
      </c>
      <c r="I1009" s="4">
        <v>8.6</v>
      </c>
      <c r="J1009" s="4">
        <v>3.2</v>
      </c>
    </row>
    <row r="1010" spans="2:11">
      <c r="B1010" s="4">
        <v>214</v>
      </c>
      <c r="C1010" s="4">
        <v>53</v>
      </c>
      <c r="D1010" s="24" t="s">
        <v>784</v>
      </c>
      <c r="E1010" s="25" t="s">
        <v>53</v>
      </c>
      <c r="K1010" s="4" t="s">
        <v>785</v>
      </c>
    </row>
    <row r="1011" spans="2:10">
      <c r="B1011" s="4">
        <v>214</v>
      </c>
      <c r="C1011" s="4">
        <v>54</v>
      </c>
      <c r="D1011" s="24" t="s">
        <v>786</v>
      </c>
      <c r="E1011" s="25" t="s">
        <v>53</v>
      </c>
      <c r="F1011" s="4">
        <v>21.5</v>
      </c>
      <c r="G1011" s="4">
        <v>171</v>
      </c>
      <c r="H1011" s="4">
        <v>43</v>
      </c>
      <c r="I1011" s="4">
        <v>9.1</v>
      </c>
      <c r="J1011" s="4">
        <v>3.46</v>
      </c>
    </row>
    <row r="1012" spans="2:10">
      <c r="B1012" s="4">
        <v>214</v>
      </c>
      <c r="C1012" s="4">
        <v>55</v>
      </c>
      <c r="D1012" s="24" t="s">
        <v>787</v>
      </c>
      <c r="E1012" s="25" t="s">
        <v>53</v>
      </c>
      <c r="F1012" s="4">
        <v>26.5</v>
      </c>
      <c r="G1012" s="4">
        <v>207</v>
      </c>
      <c r="H1012" s="4">
        <v>55</v>
      </c>
      <c r="I1012" s="4">
        <v>8.5</v>
      </c>
      <c r="J1012" s="4">
        <v>3.17</v>
      </c>
    </row>
    <row r="1016" s="1" customFormat="1" spans="1:11">
      <c r="A1016" s="33" t="s">
        <v>788</v>
      </c>
      <c r="B1016" s="24" t="s">
        <v>1</v>
      </c>
      <c r="C1016" s="26" t="s">
        <v>2</v>
      </c>
      <c r="D1016" s="27" t="s">
        <v>3</v>
      </c>
      <c r="E1016" s="27" t="s">
        <v>4</v>
      </c>
      <c r="F1016" s="28" t="s">
        <v>5</v>
      </c>
      <c r="G1016" s="28" t="s">
        <v>6</v>
      </c>
      <c r="H1016" s="28" t="s">
        <v>7</v>
      </c>
      <c r="I1016" s="28">
        <v>50</v>
      </c>
      <c r="J1016" s="28" t="s">
        <v>8</v>
      </c>
      <c r="K1016" s="26" t="s">
        <v>9</v>
      </c>
    </row>
    <row r="1017" spans="2:10">
      <c r="B1017" s="4">
        <v>215</v>
      </c>
      <c r="C1017" s="4">
        <v>1</v>
      </c>
      <c r="D1017" s="33" t="s">
        <v>789</v>
      </c>
      <c r="E1017" s="25" t="s">
        <v>11</v>
      </c>
      <c r="F1017" s="4">
        <v>14.2</v>
      </c>
      <c r="G1017" s="4">
        <v>240</v>
      </c>
      <c r="H1017" s="4">
        <v>8</v>
      </c>
      <c r="I1017" s="4">
        <v>7</v>
      </c>
      <c r="J1017" s="4">
        <v>4.02</v>
      </c>
    </row>
    <row r="1018" spans="2:10">
      <c r="B1018" s="4">
        <v>215</v>
      </c>
      <c r="C1018" s="4">
        <v>2</v>
      </c>
      <c r="D1018" s="24" t="s">
        <v>790</v>
      </c>
      <c r="E1018" s="25" t="s">
        <v>11</v>
      </c>
      <c r="F1018" s="4">
        <v>-11</v>
      </c>
      <c r="G1018" s="4">
        <v>242</v>
      </c>
      <c r="H1018" s="4">
        <v>15</v>
      </c>
      <c r="I1018" s="4">
        <v>7.2</v>
      </c>
      <c r="J1018" s="4">
        <v>4.05</v>
      </c>
    </row>
    <row r="1019" spans="2:10">
      <c r="B1019" s="4">
        <v>215</v>
      </c>
      <c r="C1019" s="4">
        <v>3</v>
      </c>
      <c r="D1019" s="24" t="s">
        <v>791</v>
      </c>
      <c r="E1019" s="25" t="s">
        <v>11</v>
      </c>
      <c r="F1019" s="4">
        <v>18.3</v>
      </c>
      <c r="G1019" s="4">
        <v>241</v>
      </c>
      <c r="H1019" s="4">
        <v>0</v>
      </c>
      <c r="I1019" s="4">
        <v>7.1</v>
      </c>
      <c r="J1019" s="4">
        <v>4.11</v>
      </c>
    </row>
    <row r="1020" spans="2:10">
      <c r="B1020" s="4">
        <v>215</v>
      </c>
      <c r="C1020" s="4">
        <v>4</v>
      </c>
      <c r="D1020" s="24" t="s">
        <v>792</v>
      </c>
      <c r="E1020" s="25" t="s">
        <v>11</v>
      </c>
      <c r="F1020" s="4">
        <v>4.3</v>
      </c>
      <c r="G1020" s="4">
        <v>225</v>
      </c>
      <c r="H1020" s="4">
        <v>5</v>
      </c>
      <c r="I1020" s="4">
        <v>7.2</v>
      </c>
      <c r="J1020" s="4">
        <v>3.56</v>
      </c>
    </row>
    <row r="1021" spans="2:10">
      <c r="B1021" s="4">
        <v>215</v>
      </c>
      <c r="C1021" s="4">
        <v>5</v>
      </c>
      <c r="D1021" s="24" t="s">
        <v>793</v>
      </c>
      <c r="E1021" s="25" t="s">
        <v>11</v>
      </c>
      <c r="F1021" s="4">
        <v>8.4</v>
      </c>
      <c r="G1021" s="4">
        <v>218</v>
      </c>
      <c r="H1021" s="4">
        <v>8</v>
      </c>
      <c r="I1021" s="4">
        <v>7.7</v>
      </c>
      <c r="J1021" s="4">
        <v>4.2</v>
      </c>
    </row>
    <row r="1022" spans="2:10">
      <c r="B1022" s="4">
        <v>215</v>
      </c>
      <c r="C1022" s="4">
        <v>6</v>
      </c>
      <c r="D1022" s="24" t="s">
        <v>794</v>
      </c>
      <c r="E1022" s="25" t="s">
        <v>11</v>
      </c>
      <c r="F1022" s="4">
        <v>7</v>
      </c>
      <c r="G1022" s="4">
        <v>197</v>
      </c>
      <c r="H1022" s="4">
        <v>6</v>
      </c>
      <c r="I1022" s="4">
        <v>7.3</v>
      </c>
      <c r="J1022" s="4">
        <v>3.38</v>
      </c>
    </row>
    <row r="1023" spans="2:10">
      <c r="B1023" s="4">
        <v>215</v>
      </c>
      <c r="C1023" s="4">
        <v>7</v>
      </c>
      <c r="D1023" s="24" t="s">
        <v>795</v>
      </c>
      <c r="E1023" s="25" t="s">
        <v>11</v>
      </c>
      <c r="F1023" s="4">
        <v>17.4</v>
      </c>
      <c r="G1023" s="4">
        <v>210</v>
      </c>
      <c r="H1023" s="4">
        <v>1</v>
      </c>
      <c r="I1023" s="4">
        <v>7.7</v>
      </c>
      <c r="J1023" s="4">
        <v>3.34</v>
      </c>
    </row>
    <row r="1024" spans="2:10">
      <c r="B1024" s="4">
        <v>215</v>
      </c>
      <c r="C1024" s="4">
        <v>8</v>
      </c>
      <c r="D1024" s="24" t="s">
        <v>796</v>
      </c>
      <c r="E1024" s="25" t="s">
        <v>11</v>
      </c>
      <c r="F1024" s="4">
        <v>6.1</v>
      </c>
      <c r="G1024" s="4">
        <v>251</v>
      </c>
      <c r="H1024" s="4">
        <v>11</v>
      </c>
      <c r="I1024" s="4">
        <v>7.9</v>
      </c>
      <c r="J1024" s="4">
        <v>3.49</v>
      </c>
    </row>
    <row r="1025" spans="2:10">
      <c r="B1025" s="4">
        <v>215</v>
      </c>
      <c r="C1025" s="4">
        <v>9</v>
      </c>
      <c r="D1025" s="24" t="s">
        <v>797</v>
      </c>
      <c r="E1025" s="25" t="s">
        <v>11</v>
      </c>
      <c r="F1025" s="4">
        <v>7.3</v>
      </c>
      <c r="G1025" s="4">
        <v>201</v>
      </c>
      <c r="H1025" s="4">
        <v>6</v>
      </c>
      <c r="I1025" s="4">
        <v>7.1</v>
      </c>
      <c r="J1025" s="4">
        <v>3.59</v>
      </c>
    </row>
    <row r="1026" spans="2:10">
      <c r="B1026" s="4">
        <v>215</v>
      </c>
      <c r="C1026" s="4">
        <v>10</v>
      </c>
      <c r="D1026" s="24" t="s">
        <v>798</v>
      </c>
      <c r="E1026" s="25" t="s">
        <v>11</v>
      </c>
      <c r="F1026" s="4">
        <v>12</v>
      </c>
      <c r="G1026" s="4">
        <v>225</v>
      </c>
      <c r="H1026" s="4">
        <v>1</v>
      </c>
      <c r="I1026" s="4">
        <v>7.5</v>
      </c>
      <c r="J1026" s="4">
        <v>4.24</v>
      </c>
    </row>
    <row r="1027" spans="2:10">
      <c r="B1027" s="4">
        <v>215</v>
      </c>
      <c r="C1027" s="4">
        <v>11</v>
      </c>
      <c r="D1027" s="24" t="s">
        <v>799</v>
      </c>
      <c r="E1027" s="25" t="s">
        <v>11</v>
      </c>
      <c r="F1027" s="4">
        <v>8.3</v>
      </c>
      <c r="G1027" s="4">
        <v>249</v>
      </c>
      <c r="H1027" s="4">
        <v>17</v>
      </c>
      <c r="I1027" s="4">
        <v>6.6</v>
      </c>
      <c r="J1027" s="4">
        <v>3.04</v>
      </c>
    </row>
    <row r="1028" spans="2:10">
      <c r="B1028" s="4">
        <v>215</v>
      </c>
      <c r="C1028" s="4">
        <v>12</v>
      </c>
      <c r="D1028" s="24" t="s">
        <v>800</v>
      </c>
      <c r="E1028" s="25" t="s">
        <v>11</v>
      </c>
      <c r="F1028" s="4">
        <v>3.4</v>
      </c>
      <c r="G1028" s="4">
        <v>192</v>
      </c>
      <c r="H1028" s="4">
        <v>7</v>
      </c>
      <c r="I1028" s="4">
        <v>7.2</v>
      </c>
      <c r="J1028" s="4">
        <v>3.29</v>
      </c>
    </row>
    <row r="1029" spans="2:10">
      <c r="B1029" s="4">
        <v>215</v>
      </c>
      <c r="C1029" s="4">
        <v>13</v>
      </c>
      <c r="D1029" s="24" t="s">
        <v>801</v>
      </c>
      <c r="E1029" s="25" t="s">
        <v>11</v>
      </c>
      <c r="F1029" s="4">
        <v>23.6</v>
      </c>
      <c r="G1029" s="4">
        <v>211</v>
      </c>
      <c r="H1029" s="4">
        <v>18</v>
      </c>
      <c r="I1029" s="4">
        <v>7.2</v>
      </c>
      <c r="J1029" s="4">
        <v>3.33</v>
      </c>
    </row>
    <row r="1030" spans="4:5">
      <c r="D1030" s="24"/>
      <c r="E1030" s="25"/>
    </row>
    <row r="1031" spans="4:5">
      <c r="D1031" s="24"/>
      <c r="E1031" s="25"/>
    </row>
    <row r="1032" spans="4:5">
      <c r="D1032" s="24"/>
      <c r="E1032" s="25"/>
    </row>
    <row r="1033" spans="4:5">
      <c r="D1033" s="24"/>
      <c r="E1033" s="25"/>
    </row>
    <row r="1034" spans="4:5">
      <c r="D1034" s="24"/>
      <c r="E1034" s="25"/>
    </row>
    <row r="1035" spans="4:5">
      <c r="D1035" s="24"/>
      <c r="E1035" s="25"/>
    </row>
    <row r="1036" spans="4:5">
      <c r="D1036" s="24"/>
      <c r="E1036" s="25"/>
    </row>
    <row r="1038" s="1" customFormat="1" spans="1:11">
      <c r="A1038" s="33" t="s">
        <v>802</v>
      </c>
      <c r="B1038" s="24" t="s">
        <v>1</v>
      </c>
      <c r="C1038" s="26" t="s">
        <v>2</v>
      </c>
      <c r="D1038" s="27" t="s">
        <v>3</v>
      </c>
      <c r="E1038" s="27" t="s">
        <v>4</v>
      </c>
      <c r="F1038" s="28" t="s">
        <v>5</v>
      </c>
      <c r="G1038" s="28" t="s">
        <v>6</v>
      </c>
      <c r="H1038" s="28" t="s">
        <v>7</v>
      </c>
      <c r="I1038" s="28">
        <v>50</v>
      </c>
      <c r="J1038" s="28" t="s">
        <v>8</v>
      </c>
      <c r="K1038" s="26" t="s">
        <v>9</v>
      </c>
    </row>
    <row r="1039" spans="2:10">
      <c r="B1039" s="4">
        <v>215</v>
      </c>
      <c r="C1039" s="4">
        <v>14</v>
      </c>
      <c r="D1039" s="33" t="s">
        <v>803</v>
      </c>
      <c r="E1039" s="25" t="s">
        <v>53</v>
      </c>
      <c r="F1039" s="4">
        <v>21.7</v>
      </c>
      <c r="G1039" s="4">
        <v>206</v>
      </c>
      <c r="H1039" s="4">
        <v>49</v>
      </c>
      <c r="I1039" s="4">
        <v>8</v>
      </c>
      <c r="J1039" s="4">
        <v>3.46</v>
      </c>
    </row>
    <row r="1040" spans="2:10">
      <c r="B1040" s="4">
        <v>215</v>
      </c>
      <c r="C1040" s="4">
        <v>15</v>
      </c>
      <c r="D1040" s="24" t="s">
        <v>804</v>
      </c>
      <c r="E1040" s="25" t="s">
        <v>53</v>
      </c>
      <c r="F1040" s="4">
        <v>31.1</v>
      </c>
      <c r="G1040" s="4">
        <v>156</v>
      </c>
      <c r="H1040" s="4">
        <v>51</v>
      </c>
      <c r="I1040" s="4">
        <v>9.1</v>
      </c>
      <c r="J1040" s="4">
        <v>4.23</v>
      </c>
    </row>
    <row r="1041" spans="2:10">
      <c r="B1041" s="4">
        <v>215</v>
      </c>
      <c r="C1041" s="4">
        <v>16</v>
      </c>
      <c r="D1041" s="24" t="s">
        <v>805</v>
      </c>
      <c r="E1041" s="25" t="s">
        <v>53</v>
      </c>
      <c r="F1041" s="4">
        <v>17</v>
      </c>
      <c r="G1041" s="4">
        <v>148</v>
      </c>
      <c r="H1041" s="4">
        <v>50</v>
      </c>
      <c r="I1041" s="4">
        <v>10</v>
      </c>
      <c r="J1041" s="4">
        <v>4.4</v>
      </c>
    </row>
    <row r="1042" spans="2:10">
      <c r="B1042" s="4">
        <v>215</v>
      </c>
      <c r="C1042" s="4">
        <v>17</v>
      </c>
      <c r="D1042" s="24" t="s">
        <v>806</v>
      </c>
      <c r="E1042" s="25" t="s">
        <v>53</v>
      </c>
      <c r="F1042" s="4">
        <v>17.3</v>
      </c>
      <c r="G1042" s="4">
        <v>187</v>
      </c>
      <c r="H1042" s="4">
        <v>49</v>
      </c>
      <c r="I1042" s="4">
        <v>8.7</v>
      </c>
      <c r="J1042" s="4">
        <v>3.43</v>
      </c>
    </row>
    <row r="1043" spans="2:10">
      <c r="B1043" s="4">
        <v>215</v>
      </c>
      <c r="C1043" s="4">
        <v>18</v>
      </c>
      <c r="D1043" s="24" t="s">
        <v>807</v>
      </c>
      <c r="E1043" s="25" t="s">
        <v>53</v>
      </c>
      <c r="F1043" s="4">
        <v>19.1</v>
      </c>
      <c r="G1043" s="4">
        <v>170</v>
      </c>
      <c r="H1043" s="4">
        <v>47</v>
      </c>
      <c r="I1043" s="4">
        <v>9</v>
      </c>
      <c r="J1043" s="4">
        <v>3.45</v>
      </c>
    </row>
    <row r="1044" spans="2:10">
      <c r="B1044" s="4">
        <v>215</v>
      </c>
      <c r="C1044" s="4">
        <v>19</v>
      </c>
      <c r="D1044" s="24" t="s">
        <v>808</v>
      </c>
      <c r="E1044" s="25" t="s">
        <v>53</v>
      </c>
      <c r="F1044" s="4">
        <v>27.1</v>
      </c>
      <c r="G1044" s="4">
        <v>161</v>
      </c>
      <c r="H1044" s="4">
        <v>51</v>
      </c>
      <c r="I1044" s="4">
        <v>8.3</v>
      </c>
      <c r="J1044" s="4">
        <v>3.4</v>
      </c>
    </row>
    <row r="1045" spans="2:10">
      <c r="B1045" s="4">
        <v>215</v>
      </c>
      <c r="C1045" s="4">
        <v>20</v>
      </c>
      <c r="D1045" s="24" t="s">
        <v>809</v>
      </c>
      <c r="E1045" s="25" t="s">
        <v>53</v>
      </c>
      <c r="F1045" s="4">
        <v>19</v>
      </c>
      <c r="G1045" s="4">
        <v>165</v>
      </c>
      <c r="H1045" s="4">
        <v>30</v>
      </c>
      <c r="I1045" s="4">
        <v>9.4</v>
      </c>
      <c r="J1045" s="4">
        <v>3.45</v>
      </c>
    </row>
    <row r="1046" spans="2:10">
      <c r="B1046" s="4">
        <v>215</v>
      </c>
      <c r="C1046" s="4">
        <v>21</v>
      </c>
      <c r="D1046" s="24" t="s">
        <v>810</v>
      </c>
      <c r="E1046" s="25" t="s">
        <v>53</v>
      </c>
      <c r="F1046" s="4">
        <v>15.6</v>
      </c>
      <c r="G1046" s="4">
        <v>195</v>
      </c>
      <c r="H1046" s="4">
        <v>45</v>
      </c>
      <c r="I1046" s="4">
        <v>8.9</v>
      </c>
      <c r="J1046" s="4">
        <v>4.35</v>
      </c>
    </row>
    <row r="1047" spans="2:10">
      <c r="B1047" s="4">
        <v>215</v>
      </c>
      <c r="C1047" s="4">
        <v>22</v>
      </c>
      <c r="D1047" s="24" t="s">
        <v>811</v>
      </c>
      <c r="E1047" s="25" t="s">
        <v>53</v>
      </c>
      <c r="F1047" s="4">
        <v>15.5</v>
      </c>
      <c r="G1047" s="4">
        <v>144</v>
      </c>
      <c r="H1047" s="4">
        <v>46</v>
      </c>
      <c r="I1047" s="4">
        <v>9.6</v>
      </c>
      <c r="J1047" s="4">
        <v>4.42</v>
      </c>
    </row>
    <row r="1048" spans="2:10">
      <c r="B1048" s="4">
        <v>215</v>
      </c>
      <c r="C1048" s="4">
        <v>23</v>
      </c>
      <c r="D1048" s="24" t="s">
        <v>812</v>
      </c>
      <c r="E1048" s="25" t="s">
        <v>53</v>
      </c>
      <c r="F1048" s="4">
        <v>28.8</v>
      </c>
      <c r="G1048" s="4">
        <v>178</v>
      </c>
      <c r="H1048" s="4">
        <v>44</v>
      </c>
      <c r="I1048" s="4">
        <v>9</v>
      </c>
      <c r="J1048" s="4">
        <v>4.4</v>
      </c>
    </row>
    <row r="1049" customFormat="1" spans="1:11">
      <c r="A1049" s="4"/>
      <c r="B1049" s="4"/>
      <c r="C1049" s="4"/>
      <c r="D1049" s="24"/>
      <c r="E1049" s="25"/>
      <c r="F1049" s="4"/>
      <c r="G1049" s="4"/>
      <c r="H1049" s="4"/>
      <c r="I1049" s="4"/>
      <c r="J1049" s="4"/>
      <c r="K1049" s="4"/>
    </row>
    <row r="1050" customFormat="1" spans="1:11">
      <c r="A1050" s="4"/>
      <c r="B1050" s="4"/>
      <c r="C1050" s="4"/>
      <c r="D1050" s="24"/>
      <c r="E1050" s="25"/>
      <c r="F1050" s="4"/>
      <c r="G1050" s="4"/>
      <c r="H1050" s="4"/>
      <c r="I1050" s="4"/>
      <c r="J1050" s="4"/>
      <c r="K1050" s="4"/>
    </row>
    <row r="1051" s="1" customFormat="1" spans="1:11">
      <c r="A1051" s="33" t="s">
        <v>813</v>
      </c>
      <c r="B1051" s="24" t="s">
        <v>1</v>
      </c>
      <c r="C1051" s="26" t="s">
        <v>2</v>
      </c>
      <c r="D1051" s="27" t="s">
        <v>3</v>
      </c>
      <c r="E1051" s="27" t="s">
        <v>4</v>
      </c>
      <c r="F1051" s="28" t="s">
        <v>5</v>
      </c>
      <c r="G1051" s="28" t="s">
        <v>6</v>
      </c>
      <c r="H1051" s="28" t="s">
        <v>7</v>
      </c>
      <c r="I1051" s="28">
        <v>50</v>
      </c>
      <c r="J1051" s="28" t="s">
        <v>8</v>
      </c>
      <c r="K1051" s="26" t="s">
        <v>9</v>
      </c>
    </row>
    <row r="1052" spans="2:10">
      <c r="B1052" s="4">
        <v>215</v>
      </c>
      <c r="C1052" s="4">
        <v>24</v>
      </c>
      <c r="D1052" s="33" t="s">
        <v>814</v>
      </c>
      <c r="E1052" s="25" t="s">
        <v>53</v>
      </c>
      <c r="F1052" s="4">
        <v>16</v>
      </c>
      <c r="G1052" s="4">
        <v>170</v>
      </c>
      <c r="H1052" s="4">
        <v>43</v>
      </c>
      <c r="I1052" s="4">
        <v>9.5</v>
      </c>
      <c r="J1052" s="4">
        <v>3.42</v>
      </c>
    </row>
    <row r="1053" spans="2:10">
      <c r="B1053" s="4">
        <v>215</v>
      </c>
      <c r="C1053" s="4">
        <v>25</v>
      </c>
      <c r="D1053" s="24" t="s">
        <v>815</v>
      </c>
      <c r="E1053" s="25" t="s">
        <v>53</v>
      </c>
      <c r="F1053" s="4">
        <v>18</v>
      </c>
      <c r="G1053" s="4">
        <v>172</v>
      </c>
      <c r="H1053" s="4">
        <v>52</v>
      </c>
      <c r="I1053" s="4">
        <v>8.9</v>
      </c>
      <c r="J1053" s="4">
        <v>3.38</v>
      </c>
    </row>
    <row r="1054" spans="2:10">
      <c r="B1054" s="4">
        <v>215</v>
      </c>
      <c r="C1054" s="4">
        <v>26</v>
      </c>
      <c r="D1054" s="24" t="s">
        <v>816</v>
      </c>
      <c r="E1054" s="25" t="s">
        <v>53</v>
      </c>
      <c r="F1054" s="4">
        <v>26</v>
      </c>
      <c r="G1054" s="4">
        <v>194</v>
      </c>
      <c r="H1054" s="4">
        <v>50</v>
      </c>
      <c r="I1054" s="4">
        <v>9</v>
      </c>
      <c r="J1054" s="4">
        <v>3.46</v>
      </c>
    </row>
    <row r="1055" spans="2:10">
      <c r="B1055" s="4">
        <v>215</v>
      </c>
      <c r="C1055" s="4">
        <v>27</v>
      </c>
      <c r="D1055" s="24" t="s">
        <v>817</v>
      </c>
      <c r="E1055" s="25" t="s">
        <v>53</v>
      </c>
      <c r="F1055" s="4">
        <v>16</v>
      </c>
      <c r="G1055" s="4">
        <v>205</v>
      </c>
      <c r="H1055" s="4">
        <v>40</v>
      </c>
      <c r="I1055" s="4">
        <v>8.2</v>
      </c>
      <c r="J1055" s="4">
        <v>3.44</v>
      </c>
    </row>
    <row r="1056" spans="2:10">
      <c r="B1056" s="4">
        <v>215</v>
      </c>
      <c r="C1056" s="4">
        <v>28</v>
      </c>
      <c r="D1056" s="24" t="s">
        <v>818</v>
      </c>
      <c r="E1056" s="25" t="s">
        <v>53</v>
      </c>
      <c r="F1056" s="4">
        <v>14</v>
      </c>
      <c r="G1056" s="4">
        <v>180</v>
      </c>
      <c r="H1056" s="4">
        <v>51</v>
      </c>
      <c r="I1056" s="4">
        <v>8.3</v>
      </c>
      <c r="J1056" s="4">
        <v>3.41</v>
      </c>
    </row>
    <row r="1057" spans="2:10">
      <c r="B1057" s="4">
        <v>215</v>
      </c>
      <c r="C1057" s="4">
        <v>29</v>
      </c>
      <c r="D1057" s="24" t="s">
        <v>819</v>
      </c>
      <c r="E1057" s="25" t="s">
        <v>53</v>
      </c>
      <c r="F1057" s="4">
        <v>26</v>
      </c>
      <c r="G1057" s="4">
        <v>140</v>
      </c>
      <c r="H1057" s="4">
        <v>44</v>
      </c>
      <c r="I1057" s="4">
        <v>9.3</v>
      </c>
      <c r="J1057" s="4">
        <v>3.39</v>
      </c>
    </row>
    <row r="1058" spans="2:10">
      <c r="B1058" s="4">
        <v>215</v>
      </c>
      <c r="C1058" s="4">
        <v>30</v>
      </c>
      <c r="D1058" s="24" t="s">
        <v>820</v>
      </c>
      <c r="E1058" s="25" t="s">
        <v>53</v>
      </c>
      <c r="F1058" s="4">
        <v>17</v>
      </c>
      <c r="G1058" s="4">
        <v>173</v>
      </c>
      <c r="H1058" s="4">
        <v>53</v>
      </c>
      <c r="I1058" s="4">
        <v>8.9</v>
      </c>
      <c r="J1058" s="4">
        <v>3.28</v>
      </c>
    </row>
    <row r="1059" spans="2:10">
      <c r="B1059" s="4">
        <v>215</v>
      </c>
      <c r="C1059" s="4">
        <v>31</v>
      </c>
      <c r="D1059" s="24" t="s">
        <v>821</v>
      </c>
      <c r="E1059" s="25" t="s">
        <v>53</v>
      </c>
      <c r="F1059" s="4">
        <v>20</v>
      </c>
      <c r="G1059" s="4">
        <v>186</v>
      </c>
      <c r="H1059" s="4">
        <v>58</v>
      </c>
      <c r="I1059" s="4">
        <v>8.6</v>
      </c>
      <c r="J1059" s="4">
        <v>3.2</v>
      </c>
    </row>
    <row r="1060" spans="2:10">
      <c r="B1060" s="4">
        <v>215</v>
      </c>
      <c r="C1060" s="4">
        <v>32</v>
      </c>
      <c r="D1060" s="24" t="s">
        <v>822</v>
      </c>
      <c r="E1060" s="25" t="s">
        <v>53</v>
      </c>
      <c r="F1060" s="4">
        <v>22.5</v>
      </c>
      <c r="G1060" s="4">
        <v>175</v>
      </c>
      <c r="H1060" s="4">
        <v>51</v>
      </c>
      <c r="J1060" s="4">
        <v>3.47</v>
      </c>
    </row>
    <row r="1061" spans="2:10">
      <c r="B1061" s="4">
        <v>215</v>
      </c>
      <c r="C1061" s="4">
        <v>33</v>
      </c>
      <c r="D1061" s="24" t="s">
        <v>823</v>
      </c>
      <c r="E1061" s="25" t="s">
        <v>53</v>
      </c>
      <c r="F1061" s="4">
        <v>28.5</v>
      </c>
      <c r="G1061" s="4">
        <v>180</v>
      </c>
      <c r="H1061" s="4">
        <v>47</v>
      </c>
      <c r="I1061" s="4">
        <v>8</v>
      </c>
      <c r="J1061" s="4">
        <v>3.23</v>
      </c>
    </row>
    <row r="1062" spans="2:5">
      <c r="B1062" s="4">
        <v>215</v>
      </c>
      <c r="C1062" s="4">
        <v>34</v>
      </c>
      <c r="D1062" s="24" t="s">
        <v>824</v>
      </c>
      <c r="E1062" s="25" t="s">
        <v>53</v>
      </c>
    </row>
    <row r="1063" spans="4:5">
      <c r="D1063" s="24"/>
      <c r="E1063" s="25"/>
    </row>
    <row r="1064" spans="4:5">
      <c r="D1064" s="24"/>
      <c r="E1064" s="25"/>
    </row>
    <row r="1065" spans="4:5">
      <c r="D1065" s="24"/>
      <c r="E1065" s="25"/>
    </row>
    <row r="1066" spans="4:5">
      <c r="D1066" s="24"/>
      <c r="E1066" s="25"/>
    </row>
    <row r="1067" spans="4:5">
      <c r="D1067" s="24"/>
      <c r="E1067" s="25"/>
    </row>
    <row r="1068" spans="4:5">
      <c r="D1068" s="24"/>
      <c r="E1068" s="25"/>
    </row>
    <row r="1069" spans="4:5">
      <c r="D1069" s="24"/>
      <c r="E1069" s="25"/>
    </row>
    <row r="1070" spans="4:5">
      <c r="D1070" s="24"/>
      <c r="E1070" s="25"/>
    </row>
    <row r="1071" spans="4:5">
      <c r="D1071" s="24"/>
      <c r="E1071" s="25"/>
    </row>
    <row r="1073" s="1" customFormat="1" spans="1:11">
      <c r="A1073" s="33" t="s">
        <v>825</v>
      </c>
      <c r="B1073" s="24" t="s">
        <v>1</v>
      </c>
      <c r="C1073" s="26" t="s">
        <v>2</v>
      </c>
      <c r="D1073" s="27" t="s">
        <v>3</v>
      </c>
      <c r="E1073" s="27" t="s">
        <v>4</v>
      </c>
      <c r="F1073" s="28" t="s">
        <v>5</v>
      </c>
      <c r="G1073" s="28" t="s">
        <v>6</v>
      </c>
      <c r="H1073" s="28" t="s">
        <v>7</v>
      </c>
      <c r="I1073" s="28">
        <v>50</v>
      </c>
      <c r="J1073" s="28" t="s">
        <v>8</v>
      </c>
      <c r="K1073" s="26" t="s">
        <v>9</v>
      </c>
    </row>
    <row r="1074" spans="2:10">
      <c r="B1074" s="4">
        <v>215</v>
      </c>
      <c r="C1074" s="4">
        <v>35</v>
      </c>
      <c r="D1074" s="33" t="s">
        <v>192</v>
      </c>
      <c r="E1074" s="25" t="s">
        <v>53</v>
      </c>
      <c r="F1074" s="4">
        <v>7.5</v>
      </c>
      <c r="G1074" s="4">
        <v>165</v>
      </c>
      <c r="H1074" s="4">
        <v>34</v>
      </c>
      <c r="I1074" s="4">
        <v>8.8</v>
      </c>
      <c r="J1074" s="4">
        <v>3.49</v>
      </c>
    </row>
    <row r="1075" spans="2:10">
      <c r="B1075" s="4">
        <v>215</v>
      </c>
      <c r="C1075" s="4">
        <v>36</v>
      </c>
      <c r="D1075" s="24" t="s">
        <v>826</v>
      </c>
      <c r="E1075" s="25" t="s">
        <v>53</v>
      </c>
      <c r="F1075" s="4">
        <v>12</v>
      </c>
      <c r="G1075" s="4">
        <v>200</v>
      </c>
      <c r="H1075" s="4">
        <v>44</v>
      </c>
      <c r="I1075" s="4">
        <v>8.2</v>
      </c>
      <c r="J1075" s="4">
        <v>3.51</v>
      </c>
    </row>
    <row r="1076" spans="2:10">
      <c r="B1076" s="4">
        <v>215</v>
      </c>
      <c r="C1076" s="4">
        <v>37</v>
      </c>
      <c r="D1076" s="24" t="s">
        <v>827</v>
      </c>
      <c r="E1076" s="25" t="s">
        <v>53</v>
      </c>
      <c r="F1076" s="4">
        <v>19.5</v>
      </c>
      <c r="G1076" s="4">
        <v>170</v>
      </c>
      <c r="H1076" s="4">
        <v>48</v>
      </c>
      <c r="I1076" s="4">
        <v>9.1</v>
      </c>
      <c r="J1076" s="4">
        <v>3.47</v>
      </c>
    </row>
    <row r="1077" spans="2:10">
      <c r="B1077" s="4">
        <v>215</v>
      </c>
      <c r="C1077" s="4">
        <v>38</v>
      </c>
      <c r="D1077" s="24" t="s">
        <v>828</v>
      </c>
      <c r="E1077" s="25" t="s">
        <v>53</v>
      </c>
      <c r="F1077" s="4">
        <v>8</v>
      </c>
      <c r="G1077" s="4">
        <v>170</v>
      </c>
      <c r="H1077" s="4">
        <v>45</v>
      </c>
      <c r="I1077" s="4">
        <v>8.3</v>
      </c>
      <c r="J1077" s="4">
        <v>3.59</v>
      </c>
    </row>
    <row r="1078" spans="2:10">
      <c r="B1078" s="4">
        <v>215</v>
      </c>
      <c r="C1078" s="4">
        <v>39</v>
      </c>
      <c r="D1078" s="24" t="s">
        <v>829</v>
      </c>
      <c r="E1078" s="25" t="s">
        <v>53</v>
      </c>
      <c r="F1078" s="4">
        <v>10</v>
      </c>
      <c r="G1078" s="4">
        <v>169</v>
      </c>
      <c r="H1078" s="4">
        <v>50</v>
      </c>
      <c r="I1078" s="4">
        <v>8.9</v>
      </c>
      <c r="J1078" s="4">
        <v>3.38</v>
      </c>
    </row>
    <row r="1079" spans="2:10">
      <c r="B1079" s="4">
        <v>215</v>
      </c>
      <c r="C1079" s="4">
        <v>40</v>
      </c>
      <c r="D1079" s="24" t="s">
        <v>830</v>
      </c>
      <c r="E1079" s="25" t="s">
        <v>53</v>
      </c>
      <c r="F1079" s="4">
        <v>24.5</v>
      </c>
      <c r="G1079" s="4">
        <v>185</v>
      </c>
      <c r="H1079" s="4">
        <v>22</v>
      </c>
      <c r="I1079" s="4">
        <v>8</v>
      </c>
      <c r="J1079" s="4">
        <v>3.59</v>
      </c>
    </row>
    <row r="1080" spans="2:10">
      <c r="B1080" s="4">
        <v>215</v>
      </c>
      <c r="C1080" s="4">
        <v>41</v>
      </c>
      <c r="D1080" s="24" t="s">
        <v>831</v>
      </c>
      <c r="E1080" s="25" t="s">
        <v>53</v>
      </c>
      <c r="F1080" s="4">
        <v>26</v>
      </c>
      <c r="G1080" s="4">
        <v>182</v>
      </c>
      <c r="H1080" s="4">
        <v>40</v>
      </c>
      <c r="I1080" s="4">
        <v>8.6</v>
      </c>
      <c r="J1080" s="4">
        <v>3.46</v>
      </c>
    </row>
    <row r="1081" spans="2:10">
      <c r="B1081" s="4">
        <v>215</v>
      </c>
      <c r="C1081" s="4">
        <v>42</v>
      </c>
      <c r="D1081" s="24" t="s">
        <v>832</v>
      </c>
      <c r="E1081" s="25" t="s">
        <v>53</v>
      </c>
      <c r="F1081" s="4">
        <v>11</v>
      </c>
      <c r="G1081" s="4">
        <v>182</v>
      </c>
      <c r="H1081" s="4">
        <v>53</v>
      </c>
      <c r="I1081" s="4">
        <v>7.9</v>
      </c>
      <c r="J1081" s="4">
        <v>3.23</v>
      </c>
    </row>
    <row r="1082" spans="2:10">
      <c r="B1082" s="4">
        <v>215</v>
      </c>
      <c r="C1082" s="4">
        <v>43</v>
      </c>
      <c r="D1082" s="24" t="s">
        <v>833</v>
      </c>
      <c r="E1082" s="25" t="s">
        <v>53</v>
      </c>
      <c r="F1082" s="4">
        <v>13.5</v>
      </c>
      <c r="G1082" s="4">
        <v>160</v>
      </c>
      <c r="H1082" s="4">
        <v>65</v>
      </c>
      <c r="I1082" s="4">
        <v>9</v>
      </c>
      <c r="J1082" s="4">
        <v>3.26</v>
      </c>
    </row>
    <row r="1083" spans="2:10">
      <c r="B1083" s="4">
        <v>215</v>
      </c>
      <c r="C1083" s="4">
        <v>44</v>
      </c>
      <c r="D1083" s="24" t="s">
        <v>834</v>
      </c>
      <c r="E1083" s="25" t="s">
        <v>53</v>
      </c>
      <c r="F1083" s="4">
        <v>23</v>
      </c>
      <c r="G1083" s="4">
        <v>162</v>
      </c>
      <c r="H1083" s="4">
        <v>55</v>
      </c>
      <c r="I1083" s="4">
        <v>9</v>
      </c>
      <c r="J1083" s="4">
        <v>3.4</v>
      </c>
    </row>
    <row r="1084" spans="2:10">
      <c r="B1084" s="4">
        <v>215</v>
      </c>
      <c r="C1084" s="4">
        <v>45</v>
      </c>
      <c r="D1084" s="24" t="s">
        <v>835</v>
      </c>
      <c r="E1084" s="25" t="s">
        <v>53</v>
      </c>
      <c r="F1084" s="4">
        <v>17</v>
      </c>
      <c r="G1084" s="4">
        <v>158</v>
      </c>
      <c r="H1084" s="4">
        <v>50</v>
      </c>
      <c r="I1084" s="4">
        <v>9</v>
      </c>
      <c r="J1084" s="4">
        <v>3.4</v>
      </c>
    </row>
    <row r="1086" s="1" customFormat="1" spans="1:11">
      <c r="A1086" s="33" t="s">
        <v>836</v>
      </c>
      <c r="B1086" s="24" t="s">
        <v>1</v>
      </c>
      <c r="C1086" s="26" t="s">
        <v>2</v>
      </c>
      <c r="D1086" s="27" t="s">
        <v>3</v>
      </c>
      <c r="E1086" s="27" t="s">
        <v>4</v>
      </c>
      <c r="F1086" s="28" t="s">
        <v>5</v>
      </c>
      <c r="G1086" s="28" t="s">
        <v>6</v>
      </c>
      <c r="H1086" s="28" t="s">
        <v>7</v>
      </c>
      <c r="I1086" s="28">
        <v>50</v>
      </c>
      <c r="J1086" s="28" t="s">
        <v>8</v>
      </c>
      <c r="K1086" s="26" t="s">
        <v>9</v>
      </c>
    </row>
    <row r="1087" spans="2:10">
      <c r="B1087" s="4">
        <v>215</v>
      </c>
      <c r="C1087" s="4">
        <v>46</v>
      </c>
      <c r="D1087" s="33" t="s">
        <v>837</v>
      </c>
      <c r="E1087" s="25" t="s">
        <v>53</v>
      </c>
      <c r="F1087" s="4">
        <v>22.2</v>
      </c>
      <c r="G1087" s="4">
        <v>180</v>
      </c>
      <c r="H1087" s="4">
        <v>40</v>
      </c>
      <c r="I1087" s="4">
        <v>8.8</v>
      </c>
      <c r="J1087" s="4">
        <v>3.45</v>
      </c>
    </row>
    <row r="1088" spans="2:10">
      <c r="B1088" s="4">
        <v>215</v>
      </c>
      <c r="C1088" s="4">
        <v>47</v>
      </c>
      <c r="D1088" s="24" t="s">
        <v>838</v>
      </c>
      <c r="E1088" s="25" t="s">
        <v>53</v>
      </c>
      <c r="F1088" s="4">
        <v>20.4</v>
      </c>
      <c r="G1088" s="4">
        <v>205</v>
      </c>
      <c r="H1088" s="4">
        <v>53</v>
      </c>
      <c r="I1088" s="4">
        <v>8.3</v>
      </c>
      <c r="J1088" s="4">
        <v>3.44</v>
      </c>
    </row>
    <row r="1089" spans="2:10">
      <c r="B1089" s="4">
        <v>215</v>
      </c>
      <c r="C1089" s="4">
        <v>48</v>
      </c>
      <c r="D1089" s="24" t="s">
        <v>839</v>
      </c>
      <c r="E1089" s="25" t="s">
        <v>53</v>
      </c>
      <c r="F1089" s="4">
        <v>7</v>
      </c>
      <c r="G1089" s="4">
        <v>159</v>
      </c>
      <c r="H1089" s="4">
        <v>38</v>
      </c>
      <c r="I1089" s="4">
        <v>9.4</v>
      </c>
      <c r="J1089" s="4">
        <v>4.1</v>
      </c>
    </row>
    <row r="1090" spans="2:10">
      <c r="B1090" s="4">
        <v>215</v>
      </c>
      <c r="C1090" s="4">
        <v>49</v>
      </c>
      <c r="D1090" s="24" t="s">
        <v>840</v>
      </c>
      <c r="E1090" s="25" t="s">
        <v>53</v>
      </c>
      <c r="F1090" s="4">
        <v>21.5</v>
      </c>
      <c r="G1090" s="4">
        <v>166</v>
      </c>
      <c r="H1090" s="4">
        <v>44</v>
      </c>
      <c r="I1090" s="4">
        <v>8.3</v>
      </c>
      <c r="J1090" s="4">
        <v>4.05</v>
      </c>
    </row>
    <row r="1091" spans="2:10">
      <c r="B1091" s="4">
        <v>215</v>
      </c>
      <c r="C1091" s="4">
        <v>50</v>
      </c>
      <c r="D1091" s="24" t="s">
        <v>841</v>
      </c>
      <c r="E1091" s="25" t="s">
        <v>53</v>
      </c>
      <c r="F1091" s="4">
        <v>24</v>
      </c>
      <c r="G1091" s="4">
        <v>134</v>
      </c>
      <c r="H1091" s="4">
        <v>45</v>
      </c>
      <c r="I1091" s="4">
        <v>9.3</v>
      </c>
      <c r="J1091" s="4">
        <v>4.17</v>
      </c>
    </row>
    <row r="1092" spans="2:11">
      <c r="B1092" s="4">
        <v>215</v>
      </c>
      <c r="C1092" s="4">
        <v>51</v>
      </c>
      <c r="D1092" s="24" t="s">
        <v>842</v>
      </c>
      <c r="E1092" s="25" t="s">
        <v>53</v>
      </c>
      <c r="K1092" s="4" t="s">
        <v>617</v>
      </c>
    </row>
    <row r="1093" spans="2:10">
      <c r="B1093" s="4">
        <v>215</v>
      </c>
      <c r="C1093" s="4">
        <v>52</v>
      </c>
      <c r="D1093" s="24" t="s">
        <v>843</v>
      </c>
      <c r="E1093" s="25" t="s">
        <v>53</v>
      </c>
      <c r="F1093" s="4">
        <v>25</v>
      </c>
      <c r="G1093" s="4">
        <v>174</v>
      </c>
      <c r="H1093" s="4">
        <v>51</v>
      </c>
      <c r="I1093" s="4">
        <v>8.2</v>
      </c>
      <c r="J1093" s="4">
        <v>3.24</v>
      </c>
    </row>
    <row r="1094" spans="2:10">
      <c r="B1094" s="4">
        <v>215</v>
      </c>
      <c r="C1094" s="4">
        <v>53</v>
      </c>
      <c r="D1094" s="24" t="s">
        <v>844</v>
      </c>
      <c r="E1094" s="25" t="s">
        <v>53</v>
      </c>
      <c r="F1094" s="4">
        <v>11.8</v>
      </c>
      <c r="G1094" s="4">
        <v>174</v>
      </c>
      <c r="H1094" s="4">
        <v>56</v>
      </c>
      <c r="I1094" s="4">
        <v>8.6</v>
      </c>
      <c r="J1094" s="4">
        <v>3.5</v>
      </c>
    </row>
    <row r="1095" spans="2:10">
      <c r="B1095" s="4">
        <v>215</v>
      </c>
      <c r="C1095" s="4">
        <v>54</v>
      </c>
      <c r="D1095" s="24" t="s">
        <v>845</v>
      </c>
      <c r="E1095" s="25" t="s">
        <v>53</v>
      </c>
      <c r="F1095" s="4">
        <v>13.5</v>
      </c>
      <c r="G1095" s="4">
        <v>180</v>
      </c>
      <c r="H1095" s="4">
        <v>42</v>
      </c>
      <c r="I1095" s="4">
        <v>8.7</v>
      </c>
      <c r="J1095" s="4">
        <v>3.5</v>
      </c>
    </row>
    <row r="1096" spans="2:10">
      <c r="B1096" s="4">
        <v>215</v>
      </c>
      <c r="C1096" s="4">
        <v>55</v>
      </c>
      <c r="D1096" s="24" t="s">
        <v>846</v>
      </c>
      <c r="E1096" s="25" t="s">
        <v>53</v>
      </c>
      <c r="F1096" s="4">
        <v>19.8</v>
      </c>
      <c r="G1096" s="4">
        <v>140</v>
      </c>
      <c r="H1096" s="4">
        <v>49</v>
      </c>
      <c r="I1096" s="4">
        <v>9.3</v>
      </c>
      <c r="J1096" s="4">
        <v>3.53</v>
      </c>
    </row>
    <row r="1097" spans="2:10">
      <c r="B1097" s="4">
        <v>215</v>
      </c>
      <c r="C1097" s="4">
        <v>56</v>
      </c>
      <c r="D1097" s="24" t="s">
        <v>571</v>
      </c>
      <c r="E1097" s="25" t="s">
        <v>53</v>
      </c>
      <c r="F1097" s="4">
        <v>21</v>
      </c>
      <c r="G1097" s="4">
        <v>160</v>
      </c>
      <c r="H1097" s="4">
        <v>45</v>
      </c>
      <c r="I1097" s="4">
        <v>8.5</v>
      </c>
      <c r="J1097" s="4">
        <v>3.42</v>
      </c>
    </row>
  </sheetData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1025"/>
  <sheetViews>
    <sheetView tabSelected="1" topLeftCell="H1" workbookViewId="0">
      <selection activeCell="H552" sqref="$A552:$XFD552"/>
    </sheetView>
  </sheetViews>
  <sheetFormatPr defaultColWidth="9" defaultRowHeight="14.4"/>
  <cols>
    <col min="1" max="3" width="9" style="4"/>
    <col min="4" max="22" width="12.3796296296296" style="4" customWidth="1"/>
    <col min="23" max="23" width="9" style="5"/>
    <col min="24" max="24" width="12.8888888888889" style="5"/>
    <col min="25" max="16384" width="9" style="5"/>
  </cols>
  <sheetData>
    <row r="1" s="1" customFormat="1" spans="1:24">
      <c r="A1" s="24" t="s">
        <v>1</v>
      </c>
      <c r="B1" s="27" t="s">
        <v>3</v>
      </c>
      <c r="C1" s="27" t="s">
        <v>4</v>
      </c>
      <c r="D1" s="28" t="s">
        <v>5</v>
      </c>
      <c r="E1" s="31" t="s">
        <v>847</v>
      </c>
      <c r="F1" s="28" t="s">
        <v>6</v>
      </c>
      <c r="G1" s="31" t="s">
        <v>847</v>
      </c>
      <c r="H1" s="28" t="s">
        <v>7</v>
      </c>
      <c r="I1" s="31" t="s">
        <v>847</v>
      </c>
      <c r="J1" s="28" t="s">
        <v>848</v>
      </c>
      <c r="K1" s="31" t="s">
        <v>849</v>
      </c>
      <c r="L1" s="31" t="s">
        <v>850</v>
      </c>
      <c r="M1" s="28">
        <v>50</v>
      </c>
      <c r="N1" s="28" t="s">
        <v>851</v>
      </c>
      <c r="O1" s="31" t="s">
        <v>847</v>
      </c>
      <c r="P1" s="28" t="s">
        <v>8</v>
      </c>
      <c r="Q1" s="26" t="s">
        <v>851</v>
      </c>
      <c r="R1" s="36" t="s">
        <v>847</v>
      </c>
      <c r="S1" s="26" t="s">
        <v>852</v>
      </c>
      <c r="T1" s="26" t="s">
        <v>849</v>
      </c>
      <c r="U1" s="36" t="s">
        <v>850</v>
      </c>
      <c r="V1" s="26" t="s">
        <v>9</v>
      </c>
      <c r="W1" s="37" t="s">
        <v>853</v>
      </c>
      <c r="X1" s="38" t="s">
        <v>854</v>
      </c>
    </row>
    <row r="2" ht="15.6" hidden="1" spans="1:24">
      <c r="A2" s="4">
        <v>202</v>
      </c>
      <c r="B2" s="24" t="s">
        <v>91</v>
      </c>
      <c r="C2" s="25" t="s">
        <v>11</v>
      </c>
      <c r="D2" s="4">
        <v>17</v>
      </c>
      <c r="E2" s="32">
        <f>LOOKUP(D2,{0,-2.9,-1.9,-0.9,0.1,1.1,2.1,3.5,4.9,6.3,7.7,9.1,10.5,11.9,13.3,14.7,16.1,18.3,20.5,22.4,24.3},{0,10,20,30,40,50,60,62,64,66,68,70,72,74,76,78,80,85,90,95,100})</f>
        <v>80</v>
      </c>
      <c r="F2" s="4">
        <v>278</v>
      </c>
      <c r="G2" s="32">
        <f>LOOKUP(F2,{0,175,180,185,190,195,200,204,208,212,216,220,224,228,232,236,240,248,255,260,265},{0,10,20,30,40,50,60,62,64,66,68,70,72,74,76,78,80,85,90,95,100})</f>
        <v>100</v>
      </c>
      <c r="H2" s="4">
        <v>7</v>
      </c>
      <c r="I2" s="32">
        <f>LOOKUP(H2,{0,3,4,5,6,7,8,9,10,11,12,13,14,15,16,17},{0,10,20,30,40,50,60,64,68,72,76,80,85,90,95,100})</f>
        <v>50</v>
      </c>
      <c r="L2" s="4">
        <f t="shared" ref="L2:L65" si="0">I2+K2</f>
        <v>50</v>
      </c>
      <c r="M2" s="4">
        <v>6.5</v>
      </c>
      <c r="N2" s="4">
        <f t="shared" ref="N2:N51" si="1">12-M2</f>
        <v>5.5</v>
      </c>
      <c r="O2" s="32">
        <f>LOOKUP(N2,{0,1.6,1.8,2,2.2,2.4,2.6,2.8,3,3.2,3.4,3.6,3.8,4,4.2,4.4,4.6,4.7,4.8,4.9,5},{0,10,20,30,40,50,60,62,64,66,68,70,72,74,76,78,80,85,90,95,100})</f>
        <v>100</v>
      </c>
      <c r="P2" s="4">
        <v>2.55</v>
      </c>
      <c r="Q2" s="4">
        <f t="shared" ref="Q2:Q65" si="2">10-P2</f>
        <v>7.45</v>
      </c>
      <c r="R2" s="32">
        <f>LOOKUP(Q2,{0,3.8,4,4.6,4.8,5,5.6,5.65,5.7,5.75,5.8,5.85,5.9,5.95,6,6.45,6.5,6.58,6.65,6.7,6.75},{0,10,20,30,40,50,60,62,64,66,68,70,72,74,76,78,80,85,90,95,100})</f>
        <v>100</v>
      </c>
      <c r="S2" s="4">
        <f t="shared" ref="S2:S37" si="3">3.25-P2</f>
        <v>0.7</v>
      </c>
      <c r="T2" s="32">
        <f>LOOKUP(S2,{0,0.04,0.08,0.12,0.16,0.2,0.23,0.26,0.29,0.32,0.35},{0,1,2,3,4,5,6,7,8,9,10})</f>
        <v>10</v>
      </c>
      <c r="U2" s="4">
        <f t="shared" ref="U2:U65" si="4">R2+T2</f>
        <v>110</v>
      </c>
      <c r="W2" s="5">
        <f t="shared" ref="W2:W65" si="5">E2*0.1+G2*0.1+I2*0.1+O2*0.2+R2*0.2</f>
        <v>63</v>
      </c>
      <c r="X2" s="20">
        <f t="shared" ref="X2:X65" si="6">W2/0.7+K2+T2</f>
        <v>100</v>
      </c>
    </row>
    <row r="3" ht="15.6" hidden="1" spans="1:24">
      <c r="A3" s="4">
        <v>215</v>
      </c>
      <c r="B3" s="24" t="s">
        <v>799</v>
      </c>
      <c r="C3" s="25" t="s">
        <v>11</v>
      </c>
      <c r="D3" s="4">
        <v>8.3</v>
      </c>
      <c r="E3" s="32">
        <f>LOOKUP(D3,{0,-2.9,-1.9,-0.9,0.1,1.1,2.1,3.5,4.9,6.3,7.7,9.1,10.5,11.9,13.3,14.7,16.1,18.3,20.5,22.4,24.3},{0,10,20,30,40,50,60,62,64,66,68,70,72,74,76,78,80,85,90,95,100})</f>
        <v>68</v>
      </c>
      <c r="F3" s="4">
        <v>249</v>
      </c>
      <c r="G3" s="32">
        <f>LOOKUP(F3,{0,175,180,185,190,195,200,204,208,212,216,220,224,228,232,236,240,248,255,260,265},{0,10,20,30,40,50,60,62,64,66,68,70,72,74,76,78,80,85,90,95,100})</f>
        <v>85</v>
      </c>
      <c r="H3" s="4">
        <v>17</v>
      </c>
      <c r="I3" s="32">
        <f>LOOKUP(H3,{0,3,4,5,6,7,8,9,10,11,12,13,14,15,16,17},{0,10,20,30,40,50,60,64,68,72,76,80,85,90,95,100})</f>
        <v>100</v>
      </c>
      <c r="J3" s="4">
        <f>H3-17</f>
        <v>0</v>
      </c>
      <c r="K3" s="34">
        <f>LOOKUP(J3,{0,1,2,3,4,5,6,7,8,9,10},{0,1,2,3,4,5,6,7,8,9,10})</f>
        <v>0</v>
      </c>
      <c r="L3" s="4">
        <f t="shared" si="0"/>
        <v>100</v>
      </c>
      <c r="M3" s="4">
        <v>6.6</v>
      </c>
      <c r="N3" s="4">
        <f t="shared" si="1"/>
        <v>5.4</v>
      </c>
      <c r="O3" s="32">
        <f>LOOKUP(N3,{0,1.6,1.8,2,2.2,2.4,2.6,2.8,3,3.2,3.4,3.6,3.8,4,4.2,4.4,4.6,4.7,4.8,4.9,5},{0,10,20,30,40,50,60,62,64,66,68,70,72,74,76,78,80,85,90,95,100})</f>
        <v>100</v>
      </c>
      <c r="P3" s="4">
        <v>3.04</v>
      </c>
      <c r="Q3" s="4">
        <f t="shared" si="2"/>
        <v>6.96</v>
      </c>
      <c r="R3" s="32">
        <f>LOOKUP(Q3,{0,3.8,4,4.6,4.8,5,5.6,5.65,5.7,5.75,5.8,5.85,5.9,5.95,6,6.45,6.5,6.58,6.65,6.7,6.75},{0,10,20,30,40,50,60,62,64,66,68,70,72,74,76,78,80,85,90,95,100})</f>
        <v>100</v>
      </c>
      <c r="S3" s="4">
        <f t="shared" si="3"/>
        <v>0.21</v>
      </c>
      <c r="T3" s="32">
        <f>LOOKUP(S3,{0,0.04,0.08,0.12,0.16,0.2,0.23,0.26,0.29,0.32,0.35},{0,1,2,3,4,5,6,7,8,9,10})</f>
        <v>5</v>
      </c>
      <c r="U3" s="4">
        <f t="shared" si="4"/>
        <v>105</v>
      </c>
      <c r="W3" s="5">
        <f t="shared" si="5"/>
        <v>65.3</v>
      </c>
      <c r="X3" s="20">
        <f t="shared" si="6"/>
        <v>98.2857142857143</v>
      </c>
    </row>
    <row r="4" ht="15.6" hidden="1" spans="1:24">
      <c r="A4" s="4">
        <v>201</v>
      </c>
      <c r="B4" s="24" t="s">
        <v>40</v>
      </c>
      <c r="C4" s="25" t="s">
        <v>11</v>
      </c>
      <c r="D4" s="4">
        <v>13.5</v>
      </c>
      <c r="E4" s="32">
        <f>LOOKUP(D4,{0,-2.9,-1.9,-0.9,0.1,1.1,2.1,3.5,4.9,6.3,7.7,9.1,10.5,11.9,13.3,14.7,16.1,18.3,20.5,22.4,24.3},{0,10,20,30,40,50,60,62,64,66,68,70,72,74,76,78,80,85,90,95,100})</f>
        <v>76</v>
      </c>
      <c r="F4" s="4">
        <v>272</v>
      </c>
      <c r="G4" s="32">
        <f>LOOKUP(F4,{0,175,180,185,190,195,200,204,208,212,216,220,224,228,232,236,240,248,255,260,265},{0,10,20,30,40,50,60,62,64,66,68,70,72,74,76,78,80,85,90,95,100})</f>
        <v>100</v>
      </c>
      <c r="H4" s="4">
        <v>27</v>
      </c>
      <c r="I4" s="32">
        <f>LOOKUP(H4,{0,3,4,5,6,7,8,9,10,11,12,13,14,15,16,17},{0,10,20,30,40,50,60,64,68,72,76,80,85,90,95,100})</f>
        <v>100</v>
      </c>
      <c r="J4" s="4">
        <f>H4-17</f>
        <v>10</v>
      </c>
      <c r="K4" s="32">
        <f>LOOKUP(J4,{0,1,2,3,4,5,6,7,8,9,10},{0,1,2,3,4,5,6,7,8,9,10})</f>
        <v>10</v>
      </c>
      <c r="L4" s="4">
        <f t="shared" si="0"/>
        <v>110</v>
      </c>
      <c r="M4" s="4">
        <v>6.5</v>
      </c>
      <c r="N4" s="4">
        <f t="shared" si="1"/>
        <v>5.5</v>
      </c>
      <c r="O4" s="32">
        <f>LOOKUP(N4,{0,1.6,1.8,2,2.2,2.4,2.6,2.8,3,3.2,3.4,3.6,3.8,4,4.2,4.4,4.6,4.7,4.8,4.9,5},{0,10,20,30,40,50,60,62,64,66,68,70,72,74,76,78,80,85,90,95,100})</f>
        <v>100</v>
      </c>
      <c r="P4" s="4">
        <v>3.06</v>
      </c>
      <c r="Q4" s="4">
        <f t="shared" si="2"/>
        <v>6.94</v>
      </c>
      <c r="R4" s="32">
        <f>LOOKUP(Q4,{0,3.8,4,4.6,4.8,5,5.6,5.65,5.7,5.75,5.8,5.85,5.9,5.95,6,6.45,6.5,6.58,6.65,6.7,6.75},{0,10,20,30,40,50,60,62,64,66,68,70,72,74,76,78,80,85,90,95,100})</f>
        <v>100</v>
      </c>
      <c r="S4" s="4">
        <f t="shared" si="3"/>
        <v>0.19</v>
      </c>
      <c r="T4" s="32">
        <f>LOOKUP(S4,{0,0.04,0.08,0.12,0.16,0.2,0.23,0.26,0.29,0.32,0.35},{0,1,2,3,4,5,6,7,8,9,10})</f>
        <v>4</v>
      </c>
      <c r="U4" s="4">
        <f t="shared" si="4"/>
        <v>104</v>
      </c>
      <c r="W4" s="5">
        <f t="shared" si="5"/>
        <v>67.6</v>
      </c>
      <c r="X4" s="20">
        <f t="shared" si="6"/>
        <v>110.571428571429</v>
      </c>
    </row>
    <row r="5" ht="15.6" hidden="1" spans="1:24">
      <c r="A5" s="4">
        <v>213</v>
      </c>
      <c r="B5" s="24" t="s">
        <v>667</v>
      </c>
      <c r="C5" s="25" t="s">
        <v>11</v>
      </c>
      <c r="D5" s="4">
        <v>13.5</v>
      </c>
      <c r="E5" s="32">
        <f>LOOKUP(D5,{0,-2.9,-1.9,-0.9,0.1,1.1,2.1,3.5,4.9,6.3,7.7,9.1,10.5,11.9,13.3,14.7,16.1,18.3,20.5,22.4,24.3},{0,10,20,30,40,50,60,62,64,66,68,70,72,74,76,78,80,85,90,95,100})</f>
        <v>76</v>
      </c>
      <c r="F5" s="4">
        <v>241</v>
      </c>
      <c r="G5" s="32">
        <f>LOOKUP(F5,{0,175,180,185,190,195,200,204,208,212,216,220,224,228,232,236,240,248,255,260,265},{0,10,20,30,40,50,60,62,64,66,68,70,72,74,76,78,80,85,90,95,100})</f>
        <v>80</v>
      </c>
      <c r="H5" s="4">
        <v>28</v>
      </c>
      <c r="I5" s="32">
        <f>LOOKUP(H5,{0,3,4,5,6,7,8,9,10,11,12,13,14,15,16,17},{0,10,20,30,40,50,60,64,68,72,76,80,85,90,95,100})</f>
        <v>100</v>
      </c>
      <c r="J5" s="4">
        <f>H5-17</f>
        <v>11</v>
      </c>
      <c r="K5" s="32">
        <f>LOOKUP(J5,{0,1,2,3,4,5,6,7,8,9,10},{0,1,2,3,4,5,6,7,8,9,10})</f>
        <v>10</v>
      </c>
      <c r="L5" s="4">
        <f t="shared" si="0"/>
        <v>110</v>
      </c>
      <c r="M5" s="4">
        <v>7</v>
      </c>
      <c r="N5" s="4">
        <f t="shared" si="1"/>
        <v>5</v>
      </c>
      <c r="O5" s="32">
        <f>LOOKUP(N5,{0,1.6,1.8,2,2.2,2.4,2.6,2.8,3,3.2,3.4,3.6,3.8,4,4.2,4.4,4.6,4.7,4.8,4.9,5},{0,10,20,30,40,50,60,62,64,66,68,70,72,74,76,78,80,85,90,95,100})</f>
        <v>100</v>
      </c>
      <c r="P5" s="4">
        <v>3.06</v>
      </c>
      <c r="Q5" s="4">
        <f t="shared" si="2"/>
        <v>6.94</v>
      </c>
      <c r="R5" s="32">
        <f>LOOKUP(Q5,{0,3.8,4,4.6,4.8,5,5.6,5.65,5.7,5.75,5.8,5.85,5.9,5.95,6,6.45,6.5,6.58,6.65,6.7,6.75},{0,10,20,30,40,50,60,62,64,66,68,70,72,74,76,78,80,85,90,95,100})</f>
        <v>100</v>
      </c>
      <c r="S5" s="4">
        <f t="shared" si="3"/>
        <v>0.19</v>
      </c>
      <c r="T5" s="32">
        <f>LOOKUP(S5,{0,0.04,0.08,0.12,0.16,0.2,0.23,0.26,0.29,0.32,0.35},{0,1,2,3,4,5,6,7,8,9,10})</f>
        <v>4</v>
      </c>
      <c r="U5" s="4">
        <f t="shared" si="4"/>
        <v>104</v>
      </c>
      <c r="W5" s="5">
        <f t="shared" si="5"/>
        <v>65.6</v>
      </c>
      <c r="X5" s="20">
        <f t="shared" si="6"/>
        <v>107.714285714286</v>
      </c>
    </row>
    <row r="6" ht="15.6" hidden="1" spans="1:24">
      <c r="A6" s="4">
        <v>209</v>
      </c>
      <c r="B6" s="24" t="s">
        <v>475</v>
      </c>
      <c r="C6" s="25" t="s">
        <v>11</v>
      </c>
      <c r="D6" s="4">
        <v>16.3</v>
      </c>
      <c r="E6" s="32">
        <f>LOOKUP(D6,{0,-2.9,-1.9,-0.9,0.1,1.1,2.1,3.5,4.9,6.3,7.7,9.1,10.5,11.9,13.3,14.7,16.1,18.3,20.5,22.4,24.3},{0,10,20,30,40,50,60,62,64,66,68,70,72,74,76,78,80,85,90,95,100})</f>
        <v>80</v>
      </c>
      <c r="F6" s="4">
        <v>255</v>
      </c>
      <c r="G6" s="32">
        <f>LOOKUP(F6,{0,175,180,185,190,195,200,204,208,212,216,220,224,228,232,236,240,248,255,260,265},{0,10,20,30,40,50,60,62,64,66,68,70,72,74,76,78,80,85,90,95,100})</f>
        <v>90</v>
      </c>
      <c r="H6" s="4">
        <v>26</v>
      </c>
      <c r="I6" s="32">
        <f>LOOKUP(H6,{0,3,4,5,6,7,8,9,10,11,12,13,14,15,16,17},{0,10,20,30,40,50,60,64,68,72,76,80,85,90,95,100})</f>
        <v>100</v>
      </c>
      <c r="J6" s="4">
        <f>H6-17</f>
        <v>9</v>
      </c>
      <c r="K6" s="32">
        <f>LOOKUP(J6,{0,1,2,3,4,5,6,7,8,9,10},{0,1,2,3,4,5,6,7,8,9,10})</f>
        <v>9</v>
      </c>
      <c r="L6" s="4">
        <f t="shared" si="0"/>
        <v>109</v>
      </c>
      <c r="M6" s="4">
        <v>6.8</v>
      </c>
      <c r="N6" s="4">
        <f t="shared" si="1"/>
        <v>5.2</v>
      </c>
      <c r="O6" s="32">
        <f>LOOKUP(N6,{0,1.6,1.8,2,2.2,2.4,2.6,2.8,3,3.2,3.4,3.6,3.8,4,4.2,4.4,4.6,4.7,4.8,4.9,5},{0,10,20,30,40,50,60,62,64,66,68,70,72,74,76,78,80,85,90,95,100})</f>
        <v>100</v>
      </c>
      <c r="P6" s="4">
        <v>3.07</v>
      </c>
      <c r="Q6" s="4">
        <f t="shared" si="2"/>
        <v>6.93</v>
      </c>
      <c r="R6" s="32">
        <f>LOOKUP(Q6,{0,3.8,4,4.6,4.8,5,5.6,5.65,5.7,5.75,5.8,5.85,5.9,5.95,6,6.45,6.5,6.58,6.65,6.7,6.75},{0,10,20,30,40,50,60,62,64,66,68,70,72,74,76,78,80,85,90,95,100})</f>
        <v>100</v>
      </c>
      <c r="S6" s="4">
        <f t="shared" si="3"/>
        <v>0.18</v>
      </c>
      <c r="T6" s="32">
        <f>LOOKUP(S6,{0,0.04,0.08,0.12,0.16,0.2,0.23,0.26,0.29,0.32,0.35},{0,1,2,3,4,5,6,7,8,9,10})</f>
        <v>4</v>
      </c>
      <c r="U6" s="4">
        <f t="shared" si="4"/>
        <v>104</v>
      </c>
      <c r="W6" s="5">
        <f t="shared" si="5"/>
        <v>67</v>
      </c>
      <c r="X6" s="20">
        <f t="shared" si="6"/>
        <v>108.714285714286</v>
      </c>
    </row>
    <row r="7" ht="15.6" hidden="1" spans="1:24">
      <c r="A7" s="4">
        <v>203</v>
      </c>
      <c r="B7" s="33" t="s">
        <v>125</v>
      </c>
      <c r="C7" s="25" t="s">
        <v>11</v>
      </c>
      <c r="D7" s="4">
        <v>15.4</v>
      </c>
      <c r="E7" s="32">
        <f>LOOKUP(D7,{0,-2.9,-1.9,-0.9,0.1,1.1,2.1,3.5,4.9,6.3,7.7,9.1,10.5,11.9,13.3,14.7,16.1,18.3,20.5,22.4,24.3},{0,10,20,30,40,50,60,62,64,66,68,70,72,74,76,78,80,85,90,95,100})</f>
        <v>78</v>
      </c>
      <c r="F7" s="4">
        <v>253</v>
      </c>
      <c r="G7" s="32">
        <f>LOOKUP(F7,{0,175,180,185,190,195,200,204,208,212,216,220,224,228,232,236,240,248,255,260,265},{0,10,20,30,40,50,60,62,64,66,68,70,72,74,76,78,80,85,90,95,100})</f>
        <v>85</v>
      </c>
      <c r="H7" s="4">
        <v>5</v>
      </c>
      <c r="I7" s="32">
        <f>LOOKUP(H7,{0,3,4,5,6,7,8,9,10,11,12,13,14,15,16,17},{0,10,20,30,40,50,60,64,68,72,76,80,85,90,95,100})</f>
        <v>30</v>
      </c>
      <c r="L7" s="4">
        <f t="shared" si="0"/>
        <v>30</v>
      </c>
      <c r="M7" s="4">
        <v>6.6</v>
      </c>
      <c r="N7" s="4">
        <f t="shared" si="1"/>
        <v>5.4</v>
      </c>
      <c r="O7" s="32">
        <f>LOOKUP(N7,{0,1.6,1.8,2,2.2,2.4,2.6,2.8,3,3.2,3.4,3.6,3.8,4,4.2,4.4,4.6,4.7,4.8,4.9,5},{0,10,20,30,40,50,60,62,64,66,68,70,72,74,76,78,80,85,90,95,100})</f>
        <v>100</v>
      </c>
      <c r="P7" s="4">
        <v>3.11</v>
      </c>
      <c r="Q7" s="4">
        <f t="shared" si="2"/>
        <v>6.89</v>
      </c>
      <c r="R7" s="32">
        <f>LOOKUP(Q7,{0,3.8,4,4.6,4.8,5,5.6,5.65,5.7,5.75,5.8,5.85,5.9,5.95,6,6.45,6.5,6.58,6.65,6.7,6.75},{0,10,20,30,40,50,60,62,64,66,68,70,72,74,76,78,80,85,90,95,100})</f>
        <v>100</v>
      </c>
      <c r="S7" s="4">
        <f t="shared" si="3"/>
        <v>0.14</v>
      </c>
      <c r="T7" s="32">
        <f>LOOKUP(S7,{0,0.04,0.08,0.12,0.16,0.2,0.23,0.26,0.29,0.32,0.35},{0,1,2,3,4,5,6,7,8,9,10})</f>
        <v>3</v>
      </c>
      <c r="U7" s="4">
        <f t="shared" si="4"/>
        <v>103</v>
      </c>
      <c r="W7" s="5">
        <f t="shared" si="5"/>
        <v>59.3</v>
      </c>
      <c r="X7" s="20">
        <f t="shared" si="6"/>
        <v>87.7142857142857</v>
      </c>
    </row>
    <row r="8" ht="15.6" hidden="1" spans="1:24">
      <c r="A8" s="4">
        <v>210</v>
      </c>
      <c r="B8" s="24" t="s">
        <v>528</v>
      </c>
      <c r="C8" s="25" t="s">
        <v>11</v>
      </c>
      <c r="D8" s="4">
        <v>25</v>
      </c>
      <c r="E8" s="32">
        <f>LOOKUP(D8,{0,-2.9,-1.9,-0.9,0.1,1.1,2.1,3.5,4.9,6.3,7.7,9.1,10.5,11.9,13.3,14.7,16.1,18.3,20.5,22.4,24.3},{0,10,20,30,40,50,60,62,64,66,68,70,72,74,76,78,80,85,90,95,100})</f>
        <v>100</v>
      </c>
      <c r="F8" s="4">
        <v>216</v>
      </c>
      <c r="G8" s="32">
        <f>LOOKUP(F8,{0,175,180,185,190,195,200,204,208,212,216,220,224,228,232,236,240,248,255,260,265},{0,10,20,30,40,50,60,62,64,66,68,70,72,74,76,78,80,85,90,95,100})</f>
        <v>68</v>
      </c>
      <c r="H8" s="4">
        <v>1</v>
      </c>
      <c r="I8" s="32">
        <f>LOOKUP(H8,{0,3,4,5,6,7,8,9,10,11,12,13,14,15,16,17},{0,10,20,30,40,50,60,64,68,72,76,80,85,90,95,100})</f>
        <v>0</v>
      </c>
      <c r="L8" s="4">
        <f t="shared" si="0"/>
        <v>0</v>
      </c>
      <c r="M8" s="4">
        <v>6.8</v>
      </c>
      <c r="N8" s="4">
        <f t="shared" si="1"/>
        <v>5.2</v>
      </c>
      <c r="O8" s="32">
        <f>LOOKUP(N8,{0,1.6,1.8,2,2.2,2.4,2.6,2.8,3,3.2,3.4,3.6,3.8,4,4.2,4.4,4.6,4.7,4.8,4.9,5},{0,10,20,30,40,50,60,62,64,66,68,70,72,74,76,78,80,85,90,95,100})</f>
        <v>100</v>
      </c>
      <c r="P8" s="4">
        <v>3.11</v>
      </c>
      <c r="Q8" s="4">
        <f t="shared" si="2"/>
        <v>6.89</v>
      </c>
      <c r="R8" s="32">
        <f>LOOKUP(Q8,{0,3.8,4,4.6,4.8,5,5.6,5.65,5.7,5.75,5.8,5.85,5.9,5.95,6,6.45,6.5,6.58,6.65,6.7,6.75},{0,10,20,30,40,50,60,62,64,66,68,70,72,74,76,78,80,85,90,95,100})</f>
        <v>100</v>
      </c>
      <c r="S8" s="4">
        <f t="shared" si="3"/>
        <v>0.14</v>
      </c>
      <c r="T8" s="32">
        <f>LOOKUP(S8,{0,0.04,0.08,0.12,0.16,0.2,0.23,0.26,0.29,0.32,0.35},{0,1,2,3,4,5,6,7,8,9,10})</f>
        <v>3</v>
      </c>
      <c r="U8" s="4">
        <f t="shared" si="4"/>
        <v>103</v>
      </c>
      <c r="W8" s="5">
        <f t="shared" si="5"/>
        <v>56.8</v>
      </c>
      <c r="X8" s="20">
        <f t="shared" si="6"/>
        <v>84.1428571428571</v>
      </c>
    </row>
    <row r="9" ht="15.6" hidden="1" spans="1:24">
      <c r="A9" s="4">
        <v>209</v>
      </c>
      <c r="B9" s="24" t="s">
        <v>457</v>
      </c>
      <c r="C9" s="25" t="s">
        <v>11</v>
      </c>
      <c r="D9" s="4">
        <v>8.2</v>
      </c>
      <c r="E9" s="32">
        <f>LOOKUP(D9,{0,-2.9,-1.9,-0.9,0.1,1.1,2.1,3.5,4.9,6.3,7.7,9.1,10.5,11.9,13.3,14.7,16.1,18.3,20.5,22.4,24.3},{0,10,20,30,40,50,60,62,64,66,68,70,72,74,76,78,80,85,90,95,100})</f>
        <v>68</v>
      </c>
      <c r="F9" s="4">
        <v>290</v>
      </c>
      <c r="G9" s="32">
        <f>LOOKUP(F9,{0,175,180,185,190,195,200,204,208,212,216,220,224,228,232,236,240,248,255,260,265},{0,10,20,30,40,50,60,62,64,66,68,70,72,74,76,78,80,85,90,95,100})</f>
        <v>100</v>
      </c>
      <c r="H9" s="4">
        <v>10</v>
      </c>
      <c r="I9" s="32">
        <f>LOOKUP(H9,{0,3,4,5,6,7,8,9,10,11,12,13,14,15,16,17},{0,10,20,30,40,50,60,64,68,72,76,80,85,90,95,100})</f>
        <v>68</v>
      </c>
      <c r="L9" s="4">
        <f t="shared" si="0"/>
        <v>68</v>
      </c>
      <c r="M9" s="4">
        <v>6.5</v>
      </c>
      <c r="N9" s="4">
        <f t="shared" si="1"/>
        <v>5.5</v>
      </c>
      <c r="O9" s="32">
        <f>LOOKUP(N9,{0,1.6,1.8,2,2.2,2.4,2.6,2.8,3,3.2,3.4,3.6,3.8,4,4.2,4.4,4.6,4.7,4.8,4.9,5},{0,10,20,30,40,50,60,62,64,66,68,70,72,74,76,78,80,85,90,95,100})</f>
        <v>100</v>
      </c>
      <c r="P9" s="4">
        <v>3.12</v>
      </c>
      <c r="Q9" s="4">
        <f t="shared" si="2"/>
        <v>6.88</v>
      </c>
      <c r="R9" s="32">
        <f>LOOKUP(Q9,{0,3.8,4,4.6,4.8,5,5.6,5.65,5.7,5.75,5.8,5.85,5.9,5.95,6,6.45,6.5,6.58,6.65,6.7,6.75},{0,10,20,30,40,50,60,62,64,66,68,70,72,74,76,78,80,85,90,95,100})</f>
        <v>100</v>
      </c>
      <c r="S9" s="4">
        <f t="shared" si="3"/>
        <v>0.13</v>
      </c>
      <c r="T9" s="32">
        <f>LOOKUP(S9,{0,0.04,0.08,0.12,0.16,0.2,0.23,0.26,0.29,0.32,0.35},{0,1,2,3,4,5,6,7,8,9,10})</f>
        <v>3</v>
      </c>
      <c r="U9" s="4">
        <f t="shared" si="4"/>
        <v>103</v>
      </c>
      <c r="W9" s="5">
        <f t="shared" si="5"/>
        <v>63.6</v>
      </c>
      <c r="X9" s="20">
        <f t="shared" si="6"/>
        <v>93.8571428571429</v>
      </c>
    </row>
    <row r="10" ht="15.6" spans="1:24">
      <c r="A10" s="4">
        <v>211</v>
      </c>
      <c r="B10" s="24" t="s">
        <v>580</v>
      </c>
      <c r="C10" s="25" t="s">
        <v>11</v>
      </c>
      <c r="D10" s="4">
        <v>26</v>
      </c>
      <c r="E10" s="32">
        <f>LOOKUP(D10,{0,-2.9,-1.9,-0.9,0.1,1.1,2.1,3.5,4.9,6.3,7.7,9.1,10.5,11.9,13.3,14.7,16.1,18.3,20.5,22.4,24.3},{0,10,20,30,40,50,60,62,64,66,68,70,72,74,76,78,80,85,90,95,100})</f>
        <v>100</v>
      </c>
      <c r="F10" s="4">
        <v>250</v>
      </c>
      <c r="G10" s="32">
        <f>LOOKUP(F10,{0,175,180,185,190,195,200,204,208,212,216,220,224,228,232,236,240,248,255,260,265},{0,10,20,30,40,50,60,62,64,66,68,70,72,74,76,78,80,85,90,95,100})</f>
        <v>85</v>
      </c>
      <c r="H10" s="4">
        <v>12</v>
      </c>
      <c r="I10" s="32">
        <f>LOOKUP(H10,{0,3,4,5,6,7,8,9,10,11,12,13,14,15,16,17},{0,10,20,30,40,50,60,64,68,72,76,80,85,90,95,100})</f>
        <v>76</v>
      </c>
      <c r="L10" s="4">
        <f t="shared" si="0"/>
        <v>76</v>
      </c>
      <c r="M10" s="4">
        <v>6.8</v>
      </c>
      <c r="N10" s="4">
        <f t="shared" si="1"/>
        <v>5.2</v>
      </c>
      <c r="O10" s="32">
        <f>LOOKUP(N10,{0,1.6,1.8,2,2.2,2.4,2.6,2.8,3,3.2,3.4,3.6,3.8,4,4.2,4.4,4.6,4.7,4.8,4.9,5},{0,10,20,30,40,50,60,62,64,66,68,70,72,74,76,78,80,85,90,95,100})</f>
        <v>100</v>
      </c>
      <c r="P10" s="4">
        <v>3.12</v>
      </c>
      <c r="Q10" s="4">
        <f t="shared" si="2"/>
        <v>6.88</v>
      </c>
      <c r="R10" s="32">
        <f>LOOKUP(Q10,{0,3.8,4,4.6,4.8,5,5.6,5.65,5.7,5.75,5.8,5.85,5.9,5.95,6,6.45,6.5,6.58,6.65,6.7,6.75},{0,10,20,30,40,50,60,62,64,66,68,70,72,74,76,78,80,85,90,95,100})</f>
        <v>100</v>
      </c>
      <c r="S10" s="4">
        <f t="shared" si="3"/>
        <v>0.13</v>
      </c>
      <c r="T10" s="32">
        <f>LOOKUP(S10,{0,0.04,0.08,0.12,0.16,0.2,0.23,0.26,0.29,0.32,0.35},{0,1,2,3,4,5,6,7,8,9,10})</f>
        <v>3</v>
      </c>
      <c r="U10" s="4">
        <f t="shared" si="4"/>
        <v>103</v>
      </c>
      <c r="W10" s="5">
        <f t="shared" si="5"/>
        <v>66.1</v>
      </c>
      <c r="X10" s="20">
        <f t="shared" si="6"/>
        <v>97.4285714285714</v>
      </c>
    </row>
    <row r="11" ht="15.6" hidden="1" spans="1:24">
      <c r="A11" s="4">
        <v>202</v>
      </c>
      <c r="B11" s="24" t="s">
        <v>99</v>
      </c>
      <c r="C11" s="25" t="s">
        <v>11</v>
      </c>
      <c r="D11" s="4">
        <v>21</v>
      </c>
      <c r="E11" s="32">
        <f>LOOKUP(D11,{0,-2.9,-1.9,-0.9,0.1,1.1,2.1,3.5,4.9,6.3,7.7,9.1,10.5,11.9,13.3,14.7,16.1,18.3,20.5,22.4,24.3},{0,10,20,30,40,50,60,62,64,66,68,70,72,74,76,78,80,85,90,95,100})</f>
        <v>90</v>
      </c>
      <c r="F11" s="4">
        <v>232</v>
      </c>
      <c r="G11" s="32">
        <f>LOOKUP(F11,{0,175,180,185,190,195,200,204,208,212,216,220,224,228,232,236,240,248,255,260,265},{0,10,20,30,40,50,60,62,64,66,68,70,72,74,76,78,80,85,90,95,100})</f>
        <v>76</v>
      </c>
      <c r="H11" s="4">
        <v>5</v>
      </c>
      <c r="I11" s="32">
        <f>LOOKUP(H11,{0,3,4,5,6,7,8,9,10,11,12,13,14,15,16,17},{0,10,20,30,40,50,60,64,68,72,76,80,85,90,95,100})</f>
        <v>30</v>
      </c>
      <c r="K11" s="35"/>
      <c r="L11" s="4">
        <f t="shared" si="0"/>
        <v>30</v>
      </c>
      <c r="M11" s="4">
        <v>7.1</v>
      </c>
      <c r="N11" s="4">
        <f t="shared" si="1"/>
        <v>4.9</v>
      </c>
      <c r="O11" s="32">
        <f>LOOKUP(N11,{0,1.6,1.8,2,2.2,2.4,2.6,2.8,3,3.2,3.4,3.6,3.8,4,4.2,4.4,4.6,4.7,4.8,4.9,5},{0,10,20,30,40,50,60,62,64,66,68,70,72,74,76,78,80,85,90,95,100})</f>
        <v>95</v>
      </c>
      <c r="P11" s="4">
        <v>3.12</v>
      </c>
      <c r="Q11" s="4">
        <f t="shared" si="2"/>
        <v>6.88</v>
      </c>
      <c r="R11" s="32">
        <f>LOOKUP(Q11,{0,3.8,4,4.6,4.8,5,5.6,5.65,5.7,5.75,5.8,5.85,5.9,5.95,6,6.45,6.5,6.58,6.65,6.7,6.75},{0,10,20,30,40,50,60,62,64,66,68,70,72,74,76,78,80,85,90,95,100})</f>
        <v>100</v>
      </c>
      <c r="S11" s="4">
        <f t="shared" si="3"/>
        <v>0.13</v>
      </c>
      <c r="T11" s="32">
        <f>LOOKUP(S11,{0,0.04,0.08,0.12,0.16,0.2,0.23,0.26,0.29,0.32,0.35},{0,1,2,3,4,5,6,7,8,9,10})</f>
        <v>3</v>
      </c>
      <c r="U11" s="4">
        <f t="shared" si="4"/>
        <v>103</v>
      </c>
      <c r="W11" s="5">
        <f t="shared" si="5"/>
        <v>58.6</v>
      </c>
      <c r="X11" s="20">
        <f t="shared" si="6"/>
        <v>86.7142857142857</v>
      </c>
    </row>
    <row r="12" ht="15.6" hidden="1" spans="1:24">
      <c r="A12" s="4">
        <v>202</v>
      </c>
      <c r="B12" s="24" t="s">
        <v>74</v>
      </c>
      <c r="C12" s="25" t="s">
        <v>11</v>
      </c>
      <c r="D12" s="4">
        <v>20.5</v>
      </c>
      <c r="E12" s="32">
        <f>LOOKUP(D12,{0,-2.9,-1.9,-0.9,0.1,1.1,2.1,3.5,4.9,6.3,7.7,9.1,10.5,11.9,13.3,14.7,16.1,18.3,20.5,22.4,24.3},{0,10,20,30,40,50,60,62,64,66,68,70,72,74,76,78,80,85,90,95,100})</f>
        <v>90</v>
      </c>
      <c r="F12" s="4">
        <v>262</v>
      </c>
      <c r="G12" s="32">
        <f>LOOKUP(F12,{0,175,180,185,190,195,200,204,208,212,216,220,224,228,232,236,240,248,255,260,265},{0,10,20,30,40,50,60,62,64,66,68,70,72,74,76,78,80,85,90,95,100})</f>
        <v>95</v>
      </c>
      <c r="H12" s="4">
        <v>13</v>
      </c>
      <c r="I12" s="32">
        <f>LOOKUP(H12,{0,3,4,5,6,7,8,9,10,11,12,13,14,15,16,17},{0,10,20,30,40,50,60,64,68,72,76,80,85,90,95,100})</f>
        <v>80</v>
      </c>
      <c r="L12" s="4">
        <f t="shared" si="0"/>
        <v>80</v>
      </c>
      <c r="M12" s="4">
        <v>7.1</v>
      </c>
      <c r="N12" s="4">
        <f t="shared" si="1"/>
        <v>4.9</v>
      </c>
      <c r="O12" s="32">
        <f>LOOKUP(N12,{0,1.6,1.8,2,2.2,2.4,2.6,2.8,3,3.2,3.4,3.6,3.8,4,4.2,4.4,4.6,4.7,4.8,4.9,5},{0,10,20,30,40,50,60,62,64,66,68,70,72,74,76,78,80,85,90,95,100})</f>
        <v>95</v>
      </c>
      <c r="P12" s="4">
        <v>3.13</v>
      </c>
      <c r="Q12" s="4">
        <f t="shared" si="2"/>
        <v>6.87</v>
      </c>
      <c r="R12" s="32">
        <f>LOOKUP(Q12,{0,3.8,4,4.6,4.8,5,5.6,5.65,5.7,5.75,5.8,5.85,5.9,5.95,6,6.45,6.5,6.58,6.65,6.7,6.75},{0,10,20,30,40,50,60,62,64,66,68,70,72,74,76,78,80,85,90,95,100})</f>
        <v>100</v>
      </c>
      <c r="S12" s="4">
        <f t="shared" si="3"/>
        <v>0.12</v>
      </c>
      <c r="T12" s="32">
        <f>LOOKUP(S12,{0,0.04,0.08,0.12,0.16,0.2,0.23,0.26,0.29,0.32,0.35},{0,1,2,3,4,5,6,7,8,9,10})</f>
        <v>3</v>
      </c>
      <c r="U12" s="4">
        <f t="shared" si="4"/>
        <v>103</v>
      </c>
      <c r="W12" s="5">
        <f t="shared" si="5"/>
        <v>65.5</v>
      </c>
      <c r="X12" s="20">
        <f t="shared" si="6"/>
        <v>96.5714285714286</v>
      </c>
    </row>
    <row r="13" ht="15.6" hidden="1" spans="1:24">
      <c r="A13" s="4">
        <v>206</v>
      </c>
      <c r="B13" s="24" t="s">
        <v>299</v>
      </c>
      <c r="C13" s="25" t="s">
        <v>11</v>
      </c>
      <c r="D13" s="4">
        <v>18</v>
      </c>
      <c r="E13" s="32">
        <f>LOOKUP(D13,{0,-2.9,-1.9,-0.9,0.1,1.1,2.1,3.5,4.9,6.3,7.7,9.1,10.5,11.9,13.3,14.7,16.1,18.3,20.5,22.4,24.3},{0,10,20,30,40,50,60,62,64,66,68,70,72,74,76,78,80,85,90,95,100})</f>
        <v>80</v>
      </c>
      <c r="F13" s="4">
        <v>241</v>
      </c>
      <c r="G13" s="32">
        <f>LOOKUP(F13,{0,175,180,185,190,195,200,204,208,212,216,220,224,228,232,236,240,248,255,260,265},{0,10,20,30,40,50,60,62,64,66,68,70,72,74,76,78,80,85,90,95,100})</f>
        <v>80</v>
      </c>
      <c r="H13" s="4">
        <v>20</v>
      </c>
      <c r="I13" s="32">
        <f>LOOKUP(H13,{0,3,4,5,6,7,8,9,10,11,12,13,14,15,16,17},{0,10,20,30,40,50,60,64,68,72,76,80,85,90,95,100})</f>
        <v>100</v>
      </c>
      <c r="J13" s="4">
        <f>H13-17</f>
        <v>3</v>
      </c>
      <c r="K13" s="32">
        <f>LOOKUP(J13,{0,1,2,3,4,5,6,7,8,9,10},{0,1,2,3,4,5,6,7,8,9,10})</f>
        <v>3</v>
      </c>
      <c r="L13" s="4">
        <f t="shared" si="0"/>
        <v>103</v>
      </c>
      <c r="M13" s="4">
        <v>6.6</v>
      </c>
      <c r="N13" s="4">
        <f t="shared" si="1"/>
        <v>5.4</v>
      </c>
      <c r="O13" s="32">
        <f>LOOKUP(N13,{0,1.6,1.8,2,2.2,2.4,2.6,2.8,3,3.2,3.4,3.6,3.8,4,4.2,4.4,4.6,4.7,4.8,4.9,5},{0,10,20,30,40,50,60,62,64,66,68,70,72,74,76,78,80,85,90,95,100})</f>
        <v>100</v>
      </c>
      <c r="P13" s="4">
        <v>3.15</v>
      </c>
      <c r="Q13" s="4">
        <f t="shared" si="2"/>
        <v>6.85</v>
      </c>
      <c r="R13" s="32">
        <f>LOOKUP(Q13,{0,3.8,4,4.6,4.8,5,5.6,5.65,5.7,5.75,5.8,5.85,5.9,5.95,6,6.45,6.5,6.58,6.65,6.7,6.75},{0,10,20,30,40,50,60,62,64,66,68,70,72,74,76,78,80,85,90,95,100})</f>
        <v>100</v>
      </c>
      <c r="S13" s="4">
        <f t="shared" si="3"/>
        <v>0.1</v>
      </c>
      <c r="T13" s="32">
        <f>LOOKUP(S13,{0,0.04,0.08,0.12,0.16,0.2,0.23,0.26,0.29,0.32,0.35},{0,1,2,3,4,5,6,7,8,9,10})</f>
        <v>2</v>
      </c>
      <c r="U13" s="4">
        <f t="shared" si="4"/>
        <v>102</v>
      </c>
      <c r="W13" s="5">
        <f t="shared" si="5"/>
        <v>66</v>
      </c>
      <c r="X13" s="20">
        <f t="shared" si="6"/>
        <v>99.2857142857143</v>
      </c>
    </row>
    <row r="14" customFormat="1" ht="15.6" spans="1:24">
      <c r="A14" s="4">
        <v>211</v>
      </c>
      <c r="B14" s="33" t="s">
        <v>550</v>
      </c>
      <c r="C14" s="25" t="s">
        <v>11</v>
      </c>
      <c r="D14" s="4">
        <v>17.2</v>
      </c>
      <c r="E14" s="32">
        <f>LOOKUP(D14,{0,-2.9,-1.9,-0.9,0.1,1.1,2.1,3.5,4.9,6.3,7.7,9.1,10.5,11.9,13.3,14.7,16.1,18.3,20.5,22.4,24.3},{0,10,20,30,40,50,60,62,64,66,68,70,72,74,76,78,80,85,90,95,100})</f>
        <v>80</v>
      </c>
      <c r="F14" s="4">
        <v>265</v>
      </c>
      <c r="G14" s="32">
        <f>LOOKUP(F14,{0,175,180,185,190,195,200,204,208,212,216,220,224,228,232,236,240,248,255,260,265},{0,10,20,30,40,50,60,62,64,66,68,70,72,74,76,78,80,85,90,95,100})</f>
        <v>100</v>
      </c>
      <c r="H14" s="4">
        <v>10</v>
      </c>
      <c r="I14" s="32">
        <f>LOOKUP(H14,{0,3,4,5,6,7,8,9,10,11,12,13,14,15,16,17},{0,10,20,30,40,50,60,64,68,72,76,80,85,90,95,100})</f>
        <v>68</v>
      </c>
      <c r="J14" s="4"/>
      <c r="K14" s="35"/>
      <c r="L14" s="4">
        <f t="shared" si="0"/>
        <v>68</v>
      </c>
      <c r="M14" s="4">
        <v>6.9</v>
      </c>
      <c r="N14" s="4">
        <f t="shared" si="1"/>
        <v>5.1</v>
      </c>
      <c r="O14" s="32">
        <f>LOOKUP(N14,{0,1.6,1.8,2,2.2,2.4,2.6,2.8,3,3.2,3.4,3.6,3.8,4,4.2,4.4,4.6,4.7,4.8,4.9,5},{0,10,20,30,40,50,60,62,64,66,68,70,72,74,76,78,80,85,90,95,100})</f>
        <v>100</v>
      </c>
      <c r="P14" s="4">
        <v>3.15</v>
      </c>
      <c r="Q14" s="4">
        <f t="shared" si="2"/>
        <v>6.85</v>
      </c>
      <c r="R14" s="32">
        <f>LOOKUP(Q14,{0,3.8,4,4.6,4.8,5,5.6,5.65,5.7,5.75,5.8,5.85,5.9,5.95,6,6.45,6.5,6.58,6.65,6.7,6.75},{0,10,20,30,40,50,60,62,64,66,68,70,72,74,76,78,80,85,90,95,100})</f>
        <v>100</v>
      </c>
      <c r="S14" s="4">
        <f t="shared" si="3"/>
        <v>0.1</v>
      </c>
      <c r="T14" s="32">
        <f>LOOKUP(S14,{0,0.04,0.08,0.12,0.16,0.2,0.23,0.26,0.29,0.32,0.35},{0,1,2,3,4,5,6,7,8,9,10})</f>
        <v>2</v>
      </c>
      <c r="U14" s="4">
        <f t="shared" si="4"/>
        <v>102</v>
      </c>
      <c r="V14" s="4"/>
      <c r="W14" s="5">
        <f t="shared" si="5"/>
        <v>64.8</v>
      </c>
      <c r="X14" s="20">
        <f t="shared" si="6"/>
        <v>94.5714285714286</v>
      </c>
    </row>
    <row r="15" customFormat="1" ht="15.6" spans="1:24">
      <c r="A15" s="4">
        <v>211</v>
      </c>
      <c r="B15" s="24" t="s">
        <v>568</v>
      </c>
      <c r="C15" s="25" t="s">
        <v>11</v>
      </c>
      <c r="D15" s="4">
        <v>26</v>
      </c>
      <c r="E15" s="32">
        <f>LOOKUP(D15,{0,-2.9,-1.9,-0.9,0.1,1.1,2.1,3.5,4.9,6.3,7.7,9.1,10.5,11.9,13.3,14.7,16.1,18.3,20.5,22.4,24.3},{0,10,20,30,40,50,60,62,64,66,68,70,72,74,76,78,80,85,90,95,100})</f>
        <v>100</v>
      </c>
      <c r="F15" s="4">
        <v>245</v>
      </c>
      <c r="G15" s="32">
        <f>LOOKUP(F15,{0,175,180,185,190,195,200,204,208,212,216,220,224,228,232,236,240,248,255,260,265},{0,10,20,30,40,50,60,62,64,66,68,70,72,74,76,78,80,85,90,95,100})</f>
        <v>80</v>
      </c>
      <c r="H15" s="4">
        <v>27</v>
      </c>
      <c r="I15" s="32">
        <f>LOOKUP(H15,{0,3,4,5,6,7,8,9,10,11,12,13,14,15,16,17},{0,10,20,30,40,50,60,64,68,72,76,80,85,90,95,100})</f>
        <v>100</v>
      </c>
      <c r="J15" s="4">
        <f>H15-17</f>
        <v>10</v>
      </c>
      <c r="K15" s="32">
        <f>LOOKUP(J15,{0,1,2,3,4,5,6,7,8,9,10},{0,1,2,3,4,5,6,7,8,9,10})</f>
        <v>10</v>
      </c>
      <c r="L15" s="4">
        <f t="shared" si="0"/>
        <v>110</v>
      </c>
      <c r="M15" s="4">
        <v>7.1</v>
      </c>
      <c r="N15" s="4">
        <f t="shared" si="1"/>
        <v>4.9</v>
      </c>
      <c r="O15" s="32">
        <f>LOOKUP(N15,{0,1.6,1.8,2,2.2,2.4,2.6,2.8,3,3.2,3.4,3.6,3.8,4,4.2,4.4,4.6,4.7,4.8,4.9,5},{0,10,20,30,40,50,60,62,64,66,68,70,72,74,76,78,80,85,90,95,100})</f>
        <v>95</v>
      </c>
      <c r="P15" s="4">
        <v>3.15</v>
      </c>
      <c r="Q15" s="4">
        <f t="shared" si="2"/>
        <v>6.85</v>
      </c>
      <c r="R15" s="32">
        <f>LOOKUP(Q15,{0,3.8,4,4.6,4.8,5,5.6,5.65,5.7,5.75,5.8,5.85,5.9,5.95,6,6.45,6.5,6.58,6.65,6.7,6.75},{0,10,20,30,40,50,60,62,64,66,68,70,72,74,76,78,80,85,90,95,100})</f>
        <v>100</v>
      </c>
      <c r="S15" s="4">
        <f t="shared" si="3"/>
        <v>0.1</v>
      </c>
      <c r="T15" s="32">
        <f>LOOKUP(S15,{0,0.04,0.08,0.12,0.16,0.2,0.23,0.26,0.29,0.32,0.35},{0,1,2,3,4,5,6,7,8,9,10})</f>
        <v>2</v>
      </c>
      <c r="U15" s="4">
        <f t="shared" si="4"/>
        <v>102</v>
      </c>
      <c r="V15" s="4"/>
      <c r="W15" s="5">
        <f t="shared" si="5"/>
        <v>67</v>
      </c>
      <c r="X15" s="20">
        <f t="shared" si="6"/>
        <v>107.714285714286</v>
      </c>
    </row>
    <row r="16" customFormat="1" ht="15.6" hidden="1" spans="1:24">
      <c r="A16" s="4">
        <v>212</v>
      </c>
      <c r="B16" s="24" t="s">
        <v>609</v>
      </c>
      <c r="C16" s="25" t="s">
        <v>11</v>
      </c>
      <c r="D16" s="4">
        <v>15.2</v>
      </c>
      <c r="E16" s="32">
        <f>LOOKUP(D16,{0,-2.9,-1.9,-0.9,0.1,1.1,2.1,3.5,4.9,6.3,7.7,9.1,10.5,11.9,13.3,14.7,16.1,18.3,20.5,22.4,24.3},{0,10,20,30,40,50,60,62,64,66,68,70,72,74,76,78,80,85,90,95,100})</f>
        <v>78</v>
      </c>
      <c r="F16" s="4">
        <v>257</v>
      </c>
      <c r="G16" s="32">
        <f>LOOKUP(F16,{0,175,180,185,190,195,200,204,208,212,216,220,224,228,232,236,240,248,255,260,265},{0,10,20,30,40,50,60,62,64,66,68,70,72,74,76,78,80,85,90,95,100})</f>
        <v>90</v>
      </c>
      <c r="H16" s="4">
        <v>25</v>
      </c>
      <c r="I16" s="32">
        <f>LOOKUP(H16,{0,3,4,5,6,7,8,9,10,11,12,13,14,15,16,17},{0,10,20,30,40,50,60,64,68,72,76,80,85,90,95,100})</f>
        <v>100</v>
      </c>
      <c r="J16" s="4">
        <f>H16-17</f>
        <v>8</v>
      </c>
      <c r="K16" s="32">
        <f>LOOKUP(J16,{0,1,2,3,4,5,6,7,8,9,10},{0,1,2,3,4,5,6,7,8,9,10})</f>
        <v>8</v>
      </c>
      <c r="L16" s="4">
        <f t="shared" si="0"/>
        <v>108</v>
      </c>
      <c r="M16" s="4">
        <v>7.1</v>
      </c>
      <c r="N16" s="4">
        <f t="shared" si="1"/>
        <v>4.9</v>
      </c>
      <c r="O16" s="32">
        <f>LOOKUP(N16,{0,1.6,1.8,2,2.2,2.4,2.6,2.8,3,3.2,3.4,3.6,3.8,4,4.2,4.4,4.6,4.7,4.8,4.9,5},{0,10,20,30,40,50,60,62,64,66,68,70,72,74,76,78,80,85,90,95,100})</f>
        <v>95</v>
      </c>
      <c r="P16" s="4">
        <v>3.15</v>
      </c>
      <c r="Q16" s="4">
        <f t="shared" si="2"/>
        <v>6.85</v>
      </c>
      <c r="R16" s="32">
        <f>LOOKUP(Q16,{0,3.8,4,4.6,4.8,5,5.6,5.65,5.7,5.75,5.8,5.85,5.9,5.95,6,6.45,6.5,6.58,6.65,6.7,6.75},{0,10,20,30,40,50,60,62,64,66,68,70,72,74,76,78,80,85,90,95,100})</f>
        <v>100</v>
      </c>
      <c r="S16" s="4">
        <f t="shared" si="3"/>
        <v>0.1</v>
      </c>
      <c r="T16" s="32">
        <f>LOOKUP(S16,{0,0.04,0.08,0.12,0.16,0.2,0.23,0.26,0.29,0.32,0.35},{0,1,2,3,4,5,6,7,8,9,10})</f>
        <v>2</v>
      </c>
      <c r="U16" s="4">
        <f t="shared" si="4"/>
        <v>102</v>
      </c>
      <c r="V16" s="4"/>
      <c r="W16" s="5">
        <f t="shared" si="5"/>
        <v>65.8</v>
      </c>
      <c r="X16" s="20">
        <f t="shared" si="6"/>
        <v>104</v>
      </c>
    </row>
    <row r="17" customFormat="1" ht="15.6" hidden="1" spans="1:24">
      <c r="A17" s="4">
        <v>206</v>
      </c>
      <c r="B17" s="24" t="s">
        <v>301</v>
      </c>
      <c r="C17" s="25" t="s">
        <v>11</v>
      </c>
      <c r="D17" s="4">
        <v>22</v>
      </c>
      <c r="E17" s="32">
        <f>LOOKUP(D17,{0,-2.9,-1.9,-0.9,0.1,1.1,2.1,3.5,4.9,6.3,7.7,9.1,10.5,11.9,13.3,14.7,16.1,18.3,20.5,22.4,24.3},{0,10,20,30,40,50,60,62,64,66,68,70,72,74,76,78,80,85,90,95,100})</f>
        <v>90</v>
      </c>
      <c r="F17" s="4">
        <v>308</v>
      </c>
      <c r="G17" s="32">
        <f>LOOKUP(F17,{0,175,180,185,190,195,200,204,208,212,216,220,224,228,232,236,240,248,255,260,265},{0,10,20,30,40,50,60,62,64,66,68,70,72,74,76,78,80,85,90,95,100})</f>
        <v>100</v>
      </c>
      <c r="H17" s="4">
        <v>14</v>
      </c>
      <c r="I17" s="32">
        <f>LOOKUP(H17,{0,3,4,5,6,7,8,9,10,11,12,13,14,15,16,17},{0,10,20,30,40,50,60,64,68,72,76,80,85,90,95,100})</f>
        <v>85</v>
      </c>
      <c r="J17" s="4"/>
      <c r="K17" s="4"/>
      <c r="L17" s="4">
        <f t="shared" si="0"/>
        <v>85</v>
      </c>
      <c r="M17" s="4">
        <v>6.8</v>
      </c>
      <c r="N17" s="4">
        <f t="shared" si="1"/>
        <v>5.2</v>
      </c>
      <c r="O17" s="32">
        <f>LOOKUP(N17,{0,1.6,1.8,2,2.2,2.4,2.6,2.8,3,3.2,3.4,3.6,3.8,4,4.2,4.4,4.6,4.7,4.8,4.9,5},{0,10,20,30,40,50,60,62,64,66,68,70,72,74,76,78,80,85,90,95,100})</f>
        <v>100</v>
      </c>
      <c r="P17" s="4">
        <v>3.16</v>
      </c>
      <c r="Q17" s="4">
        <f t="shared" si="2"/>
        <v>6.84</v>
      </c>
      <c r="R17" s="32">
        <f>LOOKUP(Q17,{0,3.8,4,4.6,4.8,5,5.6,5.65,5.7,5.75,5.8,5.85,5.9,5.95,6,6.45,6.5,6.58,6.65,6.7,6.75},{0,10,20,30,40,50,60,62,64,66,68,70,72,74,76,78,80,85,90,95,100})</f>
        <v>100</v>
      </c>
      <c r="S17" s="4">
        <f t="shared" si="3"/>
        <v>0.0899999999999999</v>
      </c>
      <c r="T17" s="32">
        <f>LOOKUP(S17,{0,0.04,0.08,0.12,0.16,0.2,0.23,0.26,0.29,0.32,0.35},{0,1,2,3,4,5,6,7,8,9,10})</f>
        <v>2</v>
      </c>
      <c r="U17" s="4">
        <f t="shared" si="4"/>
        <v>102</v>
      </c>
      <c r="V17" s="4"/>
      <c r="W17" s="5">
        <f t="shared" si="5"/>
        <v>67.5</v>
      </c>
      <c r="X17" s="20">
        <f t="shared" si="6"/>
        <v>98.4285714285714</v>
      </c>
    </row>
    <row r="18" customFormat="1" ht="15.6" hidden="1" spans="1:24">
      <c r="A18" s="4">
        <v>201</v>
      </c>
      <c r="B18" s="24" t="s">
        <v>47</v>
      </c>
      <c r="C18" s="25" t="s">
        <v>11</v>
      </c>
      <c r="D18" s="4">
        <v>20</v>
      </c>
      <c r="E18" s="32">
        <f>LOOKUP(D18,{0,-2.9,-1.9,-0.9,0.1,1.1,2.1,3.5,4.9,6.3,7.7,9.1,10.5,11.9,13.3,14.7,16.1,18.3,20.5,22.4,24.3},{0,10,20,30,40,50,60,62,64,66,68,70,72,74,76,78,80,85,90,95,100})</f>
        <v>85</v>
      </c>
      <c r="F18" s="4">
        <v>263</v>
      </c>
      <c r="G18" s="32">
        <f>LOOKUP(F18,{0,175,180,185,190,195,200,204,208,212,216,220,224,228,232,236,240,248,255,260,265},{0,10,20,30,40,50,60,62,64,66,68,70,72,74,76,78,80,85,90,95,100})</f>
        <v>95</v>
      </c>
      <c r="H18" s="4">
        <v>11</v>
      </c>
      <c r="I18" s="32">
        <f>LOOKUP(H18,{0,3,4,5,6,7,8,9,10,11,12,13,14,15,16,17},{0,10,20,30,40,50,60,64,68,72,76,80,85,90,95,100})</f>
        <v>72</v>
      </c>
      <c r="J18" s="4"/>
      <c r="K18" s="4"/>
      <c r="L18" s="4">
        <f t="shared" si="0"/>
        <v>72</v>
      </c>
      <c r="M18" s="4">
        <v>6.8</v>
      </c>
      <c r="N18" s="4">
        <f t="shared" si="1"/>
        <v>5.2</v>
      </c>
      <c r="O18" s="32">
        <f>LOOKUP(N18,{0,1.6,1.8,2,2.2,2.4,2.6,2.8,3,3.2,3.4,3.6,3.8,4,4.2,4.4,4.6,4.7,4.8,4.9,5},{0,10,20,30,40,50,60,62,64,66,68,70,72,74,76,78,80,85,90,95,100})</f>
        <v>100</v>
      </c>
      <c r="P18" s="4">
        <v>3.16</v>
      </c>
      <c r="Q18" s="4">
        <f t="shared" si="2"/>
        <v>6.84</v>
      </c>
      <c r="R18" s="32">
        <f>LOOKUP(Q18,{0,3.8,4,4.6,4.8,5,5.6,5.65,5.7,5.75,5.8,5.85,5.9,5.95,6,6.45,6.5,6.58,6.65,6.7,6.75},{0,10,20,30,40,50,60,62,64,66,68,70,72,74,76,78,80,85,90,95,100})</f>
        <v>100</v>
      </c>
      <c r="S18" s="4">
        <f t="shared" si="3"/>
        <v>0.0899999999999999</v>
      </c>
      <c r="T18" s="32">
        <f>LOOKUP(S18,{0,0.04,0.08,0.12,0.16,0.2,0.23,0.26,0.29,0.32,0.35},{0,1,2,3,4,5,6,7,8,9,10})</f>
        <v>2</v>
      </c>
      <c r="U18" s="4">
        <f t="shared" si="4"/>
        <v>102</v>
      </c>
      <c r="V18" s="4"/>
      <c r="W18" s="5">
        <f t="shared" si="5"/>
        <v>65.2</v>
      </c>
      <c r="X18" s="20">
        <f t="shared" si="6"/>
        <v>95.1428571428572</v>
      </c>
    </row>
    <row r="19" customFormat="1" ht="15.6" hidden="1" spans="1:24">
      <c r="A19" s="4">
        <v>210</v>
      </c>
      <c r="B19" s="24" t="s">
        <v>524</v>
      </c>
      <c r="C19" s="25" t="s">
        <v>11</v>
      </c>
      <c r="D19" s="4">
        <v>25.5</v>
      </c>
      <c r="E19" s="32">
        <f>LOOKUP(D19,{0,-2.9,-1.9,-0.9,0.1,1.1,2.1,3.5,4.9,6.3,7.7,9.1,10.5,11.9,13.3,14.7,16.1,18.3,20.5,22.4,24.3},{0,10,20,30,40,50,60,62,64,66,68,70,72,74,76,78,80,85,90,95,100})</f>
        <v>100</v>
      </c>
      <c r="F19" s="4">
        <v>271</v>
      </c>
      <c r="G19" s="32">
        <f>LOOKUP(F19,{0,175,180,185,190,195,200,204,208,212,216,220,224,228,232,236,240,248,255,260,265},{0,10,20,30,40,50,60,62,64,66,68,70,72,74,76,78,80,85,90,95,100})</f>
        <v>100</v>
      </c>
      <c r="H19" s="4">
        <v>21</v>
      </c>
      <c r="I19" s="32">
        <f>LOOKUP(H19,{0,3,4,5,6,7,8,9,10,11,12,13,14,15,16,17},{0,10,20,30,40,50,60,64,68,72,76,80,85,90,95,100})</f>
        <v>100</v>
      </c>
      <c r="J19" s="4">
        <f>H19-17</f>
        <v>4</v>
      </c>
      <c r="K19" s="32">
        <f>LOOKUP(J19,{0,1,2,3,4,5,6,7,8,9,10},{0,1,2,3,4,5,6,7,8,9,10})</f>
        <v>4</v>
      </c>
      <c r="L19" s="4">
        <f t="shared" si="0"/>
        <v>104</v>
      </c>
      <c r="M19" s="4">
        <v>6.5</v>
      </c>
      <c r="N19" s="4">
        <f t="shared" si="1"/>
        <v>5.5</v>
      </c>
      <c r="O19" s="32">
        <f>LOOKUP(N19,{0,1.6,1.8,2,2.2,2.4,2.6,2.8,3,3.2,3.4,3.6,3.8,4,4.2,4.4,4.6,4.7,4.8,4.9,5},{0,10,20,30,40,50,60,62,64,66,68,70,72,74,76,78,80,85,90,95,100})</f>
        <v>100</v>
      </c>
      <c r="P19" s="4">
        <v>3.17</v>
      </c>
      <c r="Q19" s="4">
        <f t="shared" si="2"/>
        <v>6.83</v>
      </c>
      <c r="R19" s="32">
        <f>LOOKUP(Q19,{0,3.8,4,4.6,4.8,5,5.6,5.65,5.7,5.75,5.8,5.85,5.9,5.95,6,6.45,6.5,6.58,6.65,6.7,6.75},{0,10,20,30,40,50,60,62,64,66,68,70,72,74,76,78,80,85,90,95,100})</f>
        <v>100</v>
      </c>
      <c r="S19" s="4">
        <f t="shared" si="3"/>
        <v>0.0800000000000001</v>
      </c>
      <c r="T19" s="32">
        <f>LOOKUP(S19,{0,0.04,0.08,0.12,0.16,0.2,0.23,0.26,0.29,0.32,0.35},{0,1,2,3,4,5,6,7,8,9,10})</f>
        <v>2</v>
      </c>
      <c r="U19" s="4">
        <f t="shared" si="4"/>
        <v>102</v>
      </c>
      <c r="V19" s="4"/>
      <c r="W19" s="5">
        <f t="shared" si="5"/>
        <v>70</v>
      </c>
      <c r="X19" s="20">
        <f t="shared" si="6"/>
        <v>106</v>
      </c>
    </row>
    <row r="20" customFormat="1" ht="15.6" hidden="1" spans="1:24">
      <c r="A20" s="4">
        <v>203</v>
      </c>
      <c r="B20" s="24" t="s">
        <v>141</v>
      </c>
      <c r="C20" s="25" t="s">
        <v>11</v>
      </c>
      <c r="D20" s="4">
        <v>24</v>
      </c>
      <c r="E20" s="32">
        <f>LOOKUP(D20,{0,-2.9,-1.9,-0.9,0.1,1.1,2.1,3.5,4.9,6.3,7.7,9.1,10.5,11.9,13.3,14.7,16.1,18.3,20.5,22.4,24.3},{0,10,20,30,40,50,60,62,64,66,68,70,72,74,76,78,80,85,90,95,100})</f>
        <v>95</v>
      </c>
      <c r="F20" s="4">
        <v>285</v>
      </c>
      <c r="G20" s="32">
        <f>LOOKUP(F20,{0,175,180,185,190,195,200,204,208,212,216,220,224,228,232,236,240,248,255,260,265},{0,10,20,30,40,50,60,62,64,66,68,70,72,74,76,78,80,85,90,95,100})</f>
        <v>100</v>
      </c>
      <c r="H20" s="4">
        <v>18</v>
      </c>
      <c r="I20" s="32">
        <f>LOOKUP(H20,{0,3,4,5,6,7,8,9,10,11,12,13,14,15,16,17},{0,10,20,30,40,50,60,64,68,72,76,80,85,90,95,100})</f>
        <v>100</v>
      </c>
      <c r="J20" s="4">
        <f>H20-17</f>
        <v>1</v>
      </c>
      <c r="K20" s="32">
        <f>LOOKUP(J20,{0,1,2,3,4,5,6,7,8,9,10},{0,1,2,3,4,5,6,7,8,9,10})</f>
        <v>1</v>
      </c>
      <c r="L20" s="4">
        <f t="shared" si="0"/>
        <v>101</v>
      </c>
      <c r="M20" s="4">
        <v>6.6</v>
      </c>
      <c r="N20" s="4">
        <f t="shared" si="1"/>
        <v>5.4</v>
      </c>
      <c r="O20" s="32">
        <f>LOOKUP(N20,{0,1.6,1.8,2,2.2,2.4,2.6,2.8,3,3.2,3.4,3.6,3.8,4,4.2,4.4,4.6,4.7,4.8,4.9,5},{0,10,20,30,40,50,60,62,64,66,68,70,72,74,76,78,80,85,90,95,100})</f>
        <v>100</v>
      </c>
      <c r="P20" s="4">
        <v>3.17</v>
      </c>
      <c r="Q20" s="4">
        <f t="shared" si="2"/>
        <v>6.83</v>
      </c>
      <c r="R20" s="32">
        <f>LOOKUP(Q20,{0,3.8,4,4.6,4.8,5,5.6,5.65,5.7,5.75,5.8,5.85,5.9,5.95,6,6.45,6.5,6.58,6.65,6.7,6.75},{0,10,20,30,40,50,60,62,64,66,68,70,72,74,76,78,80,85,90,95,100})</f>
        <v>100</v>
      </c>
      <c r="S20" s="4">
        <f t="shared" si="3"/>
        <v>0.0800000000000001</v>
      </c>
      <c r="T20" s="32">
        <f>LOOKUP(S20,{0,0.04,0.08,0.12,0.16,0.2,0.23,0.26,0.29,0.32,0.35},{0,1,2,3,4,5,6,7,8,9,10})</f>
        <v>2</v>
      </c>
      <c r="U20" s="4">
        <f t="shared" si="4"/>
        <v>102</v>
      </c>
      <c r="V20" s="4"/>
      <c r="W20" s="5">
        <f t="shared" si="5"/>
        <v>69.5</v>
      </c>
      <c r="X20" s="20">
        <f t="shared" si="6"/>
        <v>102.285714285714</v>
      </c>
    </row>
    <row r="21" ht="15.6" hidden="1" spans="1:24">
      <c r="A21" s="4">
        <v>203</v>
      </c>
      <c r="B21" s="24" t="s">
        <v>115</v>
      </c>
      <c r="C21" s="25" t="s">
        <v>11</v>
      </c>
      <c r="D21" s="4">
        <v>20</v>
      </c>
      <c r="E21" s="32">
        <f>LOOKUP(D21,{0,-2.9,-1.9,-0.9,0.1,1.1,2.1,3.5,4.9,6.3,7.7,9.1,10.5,11.9,13.3,14.7,16.1,18.3,20.5,22.4,24.3},{0,10,20,30,40,50,60,62,64,66,68,70,72,74,76,78,80,85,90,95,100})</f>
        <v>85</v>
      </c>
      <c r="F21" s="4">
        <v>251</v>
      </c>
      <c r="G21" s="32">
        <f>LOOKUP(F21,{0,175,180,185,190,195,200,204,208,212,216,220,224,228,232,236,240,248,255,260,265},{0,10,20,30,40,50,60,62,64,66,68,70,72,74,76,78,80,85,90,95,100})</f>
        <v>85</v>
      </c>
      <c r="H21" s="4">
        <v>30</v>
      </c>
      <c r="I21" s="32">
        <f>LOOKUP(H21,{0,3,4,5,6,7,8,9,10,11,12,13,14,15,16,17},{0,10,20,30,40,50,60,64,68,72,76,80,85,90,95,100})</f>
        <v>100</v>
      </c>
      <c r="J21" s="4">
        <f>H21-17</f>
        <v>13</v>
      </c>
      <c r="K21" s="32">
        <f>LOOKUP(J21,{0,1,2,3,4,5,6,7,8,9,10},{0,1,2,3,4,5,6,7,8,9,10})</f>
        <v>10</v>
      </c>
      <c r="L21" s="4">
        <f t="shared" si="0"/>
        <v>110</v>
      </c>
      <c r="M21" s="4">
        <v>7.6</v>
      </c>
      <c r="N21" s="4">
        <f t="shared" si="1"/>
        <v>4.4</v>
      </c>
      <c r="O21" s="32">
        <f>LOOKUP(N21,{0,1.6,1.8,2,2.2,2.4,2.6,2.8,3,3.2,3.4,3.6,3.8,4,4.2,4.4,4.6,4.7,4.8,4.9,5},{0,10,20,30,40,50,60,62,64,66,68,70,72,74,76,78,80,85,90,95,100})</f>
        <v>78</v>
      </c>
      <c r="P21" s="4">
        <v>3.17</v>
      </c>
      <c r="Q21" s="4">
        <f t="shared" si="2"/>
        <v>6.83</v>
      </c>
      <c r="R21" s="32">
        <f>LOOKUP(Q21,{0,3.8,4,4.6,4.8,5,5.6,5.65,5.7,5.75,5.8,5.85,5.9,5.95,6,6.45,6.5,6.58,6.65,6.7,6.75},{0,10,20,30,40,50,60,62,64,66,68,70,72,74,76,78,80,85,90,95,100})</f>
        <v>100</v>
      </c>
      <c r="S21" s="4">
        <f t="shared" si="3"/>
        <v>0.0800000000000001</v>
      </c>
      <c r="T21" s="32">
        <f>LOOKUP(S21,{0,0.04,0.08,0.12,0.16,0.2,0.23,0.26,0.29,0.32,0.35},{0,1,2,3,4,5,6,7,8,9,10})</f>
        <v>2</v>
      </c>
      <c r="U21" s="4">
        <f t="shared" si="4"/>
        <v>102</v>
      </c>
      <c r="W21" s="5">
        <f t="shared" si="5"/>
        <v>62.6</v>
      </c>
      <c r="X21" s="20">
        <f t="shared" si="6"/>
        <v>101.428571428571</v>
      </c>
    </row>
    <row r="22" s="1" customFormat="1" ht="15.6" hidden="1" spans="1:24">
      <c r="A22" s="4">
        <v>208</v>
      </c>
      <c r="B22" s="24" t="s">
        <v>397</v>
      </c>
      <c r="C22" s="25" t="s">
        <v>11</v>
      </c>
      <c r="D22" s="4">
        <v>16.5</v>
      </c>
      <c r="E22" s="32">
        <f>LOOKUP(D22,{0,-2.9,-1.9,-0.9,0.1,1.1,2.1,3.5,4.9,6.3,7.7,9.1,10.5,11.9,13.3,14.7,16.1,18.3,20.5,22.4,24.3},{0,10,20,30,40,50,60,62,64,66,68,70,72,74,76,78,80,85,90,95,100})</f>
        <v>80</v>
      </c>
      <c r="F22" s="4">
        <v>271</v>
      </c>
      <c r="G22" s="32">
        <f>LOOKUP(F22,{0,175,180,185,190,195,200,204,208,212,216,220,224,228,232,236,240,248,255,260,265},{0,10,20,30,40,50,60,62,64,66,68,70,72,74,76,78,80,85,90,95,100})</f>
        <v>100</v>
      </c>
      <c r="H22" s="4">
        <v>30</v>
      </c>
      <c r="I22" s="32">
        <f>LOOKUP(H22,{0,3,4,5,6,7,8,9,10,11,12,13,14,15,16,17},{0,10,20,30,40,50,60,64,68,72,76,80,85,90,95,100})</f>
        <v>100</v>
      </c>
      <c r="J22" s="4">
        <f>H22-17</f>
        <v>13</v>
      </c>
      <c r="K22" s="32">
        <f>LOOKUP(J22,{0,1,2,3,4,5,6,7,8,9,10},{0,1,2,3,4,5,6,7,8,9,10})</f>
        <v>10</v>
      </c>
      <c r="L22" s="4">
        <f t="shared" si="0"/>
        <v>110</v>
      </c>
      <c r="M22" s="4">
        <v>6.4</v>
      </c>
      <c r="N22" s="4">
        <f t="shared" si="1"/>
        <v>5.6</v>
      </c>
      <c r="O22" s="32">
        <f>LOOKUP(N22,{0,1.6,1.8,2,2.2,2.4,2.6,2.8,3,3.2,3.4,3.6,3.8,4,4.2,4.4,4.6,4.7,4.8,4.9,5},{0,10,20,30,40,50,60,62,64,66,68,70,72,74,76,78,80,85,90,95,100})</f>
        <v>100</v>
      </c>
      <c r="P22" s="4">
        <v>3.18</v>
      </c>
      <c r="Q22" s="4">
        <f t="shared" si="2"/>
        <v>6.82</v>
      </c>
      <c r="R22" s="32">
        <f>LOOKUP(Q22,{0,3.8,4,4.6,4.8,5,5.6,5.65,5.7,5.75,5.8,5.85,5.9,5.95,6,6.45,6.5,6.58,6.65,6.7,6.75},{0,10,20,30,40,50,60,62,64,66,68,70,72,74,76,78,80,85,90,95,100})</f>
        <v>100</v>
      </c>
      <c r="S22" s="4">
        <f t="shared" si="3"/>
        <v>0.0699999999999998</v>
      </c>
      <c r="T22" s="32">
        <f>LOOKUP(S22,{0,0.04,0.08,0.12,0.16,0.2,0.23,0.26,0.29,0.32,0.35},{0,1,2,3,4,5,6,7,8,9,10})</f>
        <v>1</v>
      </c>
      <c r="U22" s="4">
        <f t="shared" si="4"/>
        <v>101</v>
      </c>
      <c r="V22" s="4"/>
      <c r="W22" s="5">
        <f t="shared" si="5"/>
        <v>68</v>
      </c>
      <c r="X22" s="20">
        <f t="shared" si="6"/>
        <v>108.142857142857</v>
      </c>
    </row>
    <row r="23" ht="15.6" hidden="1" spans="1:24">
      <c r="A23" s="4">
        <v>203</v>
      </c>
      <c r="B23" s="24" t="s">
        <v>147</v>
      </c>
      <c r="C23" s="25" t="s">
        <v>11</v>
      </c>
      <c r="D23" s="4">
        <v>6</v>
      </c>
      <c r="E23" s="32">
        <f>LOOKUP(D23,{0,-2.9,-1.9,-0.9,0.1,1.1,2.1,3.5,4.9,6.3,7.7,9.1,10.5,11.9,13.3,14.7,16.1,18.3,20.5,22.4,24.3},{0,10,20,30,40,50,60,62,64,66,68,70,72,74,76,78,80,85,90,95,100})</f>
        <v>64</v>
      </c>
      <c r="F23" s="4">
        <v>245</v>
      </c>
      <c r="G23" s="32">
        <f>LOOKUP(F23,{0,175,180,185,190,195,200,204,208,212,216,220,224,228,232,236,240,248,255,260,265},{0,10,20,30,40,50,60,62,64,66,68,70,72,74,76,78,80,85,90,95,100})</f>
        <v>80</v>
      </c>
      <c r="H23" s="4">
        <v>7</v>
      </c>
      <c r="I23" s="32">
        <f>LOOKUP(H23,{0,3,4,5,6,7,8,9,10,11,12,13,14,15,16,17},{0,10,20,30,40,50,60,64,68,72,76,80,85,90,95,100})</f>
        <v>50</v>
      </c>
      <c r="L23" s="4">
        <f t="shared" si="0"/>
        <v>50</v>
      </c>
      <c r="M23" s="4">
        <v>6.5</v>
      </c>
      <c r="N23" s="4">
        <f t="shared" si="1"/>
        <v>5.5</v>
      </c>
      <c r="O23" s="32">
        <f>LOOKUP(N23,{0,1.6,1.8,2,2.2,2.4,2.6,2.8,3,3.2,3.4,3.6,3.8,4,4.2,4.4,4.6,4.7,4.8,4.9,5},{0,10,20,30,40,50,60,62,64,66,68,70,72,74,76,78,80,85,90,95,100})</f>
        <v>100</v>
      </c>
      <c r="P23" s="4">
        <v>3.19</v>
      </c>
      <c r="Q23" s="4">
        <f t="shared" si="2"/>
        <v>6.81</v>
      </c>
      <c r="R23" s="32">
        <f>LOOKUP(Q23,{0,3.8,4,4.6,4.8,5,5.6,5.65,5.7,5.75,5.8,5.85,5.9,5.95,6,6.45,6.5,6.58,6.65,6.7,6.75},{0,10,20,30,40,50,60,62,64,66,68,70,72,74,76,78,80,85,90,95,100})</f>
        <v>100</v>
      </c>
      <c r="S23" s="4">
        <f t="shared" si="3"/>
        <v>0.0600000000000001</v>
      </c>
      <c r="T23" s="32">
        <f>LOOKUP(S23,{0,0.04,0.08,0.12,0.16,0.2,0.23,0.26,0.29,0.32,0.35},{0,1,2,3,4,5,6,7,8,9,10})</f>
        <v>1</v>
      </c>
      <c r="U23" s="4">
        <f t="shared" si="4"/>
        <v>101</v>
      </c>
      <c r="W23" s="5">
        <f t="shared" si="5"/>
        <v>59.4</v>
      </c>
      <c r="X23" s="20">
        <f t="shared" si="6"/>
        <v>85.8571428571429</v>
      </c>
    </row>
    <row r="24" ht="15.6" hidden="1" spans="1:24">
      <c r="A24" s="4">
        <v>203</v>
      </c>
      <c r="B24" s="24" t="s">
        <v>119</v>
      </c>
      <c r="C24" s="25" t="s">
        <v>11</v>
      </c>
      <c r="D24" s="4">
        <v>18.5</v>
      </c>
      <c r="E24" s="32">
        <f>LOOKUP(D24,{0,-2.9,-1.9,-0.9,0.1,1.1,2.1,3.5,4.9,6.3,7.7,9.1,10.5,11.9,13.3,14.7,16.1,18.3,20.5,22.4,24.3},{0,10,20,30,40,50,60,62,64,66,68,70,72,74,76,78,80,85,90,95,100})</f>
        <v>85</v>
      </c>
      <c r="F24" s="4">
        <v>275</v>
      </c>
      <c r="G24" s="32">
        <f>LOOKUP(F24,{0,175,180,185,190,195,200,204,208,212,216,220,224,228,232,236,240,248,255,260,265},{0,10,20,30,40,50,60,62,64,66,68,70,72,74,76,78,80,85,90,95,100})</f>
        <v>100</v>
      </c>
      <c r="H24" s="4">
        <v>4</v>
      </c>
      <c r="I24" s="32">
        <f>LOOKUP(H24,{0,3,4,5,6,7,8,9,10,11,12,13,14,15,16,17},{0,10,20,30,40,50,60,64,68,72,76,80,85,90,95,100})</f>
        <v>20</v>
      </c>
      <c r="L24" s="4">
        <f t="shared" si="0"/>
        <v>20</v>
      </c>
      <c r="M24" s="4">
        <v>6.5</v>
      </c>
      <c r="N24" s="4">
        <f t="shared" si="1"/>
        <v>5.5</v>
      </c>
      <c r="O24" s="32">
        <f>LOOKUP(N24,{0,1.6,1.8,2,2.2,2.4,2.6,2.8,3,3.2,3.4,3.6,3.8,4,4.2,4.4,4.6,4.7,4.8,4.9,5},{0,10,20,30,40,50,60,62,64,66,68,70,72,74,76,78,80,85,90,95,100})</f>
        <v>100</v>
      </c>
      <c r="P24" s="4">
        <v>3.19</v>
      </c>
      <c r="Q24" s="4">
        <f t="shared" si="2"/>
        <v>6.81</v>
      </c>
      <c r="R24" s="32">
        <f>LOOKUP(Q24,{0,3.8,4,4.6,4.8,5,5.6,5.65,5.7,5.75,5.8,5.85,5.9,5.95,6,6.45,6.5,6.58,6.65,6.7,6.75},{0,10,20,30,40,50,60,62,64,66,68,70,72,74,76,78,80,85,90,95,100})</f>
        <v>100</v>
      </c>
      <c r="S24" s="4">
        <f t="shared" si="3"/>
        <v>0.0600000000000001</v>
      </c>
      <c r="T24" s="32">
        <f>LOOKUP(S24,{0,0.04,0.08,0.12,0.16,0.2,0.23,0.26,0.29,0.32,0.35},{0,1,2,3,4,5,6,7,8,9,10})</f>
        <v>1</v>
      </c>
      <c r="U24" s="4">
        <f t="shared" si="4"/>
        <v>101</v>
      </c>
      <c r="W24" s="5">
        <f t="shared" si="5"/>
        <v>60.5</v>
      </c>
      <c r="X24" s="20">
        <f t="shared" si="6"/>
        <v>87.4285714285714</v>
      </c>
    </row>
    <row r="25" ht="15.6" hidden="1" spans="1:24">
      <c r="A25" s="4">
        <v>208</v>
      </c>
      <c r="B25" s="24" t="s">
        <v>394</v>
      </c>
      <c r="C25" s="25" t="s">
        <v>11</v>
      </c>
      <c r="D25" s="4">
        <v>14.1</v>
      </c>
      <c r="E25" s="32">
        <f>LOOKUP(D25,{0,-2.9,-1.9,-0.9,0.1,1.1,2.1,3.5,4.9,6.3,7.7,9.1,10.5,11.9,13.3,14.7,16.1,18.3,20.5,22.4,24.3},{0,10,20,30,40,50,60,62,64,66,68,70,72,74,76,78,80,85,90,95,100})</f>
        <v>76</v>
      </c>
      <c r="F25" s="4">
        <v>292</v>
      </c>
      <c r="G25" s="32">
        <f>LOOKUP(F25,{0,175,180,185,190,195,200,204,208,212,216,220,224,228,232,236,240,248,255,260,265},{0,10,20,30,40,50,60,62,64,66,68,70,72,74,76,78,80,85,90,95,100})</f>
        <v>100</v>
      </c>
      <c r="H25" s="4">
        <v>27</v>
      </c>
      <c r="I25" s="32">
        <f>LOOKUP(H25,{0,3,4,5,6,7,8,9,10,11,12,13,14,15,16,17},{0,10,20,30,40,50,60,64,68,72,76,80,85,90,95,100})</f>
        <v>100</v>
      </c>
      <c r="J25" s="4">
        <f>H25-17</f>
        <v>10</v>
      </c>
      <c r="K25" s="32">
        <f>LOOKUP(J25,{0,1,2,3,4,5,6,7,8,9,10},{0,1,2,3,4,5,6,7,8,9,10})</f>
        <v>10</v>
      </c>
      <c r="L25" s="4">
        <f t="shared" si="0"/>
        <v>110</v>
      </c>
      <c r="M25" s="4">
        <v>6.6</v>
      </c>
      <c r="N25" s="4">
        <f t="shared" si="1"/>
        <v>5.4</v>
      </c>
      <c r="O25" s="32">
        <f>LOOKUP(N25,{0,1.6,1.8,2,2.2,2.4,2.6,2.8,3,3.2,3.4,3.6,3.8,4,4.2,4.4,4.6,4.7,4.8,4.9,5},{0,10,20,30,40,50,60,62,64,66,68,70,72,74,76,78,80,85,90,95,100})</f>
        <v>100</v>
      </c>
      <c r="P25" s="4">
        <v>3.19</v>
      </c>
      <c r="Q25" s="4">
        <f t="shared" si="2"/>
        <v>6.81</v>
      </c>
      <c r="R25" s="32">
        <f>LOOKUP(Q25,{0,3.8,4,4.6,4.8,5,5.6,5.65,5.7,5.75,5.8,5.85,5.9,5.95,6,6.45,6.5,6.58,6.65,6.7,6.75},{0,10,20,30,40,50,60,62,64,66,68,70,72,74,76,78,80,85,90,95,100})</f>
        <v>100</v>
      </c>
      <c r="S25" s="4">
        <f t="shared" si="3"/>
        <v>0.0600000000000001</v>
      </c>
      <c r="T25" s="32">
        <f>LOOKUP(S25,{0,0.04,0.08,0.12,0.16,0.2,0.23,0.26,0.29,0.32,0.35},{0,1,2,3,4,5,6,7,8,9,10})</f>
        <v>1</v>
      </c>
      <c r="U25" s="4">
        <f t="shared" si="4"/>
        <v>101</v>
      </c>
      <c r="W25" s="5">
        <f t="shared" si="5"/>
        <v>67.6</v>
      </c>
      <c r="X25" s="20">
        <f t="shared" si="6"/>
        <v>107.571428571429</v>
      </c>
    </row>
    <row r="26" ht="15.6" hidden="1" spans="1:24">
      <c r="A26" s="4">
        <v>201</v>
      </c>
      <c r="B26" s="24" t="s">
        <v>29</v>
      </c>
      <c r="C26" s="25" t="s">
        <v>11</v>
      </c>
      <c r="D26" s="4">
        <v>15</v>
      </c>
      <c r="E26" s="32">
        <f>LOOKUP(D26,{0,-2.9,-1.9,-0.9,0.1,1.1,2.1,3.5,4.9,6.3,7.7,9.1,10.5,11.9,13.3,14.7,16.1,18.3,20.5,22.4,24.3},{0,10,20,30,40,50,60,62,64,66,68,70,72,74,76,78,80,85,90,95,100})</f>
        <v>78</v>
      </c>
      <c r="F26" s="4">
        <v>245</v>
      </c>
      <c r="G26" s="32">
        <f>LOOKUP(F26,{0,175,180,185,190,195,200,204,208,212,216,220,224,228,232,236,240,248,255,260,265},{0,10,20,30,40,50,60,62,64,66,68,70,72,74,76,78,80,85,90,95,100})</f>
        <v>80</v>
      </c>
      <c r="H26" s="4">
        <v>15</v>
      </c>
      <c r="I26" s="32">
        <f>LOOKUP(H26,{0,3,4,5,6,7,8,9,10,11,12,13,14,15,16,17},{0,10,20,30,40,50,60,64,68,72,76,80,85,90,95,100})</f>
        <v>90</v>
      </c>
      <c r="K26" s="35"/>
      <c r="L26" s="4">
        <f t="shared" si="0"/>
        <v>90</v>
      </c>
      <c r="M26" s="4">
        <v>6.9</v>
      </c>
      <c r="N26" s="4">
        <f t="shared" si="1"/>
        <v>5.1</v>
      </c>
      <c r="O26" s="32">
        <f>LOOKUP(N26,{0,1.6,1.8,2,2.2,2.4,2.6,2.8,3,3.2,3.4,3.6,3.8,4,4.2,4.4,4.6,4.7,4.8,4.9,5},{0,10,20,30,40,50,60,62,64,66,68,70,72,74,76,78,80,85,90,95,100})</f>
        <v>100</v>
      </c>
      <c r="P26" s="4">
        <v>3.19</v>
      </c>
      <c r="Q26" s="4">
        <f t="shared" si="2"/>
        <v>6.81</v>
      </c>
      <c r="R26" s="32">
        <f>LOOKUP(Q26,{0,3.8,4,4.6,4.8,5,5.6,5.65,5.7,5.75,5.8,5.85,5.9,5.95,6,6.45,6.5,6.58,6.65,6.7,6.75},{0,10,20,30,40,50,60,62,64,66,68,70,72,74,76,78,80,85,90,95,100})</f>
        <v>100</v>
      </c>
      <c r="S26" s="4">
        <f t="shared" si="3"/>
        <v>0.0600000000000001</v>
      </c>
      <c r="T26" s="32">
        <f>LOOKUP(S26,{0,0.04,0.08,0.12,0.16,0.2,0.23,0.26,0.29,0.32,0.35},{0,1,2,3,4,5,6,7,8,9,10})</f>
        <v>1</v>
      </c>
      <c r="U26" s="4">
        <f t="shared" si="4"/>
        <v>101</v>
      </c>
      <c r="W26" s="5">
        <f t="shared" si="5"/>
        <v>64.8</v>
      </c>
      <c r="X26" s="20">
        <f t="shared" si="6"/>
        <v>93.5714285714286</v>
      </c>
    </row>
    <row r="27" ht="15.6" hidden="1" spans="1:24">
      <c r="A27" s="4">
        <v>207</v>
      </c>
      <c r="B27" s="24" t="s">
        <v>353</v>
      </c>
      <c r="C27" s="25" t="s">
        <v>11</v>
      </c>
      <c r="D27" s="4">
        <v>10.4</v>
      </c>
      <c r="E27" s="32">
        <f>LOOKUP(D27,{0,-2.9,-1.9,-0.9,0.1,1.1,2.1,3.5,4.9,6.3,7.7,9.1,10.5,11.9,13.3,14.7,16.1,18.3,20.5,22.4,24.3},{0,10,20,30,40,50,60,62,64,66,68,70,72,74,76,78,80,85,90,95,100})</f>
        <v>70</v>
      </c>
      <c r="F27" s="4">
        <v>236</v>
      </c>
      <c r="G27" s="32">
        <f>LOOKUP(F27,{0,175,180,185,190,195,200,204,208,212,216,220,224,228,232,236,240,248,255,260,265},{0,10,20,30,40,50,60,62,64,66,68,70,72,74,76,78,80,85,90,95,100})</f>
        <v>78</v>
      </c>
      <c r="H27" s="4">
        <v>9</v>
      </c>
      <c r="I27" s="32">
        <f>LOOKUP(H27,{0,3,4,5,6,7,8,9,10,11,12,13,14,15,16,17},{0,10,20,30,40,50,60,64,68,72,76,80,85,90,95,100})</f>
        <v>64</v>
      </c>
      <c r="K27" s="35"/>
      <c r="L27" s="4">
        <f t="shared" si="0"/>
        <v>64</v>
      </c>
      <c r="M27" s="4">
        <v>6.9</v>
      </c>
      <c r="N27" s="4">
        <f t="shared" si="1"/>
        <v>5.1</v>
      </c>
      <c r="O27" s="32">
        <f>LOOKUP(N27,{0,1.6,1.8,2,2.2,2.4,2.6,2.8,3,3.2,3.4,3.6,3.8,4,4.2,4.4,4.6,4.7,4.8,4.9,5},{0,10,20,30,40,50,60,62,64,66,68,70,72,74,76,78,80,85,90,95,100})</f>
        <v>100</v>
      </c>
      <c r="P27" s="4">
        <v>3.19</v>
      </c>
      <c r="Q27" s="4">
        <f t="shared" si="2"/>
        <v>6.81</v>
      </c>
      <c r="R27" s="32">
        <f>LOOKUP(Q27,{0,3.8,4,4.6,4.8,5,5.6,5.65,5.7,5.75,5.8,5.85,5.9,5.95,6,6.45,6.5,6.58,6.65,6.7,6.75},{0,10,20,30,40,50,60,62,64,66,68,70,72,74,76,78,80,85,90,95,100})</f>
        <v>100</v>
      </c>
      <c r="S27" s="4">
        <f t="shared" si="3"/>
        <v>0.0600000000000001</v>
      </c>
      <c r="T27" s="32">
        <f>LOOKUP(S27,{0,0.04,0.08,0.12,0.16,0.2,0.23,0.26,0.29,0.32,0.35},{0,1,2,3,4,5,6,7,8,9,10})</f>
        <v>1</v>
      </c>
      <c r="U27" s="4">
        <f t="shared" si="4"/>
        <v>101</v>
      </c>
      <c r="W27" s="5">
        <f t="shared" si="5"/>
        <v>61.2</v>
      </c>
      <c r="X27" s="20">
        <f t="shared" si="6"/>
        <v>88.4285714285714</v>
      </c>
    </row>
    <row r="28" ht="15.6" hidden="1" spans="1:24">
      <c r="A28" s="4">
        <v>208</v>
      </c>
      <c r="B28" s="24" t="s">
        <v>401</v>
      </c>
      <c r="C28" s="25" t="s">
        <v>11</v>
      </c>
      <c r="D28" s="4">
        <v>16</v>
      </c>
      <c r="E28" s="32">
        <f>LOOKUP(D28,{0,-2.9,-1.9,-0.9,0.1,1.1,2.1,3.5,4.9,6.3,7.7,9.1,10.5,11.9,13.3,14.7,16.1,18.3,20.5,22.4,24.3},{0,10,20,30,40,50,60,62,64,66,68,70,72,74,76,78,80,85,90,95,100})</f>
        <v>78</v>
      </c>
      <c r="F28" s="4">
        <v>261</v>
      </c>
      <c r="G28" s="32">
        <f>LOOKUP(F28,{0,175,180,185,190,195,200,204,208,212,216,220,224,228,232,236,240,248,255,260,265},{0,10,20,30,40,50,60,62,64,66,68,70,72,74,76,78,80,85,90,95,100})</f>
        <v>95</v>
      </c>
      <c r="H28" s="4">
        <v>27</v>
      </c>
      <c r="I28" s="32">
        <f>LOOKUP(H28,{0,3,4,5,6,7,8,9,10,11,12,13,14,15,16,17},{0,10,20,30,40,50,60,64,68,72,76,80,85,90,95,100})</f>
        <v>100</v>
      </c>
      <c r="J28" s="4">
        <f>H28-17</f>
        <v>10</v>
      </c>
      <c r="K28" s="32">
        <f>LOOKUP(J28,{0,1,2,3,4,5,6,7,8,9,10},{0,1,2,3,4,5,6,7,8,9,10})</f>
        <v>10</v>
      </c>
      <c r="L28" s="4">
        <f t="shared" si="0"/>
        <v>110</v>
      </c>
      <c r="M28" s="4">
        <v>7</v>
      </c>
      <c r="N28" s="4">
        <f t="shared" si="1"/>
        <v>5</v>
      </c>
      <c r="O28" s="32">
        <f>LOOKUP(N28,{0,1.6,1.8,2,2.2,2.4,2.6,2.8,3,3.2,3.4,3.6,3.8,4,4.2,4.4,4.6,4.7,4.8,4.9,5},{0,10,20,30,40,50,60,62,64,66,68,70,72,74,76,78,80,85,90,95,100})</f>
        <v>100</v>
      </c>
      <c r="P28" s="4">
        <v>3.19</v>
      </c>
      <c r="Q28" s="4">
        <f t="shared" si="2"/>
        <v>6.81</v>
      </c>
      <c r="R28" s="32">
        <f>LOOKUP(Q28,{0,3.8,4,4.6,4.8,5,5.6,5.65,5.7,5.75,5.8,5.85,5.9,5.95,6,6.45,6.5,6.58,6.65,6.7,6.75},{0,10,20,30,40,50,60,62,64,66,68,70,72,74,76,78,80,85,90,95,100})</f>
        <v>100</v>
      </c>
      <c r="S28" s="4">
        <f t="shared" si="3"/>
        <v>0.0600000000000001</v>
      </c>
      <c r="T28" s="32">
        <f>LOOKUP(S28,{0,0.04,0.08,0.12,0.16,0.2,0.23,0.26,0.29,0.32,0.35},{0,1,2,3,4,5,6,7,8,9,10})</f>
        <v>1</v>
      </c>
      <c r="U28" s="4">
        <f t="shared" si="4"/>
        <v>101</v>
      </c>
      <c r="W28" s="5">
        <f t="shared" si="5"/>
        <v>67.3</v>
      </c>
      <c r="X28" s="20">
        <f t="shared" si="6"/>
        <v>107.142857142857</v>
      </c>
    </row>
    <row r="29" ht="15.6" hidden="1" spans="1:24">
      <c r="A29" s="4">
        <v>210</v>
      </c>
      <c r="B29" s="33" t="s">
        <v>507</v>
      </c>
      <c r="C29" s="25" t="s">
        <v>11</v>
      </c>
      <c r="D29" s="4">
        <v>16</v>
      </c>
      <c r="E29" s="32">
        <f>LOOKUP(D29,{0,-2.9,-1.9,-0.9,0.1,1.1,2.1,3.5,4.9,6.3,7.7,9.1,10.5,11.9,13.3,14.7,16.1,18.3,20.5,22.4,24.3},{0,10,20,30,40,50,60,62,64,66,68,70,72,74,76,78,80,85,90,95,100})</f>
        <v>78</v>
      </c>
      <c r="F29" s="4">
        <v>275</v>
      </c>
      <c r="G29" s="32">
        <f>LOOKUP(F29,{0,175,180,185,190,195,200,204,208,212,216,220,224,228,232,236,240,248,255,260,265},{0,10,20,30,40,50,60,62,64,66,68,70,72,74,76,78,80,85,90,95,100})</f>
        <v>100</v>
      </c>
      <c r="H29" s="4">
        <v>16</v>
      </c>
      <c r="I29" s="32">
        <f>LOOKUP(H29,{0,3,4,5,6,7,8,9,10,11,12,13,14,15,16,17},{0,10,20,30,40,50,60,64,68,72,76,80,85,90,95,100})</f>
        <v>95</v>
      </c>
      <c r="L29" s="4">
        <f t="shared" si="0"/>
        <v>95</v>
      </c>
      <c r="M29" s="4">
        <v>7.1</v>
      </c>
      <c r="N29" s="4">
        <f t="shared" si="1"/>
        <v>4.9</v>
      </c>
      <c r="O29" s="32">
        <f>LOOKUP(N29,{0,1.6,1.8,2,2.2,2.4,2.6,2.8,3,3.2,3.4,3.6,3.8,4,4.2,4.4,4.6,4.7,4.8,4.9,5},{0,10,20,30,40,50,60,62,64,66,68,70,72,74,76,78,80,85,90,95,100})</f>
        <v>95</v>
      </c>
      <c r="P29" s="4">
        <v>3.19</v>
      </c>
      <c r="Q29" s="4">
        <f t="shared" si="2"/>
        <v>6.81</v>
      </c>
      <c r="R29" s="32">
        <f>LOOKUP(Q29,{0,3.8,4,4.6,4.8,5,5.6,5.65,5.7,5.75,5.8,5.85,5.9,5.95,6,6.45,6.5,6.58,6.65,6.7,6.75},{0,10,20,30,40,50,60,62,64,66,68,70,72,74,76,78,80,85,90,95,100})</f>
        <v>100</v>
      </c>
      <c r="S29" s="4">
        <f t="shared" si="3"/>
        <v>0.0600000000000001</v>
      </c>
      <c r="T29" s="32">
        <f>LOOKUP(S29,{0,0.04,0.08,0.12,0.16,0.2,0.23,0.26,0.29,0.32,0.35},{0,1,2,3,4,5,6,7,8,9,10})</f>
        <v>1</v>
      </c>
      <c r="U29" s="4">
        <f t="shared" si="4"/>
        <v>101</v>
      </c>
      <c r="W29" s="5">
        <f t="shared" si="5"/>
        <v>66.3</v>
      </c>
      <c r="X29" s="20">
        <f t="shared" si="6"/>
        <v>95.7142857142857</v>
      </c>
    </row>
    <row r="30" ht="15.6" hidden="1" spans="1:24">
      <c r="A30" s="4">
        <v>206</v>
      </c>
      <c r="B30" s="24" t="s">
        <v>286</v>
      </c>
      <c r="C30" s="25" t="s">
        <v>11</v>
      </c>
      <c r="D30" s="4">
        <v>14.4</v>
      </c>
      <c r="E30" s="32">
        <f>LOOKUP(D30,{0,-2.9,-1.9,-0.9,0.1,1.1,2.1,3.5,4.9,6.3,7.7,9.1,10.5,11.9,13.3,14.7,16.1,18.3,20.5,22.4,24.3},{0,10,20,30,40,50,60,62,64,66,68,70,72,74,76,78,80,85,90,95,100})</f>
        <v>76</v>
      </c>
      <c r="F30" s="4">
        <v>275</v>
      </c>
      <c r="G30" s="32">
        <f>LOOKUP(F30,{0,175,180,185,190,195,200,204,208,212,216,220,224,228,232,236,240,248,255,260,265},{0,10,20,30,40,50,60,62,64,66,68,70,72,74,76,78,80,85,90,95,100})</f>
        <v>100</v>
      </c>
      <c r="H30" s="4">
        <v>20</v>
      </c>
      <c r="I30" s="32">
        <f>LOOKUP(H30,{0,3,4,5,6,7,8,9,10,11,12,13,14,15,16,17},{0,10,20,30,40,50,60,64,68,72,76,80,85,90,95,100})</f>
        <v>100</v>
      </c>
      <c r="J30" s="4">
        <f>H30-17</f>
        <v>3</v>
      </c>
      <c r="K30" s="32">
        <f>LOOKUP(J30,{0,1,2,3,4,5,6,7,8,9,10},{0,1,2,3,4,5,6,7,8,9,10})</f>
        <v>3</v>
      </c>
      <c r="L30" s="4">
        <f t="shared" si="0"/>
        <v>103</v>
      </c>
      <c r="M30" s="4">
        <v>6.7</v>
      </c>
      <c r="N30" s="4">
        <f t="shared" si="1"/>
        <v>5.3</v>
      </c>
      <c r="O30" s="32">
        <f>LOOKUP(N30,{0,1.6,1.8,2,2.2,2.4,2.6,2.8,3,3.2,3.4,3.6,3.8,4,4.2,4.4,4.6,4.7,4.8,4.9,5},{0,10,20,30,40,50,60,62,64,66,68,70,72,74,76,78,80,85,90,95,100})</f>
        <v>100</v>
      </c>
      <c r="P30" s="4">
        <v>3.2</v>
      </c>
      <c r="Q30" s="4">
        <f t="shared" si="2"/>
        <v>6.8</v>
      </c>
      <c r="R30" s="32">
        <f>LOOKUP(Q30,{0,3.8,4,4.6,4.8,5,5.6,5.65,5.7,5.75,5.8,5.85,5.9,5.95,6,6.45,6.5,6.58,6.65,6.7,6.75},{0,10,20,30,40,50,60,62,64,66,68,70,72,74,76,78,80,85,90,95,100})</f>
        <v>100</v>
      </c>
      <c r="S30" s="4">
        <f t="shared" si="3"/>
        <v>0.0499999999999998</v>
      </c>
      <c r="T30" s="32">
        <f>LOOKUP(S30,{0,0.04,0.08,0.12,0.16,0.2,0.23,0.26,0.29,0.32,0.35},{0,1,2,3,4,5,6,7,8,9,10})</f>
        <v>1</v>
      </c>
      <c r="U30" s="4">
        <f t="shared" si="4"/>
        <v>101</v>
      </c>
      <c r="W30" s="5">
        <f t="shared" si="5"/>
        <v>67.6</v>
      </c>
      <c r="X30" s="20">
        <f t="shared" si="6"/>
        <v>100.571428571429</v>
      </c>
    </row>
    <row r="31" ht="15.6" spans="1:24">
      <c r="A31" s="4">
        <v>211</v>
      </c>
      <c r="B31" s="24" t="s">
        <v>583</v>
      </c>
      <c r="C31" s="25" t="s">
        <v>11</v>
      </c>
      <c r="D31" s="4">
        <v>18.5</v>
      </c>
      <c r="E31" s="32">
        <f>LOOKUP(D31,{0,-2.9,-1.9,-0.9,0.1,1.1,2.1,3.5,4.9,6.3,7.7,9.1,10.5,11.9,13.3,14.7,16.1,18.3,20.5,22.4,24.3},{0,10,20,30,40,50,60,62,64,66,68,70,72,74,76,78,80,85,90,95,100})</f>
        <v>85</v>
      </c>
      <c r="F31" s="4">
        <v>246</v>
      </c>
      <c r="G31" s="32">
        <f>LOOKUP(F31,{0,175,180,185,190,195,200,204,208,212,216,220,224,228,232,236,240,248,255,260,265},{0,10,20,30,40,50,60,62,64,66,68,70,72,74,76,78,80,85,90,95,100})</f>
        <v>80</v>
      </c>
      <c r="H31" s="4">
        <v>15</v>
      </c>
      <c r="I31" s="32">
        <f>LOOKUP(H31,{0,3,4,5,6,7,8,9,10,11,12,13,14,15,16,17},{0,10,20,30,40,50,60,64,68,72,76,80,85,90,95,100})</f>
        <v>90</v>
      </c>
      <c r="L31" s="4">
        <f t="shared" si="0"/>
        <v>90</v>
      </c>
      <c r="M31" s="4">
        <v>6.9</v>
      </c>
      <c r="N31" s="4">
        <f t="shared" si="1"/>
        <v>5.1</v>
      </c>
      <c r="O31" s="32">
        <f>LOOKUP(N31,{0,1.6,1.8,2,2.2,2.4,2.6,2.8,3,3.2,3.4,3.6,3.8,4,4.2,4.4,4.6,4.7,4.8,4.9,5},{0,10,20,30,40,50,60,62,64,66,68,70,72,74,76,78,80,85,90,95,100})</f>
        <v>100</v>
      </c>
      <c r="P31" s="4">
        <v>3.2</v>
      </c>
      <c r="Q31" s="4">
        <f t="shared" si="2"/>
        <v>6.8</v>
      </c>
      <c r="R31" s="32">
        <f>LOOKUP(Q31,{0,3.8,4,4.6,4.8,5,5.6,5.65,5.7,5.75,5.8,5.85,5.9,5.95,6,6.45,6.5,6.58,6.65,6.7,6.75},{0,10,20,30,40,50,60,62,64,66,68,70,72,74,76,78,80,85,90,95,100})</f>
        <v>100</v>
      </c>
      <c r="S31" s="4">
        <f t="shared" si="3"/>
        <v>0.0499999999999998</v>
      </c>
      <c r="T31" s="32">
        <f>LOOKUP(S31,{0,0.04,0.08,0.12,0.16,0.2,0.23,0.26,0.29,0.32,0.35},{0,1,2,3,4,5,6,7,8,9,10})</f>
        <v>1</v>
      </c>
      <c r="U31" s="4">
        <f t="shared" si="4"/>
        <v>101</v>
      </c>
      <c r="W31" s="5">
        <f t="shared" si="5"/>
        <v>65.5</v>
      </c>
      <c r="X31" s="20">
        <f t="shared" si="6"/>
        <v>94.5714285714286</v>
      </c>
    </row>
    <row r="32" ht="15.6" hidden="1" spans="1:24">
      <c r="A32" s="4">
        <v>209</v>
      </c>
      <c r="B32" s="24" t="s">
        <v>437</v>
      </c>
      <c r="C32" s="25" t="s">
        <v>11</v>
      </c>
      <c r="D32" s="4">
        <v>21</v>
      </c>
      <c r="E32" s="32">
        <f>LOOKUP(D32,{0,-2.9,-1.9,-0.9,0.1,1.1,2.1,3.5,4.9,6.3,7.7,9.1,10.5,11.9,13.3,14.7,16.1,18.3,20.5,22.4,24.3},{0,10,20,30,40,50,60,62,64,66,68,70,72,74,76,78,80,85,90,95,100})</f>
        <v>90</v>
      </c>
      <c r="F32" s="4">
        <v>255</v>
      </c>
      <c r="G32" s="32">
        <f>LOOKUP(F32,{0,175,180,185,190,195,200,204,208,212,216,220,224,228,232,236,240,248,255,260,265},{0,10,20,30,40,50,60,62,64,66,68,70,72,74,76,78,80,85,90,95,100})</f>
        <v>90</v>
      </c>
      <c r="H32" s="4">
        <v>5</v>
      </c>
      <c r="I32" s="32">
        <f>LOOKUP(H32,{0,3,4,5,6,7,8,9,10,11,12,13,14,15,16,17},{0,10,20,30,40,50,60,64,68,72,76,80,85,90,95,100})</f>
        <v>30</v>
      </c>
      <c r="K32" s="35"/>
      <c r="L32" s="4">
        <f t="shared" si="0"/>
        <v>30</v>
      </c>
      <c r="M32" s="4">
        <v>7</v>
      </c>
      <c r="N32" s="4">
        <f t="shared" si="1"/>
        <v>5</v>
      </c>
      <c r="O32" s="32">
        <f>LOOKUP(N32,{0,1.6,1.8,2,2.2,2.4,2.6,2.8,3,3.2,3.4,3.6,3.8,4,4.2,4.4,4.6,4.7,4.8,4.9,5},{0,10,20,30,40,50,60,62,64,66,68,70,72,74,76,78,80,85,90,95,100})</f>
        <v>100</v>
      </c>
      <c r="P32" s="4">
        <v>3.21</v>
      </c>
      <c r="Q32" s="4">
        <f t="shared" si="2"/>
        <v>6.79</v>
      </c>
      <c r="R32" s="32">
        <f>LOOKUP(Q32,{0,3.8,4,4.6,4.8,5,5.6,5.65,5.7,5.75,5.8,5.85,5.9,5.95,6,6.45,6.5,6.58,6.65,6.7,6.75},{0,10,20,30,40,50,60,62,64,66,68,70,72,74,76,78,80,85,90,95,100})</f>
        <v>100</v>
      </c>
      <c r="S32" s="4">
        <f t="shared" si="3"/>
        <v>0.04</v>
      </c>
      <c r="T32" s="32">
        <f>LOOKUP(S32,{0,0.04,0.08,0.12,0.16,0.2,0.23,0.26,0.29,0.32,0.35},{0,1,2,3,4,5,6,7,8,9,10})</f>
        <v>1</v>
      </c>
      <c r="U32" s="4">
        <f t="shared" si="4"/>
        <v>101</v>
      </c>
      <c r="W32" s="5">
        <f t="shared" si="5"/>
        <v>61</v>
      </c>
      <c r="X32" s="20">
        <f t="shared" si="6"/>
        <v>88.1428571428572</v>
      </c>
    </row>
    <row r="33" ht="15.6" hidden="1" spans="1:24">
      <c r="A33" s="4">
        <v>212</v>
      </c>
      <c r="B33" s="33" t="s">
        <v>607</v>
      </c>
      <c r="C33" s="25" t="s">
        <v>11</v>
      </c>
      <c r="D33" s="4">
        <v>10.8</v>
      </c>
      <c r="E33" s="32">
        <f>LOOKUP(D33,{0,-2.9,-1.9,-0.9,0.1,1.1,2.1,3.5,4.9,6.3,7.7,9.1,10.5,11.9,13.3,14.7,16.1,18.3,20.5,22.4,24.3},{0,10,20,30,40,50,60,62,64,66,68,70,72,74,76,78,80,85,90,95,100})</f>
        <v>72</v>
      </c>
      <c r="F33" s="4">
        <v>272</v>
      </c>
      <c r="G33" s="32">
        <f>LOOKUP(F33,{0,175,180,185,190,195,200,204,208,212,216,220,224,228,232,236,240,248,255,260,265},{0,10,20,30,40,50,60,62,64,66,68,70,72,74,76,78,80,85,90,95,100})</f>
        <v>100</v>
      </c>
      <c r="H33" s="4">
        <v>15</v>
      </c>
      <c r="I33" s="32">
        <f>LOOKUP(H33,{0,3,4,5,6,7,8,9,10,11,12,13,14,15,16,17},{0,10,20,30,40,50,60,64,68,72,76,80,85,90,95,100})</f>
        <v>90</v>
      </c>
      <c r="L33" s="4">
        <f t="shared" si="0"/>
        <v>90</v>
      </c>
      <c r="M33" s="4">
        <v>6.8</v>
      </c>
      <c r="N33" s="4">
        <f t="shared" si="1"/>
        <v>5.2</v>
      </c>
      <c r="O33" s="32">
        <f>LOOKUP(N33,{0,1.6,1.8,2,2.2,2.4,2.6,2.8,3,3.2,3.4,3.6,3.8,4,4.2,4.4,4.6,4.7,4.8,4.9,5},{0,10,20,30,40,50,60,62,64,66,68,70,72,74,76,78,80,85,90,95,100})</f>
        <v>100</v>
      </c>
      <c r="P33" s="4">
        <v>3.22</v>
      </c>
      <c r="Q33" s="4">
        <f t="shared" si="2"/>
        <v>6.78</v>
      </c>
      <c r="R33" s="32">
        <f>LOOKUP(Q33,{0,3.8,4,4.6,4.8,5,5.6,5.65,5.7,5.75,5.8,5.85,5.9,5.95,6,6.45,6.5,6.58,6.65,6.7,6.75},{0,10,20,30,40,50,60,62,64,66,68,70,72,74,76,78,80,85,90,95,100})</f>
        <v>100</v>
      </c>
      <c r="S33" s="4">
        <f t="shared" si="3"/>
        <v>0.0299999999999998</v>
      </c>
      <c r="T33" s="32">
        <f>LOOKUP(S33,{0,0.04,0.08,0.12,0.16,0.2,0.23,0.26,0.29,0.32,0.35},{0,1,2,3,4,5,6,7,8,9,10})</f>
        <v>0</v>
      </c>
      <c r="U33" s="4">
        <f t="shared" si="4"/>
        <v>100</v>
      </c>
      <c r="W33" s="5">
        <f t="shared" si="5"/>
        <v>66.2</v>
      </c>
      <c r="X33" s="20">
        <f t="shared" si="6"/>
        <v>94.5714285714286</v>
      </c>
    </row>
    <row r="34" ht="15.6" hidden="1" spans="1:24">
      <c r="A34" s="4">
        <v>205</v>
      </c>
      <c r="B34" s="24" t="s">
        <v>227</v>
      </c>
      <c r="C34" s="25" t="s">
        <v>11</v>
      </c>
      <c r="D34" s="4">
        <v>22.5</v>
      </c>
      <c r="E34" s="32">
        <f>LOOKUP(D34,{0,-2.9,-1.9,-0.9,0.1,1.1,2.1,3.5,4.9,6.3,7.7,9.1,10.5,11.9,13.3,14.7,16.1,18.3,20.5,22.4,24.3},{0,10,20,30,40,50,60,62,64,66,68,70,72,74,76,78,80,85,90,95,100})</f>
        <v>95</v>
      </c>
      <c r="F34" s="4">
        <v>247</v>
      </c>
      <c r="G34" s="32">
        <f>LOOKUP(F34,{0,175,180,185,190,195,200,204,208,212,216,220,224,228,232,236,240,248,255,260,265},{0,10,20,30,40,50,60,62,64,66,68,70,72,74,76,78,80,85,90,95,100})</f>
        <v>80</v>
      </c>
      <c r="H34" s="4">
        <v>8</v>
      </c>
      <c r="I34" s="32">
        <f>LOOKUP(H34,{0,3,4,5,6,7,8,9,10,11,12,13,14,15,16,17},{0,10,20,30,40,50,60,64,68,72,76,80,85,90,95,100})</f>
        <v>60</v>
      </c>
      <c r="L34" s="4">
        <f t="shared" si="0"/>
        <v>60</v>
      </c>
      <c r="M34" s="4">
        <v>7.4</v>
      </c>
      <c r="N34" s="4">
        <f t="shared" si="1"/>
        <v>4.6</v>
      </c>
      <c r="O34" s="32">
        <f>LOOKUP(N34,{0,1.6,1.8,2,2.2,2.4,2.6,2.8,3,3.2,3.4,3.6,3.8,4,4.2,4.4,4.6,4.7,4.8,4.9,5},{0,10,20,30,40,50,60,62,64,66,68,70,72,74,76,78,80,85,90,95,100})</f>
        <v>80</v>
      </c>
      <c r="P34" s="4">
        <v>3.22</v>
      </c>
      <c r="Q34" s="4">
        <f t="shared" si="2"/>
        <v>6.78</v>
      </c>
      <c r="R34" s="32">
        <f>LOOKUP(Q34,{0,3.8,4,4.6,4.8,5,5.6,5.65,5.7,5.75,5.8,5.85,5.9,5.95,6,6.45,6.5,6.58,6.65,6.7,6.75},{0,10,20,30,40,50,60,62,64,66,68,70,72,74,76,78,80,85,90,95,100})</f>
        <v>100</v>
      </c>
      <c r="S34" s="4">
        <f t="shared" si="3"/>
        <v>0.0299999999999998</v>
      </c>
      <c r="T34" s="32">
        <f>LOOKUP(S34,{0,0.04,0.08,0.12,0.16,0.2,0.23,0.26,0.29,0.32,0.35},{0,1,2,3,4,5,6,7,8,9,10})</f>
        <v>0</v>
      </c>
      <c r="U34" s="4">
        <f t="shared" si="4"/>
        <v>100</v>
      </c>
      <c r="W34" s="5">
        <f t="shared" si="5"/>
        <v>59.5</v>
      </c>
      <c r="X34" s="20">
        <f t="shared" si="6"/>
        <v>85</v>
      </c>
    </row>
    <row r="35" ht="15.6" hidden="1" spans="1:24">
      <c r="A35" s="4">
        <v>202</v>
      </c>
      <c r="B35" s="24" t="s">
        <v>67</v>
      </c>
      <c r="C35" s="25" t="s">
        <v>11</v>
      </c>
      <c r="D35" s="4">
        <v>13</v>
      </c>
      <c r="E35" s="32">
        <f>LOOKUP(D35,{0,-2.9,-1.9,-0.9,0.1,1.1,2.1,3.5,4.9,6.3,7.7,9.1,10.5,11.9,13.3,14.7,16.1,18.3,20.5,22.4,24.3},{0,10,20,30,40,50,60,62,64,66,68,70,72,74,76,78,80,85,90,95,100})</f>
        <v>74</v>
      </c>
      <c r="F35" s="4">
        <v>270</v>
      </c>
      <c r="G35" s="32">
        <f>LOOKUP(F35,{0,175,180,185,190,195,200,204,208,212,216,220,224,228,232,236,240,248,255,260,265},{0,10,20,30,40,50,60,62,64,66,68,70,72,74,76,78,80,85,90,95,100})</f>
        <v>100</v>
      </c>
      <c r="H35" s="4">
        <v>8</v>
      </c>
      <c r="I35" s="32">
        <f>LOOKUP(H35,{0,3,4,5,6,7,8,9,10,11,12,13,14,15,16,17},{0,10,20,30,40,50,60,64,68,72,76,80,85,90,95,100})</f>
        <v>60</v>
      </c>
      <c r="L35" s="4">
        <f t="shared" si="0"/>
        <v>60</v>
      </c>
      <c r="M35" s="4">
        <v>6.3</v>
      </c>
      <c r="N35" s="4">
        <f t="shared" si="1"/>
        <v>5.7</v>
      </c>
      <c r="O35" s="32">
        <f>LOOKUP(N35,{0,1.6,1.8,2,2.2,2.4,2.6,2.8,3,3.2,3.4,3.6,3.8,4,4.2,4.4,4.6,4.7,4.8,4.9,5},{0,10,20,30,40,50,60,62,64,66,68,70,72,74,76,78,80,85,90,95,100})</f>
        <v>100</v>
      </c>
      <c r="P35" s="4">
        <v>3.23</v>
      </c>
      <c r="Q35" s="4">
        <f t="shared" si="2"/>
        <v>6.77</v>
      </c>
      <c r="R35" s="32">
        <f>LOOKUP(Q35,{0,3.8,4,4.6,4.8,5,5.6,5.65,5.7,5.75,5.8,5.85,5.9,5.95,6,6.45,6.5,6.58,6.65,6.7,6.75},{0,10,20,30,40,50,60,62,64,66,68,70,72,74,76,78,80,85,90,95,100})</f>
        <v>100</v>
      </c>
      <c r="S35" s="4">
        <f t="shared" si="3"/>
        <v>0.02</v>
      </c>
      <c r="T35" s="32">
        <f>LOOKUP(S35,{0,0.04,0.08,0.12,0.16,0.2,0.23,0.26,0.29,0.32,0.35},{0,1,2,3,4,5,6,7,8,9,10})</f>
        <v>0</v>
      </c>
      <c r="U35" s="4">
        <f t="shared" si="4"/>
        <v>100</v>
      </c>
      <c r="W35" s="5">
        <f t="shared" si="5"/>
        <v>63.4</v>
      </c>
      <c r="X35" s="20">
        <f t="shared" si="6"/>
        <v>90.5714285714286</v>
      </c>
    </row>
    <row r="36" s="1" customFormat="1" ht="15.6" hidden="1" spans="1:24">
      <c r="A36" s="4">
        <v>210</v>
      </c>
      <c r="B36" s="24" t="s">
        <v>518</v>
      </c>
      <c r="C36" s="25" t="s">
        <v>11</v>
      </c>
      <c r="D36" s="4">
        <v>25.5</v>
      </c>
      <c r="E36" s="32">
        <f>LOOKUP(D36,{0,-2.9,-1.9,-0.9,0.1,1.1,2.1,3.5,4.9,6.3,7.7,9.1,10.5,11.9,13.3,14.7,16.1,18.3,20.5,22.4,24.3},{0,10,20,30,40,50,60,62,64,66,68,70,72,74,76,78,80,85,90,95,100})</f>
        <v>100</v>
      </c>
      <c r="F36" s="4">
        <v>276</v>
      </c>
      <c r="G36" s="32">
        <f>LOOKUP(F36,{0,175,180,185,190,195,200,204,208,212,216,220,224,228,232,236,240,248,255,260,265},{0,10,20,30,40,50,60,62,64,66,68,70,72,74,76,78,80,85,90,95,100})</f>
        <v>100</v>
      </c>
      <c r="H36" s="4">
        <v>24</v>
      </c>
      <c r="I36" s="32">
        <f>LOOKUP(H36,{0,3,4,5,6,7,8,9,10,11,12,13,14,15,16,17},{0,10,20,30,40,50,60,64,68,72,76,80,85,90,95,100})</f>
        <v>100</v>
      </c>
      <c r="J36" s="4">
        <f>H36-17</f>
        <v>7</v>
      </c>
      <c r="K36" s="32">
        <f>LOOKUP(J36,{0,1,2,3,4,5,6,7,8,9,10},{0,1,2,3,4,5,6,7,8,9,10})</f>
        <v>7</v>
      </c>
      <c r="L36" s="4">
        <f t="shared" si="0"/>
        <v>107</v>
      </c>
      <c r="M36" s="4">
        <v>6.5</v>
      </c>
      <c r="N36" s="4">
        <f t="shared" si="1"/>
        <v>5.5</v>
      </c>
      <c r="O36" s="32">
        <f>LOOKUP(N36,{0,1.6,1.8,2,2.2,2.4,2.6,2.8,3,3.2,3.4,3.6,3.8,4,4.2,4.4,4.6,4.7,4.8,4.9,5},{0,10,20,30,40,50,60,62,64,66,68,70,72,74,76,78,80,85,90,95,100})</f>
        <v>100</v>
      </c>
      <c r="P36" s="4">
        <v>3.23</v>
      </c>
      <c r="Q36" s="4">
        <f t="shared" si="2"/>
        <v>6.77</v>
      </c>
      <c r="R36" s="32">
        <f>LOOKUP(Q36,{0,3.8,4,4.6,4.8,5,5.6,5.65,5.7,5.75,5.8,5.85,5.9,5.95,6,6.45,6.5,6.58,6.65,6.7,6.75},{0,10,20,30,40,50,60,62,64,66,68,70,72,74,76,78,80,85,90,95,100})</f>
        <v>100</v>
      </c>
      <c r="S36" s="4">
        <f t="shared" si="3"/>
        <v>0.02</v>
      </c>
      <c r="T36" s="32">
        <f>LOOKUP(S36,{0,0.04,0.08,0.12,0.16,0.2,0.23,0.26,0.29,0.32,0.35},{0,1,2,3,4,5,6,7,8,9,10})</f>
        <v>0</v>
      </c>
      <c r="U36" s="4">
        <f t="shared" si="4"/>
        <v>100</v>
      </c>
      <c r="V36" s="4"/>
      <c r="W36" s="5">
        <f t="shared" si="5"/>
        <v>70</v>
      </c>
      <c r="X36" s="20">
        <f t="shared" si="6"/>
        <v>107</v>
      </c>
    </row>
    <row r="37" ht="15.6" hidden="1" spans="1:24">
      <c r="A37" s="4">
        <v>201</v>
      </c>
      <c r="B37" s="33" t="s">
        <v>26</v>
      </c>
      <c r="C37" s="25" t="s">
        <v>11</v>
      </c>
      <c r="D37" s="4">
        <v>7.8</v>
      </c>
      <c r="E37" s="32">
        <f>LOOKUP(D37,{0,-2.9,-1.9,-0.9,0.1,1.1,2.1,3.5,4.9,6.3,7.7,9.1,10.5,11.9,13.3,14.7,16.1,18.3,20.5,22.4,24.3},{0,10,20,30,40,50,60,62,64,66,68,70,72,74,76,78,80,85,90,95,100})</f>
        <v>68</v>
      </c>
      <c r="F37" s="4">
        <v>258</v>
      </c>
      <c r="G37" s="32">
        <f>LOOKUP(F37,{0,175,180,185,190,195,200,204,208,212,216,220,224,228,232,236,240,248,255,260,265},{0,10,20,30,40,50,60,62,64,66,68,70,72,74,76,78,80,85,90,95,100})</f>
        <v>90</v>
      </c>
      <c r="H37" s="4">
        <v>32</v>
      </c>
      <c r="I37" s="32">
        <f>LOOKUP(H37,{0,3,4,5,6,7,8,9,10,11,12,13,14,15,16,17},{0,10,20,30,40,50,60,64,68,72,76,80,85,90,95,100})</f>
        <v>100</v>
      </c>
      <c r="J37" s="4">
        <f>H37-17</f>
        <v>15</v>
      </c>
      <c r="K37" s="32">
        <f>LOOKUP(J37,{0,1,2,3,4,5,6,7,8,9,10},{0,1,2,3,4,5,6,7,8,9,10})</f>
        <v>10</v>
      </c>
      <c r="L37" s="4">
        <f t="shared" si="0"/>
        <v>110</v>
      </c>
      <c r="M37" s="4">
        <v>7</v>
      </c>
      <c r="N37" s="4">
        <f t="shared" si="1"/>
        <v>5</v>
      </c>
      <c r="O37" s="32">
        <f>LOOKUP(N37,{0,1.6,1.8,2,2.2,2.4,2.6,2.8,3,3.2,3.4,3.6,3.8,4,4.2,4.4,4.6,4.7,4.8,4.9,5},{0,10,20,30,40,50,60,62,64,66,68,70,72,74,76,78,80,85,90,95,100})</f>
        <v>100</v>
      </c>
      <c r="P37" s="4">
        <v>3.23</v>
      </c>
      <c r="Q37" s="4">
        <f t="shared" si="2"/>
        <v>6.77</v>
      </c>
      <c r="R37" s="32">
        <f>LOOKUP(Q37,{0,3.8,4,4.6,4.8,5,5.6,5.65,5.7,5.75,5.8,5.85,5.9,5.95,6,6.45,6.5,6.58,6.65,6.7,6.75},{0,10,20,30,40,50,60,62,64,66,68,70,72,74,76,78,80,85,90,95,100})</f>
        <v>100</v>
      </c>
      <c r="S37" s="4">
        <f t="shared" si="3"/>
        <v>0.02</v>
      </c>
      <c r="T37" s="32">
        <f>LOOKUP(S37,{0,0.04,0.08,0.12,0.16,0.2,0.23,0.26,0.29,0.32,0.35},{0,1,2,3,4,5,6,7,8,9,10})</f>
        <v>0</v>
      </c>
      <c r="U37" s="4">
        <f t="shared" si="4"/>
        <v>100</v>
      </c>
      <c r="W37" s="5">
        <f t="shared" si="5"/>
        <v>65.8</v>
      </c>
      <c r="X37" s="20">
        <f t="shared" si="6"/>
        <v>104</v>
      </c>
    </row>
    <row r="38" s="2" customFormat="1" ht="15.6" hidden="1" spans="1:24">
      <c r="A38" s="4">
        <v>210</v>
      </c>
      <c r="B38" s="24" t="s">
        <v>546</v>
      </c>
      <c r="C38" s="25" t="s">
        <v>53</v>
      </c>
      <c r="D38" s="4">
        <v>21</v>
      </c>
      <c r="E38" s="32">
        <f>LOOKUP(D38,{0,1,1.8,2.6,3.4,4.2,5,6.3,7.6,8.9,10.2,11.5,12.8,14.1,15.4,16.7,18,19.7,21.4,23.1,24.8},{0,10,20,30,40,50,60,62,64,66,68,70,72,74,76,78,80,85,90,95,100})</f>
        <v>85</v>
      </c>
      <c r="F38" s="4">
        <v>200</v>
      </c>
      <c r="G38" s="32">
        <f>LOOKUP(F38,{0,124,129,134,139,144,149,152,155,158,161,164,167,170,173,176,179,186,193,199,205},{0,10,20,30,40,50,60,62,64,66,68,70,72,74,76,78,80,85,90,95,100})</f>
        <v>95</v>
      </c>
      <c r="H38" s="4">
        <v>60</v>
      </c>
      <c r="I38" s="32">
        <f>LOOKUP(H38,{0,14,16,18,20,22,24,26,28,30,32,34,36,38,40,42,44,47,50,52,54},{0,10,20,30,40,50,60,62,64,66,68,70,72,74,76,78,80,85,90,95,100})</f>
        <v>100</v>
      </c>
      <c r="J38" s="4">
        <f>H38-54</f>
        <v>6</v>
      </c>
      <c r="K38" s="32">
        <f>LOOKUP(J38,{0,2,4,6,7,8,9,10,11,12,13},{0,1,2,3,4,5,6,7,8,9,10})</f>
        <v>3</v>
      </c>
      <c r="L38" s="4">
        <f t="shared" si="0"/>
        <v>103</v>
      </c>
      <c r="M38" s="4">
        <v>7.5</v>
      </c>
      <c r="N38" s="4">
        <f t="shared" si="1"/>
        <v>4.5</v>
      </c>
      <c r="O38" s="32">
        <f>LOOKUP(N38,{0,0.5,0.7,0.9,1.1,1.3,1.5,1.7,1.9,2.1,2.3,2.5,2.7,2.9,3.1,3.3,3.5,3.8,4.1,4.2,4.3},{0,10,20,30,40,50,60,62,64,66,68,70,72,74,76,78,80,85,90,95,100})</f>
        <v>100</v>
      </c>
      <c r="P38" s="4">
        <v>3</v>
      </c>
      <c r="Q38" s="4">
        <f t="shared" si="2"/>
        <v>7</v>
      </c>
      <c r="R38" s="32">
        <f>LOOKUP(Q38,{0,4.72,4.82,4.92,5.42,5.52,5.62,5.67,5.72,5.77,5.82,5.87,5.92,5.97,6.42,6.47,6.52,6.59,6.66,6.72,6.78},{0,10,20,30,40,50,60,62,64,66,68,70,72,74,76,78,80,85,90,95,100})</f>
        <v>100</v>
      </c>
      <c r="S38" s="39">
        <f>3.22-P38</f>
        <v>0.22</v>
      </c>
      <c r="T38" s="32">
        <f>LOOKUP(S38,{0,0.05,0.1,0.15,0.2,0.25,0.3,0.35,0.4,0.45,0.5},{0,1,2,3,4,5,6,7,8,9,10})</f>
        <v>4</v>
      </c>
      <c r="U38" s="4">
        <f t="shared" si="4"/>
        <v>104</v>
      </c>
      <c r="V38" s="4"/>
      <c r="W38" s="5">
        <f t="shared" si="5"/>
        <v>68</v>
      </c>
      <c r="X38" s="20">
        <f t="shared" si="6"/>
        <v>104.142857142857</v>
      </c>
    </row>
    <row r="39" ht="15.6" hidden="1" spans="1:24">
      <c r="A39" s="4">
        <v>210</v>
      </c>
      <c r="B39" s="24" t="s">
        <v>539</v>
      </c>
      <c r="C39" s="25" t="s">
        <v>53</v>
      </c>
      <c r="D39" s="4">
        <v>22</v>
      </c>
      <c r="E39" s="32">
        <f>LOOKUP(D39,{0,1,1.8,2.6,3.4,4.2,5,6.3,7.6,8.9,10.2,11.5,12.8,14.1,15.4,16.7,18,19.7,21.4,23.1,24.8},{0,10,20,30,40,50,60,62,64,66,68,70,72,74,76,78,80,85,90,95,100})</f>
        <v>90</v>
      </c>
      <c r="F39" s="4">
        <v>208</v>
      </c>
      <c r="G39" s="32">
        <f>LOOKUP(F39,{0,124,129,134,139,144,149,152,155,158,161,164,167,170,173,176,179,186,193,199,205},{0,10,20,30,40,50,60,62,64,66,68,70,72,74,76,78,80,85,90,95,100})</f>
        <v>100</v>
      </c>
      <c r="H39" s="4">
        <v>60</v>
      </c>
      <c r="I39" s="32">
        <f>LOOKUP(H39,{0,14,16,18,20,22,24,26,28,30,32,34,36,38,40,42,44,47,50,52,54},{0,10,20,30,40,50,60,62,64,66,68,70,72,74,76,78,80,85,90,95,100})</f>
        <v>100</v>
      </c>
      <c r="J39" s="4">
        <f>H39-54</f>
        <v>6</v>
      </c>
      <c r="K39" s="34">
        <f>LOOKUP(J39,{0,2,4,6,7,8,9,10,11,12,13},{0,1,2,3,4,5,6,7,8,9,10})</f>
        <v>3</v>
      </c>
      <c r="L39" s="4">
        <f t="shared" si="0"/>
        <v>103</v>
      </c>
      <c r="M39" s="4">
        <v>7.7</v>
      </c>
      <c r="N39" s="4">
        <f t="shared" si="1"/>
        <v>4.3</v>
      </c>
      <c r="O39" s="32">
        <f>LOOKUP(N39,{0,0.5,0.7,0.9,1.1,1.3,1.5,1.7,1.9,2.1,2.3,2.5,2.7,2.9,3.1,3.3,3.5,3.8,4.1,4.2,4.3},{0,10,20,30,40,50,60,62,64,66,68,70,72,74,76,78,80,85,90,95,100})</f>
        <v>100</v>
      </c>
      <c r="P39" s="4">
        <v>3.22</v>
      </c>
      <c r="Q39" s="4">
        <f t="shared" si="2"/>
        <v>6.78</v>
      </c>
      <c r="R39" s="32">
        <f>LOOKUP(Q39,{0,4.72,4.82,4.92,5.42,5.52,5.62,5.67,5.72,5.77,5.82,5.87,5.92,5.97,6.42,6.47,6.52,6.59,6.66,6.72,6.78},{0,10,20,30,40,50,60,62,64,66,68,70,72,74,76,78,80,85,90,95,100})</f>
        <v>100</v>
      </c>
      <c r="S39" s="39">
        <f>3.22-P39</f>
        <v>0</v>
      </c>
      <c r="T39" s="32">
        <f>LOOKUP(S39,{0,0.05,0.1,0.15,0.2,0.25,0.3,0.35,0.4,0.45,0.5},{0,1,2,3,4,5,6,7,8,9,10})</f>
        <v>0</v>
      </c>
      <c r="U39" s="4">
        <f t="shared" si="4"/>
        <v>100</v>
      </c>
      <c r="W39" s="5">
        <f t="shared" si="5"/>
        <v>69</v>
      </c>
      <c r="X39" s="20">
        <f t="shared" si="6"/>
        <v>101.571428571429</v>
      </c>
    </row>
    <row r="40" ht="15.6" hidden="1" spans="1:24">
      <c r="A40" s="4">
        <v>202</v>
      </c>
      <c r="B40" s="24" t="s">
        <v>105</v>
      </c>
      <c r="C40" s="25" t="s">
        <v>53</v>
      </c>
      <c r="D40" s="4">
        <v>25</v>
      </c>
      <c r="E40" s="32">
        <f>LOOKUP(D40,{0,1,1.8,2.6,3.4,4.2,5,6.3,7.6,8.9,10.2,11.5,12.8,14.1,15.4,16.7,18,19.7,21.4,23.1,24.8},{0,10,20,30,40,50,60,62,64,66,68,70,72,74,76,78,80,85,90,95,100})</f>
        <v>100</v>
      </c>
      <c r="F40" s="4">
        <v>223</v>
      </c>
      <c r="G40" s="32">
        <f>LOOKUP(F40,{0,124,129,134,139,144,149,152,155,158,161,164,167,170,173,176,179,186,193,199,205},{0,10,20,30,40,50,60,62,64,66,68,70,72,74,76,78,80,85,90,95,100})</f>
        <v>100</v>
      </c>
      <c r="H40" s="4">
        <v>50</v>
      </c>
      <c r="I40" s="32">
        <f>LOOKUP(H40,{0,14,16,18,20,22,24,26,28,30,32,34,36,38,40,42,44,47,50,52,54},{0,10,20,30,40,50,60,62,64,66,68,70,72,74,76,78,80,85,90,95,100})</f>
        <v>90</v>
      </c>
      <c r="L40" s="4">
        <f t="shared" si="0"/>
        <v>90</v>
      </c>
      <c r="M40" s="4">
        <v>7.4</v>
      </c>
      <c r="N40" s="4">
        <f t="shared" si="1"/>
        <v>4.6</v>
      </c>
      <c r="O40" s="32">
        <f>LOOKUP(N40,{0,0.5,0.7,0.9,1.1,1.3,1.5,1.7,1.9,2.1,2.3,2.5,2.7,2.9,3.1,3.3,3.5,3.8,4.1,4.2,4.3},{0,10,20,30,40,50,60,62,64,66,68,70,72,74,76,78,80,85,90,95,100})</f>
        <v>100</v>
      </c>
      <c r="P40" s="4">
        <v>3.11</v>
      </c>
      <c r="Q40" s="4">
        <f t="shared" si="2"/>
        <v>6.89</v>
      </c>
      <c r="R40" s="32">
        <f>LOOKUP(Q40,{0,4.72,4.82,4.92,5.42,5.52,5.62,5.67,5.72,5.77,5.82,5.87,5.92,5.97,6.42,6.47,6.52,6.59,6.66,6.72,6.78},{0,10,20,30,40,50,60,62,64,66,68,70,72,74,76,78,80,85,90,95,100})</f>
        <v>100</v>
      </c>
      <c r="S40" s="39">
        <f>3.22-P40</f>
        <v>0.11</v>
      </c>
      <c r="T40" s="32">
        <f>LOOKUP(S40,{0,0.05,0.1,0.15,0.2,0.25,0.3,0.35,0.4,0.45,0.5},{0,1,2,3,4,5,6,7,8,9,10})</f>
        <v>2</v>
      </c>
      <c r="U40" s="4">
        <f t="shared" si="4"/>
        <v>102</v>
      </c>
      <c r="W40" s="5">
        <f t="shared" si="5"/>
        <v>69</v>
      </c>
      <c r="X40" s="20">
        <f t="shared" si="6"/>
        <v>100.571428571429</v>
      </c>
    </row>
    <row r="41" ht="15.6" hidden="1" spans="1:24">
      <c r="A41" s="4">
        <v>210</v>
      </c>
      <c r="B41" s="24" t="s">
        <v>548</v>
      </c>
      <c r="C41" s="25" t="s">
        <v>53</v>
      </c>
      <c r="D41" s="4">
        <v>25.3</v>
      </c>
      <c r="E41" s="32">
        <f>LOOKUP(D41,{0,1,1.8,2.6,3.4,4.2,5,6.3,7.6,8.9,10.2,11.5,12.8,14.1,15.4,16.7,18,19.7,21.4,23.1,24.8},{0,10,20,30,40,50,60,62,64,66,68,70,72,74,76,78,80,85,90,95,100})</f>
        <v>100</v>
      </c>
      <c r="F41" s="4">
        <v>200</v>
      </c>
      <c r="G41" s="32">
        <f>LOOKUP(F41,{0,124,129,134,139,144,149,152,155,158,161,164,167,170,173,176,179,186,193,199,205},{0,10,20,30,40,50,60,62,64,66,68,70,72,74,76,78,80,85,90,95,100})</f>
        <v>95</v>
      </c>
      <c r="H41" s="4">
        <v>51</v>
      </c>
      <c r="I41" s="32">
        <f>LOOKUP(H41,{0,14,16,18,20,22,24,26,28,30,32,34,36,38,40,42,44,47,50,52,54},{0,10,20,30,40,50,60,62,64,66,68,70,72,74,76,78,80,85,90,95,100})</f>
        <v>90</v>
      </c>
      <c r="K41" s="35"/>
      <c r="L41" s="4">
        <f t="shared" si="0"/>
        <v>90</v>
      </c>
      <c r="M41" s="4">
        <v>7.8</v>
      </c>
      <c r="N41" s="4">
        <f t="shared" si="1"/>
        <v>4.2</v>
      </c>
      <c r="O41" s="32">
        <f>LOOKUP(N41,{0,0.5,0.7,0.9,1.1,1.3,1.5,1.7,1.9,2.1,2.3,2.5,2.7,2.9,3.1,3.3,3.5,3.8,4.1,4.2,4.3},{0,10,20,30,40,50,60,62,64,66,68,70,72,74,76,78,80,85,90,95,100})</f>
        <v>95</v>
      </c>
      <c r="P41" s="4">
        <v>3.02</v>
      </c>
      <c r="Q41" s="4">
        <f t="shared" si="2"/>
        <v>6.98</v>
      </c>
      <c r="R41" s="32">
        <f>LOOKUP(Q41,{0,4.72,4.82,4.92,5.42,5.52,5.62,5.67,5.72,5.77,5.82,5.87,5.92,5.97,6.42,6.47,6.52,6.59,6.66,6.72,6.78},{0,10,20,30,40,50,60,62,64,66,68,70,72,74,76,78,80,85,90,95,100})</f>
        <v>100</v>
      </c>
      <c r="S41" s="39">
        <f>3.22-P41</f>
        <v>0.2</v>
      </c>
      <c r="T41" s="32">
        <f>LOOKUP(S41,{0,0.05,0.1,0.15,0.2,0.25,0.3,0.35,0.4,0.45,0.5},{0,1,2,3,4,5,6,7,8,9,10})</f>
        <v>4</v>
      </c>
      <c r="U41" s="4">
        <f t="shared" si="4"/>
        <v>104</v>
      </c>
      <c r="W41" s="5">
        <f t="shared" si="5"/>
        <v>67.5</v>
      </c>
      <c r="X41" s="20">
        <f t="shared" si="6"/>
        <v>100.428571428571</v>
      </c>
    </row>
    <row r="42" ht="15.6" hidden="1" spans="1:24">
      <c r="A42" s="4">
        <v>211</v>
      </c>
      <c r="B42" s="24" t="s">
        <v>595</v>
      </c>
      <c r="C42" s="25" t="s">
        <v>53</v>
      </c>
      <c r="D42" s="4">
        <v>20.5</v>
      </c>
      <c r="E42" s="32">
        <f>LOOKUP(D42,{0,1,1.8,2.6,3.4,4.2,5,6.3,7.6,8.9,10.2,11.5,12.8,14.1,15.4,16.7,18,19.7,21.4,23.1,24.8},{0,10,20,30,40,50,60,62,64,66,68,70,72,74,76,78,80,85,90,95,100})</f>
        <v>85</v>
      </c>
      <c r="F42" s="4">
        <v>201</v>
      </c>
      <c r="G42" s="32">
        <f>LOOKUP(F42,{0,124,129,134,139,144,149,152,155,158,161,164,167,170,173,176,179,186,193,199,205},{0,10,20,30,40,50,60,62,64,66,68,70,72,74,76,78,80,85,90,95,100})</f>
        <v>95</v>
      </c>
      <c r="H42" s="4">
        <v>66</v>
      </c>
      <c r="I42" s="32">
        <f>LOOKUP(H42,{0,14,16,18,20,22,24,26,28,30,32,34,36,38,40,42,44,47,50,52,54},{0,10,20,30,40,50,60,62,64,66,68,70,72,74,76,78,80,85,90,95,100})</f>
        <v>100</v>
      </c>
      <c r="J42" s="4">
        <f>H42-54</f>
        <v>12</v>
      </c>
      <c r="K42" s="32">
        <f>LOOKUP(J42,{0,2,4,6,7,8,9,10,11,12,13},{0,1,2,3,4,5,6,7,8,9,10})</f>
        <v>9</v>
      </c>
      <c r="L42" s="4">
        <f t="shared" si="0"/>
        <v>109</v>
      </c>
      <c r="M42" s="4">
        <v>8.2</v>
      </c>
      <c r="N42" s="4">
        <f t="shared" si="1"/>
        <v>3.8</v>
      </c>
      <c r="O42" s="32">
        <f>LOOKUP(N42,{0,0.5,0.7,0.9,1.1,1.3,1.5,1.7,1.9,2.1,2.3,2.5,2.7,2.9,3.1,3.3,3.5,3.8,4.1,4.2,4.3},{0,10,20,30,40,50,60,62,64,66,68,70,72,74,76,78,80,85,90,95,100})</f>
        <v>85</v>
      </c>
      <c r="P42" s="4">
        <v>3.29</v>
      </c>
      <c r="Q42" s="4">
        <f t="shared" si="2"/>
        <v>6.71</v>
      </c>
      <c r="R42" s="32">
        <f>LOOKUP(Q42,{0,4.72,4.82,4.92,5.42,5.52,5.62,5.67,5.72,5.77,5.82,5.87,5.92,5.97,6.42,6.47,6.52,6.59,6.66,6.72,6.78},{0,10,20,30,40,50,60,62,64,66,68,70,72,74,76,78,80,85,90,95,100})</f>
        <v>90</v>
      </c>
      <c r="U42" s="4">
        <f t="shared" si="4"/>
        <v>90</v>
      </c>
      <c r="W42" s="5">
        <f t="shared" si="5"/>
        <v>63</v>
      </c>
      <c r="X42" s="20">
        <f t="shared" si="6"/>
        <v>99</v>
      </c>
    </row>
    <row r="43" ht="15.6" hidden="1" spans="1:24">
      <c r="A43" s="4">
        <v>202</v>
      </c>
      <c r="B43" s="24" t="s">
        <v>104</v>
      </c>
      <c r="C43" s="25" t="s">
        <v>53</v>
      </c>
      <c r="D43" s="4">
        <v>25</v>
      </c>
      <c r="E43" s="32">
        <f>LOOKUP(D43,{0,1,1.8,2.6,3.4,4.2,5,6.3,7.6,8.9,10.2,11.5,12.8,14.1,15.4,16.7,18,19.7,21.4,23.1,24.8},{0,10,20,30,40,50,60,62,64,66,68,70,72,74,76,78,80,85,90,95,100})</f>
        <v>100</v>
      </c>
      <c r="F43" s="4">
        <v>212</v>
      </c>
      <c r="G43" s="32">
        <f>LOOKUP(F43,{0,124,129,134,139,144,149,152,155,158,161,164,167,170,173,176,179,186,193,199,205},{0,10,20,30,40,50,60,62,64,66,68,70,72,74,76,78,80,85,90,95,100})</f>
        <v>100</v>
      </c>
      <c r="H43" s="4">
        <v>55</v>
      </c>
      <c r="I43" s="32">
        <f>LOOKUP(H43,{0,14,16,18,20,22,24,26,28,30,32,34,36,38,40,42,44,47,50,52,54},{0,10,20,30,40,50,60,62,64,66,68,70,72,74,76,78,80,85,90,95,100})</f>
        <v>100</v>
      </c>
      <c r="J43" s="4">
        <f>H43-54</f>
        <v>1</v>
      </c>
      <c r="K43" s="34">
        <f>LOOKUP(J43,{0,2,4,6,7,8,9,10,11,12,13},{0,1,2,3,4,5,6,7,8,9,10})</f>
        <v>0</v>
      </c>
      <c r="L43" s="4">
        <f t="shared" si="0"/>
        <v>100</v>
      </c>
      <c r="M43" s="4">
        <v>7.9</v>
      </c>
      <c r="N43" s="4">
        <f t="shared" si="1"/>
        <v>4.1</v>
      </c>
      <c r="O43" s="32">
        <f>LOOKUP(N43,{0,0.5,0.7,0.9,1.1,1.3,1.5,1.7,1.9,2.1,2.3,2.5,2.7,2.9,3.1,3.3,3.5,3.8,4.1,4.2,4.3},{0,10,20,30,40,50,60,62,64,66,68,70,72,74,76,78,80,85,90,95,100})</f>
        <v>90</v>
      </c>
      <c r="P43" s="4">
        <v>3.16</v>
      </c>
      <c r="Q43" s="4">
        <f t="shared" si="2"/>
        <v>6.84</v>
      </c>
      <c r="R43" s="32">
        <f>LOOKUP(Q43,{0,4.72,4.82,4.92,5.42,5.52,5.62,5.67,5.72,5.77,5.82,5.87,5.92,5.97,6.42,6.47,6.52,6.59,6.66,6.72,6.78},{0,10,20,30,40,50,60,62,64,66,68,70,72,74,76,78,80,85,90,95,100})</f>
        <v>100</v>
      </c>
      <c r="S43" s="39">
        <f>3.22-P43</f>
        <v>0.0600000000000001</v>
      </c>
      <c r="T43" s="32">
        <f>LOOKUP(S43,{0,0.05,0.1,0.15,0.2,0.25,0.3,0.35,0.4,0.45,0.5},{0,1,2,3,4,5,6,7,8,9,10})</f>
        <v>1</v>
      </c>
      <c r="U43" s="4">
        <f t="shared" si="4"/>
        <v>101</v>
      </c>
      <c r="W43" s="5">
        <f t="shared" si="5"/>
        <v>68</v>
      </c>
      <c r="X43" s="20">
        <f t="shared" si="6"/>
        <v>98.1428571428572</v>
      </c>
    </row>
    <row r="44" s="2" customFormat="1" ht="15.6" hidden="1" spans="1:24">
      <c r="A44" s="4">
        <v>203</v>
      </c>
      <c r="B44" s="33" t="s">
        <v>150</v>
      </c>
      <c r="C44" s="25" t="s">
        <v>53</v>
      </c>
      <c r="D44" s="4">
        <v>25</v>
      </c>
      <c r="E44" s="32">
        <f>LOOKUP(D44,{0,1,1.8,2.6,3.4,4.2,5,6.3,7.6,8.9,10.2,11.5,12.8,14.1,15.4,16.7,18,19.7,21.4,23.1,24.8},{0,10,20,30,40,50,60,62,64,66,68,70,72,74,76,78,80,85,90,95,100})</f>
        <v>100</v>
      </c>
      <c r="F44" s="4">
        <v>205</v>
      </c>
      <c r="G44" s="32">
        <f>LOOKUP(F44,{0,124,129,134,139,144,149,152,155,158,161,164,167,170,173,176,179,186,193,199,205},{0,10,20,30,40,50,60,62,64,66,68,70,72,74,76,78,80,85,90,95,100})</f>
        <v>100</v>
      </c>
      <c r="H44" s="4">
        <v>58</v>
      </c>
      <c r="I44" s="32">
        <f>LOOKUP(H44,{0,14,16,18,20,22,24,26,28,30,32,34,36,38,40,42,44,47,50,52,54},{0,10,20,30,40,50,60,62,64,66,68,70,72,74,76,78,80,85,90,95,100})</f>
        <v>100</v>
      </c>
      <c r="J44" s="4">
        <f>H44-54</f>
        <v>4</v>
      </c>
      <c r="K44" s="32">
        <f>LOOKUP(J44,{0,2,4,6,7,8,9,10,11,12,13},{0,1,2,3,4,5,6,7,8,9,10})</f>
        <v>2</v>
      </c>
      <c r="L44" s="4">
        <f t="shared" si="0"/>
        <v>102</v>
      </c>
      <c r="M44" s="4">
        <v>8.3</v>
      </c>
      <c r="N44" s="4">
        <f t="shared" si="1"/>
        <v>3.7</v>
      </c>
      <c r="O44" s="32">
        <f>LOOKUP(N44,{0,0.5,0.7,0.9,1.1,1.3,1.5,1.7,1.9,2.1,2.3,2.5,2.7,2.9,3.1,3.3,3.5,3.8,4.1,4.2,4.3},{0,10,20,30,40,50,60,62,64,66,68,70,72,74,76,78,80,85,90,95,100})</f>
        <v>80</v>
      </c>
      <c r="P44" s="4">
        <v>3.14</v>
      </c>
      <c r="Q44" s="4">
        <f t="shared" si="2"/>
        <v>6.86</v>
      </c>
      <c r="R44" s="32">
        <f>LOOKUP(Q44,{0,4.72,4.82,4.92,5.42,5.52,5.62,5.67,5.72,5.77,5.82,5.87,5.92,5.97,6.42,6.47,6.52,6.59,6.66,6.72,6.78},{0,10,20,30,40,50,60,62,64,66,68,70,72,74,76,78,80,85,90,95,100})</f>
        <v>100</v>
      </c>
      <c r="S44" s="39">
        <f>3.22-P44</f>
        <v>0.0800000000000001</v>
      </c>
      <c r="T44" s="32">
        <f>LOOKUP(S44,{0,0.05,0.1,0.15,0.2,0.25,0.3,0.35,0.4,0.45,0.5},{0,1,2,3,4,5,6,7,8,9,10})</f>
        <v>1</v>
      </c>
      <c r="U44" s="4">
        <f t="shared" si="4"/>
        <v>101</v>
      </c>
      <c r="V44" s="4"/>
      <c r="W44" s="5">
        <f t="shared" si="5"/>
        <v>66</v>
      </c>
      <c r="X44" s="20">
        <f t="shared" si="6"/>
        <v>97.2857142857143</v>
      </c>
    </row>
    <row r="45" ht="15.6" hidden="1" spans="1:24">
      <c r="A45" s="4">
        <v>212</v>
      </c>
      <c r="B45" s="33" t="s">
        <v>653</v>
      </c>
      <c r="C45" s="25" t="s">
        <v>53</v>
      </c>
      <c r="D45" s="4">
        <v>23.1</v>
      </c>
      <c r="E45" s="32">
        <f>LOOKUP(D45,{0,1,1.8,2.6,3.4,4.2,5,6.3,7.6,8.9,10.2,11.5,12.8,14.1,15.4,16.7,18,19.7,21.4,23.1,24.8},{0,10,20,30,40,50,60,62,64,66,68,70,72,74,76,78,80,85,90,95,100})</f>
        <v>95</v>
      </c>
      <c r="F45" s="4">
        <v>196</v>
      </c>
      <c r="G45" s="32">
        <f>LOOKUP(F45,{0,124,129,134,139,144,149,152,155,158,161,164,167,170,173,176,179,186,193,199,205},{0,10,20,30,40,50,60,62,64,66,68,70,72,74,76,78,80,85,90,95,100})</f>
        <v>90</v>
      </c>
      <c r="H45" s="4">
        <v>62</v>
      </c>
      <c r="I45" s="32">
        <f>LOOKUP(H45,{0,14,16,18,20,22,24,26,28,30,32,34,36,38,40,42,44,47,50,52,54},{0,10,20,30,40,50,60,62,64,66,68,70,72,74,76,78,80,85,90,95,100})</f>
        <v>100</v>
      </c>
      <c r="J45" s="4">
        <f>H45-54</f>
        <v>8</v>
      </c>
      <c r="K45" s="32">
        <f>LOOKUP(J45,{0,2,4,6,7,8,9,10,11,12,13},{0,1,2,3,4,5,6,7,8,9,10})</f>
        <v>5</v>
      </c>
      <c r="L45" s="4">
        <f t="shared" si="0"/>
        <v>105</v>
      </c>
      <c r="M45" s="4">
        <v>7.8</v>
      </c>
      <c r="N45" s="4">
        <f t="shared" si="1"/>
        <v>4.2</v>
      </c>
      <c r="O45" s="32">
        <f>LOOKUP(N45,{0,0.5,0.7,0.9,1.1,1.3,1.5,1.7,1.9,2.1,2.3,2.5,2.7,2.9,3.1,3.3,3.5,3.8,4.1,4.2,4.3},{0,10,20,30,40,50,60,62,64,66,68,70,72,74,76,78,80,85,90,95,100})</f>
        <v>95</v>
      </c>
      <c r="P45" s="4">
        <v>3.35</v>
      </c>
      <c r="Q45" s="4">
        <f t="shared" si="2"/>
        <v>6.65</v>
      </c>
      <c r="R45" s="32">
        <f>LOOKUP(Q45,{0,4.72,4.82,4.92,5.42,5.52,5.62,5.67,5.72,5.77,5.82,5.87,5.92,5.97,6.42,6.47,6.52,6.59,6.66,6.72,6.78},{0,10,20,30,40,50,60,62,64,66,68,70,72,74,76,78,80,85,90,95,100})</f>
        <v>85</v>
      </c>
      <c r="U45" s="4">
        <f t="shared" si="4"/>
        <v>85</v>
      </c>
      <c r="W45" s="5">
        <f t="shared" si="5"/>
        <v>64.5</v>
      </c>
      <c r="X45" s="20">
        <f t="shared" si="6"/>
        <v>97.1428571428572</v>
      </c>
    </row>
    <row r="46" ht="15.6" hidden="1" spans="1:24">
      <c r="A46" s="4">
        <v>204</v>
      </c>
      <c r="B46" s="24" t="s">
        <v>170</v>
      </c>
      <c r="C46" s="25" t="s">
        <v>53</v>
      </c>
      <c r="D46" s="4">
        <v>21</v>
      </c>
      <c r="E46" s="32">
        <f>LOOKUP(D46,{0,1,1.8,2.6,3.4,4.2,5,6.3,7.6,8.9,10.2,11.5,12.8,14.1,15.4,16.7,18,19.7,21.4,23.1,24.8},{0,10,20,30,40,50,60,62,64,66,68,70,72,74,76,78,80,85,90,95,100})</f>
        <v>85</v>
      </c>
      <c r="F46" s="4">
        <v>196</v>
      </c>
      <c r="G46" s="32">
        <f>LOOKUP(F46,{0,124,129,134,139,144,149,152,155,158,161,164,167,170,173,176,179,186,193,199,205},{0,10,20,30,40,50,60,62,64,66,68,70,72,74,76,78,80,85,90,95,100})</f>
        <v>90</v>
      </c>
      <c r="H46" s="4">
        <v>51</v>
      </c>
      <c r="I46" s="32">
        <f>LOOKUP(H46,{0,14,16,18,20,22,24,26,28,30,32,34,36,38,40,42,44,47,50,52,54},{0,10,20,30,40,50,60,62,64,66,68,70,72,74,76,78,80,85,90,95,100})</f>
        <v>90</v>
      </c>
      <c r="L46" s="4">
        <f t="shared" si="0"/>
        <v>90</v>
      </c>
      <c r="M46" s="4">
        <v>7.7</v>
      </c>
      <c r="N46" s="4">
        <f t="shared" si="1"/>
        <v>4.3</v>
      </c>
      <c r="O46" s="32">
        <f>LOOKUP(N46,{0,0.5,0.7,0.9,1.1,1.3,1.5,1.7,1.9,2.1,2.3,2.5,2.7,2.9,3.1,3.3,3.5,3.8,4.1,4.2,4.3},{0,10,20,30,40,50,60,62,64,66,68,70,72,74,76,78,80,85,90,95,100})</f>
        <v>100</v>
      </c>
      <c r="P46" s="4">
        <v>3.11</v>
      </c>
      <c r="Q46" s="4">
        <f t="shared" si="2"/>
        <v>6.89</v>
      </c>
      <c r="R46" s="32">
        <f>LOOKUP(Q46,{0,4.72,4.82,4.92,5.42,5.52,5.62,5.67,5.72,5.77,5.82,5.87,5.92,5.97,6.42,6.47,6.52,6.59,6.66,6.72,6.78},{0,10,20,30,40,50,60,62,64,66,68,70,72,74,76,78,80,85,90,95,100})</f>
        <v>100</v>
      </c>
      <c r="S46" s="39">
        <f>3.22-P46</f>
        <v>0.11</v>
      </c>
      <c r="T46" s="32">
        <f>LOOKUP(S46,{0,0.05,0.1,0.15,0.2,0.25,0.3,0.35,0.4,0.45,0.5},{0,1,2,3,4,5,6,7,8,9,10})</f>
        <v>2</v>
      </c>
      <c r="U46" s="4">
        <f t="shared" si="4"/>
        <v>102</v>
      </c>
      <c r="W46" s="5">
        <f t="shared" si="5"/>
        <v>66.5</v>
      </c>
      <c r="X46" s="20">
        <f t="shared" si="6"/>
        <v>97</v>
      </c>
    </row>
    <row r="47" ht="15.6" hidden="1" spans="1:24">
      <c r="A47" s="4">
        <v>211</v>
      </c>
      <c r="B47" s="24" t="s">
        <v>589</v>
      </c>
      <c r="C47" s="25" t="s">
        <v>53</v>
      </c>
      <c r="D47" s="4">
        <v>21</v>
      </c>
      <c r="E47" s="32">
        <f>LOOKUP(D47,{0,1,1.8,2.6,3.4,4.2,5,6.3,7.6,8.9,10.2,11.5,12.8,14.1,15.4,16.7,18,19.7,21.4,23.1,24.8},{0,10,20,30,40,50,60,62,64,66,68,70,72,74,76,78,80,85,90,95,100})</f>
        <v>85</v>
      </c>
      <c r="F47" s="4">
        <v>210</v>
      </c>
      <c r="G47" s="32">
        <f>LOOKUP(F47,{0,124,129,134,139,144,149,152,155,158,161,164,167,170,173,176,179,186,193,199,205},{0,10,20,30,40,50,60,62,64,66,68,70,72,74,76,78,80,85,90,95,100})</f>
        <v>100</v>
      </c>
      <c r="H47" s="4">
        <v>58</v>
      </c>
      <c r="I47" s="32">
        <f>LOOKUP(H47,{0,14,16,18,20,22,24,26,28,30,32,34,36,38,40,42,44,47,50,52,54},{0,10,20,30,40,50,60,62,64,66,68,70,72,74,76,78,80,85,90,95,100})</f>
        <v>100</v>
      </c>
      <c r="J47" s="4">
        <f>H47-54</f>
        <v>4</v>
      </c>
      <c r="K47" s="32">
        <f>LOOKUP(J47,{0,2,4,6,7,8,9,10,11,12,13},{0,1,2,3,4,5,6,7,8,9,10})</f>
        <v>2</v>
      </c>
      <c r="L47" s="4">
        <f t="shared" si="0"/>
        <v>102</v>
      </c>
      <c r="M47" s="4">
        <v>8.2</v>
      </c>
      <c r="N47" s="4">
        <f t="shared" si="1"/>
        <v>3.8</v>
      </c>
      <c r="O47" s="32">
        <f>LOOKUP(N47,{0,0.5,0.7,0.9,1.1,1.3,1.5,1.7,1.9,2.1,2.3,2.5,2.7,2.9,3.1,3.3,3.5,3.8,4.1,4.2,4.3},{0,10,20,30,40,50,60,62,64,66,68,70,72,74,76,78,80,85,90,95,100})</f>
        <v>85</v>
      </c>
      <c r="P47" s="4">
        <v>3.16</v>
      </c>
      <c r="Q47" s="4">
        <f t="shared" si="2"/>
        <v>6.84</v>
      </c>
      <c r="R47" s="32">
        <f>LOOKUP(Q47,{0,4.72,4.82,4.92,5.42,5.52,5.62,5.67,5.72,5.77,5.82,5.87,5.92,5.97,6.42,6.47,6.52,6.59,6.66,6.72,6.78},{0,10,20,30,40,50,60,62,64,66,68,70,72,74,76,78,80,85,90,95,100})</f>
        <v>100</v>
      </c>
      <c r="S47" s="39">
        <f>3.22-P47</f>
        <v>0.0600000000000001</v>
      </c>
      <c r="T47" s="32">
        <f>LOOKUP(S47,{0,0.05,0.1,0.15,0.2,0.25,0.3,0.35,0.4,0.45,0.5},{0,1,2,3,4,5,6,7,8,9,10})</f>
        <v>1</v>
      </c>
      <c r="U47" s="4">
        <f t="shared" si="4"/>
        <v>101</v>
      </c>
      <c r="W47" s="5">
        <f t="shared" si="5"/>
        <v>65.5</v>
      </c>
      <c r="X47" s="20">
        <f t="shared" si="6"/>
        <v>96.5714285714286</v>
      </c>
    </row>
    <row r="48" ht="15.6" hidden="1" spans="1:24">
      <c r="A48" s="4">
        <v>213</v>
      </c>
      <c r="B48" s="24" t="s">
        <v>671</v>
      </c>
      <c r="C48" s="25" t="s">
        <v>11</v>
      </c>
      <c r="D48" s="4">
        <v>3</v>
      </c>
      <c r="E48" s="32">
        <f>LOOKUP(D48,{0,-2.9,-1.9,-0.9,0.1,1.1,2.1,3.5,4.9,6.3,7.7,9.1,10.5,11.9,13.3,14.7,16.1,18.3,20.5,22.4,24.3},{0,10,20,30,40,50,60,62,64,66,68,70,72,74,76,78,80,85,90,95,100})</f>
        <v>60</v>
      </c>
      <c r="F48" s="4">
        <v>272</v>
      </c>
      <c r="G48" s="32">
        <f>LOOKUP(F48,{0,175,180,185,190,195,200,204,208,212,216,220,224,228,232,236,240,248,255,260,265},{0,10,20,30,40,50,60,62,64,66,68,70,72,74,76,78,80,85,90,95,100})</f>
        <v>100</v>
      </c>
      <c r="H48" s="4">
        <v>10</v>
      </c>
      <c r="I48" s="32">
        <f>LOOKUP(H48,{0,3,4,5,6,7,8,9,10,11,12,13,14,15,16,17},{0,10,20,30,40,50,60,64,68,72,76,80,85,90,95,100})</f>
        <v>68</v>
      </c>
      <c r="L48" s="4">
        <f t="shared" si="0"/>
        <v>68</v>
      </c>
      <c r="M48" s="4">
        <v>7.2</v>
      </c>
      <c r="N48" s="4">
        <f t="shared" si="1"/>
        <v>4.8</v>
      </c>
      <c r="O48" s="32">
        <f>LOOKUP(N48,{0,1.6,1.8,2,2.2,2.4,2.6,2.8,3,3.2,3.4,3.6,3.8,4,4.2,4.4,4.6,4.7,4.8,4.9,5},{0,10,20,30,40,50,60,62,64,66,68,70,72,74,76,78,80,85,90,95,100})</f>
        <v>90</v>
      </c>
      <c r="P48" s="4">
        <v>3.23</v>
      </c>
      <c r="Q48" s="4">
        <f t="shared" si="2"/>
        <v>6.77</v>
      </c>
      <c r="R48" s="32">
        <f>LOOKUP(Q48,{0,3.8,4,4.6,4.8,5,5.6,5.65,5.7,5.75,5.8,5.85,5.9,5.95,6,6.45,6.5,6.58,6.65,6.7,6.75},{0,10,20,30,40,50,60,62,64,66,68,70,72,74,76,78,80,85,90,95,100})</f>
        <v>100</v>
      </c>
      <c r="S48" s="4">
        <f t="shared" ref="S48:S58" si="7">3.25-P48</f>
        <v>0.02</v>
      </c>
      <c r="T48" s="32">
        <f>LOOKUP(S48,{0,0.04,0.08,0.12,0.16,0.2,0.23,0.26,0.29,0.32,0.35},{0,1,2,3,4,5,6,7,8,9,10})</f>
        <v>0</v>
      </c>
      <c r="U48" s="4">
        <f t="shared" si="4"/>
        <v>100</v>
      </c>
      <c r="W48" s="5">
        <f t="shared" si="5"/>
        <v>60.8</v>
      </c>
      <c r="X48" s="20">
        <f t="shared" si="6"/>
        <v>86.8571428571429</v>
      </c>
    </row>
    <row r="49" customFormat="1" ht="15.6" hidden="1" spans="1:24">
      <c r="A49" s="4">
        <v>209</v>
      </c>
      <c r="B49" s="24" t="s">
        <v>440</v>
      </c>
      <c r="C49" s="25" t="s">
        <v>11</v>
      </c>
      <c r="D49" s="4">
        <v>8.3</v>
      </c>
      <c r="E49" s="32">
        <f>LOOKUP(D49,{0,-2.9,-1.9,-0.9,0.1,1.1,2.1,3.5,4.9,6.3,7.7,9.1,10.5,11.9,13.3,14.7,16.1,18.3,20.5,22.4,24.3},{0,10,20,30,40,50,60,62,64,66,68,70,72,74,76,78,80,85,90,95,100})</f>
        <v>68</v>
      </c>
      <c r="F49" s="4">
        <v>238</v>
      </c>
      <c r="G49" s="32">
        <f>LOOKUP(F49,{0,175,180,185,190,195,200,204,208,212,216,220,224,228,232,236,240,248,255,260,265},{0,10,20,30,40,50,60,62,64,66,68,70,72,74,76,78,80,85,90,95,100})</f>
        <v>78</v>
      </c>
      <c r="H49" s="4">
        <v>18</v>
      </c>
      <c r="I49" s="32">
        <f>LOOKUP(H49,{0,3,4,5,6,7,8,9,10,11,12,13,14,15,16,17},{0,10,20,30,40,50,60,64,68,72,76,80,85,90,95,100})</f>
        <v>100</v>
      </c>
      <c r="J49" s="4">
        <f>H49-17</f>
        <v>1</v>
      </c>
      <c r="K49" s="32">
        <f>LOOKUP(J49,{0,1,2,3,4,5,6,7,8,9,10},{0,1,2,3,4,5,6,7,8,9,10})</f>
        <v>1</v>
      </c>
      <c r="L49" s="4">
        <f t="shared" si="0"/>
        <v>101</v>
      </c>
      <c r="M49" s="4">
        <v>7.2</v>
      </c>
      <c r="N49" s="4">
        <f t="shared" si="1"/>
        <v>4.8</v>
      </c>
      <c r="O49" s="32">
        <f>LOOKUP(N49,{0,1.6,1.8,2,2.2,2.4,2.6,2.8,3,3.2,3.4,3.6,3.8,4,4.2,4.4,4.6,4.7,4.8,4.9,5},{0,10,20,30,40,50,60,62,64,66,68,70,72,74,76,78,80,85,90,95,100})</f>
        <v>90</v>
      </c>
      <c r="P49" s="4">
        <v>3.24</v>
      </c>
      <c r="Q49" s="4">
        <f t="shared" si="2"/>
        <v>6.76</v>
      </c>
      <c r="R49" s="32">
        <f>LOOKUP(Q49,{0,3.8,4,4.6,4.8,5,5.6,5.65,5.7,5.75,5.8,5.85,5.9,5.95,6,6.45,6.5,6.58,6.65,6.7,6.75},{0,10,20,30,40,50,60,62,64,66,68,70,72,74,76,78,80,85,90,95,100})</f>
        <v>100</v>
      </c>
      <c r="S49" s="4">
        <f t="shared" si="7"/>
        <v>0.00999999999999979</v>
      </c>
      <c r="T49" s="32">
        <f>LOOKUP(S49,{0,0.04,0.08,0.12,0.16,0.2,0.23,0.26,0.29,0.32,0.35},{0,1,2,3,4,5,6,7,8,9,10})</f>
        <v>0</v>
      </c>
      <c r="U49" s="4">
        <f t="shared" si="4"/>
        <v>100</v>
      </c>
      <c r="V49" s="4"/>
      <c r="W49" s="5">
        <f t="shared" si="5"/>
        <v>62.6</v>
      </c>
      <c r="X49" s="20">
        <f t="shared" si="6"/>
        <v>90.4285714285714</v>
      </c>
    </row>
    <row r="50" customFormat="1" ht="15.6" hidden="1" spans="1:24">
      <c r="A50" s="4">
        <v>202</v>
      </c>
      <c r="B50" s="24" t="s">
        <v>79</v>
      </c>
      <c r="C50" s="25" t="s">
        <v>11</v>
      </c>
      <c r="D50" s="4">
        <v>14</v>
      </c>
      <c r="E50" s="32">
        <f>LOOKUP(D50,{0,-2.9,-1.9,-0.9,0.1,1.1,2.1,3.5,4.9,6.3,7.7,9.1,10.5,11.9,13.3,14.7,16.1,18.3,20.5,22.4,24.3},{0,10,20,30,40,50,60,62,64,66,68,70,72,74,76,78,80,85,90,95,100})</f>
        <v>76</v>
      </c>
      <c r="F50" s="4">
        <v>245</v>
      </c>
      <c r="G50" s="32">
        <f>LOOKUP(F50,{0,175,180,185,190,195,200,204,208,212,216,220,224,228,232,236,240,248,255,260,265},{0,10,20,30,40,50,60,62,64,66,68,70,72,74,76,78,80,85,90,95,100})</f>
        <v>80</v>
      </c>
      <c r="H50" s="4">
        <v>17</v>
      </c>
      <c r="I50" s="32">
        <f>LOOKUP(H50,{0,3,4,5,6,7,8,9,10,11,12,13,14,15,16,17},{0,10,20,30,40,50,60,64,68,72,76,80,85,90,95,100})</f>
        <v>100</v>
      </c>
      <c r="J50" s="4">
        <f>H50-17</f>
        <v>0</v>
      </c>
      <c r="K50" s="32">
        <f>LOOKUP(J50,{0,1,2,3,4,5,6,7,8,9,10},{0,1,2,3,4,5,6,7,8,9,10})</f>
        <v>0</v>
      </c>
      <c r="L50" s="4">
        <f t="shared" si="0"/>
        <v>100</v>
      </c>
      <c r="M50" s="4">
        <v>7.3</v>
      </c>
      <c r="N50" s="4">
        <f t="shared" si="1"/>
        <v>4.7</v>
      </c>
      <c r="O50" s="32">
        <f>LOOKUP(N50,{0,1.6,1.8,2,2.2,2.4,2.6,2.8,3,3.2,3.4,3.6,3.8,4,4.2,4.4,4.6,4.7,4.8,4.9,5},{0,10,20,30,40,50,60,62,64,66,68,70,72,74,76,78,80,85,90,95,100})</f>
        <v>85</v>
      </c>
      <c r="P50" s="4">
        <v>3.24</v>
      </c>
      <c r="Q50" s="4">
        <f t="shared" si="2"/>
        <v>6.76</v>
      </c>
      <c r="R50" s="32">
        <f>LOOKUP(Q50,{0,3.8,4,4.6,4.8,5,5.6,5.65,5.7,5.75,5.8,5.85,5.9,5.95,6,6.45,6.5,6.58,6.65,6.7,6.75},{0,10,20,30,40,50,60,62,64,66,68,70,72,74,76,78,80,85,90,95,100})</f>
        <v>100</v>
      </c>
      <c r="S50" s="4">
        <f t="shared" si="7"/>
        <v>0.00999999999999979</v>
      </c>
      <c r="T50" s="32">
        <f>LOOKUP(S50,{0,0.04,0.08,0.12,0.16,0.2,0.23,0.26,0.29,0.32,0.35},{0,1,2,3,4,5,6,7,8,9,10})</f>
        <v>0</v>
      </c>
      <c r="U50" s="4">
        <f t="shared" si="4"/>
        <v>100</v>
      </c>
      <c r="V50" s="4"/>
      <c r="W50" s="5">
        <f t="shared" si="5"/>
        <v>62.6</v>
      </c>
      <c r="X50" s="20">
        <f t="shared" si="6"/>
        <v>89.4285714285714</v>
      </c>
    </row>
    <row r="51" customFormat="1" ht="15.6" hidden="1" spans="1:24">
      <c r="A51" s="4">
        <v>210</v>
      </c>
      <c r="B51" s="24" t="s">
        <v>516</v>
      </c>
      <c r="C51" s="25" t="s">
        <v>11</v>
      </c>
      <c r="D51" s="4">
        <v>20.8</v>
      </c>
      <c r="E51" s="32">
        <f>LOOKUP(D51,{0,-2.9,-1.9,-0.9,0.1,1.1,2.1,3.5,4.9,6.3,7.7,9.1,10.5,11.9,13.3,14.7,16.1,18.3,20.5,22.4,24.3},{0,10,20,30,40,50,60,62,64,66,68,70,72,74,76,78,80,85,90,95,100})</f>
        <v>90</v>
      </c>
      <c r="F51" s="4">
        <v>235</v>
      </c>
      <c r="G51" s="32">
        <f>LOOKUP(F51,{0,175,180,185,190,195,200,204,208,212,216,220,224,228,232,236,240,248,255,260,265},{0,10,20,30,40,50,60,62,64,66,68,70,72,74,76,78,80,85,90,95,100})</f>
        <v>76</v>
      </c>
      <c r="H51" s="4">
        <v>8</v>
      </c>
      <c r="I51" s="32">
        <f>LOOKUP(H51,{0,3,4,5,6,7,8,9,10,11,12,13,14,15,16,17},{0,10,20,30,40,50,60,64,68,72,76,80,85,90,95,100})</f>
        <v>60</v>
      </c>
      <c r="J51" s="4"/>
      <c r="K51" s="35"/>
      <c r="L51" s="4">
        <f t="shared" si="0"/>
        <v>60</v>
      </c>
      <c r="M51" s="4">
        <v>7.7</v>
      </c>
      <c r="N51" s="4">
        <f t="shared" si="1"/>
        <v>4.3</v>
      </c>
      <c r="O51" s="32">
        <f>LOOKUP(N51,{0,1.6,1.8,2,2.2,2.4,2.6,2.8,3,3.2,3.4,3.6,3.8,4,4.2,4.4,4.6,4.7,4.8,4.9,5},{0,10,20,30,40,50,60,62,64,66,68,70,72,74,76,78,80,85,90,95,100})</f>
        <v>76</v>
      </c>
      <c r="P51" s="4">
        <v>3.24</v>
      </c>
      <c r="Q51" s="4">
        <f t="shared" si="2"/>
        <v>6.76</v>
      </c>
      <c r="R51" s="32">
        <f>LOOKUP(Q51,{0,3.8,4,4.6,4.8,5,5.6,5.65,5.7,5.75,5.8,5.85,5.9,5.95,6,6.45,6.5,6.58,6.65,6.7,6.75},{0,10,20,30,40,50,60,62,64,66,68,70,72,74,76,78,80,85,90,95,100})</f>
        <v>100</v>
      </c>
      <c r="S51" s="4">
        <f t="shared" si="7"/>
        <v>0.00999999999999979</v>
      </c>
      <c r="T51" s="32">
        <f>LOOKUP(S51,{0,0.04,0.08,0.12,0.16,0.2,0.23,0.26,0.29,0.32,0.35},{0,1,2,3,4,5,6,7,8,9,10})</f>
        <v>0</v>
      </c>
      <c r="U51" s="4">
        <f t="shared" si="4"/>
        <v>100</v>
      </c>
      <c r="V51" s="4"/>
      <c r="W51" s="5">
        <f t="shared" si="5"/>
        <v>57.8</v>
      </c>
      <c r="X51" s="20">
        <f t="shared" si="6"/>
        <v>82.5714285714286</v>
      </c>
    </row>
    <row r="52" customFormat="1" ht="15.6" hidden="1" spans="1:24">
      <c r="A52" s="4">
        <v>201</v>
      </c>
      <c r="B52" s="24" t="s">
        <v>27</v>
      </c>
      <c r="C52" s="25" t="s">
        <v>11</v>
      </c>
      <c r="D52" s="4">
        <v>15.9</v>
      </c>
      <c r="E52" s="32">
        <f>LOOKUP(D52,{0,-2.9,-1.9,-0.9,0.1,1.1,2.1,3.5,4.9,6.3,7.7,9.1,10.5,11.9,13.3,14.7,16.1,18.3,20.5,22.4,24.3},{0,10,20,30,40,50,60,62,64,66,68,70,72,74,76,78,80,85,90,95,100})</f>
        <v>78</v>
      </c>
      <c r="F52" s="4">
        <v>261</v>
      </c>
      <c r="G52" s="32">
        <f>LOOKUP(F52,{0,175,180,185,190,195,200,204,208,212,216,220,224,228,232,236,240,248,255,260,265},{0,10,20,30,40,50,60,62,64,66,68,70,72,74,76,78,80,85,90,95,100})</f>
        <v>95</v>
      </c>
      <c r="H52" s="4">
        <v>16</v>
      </c>
      <c r="I52" s="32">
        <f>LOOKUP(H52,{0,3,4,5,6,7,8,9,10,11,12,13,14,15,16,17},{0,10,20,30,40,50,60,64,68,72,76,80,85,90,95,100})</f>
        <v>95</v>
      </c>
      <c r="J52" s="4"/>
      <c r="K52" s="4"/>
      <c r="L52" s="4">
        <f t="shared" si="0"/>
        <v>95</v>
      </c>
      <c r="M52" s="4"/>
      <c r="N52" s="4"/>
      <c r="O52" s="32"/>
      <c r="P52" s="4">
        <v>3.24</v>
      </c>
      <c r="Q52" s="4">
        <f t="shared" si="2"/>
        <v>6.76</v>
      </c>
      <c r="R52" s="32">
        <f>LOOKUP(Q52,{0,3.8,4,4.6,4.8,5,5.6,5.65,5.7,5.75,5.8,5.85,5.9,5.95,6,6.45,6.5,6.58,6.65,6.7,6.75},{0,10,20,30,40,50,60,62,64,66,68,70,72,74,76,78,80,85,90,95,100})</f>
        <v>100</v>
      </c>
      <c r="S52" s="4">
        <f t="shared" si="7"/>
        <v>0.00999999999999979</v>
      </c>
      <c r="T52" s="32">
        <f>LOOKUP(S52,{0,0.04,0.08,0.12,0.16,0.2,0.23,0.26,0.29,0.32,0.35},{0,1,2,3,4,5,6,7,8,9,10})</f>
        <v>0</v>
      </c>
      <c r="U52" s="4">
        <f t="shared" si="4"/>
        <v>100</v>
      </c>
      <c r="V52" s="4"/>
      <c r="W52" s="5">
        <f t="shared" si="5"/>
        <v>46.8</v>
      </c>
      <c r="X52" s="20">
        <f t="shared" si="6"/>
        <v>66.8571428571429</v>
      </c>
    </row>
    <row r="53" customFormat="1" ht="15.6" hidden="1" spans="1:24">
      <c r="A53" s="4">
        <v>205</v>
      </c>
      <c r="B53" s="24" t="s">
        <v>254</v>
      </c>
      <c r="C53" s="25" t="s">
        <v>11</v>
      </c>
      <c r="D53" s="4">
        <v>12</v>
      </c>
      <c r="E53" s="32">
        <f>LOOKUP(D53,{0,-2.9,-1.9,-0.9,0.1,1.1,2.1,3.5,4.9,6.3,7.7,9.1,10.5,11.9,13.3,14.7,16.1,18.3,20.5,22.4,24.3},{0,10,20,30,40,50,60,62,64,66,68,70,72,74,76,78,80,85,90,95,100})</f>
        <v>74</v>
      </c>
      <c r="F53" s="4">
        <v>265</v>
      </c>
      <c r="G53" s="32">
        <f>LOOKUP(F53,{0,175,180,185,190,195,200,204,208,212,216,220,224,228,232,236,240,248,255,260,265},{0,10,20,30,40,50,60,62,64,66,68,70,72,74,76,78,80,85,90,95,100})</f>
        <v>100</v>
      </c>
      <c r="H53" s="4">
        <v>12</v>
      </c>
      <c r="I53" s="32">
        <f>LOOKUP(H53,{0,3,4,5,6,7,8,9,10,11,12,13,14,15,16,17},{0,10,20,30,40,50,60,64,68,72,76,80,85,90,95,100})</f>
        <v>76</v>
      </c>
      <c r="J53" s="4"/>
      <c r="K53" s="4"/>
      <c r="L53" s="4">
        <f t="shared" si="0"/>
        <v>76</v>
      </c>
      <c r="M53" s="4"/>
      <c r="N53" s="4"/>
      <c r="O53" s="32"/>
      <c r="P53" s="4">
        <v>3.24</v>
      </c>
      <c r="Q53" s="4">
        <f t="shared" si="2"/>
        <v>6.76</v>
      </c>
      <c r="R53" s="32">
        <f>LOOKUP(Q53,{0,3.8,4,4.6,4.8,5,5.6,5.65,5.7,5.75,5.8,5.85,5.9,5.95,6,6.45,6.5,6.58,6.65,6.7,6.75},{0,10,20,30,40,50,60,62,64,66,68,70,72,74,76,78,80,85,90,95,100})</f>
        <v>100</v>
      </c>
      <c r="S53" s="4">
        <f t="shared" si="7"/>
        <v>0.00999999999999979</v>
      </c>
      <c r="T53" s="32">
        <f>LOOKUP(S53,{0,0.04,0.08,0.12,0.16,0.2,0.23,0.26,0.29,0.32,0.35},{0,1,2,3,4,5,6,7,8,9,10})</f>
        <v>0</v>
      </c>
      <c r="U53" s="4">
        <f t="shared" si="4"/>
        <v>100</v>
      </c>
      <c r="V53" s="4"/>
      <c r="W53" s="5">
        <f t="shared" si="5"/>
        <v>45</v>
      </c>
      <c r="X53" s="20">
        <f t="shared" si="6"/>
        <v>64.2857142857143</v>
      </c>
    </row>
    <row r="54" customFormat="1" ht="15.6" spans="1:24">
      <c r="A54" s="4">
        <v>211</v>
      </c>
      <c r="B54" s="24" t="s">
        <v>584</v>
      </c>
      <c r="C54" s="25" t="s">
        <v>11</v>
      </c>
      <c r="D54" s="4">
        <v>19.6</v>
      </c>
      <c r="E54" s="32">
        <f>LOOKUP(D54,{0,-2.9,-1.9,-0.9,0.1,1.1,2.1,3.5,4.9,6.3,7.7,9.1,10.5,11.9,13.3,14.7,16.1,18.3,20.5,22.4,24.3},{0,10,20,30,40,50,60,62,64,66,68,70,72,74,76,78,80,85,90,95,100})</f>
        <v>85</v>
      </c>
      <c r="F54" s="4">
        <v>260</v>
      </c>
      <c r="G54" s="32">
        <f>LOOKUP(F54,{0,175,180,185,190,195,200,204,208,212,216,220,224,228,232,236,240,248,255,260,265},{0,10,20,30,40,50,60,62,64,66,68,70,72,74,76,78,80,85,90,95,100})</f>
        <v>95</v>
      </c>
      <c r="H54" s="4">
        <v>8</v>
      </c>
      <c r="I54" s="32">
        <f>LOOKUP(H54,{0,3,4,5,6,7,8,9,10,11,12,13,14,15,16,17},{0,10,20,30,40,50,60,64,68,72,76,80,85,90,95,100})</f>
        <v>60</v>
      </c>
      <c r="J54" s="4"/>
      <c r="K54" s="35"/>
      <c r="L54" s="4">
        <f t="shared" si="0"/>
        <v>60</v>
      </c>
      <c r="M54" s="4">
        <v>6.9</v>
      </c>
      <c r="N54" s="4">
        <f>12-M54</f>
        <v>5.1</v>
      </c>
      <c r="O54" s="32">
        <f>LOOKUP(N54,{0,1.6,1.8,2,2.2,2.4,2.6,2.8,3,3.2,3.4,3.6,3.8,4,4.2,4.4,4.6,4.7,4.8,4.9,5},{0,10,20,30,40,50,60,62,64,66,68,70,72,74,76,78,80,85,90,95,100})</f>
        <v>100</v>
      </c>
      <c r="P54" s="4">
        <v>3.25</v>
      </c>
      <c r="Q54" s="4">
        <f t="shared" si="2"/>
        <v>6.75</v>
      </c>
      <c r="R54" s="32">
        <f>LOOKUP(Q54,{0,3.8,4,4.6,4.8,5,5.6,5.65,5.7,5.75,5.8,5.85,5.9,5.95,6,6.45,6.5,6.58,6.65,6.7,6.75},{0,10,20,30,40,50,60,62,64,66,68,70,72,74,76,78,80,85,90,95,100})</f>
        <v>100</v>
      </c>
      <c r="S54" s="4">
        <f t="shared" si="7"/>
        <v>0</v>
      </c>
      <c r="T54" s="32">
        <f>LOOKUP(S54,{0,0.04,0.08,0.12,0.16,0.2,0.23,0.26,0.29,0.32,0.35},{0,1,2,3,4,5,6,7,8,9,10})</f>
        <v>0</v>
      </c>
      <c r="U54" s="4">
        <f t="shared" si="4"/>
        <v>100</v>
      </c>
      <c r="V54" s="4"/>
      <c r="W54" s="5">
        <f t="shared" si="5"/>
        <v>64</v>
      </c>
      <c r="X54" s="20">
        <f t="shared" si="6"/>
        <v>91.4285714285714</v>
      </c>
    </row>
    <row r="55" customFormat="1" ht="15.6" hidden="1" spans="1:24">
      <c r="A55" s="4">
        <v>210</v>
      </c>
      <c r="B55" s="24" t="s">
        <v>498</v>
      </c>
      <c r="C55" s="25" t="s">
        <v>11</v>
      </c>
      <c r="D55" s="4">
        <v>5.5</v>
      </c>
      <c r="E55" s="32">
        <f>LOOKUP(D55,{0,-2.9,-1.9,-0.9,0.1,1.1,2.1,3.5,4.9,6.3,7.7,9.1,10.5,11.9,13.3,14.7,16.1,18.3,20.5,22.4,24.3},{0,10,20,30,40,50,60,62,64,66,68,70,72,74,76,78,80,85,90,95,100})</f>
        <v>64</v>
      </c>
      <c r="F55" s="4">
        <v>245</v>
      </c>
      <c r="G55" s="32">
        <f>LOOKUP(F55,{0,175,180,185,190,195,200,204,208,212,216,220,224,228,232,236,240,248,255,260,265},{0,10,20,30,40,50,60,62,64,66,68,70,72,74,76,78,80,85,90,95,100})</f>
        <v>80</v>
      </c>
      <c r="H55" s="4">
        <v>2</v>
      </c>
      <c r="I55" s="32">
        <f>LOOKUP(H55,{0,3,4,5,6,7,8,9,10,11,12,13,14,15,16,17},{0,10,20,30,40,50,60,64,68,72,76,80,85,90,95,100})</f>
        <v>0</v>
      </c>
      <c r="J55" s="4"/>
      <c r="K55" s="35"/>
      <c r="L55" s="4">
        <f t="shared" si="0"/>
        <v>0</v>
      </c>
      <c r="M55" s="4">
        <v>7.1</v>
      </c>
      <c r="N55" s="4">
        <f>12-M55</f>
        <v>4.9</v>
      </c>
      <c r="O55" s="32">
        <f>LOOKUP(N55,{0,1.6,1.8,2,2.2,2.4,2.6,2.8,3,3.2,3.4,3.6,3.8,4,4.2,4.4,4.6,4.7,4.8,4.9,5},{0,10,20,30,40,50,60,62,64,66,68,70,72,74,76,78,80,85,90,95,100})</f>
        <v>95</v>
      </c>
      <c r="P55" s="4">
        <v>3.25</v>
      </c>
      <c r="Q55" s="4">
        <f t="shared" si="2"/>
        <v>6.75</v>
      </c>
      <c r="R55" s="32">
        <f>LOOKUP(Q55,{0,3.8,4,4.6,4.8,5,5.6,5.65,5.7,5.75,5.8,5.85,5.9,5.95,6,6.45,6.5,6.58,6.65,6.7,6.75},{0,10,20,30,40,50,60,62,64,66,68,70,72,74,76,78,80,85,90,95,100})</f>
        <v>100</v>
      </c>
      <c r="S55" s="4">
        <f t="shared" si="7"/>
        <v>0</v>
      </c>
      <c r="T55" s="32">
        <f>LOOKUP(S55,{0,0.04,0.08,0.12,0.16,0.2,0.23,0.26,0.29,0.32,0.35},{0,1,2,3,4,5,6,7,8,9,10})</f>
        <v>0</v>
      </c>
      <c r="U55" s="4">
        <f t="shared" si="4"/>
        <v>100</v>
      </c>
      <c r="V55" s="4"/>
      <c r="W55" s="5">
        <f t="shared" si="5"/>
        <v>53.4</v>
      </c>
      <c r="X55" s="20">
        <f t="shared" si="6"/>
        <v>76.2857142857143</v>
      </c>
    </row>
    <row r="56" customFormat="1" ht="15.6" hidden="1" spans="1:24">
      <c r="A56" s="4">
        <v>203</v>
      </c>
      <c r="B56" s="24" t="s">
        <v>134</v>
      </c>
      <c r="C56" s="25" t="s">
        <v>11</v>
      </c>
      <c r="D56" s="4">
        <v>9.1</v>
      </c>
      <c r="E56" s="32">
        <f>LOOKUP(D56,{0,-2.9,-1.9,-0.9,0.1,1.1,2.1,3.5,4.9,6.3,7.7,9.1,10.5,11.9,13.3,14.7,16.1,18.3,20.5,22.4,24.3},{0,10,20,30,40,50,60,62,64,66,68,70,72,74,76,78,80,85,90,95,100})</f>
        <v>70</v>
      </c>
      <c r="F56" s="4">
        <v>208</v>
      </c>
      <c r="G56" s="32">
        <f>LOOKUP(F56,{0,175,180,185,190,195,200,204,208,212,216,220,224,228,232,236,240,248,255,260,265},{0,10,20,30,40,50,60,62,64,66,68,70,72,74,76,78,80,85,90,95,100})</f>
        <v>64</v>
      </c>
      <c r="H56" s="4">
        <v>7</v>
      </c>
      <c r="I56" s="32">
        <f>LOOKUP(H56,{0,3,4,5,6,7,8,9,10,11,12,13,14,15,16,17},{0,10,20,30,40,50,60,64,68,72,76,80,85,90,95,100})</f>
        <v>50</v>
      </c>
      <c r="J56" s="4"/>
      <c r="K56" s="35"/>
      <c r="L56" s="4">
        <f t="shared" si="0"/>
        <v>50</v>
      </c>
      <c r="M56" s="4">
        <v>7.4</v>
      </c>
      <c r="N56" s="4">
        <f>12-M56</f>
        <v>4.6</v>
      </c>
      <c r="O56" s="32">
        <f>LOOKUP(N56,{0,1.6,1.8,2,2.2,2.4,2.6,2.8,3,3.2,3.4,3.6,3.8,4,4.2,4.4,4.6,4.7,4.8,4.9,5},{0,10,20,30,40,50,60,62,64,66,68,70,72,74,76,78,80,85,90,95,100})</f>
        <v>80</v>
      </c>
      <c r="P56" s="4">
        <v>3.25</v>
      </c>
      <c r="Q56" s="4">
        <f t="shared" si="2"/>
        <v>6.75</v>
      </c>
      <c r="R56" s="32">
        <f>LOOKUP(Q56,{0,3.8,4,4.6,4.8,5,5.6,5.65,5.7,5.75,5.8,5.85,5.9,5.95,6,6.45,6.5,6.58,6.65,6.7,6.75},{0,10,20,30,40,50,60,62,64,66,68,70,72,74,76,78,80,85,90,95,100})</f>
        <v>100</v>
      </c>
      <c r="S56" s="4">
        <f t="shared" si="7"/>
        <v>0</v>
      </c>
      <c r="T56" s="32">
        <f>LOOKUP(S56,{0,0.04,0.08,0.12,0.16,0.2,0.23,0.26,0.29,0.32,0.35},{0,1,2,3,4,5,6,7,8,9,10})</f>
        <v>0</v>
      </c>
      <c r="U56" s="4">
        <f t="shared" si="4"/>
        <v>100</v>
      </c>
      <c r="V56" s="4"/>
      <c r="W56" s="5">
        <f t="shared" si="5"/>
        <v>54.4</v>
      </c>
      <c r="X56" s="20">
        <f t="shared" si="6"/>
        <v>77.7142857142857</v>
      </c>
    </row>
    <row r="57" customFormat="1" ht="15.6" hidden="1" spans="1:24">
      <c r="A57" s="4">
        <v>212</v>
      </c>
      <c r="B57" s="24" t="s">
        <v>627</v>
      </c>
      <c r="C57" s="25" t="s">
        <v>11</v>
      </c>
      <c r="D57" s="4">
        <v>16.5</v>
      </c>
      <c r="E57" s="32">
        <f>LOOKUP(D57,{0,-2.9,-1.9,-0.9,0.1,1.1,2.1,3.5,4.9,6.3,7.7,9.1,10.5,11.9,13.3,14.7,16.1,18.3,20.5,22.4,24.3},{0,10,20,30,40,50,60,62,64,66,68,70,72,74,76,78,80,85,90,95,100})</f>
        <v>80</v>
      </c>
      <c r="F57" s="4">
        <v>240</v>
      </c>
      <c r="G57" s="32">
        <f>LOOKUP(F57,{0,175,180,185,190,195,200,204,208,212,216,220,224,228,232,236,240,248,255,260,265},{0,10,20,30,40,50,60,62,64,66,68,70,72,74,76,78,80,85,90,95,100})</f>
        <v>80</v>
      </c>
      <c r="H57" s="4">
        <v>0</v>
      </c>
      <c r="I57" s="32">
        <f>LOOKUP(H57,{0,3,4,5,6,7,8,9,10,11,12,13,14,15,16,17},{0,10,20,30,40,50,60,64,68,72,76,80,85,90,95,100})</f>
        <v>0</v>
      </c>
      <c r="J57" s="4"/>
      <c r="K57" s="4"/>
      <c r="L57" s="4">
        <f t="shared" si="0"/>
        <v>0</v>
      </c>
      <c r="M57" s="4">
        <v>7.4</v>
      </c>
      <c r="N57" s="4">
        <f>12-M57</f>
        <v>4.6</v>
      </c>
      <c r="O57" s="32">
        <f>LOOKUP(N57,{0,1.6,1.8,2,2.2,2.4,2.6,2.8,3,3.2,3.4,3.6,3.8,4,4.2,4.4,4.6,4.7,4.8,4.9,5},{0,10,20,30,40,50,60,62,64,66,68,70,72,74,76,78,80,85,90,95,100})</f>
        <v>80</v>
      </c>
      <c r="P57" s="4">
        <v>3.25</v>
      </c>
      <c r="Q57" s="4">
        <f t="shared" si="2"/>
        <v>6.75</v>
      </c>
      <c r="R57" s="32">
        <f>LOOKUP(Q57,{0,3.8,4,4.6,4.8,5,5.6,5.65,5.7,5.75,5.8,5.85,5.9,5.95,6,6.45,6.5,6.58,6.65,6.7,6.75},{0,10,20,30,40,50,60,62,64,66,68,70,72,74,76,78,80,85,90,95,100})</f>
        <v>100</v>
      </c>
      <c r="S57" s="4">
        <f t="shared" si="7"/>
        <v>0</v>
      </c>
      <c r="T57" s="32">
        <f>LOOKUP(S57,{0,0.04,0.08,0.12,0.16,0.2,0.23,0.26,0.29,0.32,0.35},{0,1,2,3,4,5,6,7,8,9,10})</f>
        <v>0</v>
      </c>
      <c r="U57" s="4">
        <f t="shared" si="4"/>
        <v>100</v>
      </c>
      <c r="V57" s="4"/>
      <c r="W57" s="5">
        <f t="shared" si="5"/>
        <v>52</v>
      </c>
      <c r="X57" s="20">
        <f t="shared" si="6"/>
        <v>74.2857142857143</v>
      </c>
    </row>
    <row r="58" ht="15.6" hidden="1" spans="1:24">
      <c r="A58" s="4">
        <v>201</v>
      </c>
      <c r="B58" s="24" t="s">
        <v>21</v>
      </c>
      <c r="C58" s="25" t="s">
        <v>11</v>
      </c>
      <c r="D58" s="4">
        <v>11</v>
      </c>
      <c r="E58" s="32">
        <f>LOOKUP(D58,{0,-2.9,-1.9,-0.9,0.1,1.1,2.1,3.5,4.9,6.3,7.7,9.1,10.5,11.9,13.3,14.7,16.1,18.3,20.5,22.4,24.3},{0,10,20,30,40,50,60,62,64,66,68,70,72,74,76,78,80,85,90,95,100})</f>
        <v>72</v>
      </c>
      <c r="F58" s="4">
        <v>260</v>
      </c>
      <c r="G58" s="32">
        <f>LOOKUP(F58,{0,175,180,185,190,195,200,204,208,212,216,220,224,228,232,236,240,248,255,260,265},{0,10,20,30,40,50,60,62,64,66,68,70,72,74,76,78,80,85,90,95,100})</f>
        <v>95</v>
      </c>
      <c r="H58" s="4">
        <v>13</v>
      </c>
      <c r="I58" s="32">
        <f>LOOKUP(H58,{0,3,4,5,6,7,8,9,10,11,12,13,14,15,16,17},{0,10,20,30,40,50,60,64,68,72,76,80,85,90,95,100})</f>
        <v>80</v>
      </c>
      <c r="L58" s="4">
        <f t="shared" si="0"/>
        <v>80</v>
      </c>
      <c r="O58" s="32"/>
      <c r="P58" s="4">
        <v>3.25</v>
      </c>
      <c r="Q58" s="4">
        <f t="shared" si="2"/>
        <v>6.75</v>
      </c>
      <c r="R58" s="32">
        <f>LOOKUP(Q58,{0,3.8,4,4.6,4.8,5,5.6,5.65,5.7,5.75,5.8,5.85,5.9,5.95,6,6.45,6.5,6.58,6.65,6.7,6.75},{0,10,20,30,40,50,60,62,64,66,68,70,72,74,76,78,80,85,90,95,100})</f>
        <v>100</v>
      </c>
      <c r="S58" s="4">
        <f t="shared" si="7"/>
        <v>0</v>
      </c>
      <c r="T58" s="32">
        <f>LOOKUP(S58,{0,0.04,0.08,0.12,0.16,0.2,0.23,0.26,0.29,0.32,0.35},{0,1,2,3,4,5,6,7,8,9,10})</f>
        <v>0</v>
      </c>
      <c r="U58" s="4">
        <f t="shared" si="4"/>
        <v>100</v>
      </c>
      <c r="W58" s="5">
        <f t="shared" si="5"/>
        <v>44.7</v>
      </c>
      <c r="X58" s="20">
        <f t="shared" si="6"/>
        <v>63.8571428571429</v>
      </c>
    </row>
    <row r="59" s="1" customFormat="1" ht="15.6" hidden="1" spans="1:24">
      <c r="A59" s="4">
        <v>203</v>
      </c>
      <c r="B59" s="33" t="s">
        <v>137</v>
      </c>
      <c r="C59" s="25" t="s">
        <v>11</v>
      </c>
      <c r="D59" s="4">
        <v>18</v>
      </c>
      <c r="E59" s="32">
        <f>LOOKUP(D59,{0,-2.9,-1.9,-0.9,0.1,1.1,2.1,3.5,4.9,6.3,7.7,9.1,10.5,11.9,13.3,14.7,16.1,18.3,20.5,22.4,24.3},{0,10,20,30,40,50,60,62,64,66,68,70,72,74,76,78,80,85,90,95,100})</f>
        <v>80</v>
      </c>
      <c r="F59" s="4">
        <v>240</v>
      </c>
      <c r="G59" s="32">
        <f>LOOKUP(F59,{0,175,180,185,190,195,200,204,208,212,216,220,224,228,232,236,240,248,255,260,265},{0,10,20,30,40,50,60,62,64,66,68,70,72,74,76,78,80,85,90,95,100})</f>
        <v>80</v>
      </c>
      <c r="H59" s="4">
        <v>17</v>
      </c>
      <c r="I59" s="32">
        <f>LOOKUP(H59,{0,3,4,5,6,7,8,9,10,11,12,13,14,15,16,17},{0,10,20,30,40,50,60,64,68,72,76,80,85,90,95,100})</f>
        <v>100</v>
      </c>
      <c r="J59" s="4">
        <f>H59-17</f>
        <v>0</v>
      </c>
      <c r="K59" s="32">
        <f>LOOKUP(J59,{0,1,2,3,4,5,6,7,8,9,10},{0,1,2,3,4,5,6,7,8,9,10})</f>
        <v>0</v>
      </c>
      <c r="L59" s="4">
        <f t="shared" si="0"/>
        <v>100</v>
      </c>
      <c r="M59" s="4">
        <v>6.7</v>
      </c>
      <c r="N59" s="4">
        <f t="shared" ref="N59:N94" si="8">12-M59</f>
        <v>5.3</v>
      </c>
      <c r="O59" s="32">
        <f>LOOKUP(N59,{0,1.6,1.8,2,2.2,2.4,2.6,2.8,3,3.2,3.4,3.6,3.8,4,4.2,4.4,4.6,4.7,4.8,4.9,5},{0,10,20,30,40,50,60,62,64,66,68,70,72,74,76,78,80,85,90,95,100})</f>
        <v>100</v>
      </c>
      <c r="P59" s="4">
        <v>3.26</v>
      </c>
      <c r="Q59" s="4">
        <f t="shared" si="2"/>
        <v>6.74</v>
      </c>
      <c r="R59" s="32">
        <f>LOOKUP(Q59,{0,3.8,4,4.6,4.8,5,5.6,5.65,5.7,5.75,5.8,5.85,5.9,5.95,6,6.45,6.5,6.58,6.65,6.7,6.75},{0,10,20,30,40,50,60,62,64,66,68,70,72,74,76,78,80,85,90,95,100})</f>
        <v>95</v>
      </c>
      <c r="S59" s="4"/>
      <c r="T59" s="4"/>
      <c r="U59" s="4">
        <f t="shared" si="4"/>
        <v>95</v>
      </c>
      <c r="V59" s="4"/>
      <c r="W59" s="5">
        <f t="shared" si="5"/>
        <v>65</v>
      </c>
      <c r="X59" s="20">
        <f t="shared" si="6"/>
        <v>92.8571428571429</v>
      </c>
    </row>
    <row r="60" ht="15.6" hidden="1" spans="1:24">
      <c r="A60" s="4">
        <v>205</v>
      </c>
      <c r="B60" s="24" t="s">
        <v>251</v>
      </c>
      <c r="C60" s="25" t="s">
        <v>11</v>
      </c>
      <c r="D60" s="4">
        <v>8.9</v>
      </c>
      <c r="E60" s="32">
        <f>LOOKUP(D60,{0,-2.9,-1.9,-0.9,0.1,1.1,2.1,3.5,4.9,6.3,7.7,9.1,10.5,11.9,13.3,14.7,16.1,18.3,20.5,22.4,24.3},{0,10,20,30,40,50,60,62,64,66,68,70,72,74,76,78,80,85,90,95,100})</f>
        <v>68</v>
      </c>
      <c r="F60" s="4">
        <v>260</v>
      </c>
      <c r="G60" s="32">
        <f>LOOKUP(F60,{0,175,180,185,190,195,200,204,208,212,216,220,224,228,232,236,240,248,255,260,265},{0,10,20,30,40,50,60,62,64,66,68,70,72,74,76,78,80,85,90,95,100})</f>
        <v>95</v>
      </c>
      <c r="H60" s="4">
        <v>10</v>
      </c>
      <c r="I60" s="32">
        <f>LOOKUP(H60,{0,3,4,5,6,7,8,9,10,11,12,13,14,15,16,17},{0,10,20,30,40,50,60,64,68,72,76,80,85,90,95,100})</f>
        <v>68</v>
      </c>
      <c r="L60" s="4">
        <f t="shared" si="0"/>
        <v>68</v>
      </c>
      <c r="M60" s="4">
        <v>6.7</v>
      </c>
      <c r="N60" s="4">
        <f t="shared" si="8"/>
        <v>5.3</v>
      </c>
      <c r="O60" s="32">
        <f>LOOKUP(N60,{0,1.6,1.8,2,2.2,2.4,2.6,2.8,3,3.2,3.4,3.6,3.8,4,4.2,4.4,4.6,4.7,4.8,4.9,5},{0,10,20,30,40,50,60,62,64,66,68,70,72,74,76,78,80,85,90,95,100})</f>
        <v>100</v>
      </c>
      <c r="P60" s="4">
        <v>3.26</v>
      </c>
      <c r="Q60" s="4">
        <f t="shared" si="2"/>
        <v>6.74</v>
      </c>
      <c r="R60" s="32">
        <f>LOOKUP(Q60,{0,3.8,4,4.6,4.8,5,5.6,5.65,5.7,5.75,5.8,5.85,5.9,5.95,6,6.45,6.5,6.58,6.65,6.7,6.75},{0,10,20,30,40,50,60,62,64,66,68,70,72,74,76,78,80,85,90,95,100})</f>
        <v>95</v>
      </c>
      <c r="U60" s="4">
        <f t="shared" si="4"/>
        <v>95</v>
      </c>
      <c r="W60" s="5">
        <f t="shared" si="5"/>
        <v>62.1</v>
      </c>
      <c r="X60" s="20">
        <f t="shared" si="6"/>
        <v>88.7142857142857</v>
      </c>
    </row>
    <row r="61" ht="15.6" hidden="1" spans="1:24">
      <c r="A61" s="4">
        <v>203</v>
      </c>
      <c r="B61" s="24" t="s">
        <v>116</v>
      </c>
      <c r="C61" s="25" t="s">
        <v>11</v>
      </c>
      <c r="D61" s="4">
        <v>19</v>
      </c>
      <c r="E61" s="32">
        <f>LOOKUP(D61,{0,-2.9,-1.9,-0.9,0.1,1.1,2.1,3.5,4.9,6.3,7.7,9.1,10.5,11.9,13.3,14.7,16.1,18.3,20.5,22.4,24.3},{0,10,20,30,40,50,60,62,64,66,68,70,72,74,76,78,80,85,90,95,100})</f>
        <v>85</v>
      </c>
      <c r="F61" s="4">
        <v>260</v>
      </c>
      <c r="G61" s="32">
        <f>LOOKUP(F61,{0,175,180,185,190,195,200,204,208,212,216,220,224,228,232,236,240,248,255,260,265},{0,10,20,30,40,50,60,62,64,66,68,70,72,74,76,78,80,85,90,95,100})</f>
        <v>95</v>
      </c>
      <c r="H61" s="4">
        <v>17</v>
      </c>
      <c r="I61" s="32">
        <f>LOOKUP(H61,{0,3,4,5,6,7,8,9,10,11,12,13,14,15,16,17},{0,10,20,30,40,50,60,64,68,72,76,80,85,90,95,100})</f>
        <v>100</v>
      </c>
      <c r="J61" s="4">
        <f>H61-17</f>
        <v>0</v>
      </c>
      <c r="K61" s="32">
        <f>LOOKUP(J61,{0,1,2,3,4,5,6,7,8,9,10},{0,1,2,3,4,5,6,7,8,9,10})</f>
        <v>0</v>
      </c>
      <c r="L61" s="4">
        <f t="shared" si="0"/>
        <v>100</v>
      </c>
      <c r="M61" s="4">
        <v>7</v>
      </c>
      <c r="N61" s="4">
        <f t="shared" si="8"/>
        <v>5</v>
      </c>
      <c r="O61" s="32">
        <f>LOOKUP(N61,{0,1.6,1.8,2,2.2,2.4,2.6,2.8,3,3.2,3.4,3.6,3.8,4,4.2,4.4,4.6,4.7,4.8,4.9,5},{0,10,20,30,40,50,60,62,64,66,68,70,72,74,76,78,80,85,90,95,100})</f>
        <v>100</v>
      </c>
      <c r="P61" s="4">
        <v>3.26</v>
      </c>
      <c r="Q61" s="4">
        <f t="shared" si="2"/>
        <v>6.74</v>
      </c>
      <c r="R61" s="32">
        <f>LOOKUP(Q61,{0,3.8,4,4.6,4.8,5,5.6,5.65,5.7,5.75,5.8,5.85,5.9,5.95,6,6.45,6.5,6.58,6.65,6.7,6.75},{0,10,20,30,40,50,60,62,64,66,68,70,72,74,76,78,80,85,90,95,100})</f>
        <v>95</v>
      </c>
      <c r="U61" s="4">
        <f t="shared" si="4"/>
        <v>95</v>
      </c>
      <c r="W61" s="5">
        <f t="shared" si="5"/>
        <v>67</v>
      </c>
      <c r="X61" s="20">
        <f t="shared" si="6"/>
        <v>95.7142857142857</v>
      </c>
    </row>
    <row r="62" ht="15.6" hidden="1" spans="1:24">
      <c r="A62" s="4">
        <v>209</v>
      </c>
      <c r="B62" s="24" t="s">
        <v>464</v>
      </c>
      <c r="C62" s="25" t="s">
        <v>11</v>
      </c>
      <c r="D62" s="4">
        <v>3.6</v>
      </c>
      <c r="E62" s="32">
        <f>LOOKUP(D62,{0,-2.9,-1.9,-0.9,0.1,1.1,2.1,3.5,4.9,6.3,7.7,9.1,10.5,11.9,13.3,14.7,16.1,18.3,20.5,22.4,24.3},{0,10,20,30,40,50,60,62,64,66,68,70,72,74,76,78,80,85,90,95,100})</f>
        <v>62</v>
      </c>
      <c r="F62" s="4">
        <v>230</v>
      </c>
      <c r="G62" s="32">
        <f>LOOKUP(F62,{0,175,180,185,190,195,200,204,208,212,216,220,224,228,232,236,240,248,255,260,265},{0,10,20,30,40,50,60,62,64,66,68,70,72,74,76,78,80,85,90,95,100})</f>
        <v>74</v>
      </c>
      <c r="H62" s="4">
        <v>16</v>
      </c>
      <c r="I62" s="32">
        <f>LOOKUP(H62,{0,3,4,5,6,7,8,9,10,11,12,13,14,15,16,17},{0,10,20,30,40,50,60,64,68,72,76,80,85,90,95,100})</f>
        <v>95</v>
      </c>
      <c r="L62" s="4">
        <f t="shared" si="0"/>
        <v>95</v>
      </c>
      <c r="M62" s="4">
        <v>7.1</v>
      </c>
      <c r="N62" s="4">
        <f t="shared" si="8"/>
        <v>4.9</v>
      </c>
      <c r="O62" s="32">
        <f>LOOKUP(N62,{0,1.6,1.8,2,2.2,2.4,2.6,2.8,3,3.2,3.4,3.6,3.8,4,4.2,4.4,4.6,4.7,4.8,4.9,5},{0,10,20,30,40,50,60,62,64,66,68,70,72,74,76,78,80,85,90,95,100})</f>
        <v>95</v>
      </c>
      <c r="P62" s="4">
        <v>3.26</v>
      </c>
      <c r="Q62" s="4">
        <f t="shared" si="2"/>
        <v>6.74</v>
      </c>
      <c r="R62" s="32">
        <f>LOOKUP(Q62,{0,3.8,4,4.6,4.8,5,5.6,5.65,5.7,5.75,5.8,5.85,5.9,5.95,6,6.45,6.5,6.58,6.65,6.7,6.75},{0,10,20,30,40,50,60,62,64,66,68,70,72,74,76,78,80,85,90,95,100})</f>
        <v>95</v>
      </c>
      <c r="U62" s="4">
        <f t="shared" si="4"/>
        <v>95</v>
      </c>
      <c r="W62" s="5">
        <f t="shared" si="5"/>
        <v>61.1</v>
      </c>
      <c r="X62" s="20">
        <f t="shared" si="6"/>
        <v>87.2857142857143</v>
      </c>
    </row>
    <row r="63" ht="15.6" hidden="1" spans="1:24">
      <c r="A63" s="4">
        <v>209</v>
      </c>
      <c r="B63" s="24" t="s">
        <v>439</v>
      </c>
      <c r="C63" s="25" t="s">
        <v>11</v>
      </c>
      <c r="D63" s="4">
        <v>12</v>
      </c>
      <c r="E63" s="32">
        <f>LOOKUP(D63,{0,-2.9,-1.9,-0.9,0.1,1.1,2.1,3.5,4.9,6.3,7.7,9.1,10.5,11.9,13.3,14.7,16.1,18.3,20.5,22.4,24.3},{0,10,20,30,40,50,60,62,64,66,68,70,72,74,76,78,80,85,90,95,100})</f>
        <v>74</v>
      </c>
      <c r="F63" s="4">
        <v>270</v>
      </c>
      <c r="G63" s="32">
        <f>LOOKUP(F63,{0,175,180,185,190,195,200,204,208,212,216,220,224,228,232,236,240,248,255,260,265},{0,10,20,30,40,50,60,62,64,66,68,70,72,74,76,78,80,85,90,95,100})</f>
        <v>100</v>
      </c>
      <c r="H63" s="4">
        <v>21</v>
      </c>
      <c r="I63" s="32">
        <f>LOOKUP(H63,{0,3,4,5,6,7,8,9,10,11,12,13,14,15,16,17},{0,10,20,30,40,50,60,64,68,72,76,80,85,90,95,100})</f>
        <v>100</v>
      </c>
      <c r="J63" s="4">
        <f>H63-17</f>
        <v>4</v>
      </c>
      <c r="K63" s="34">
        <f>LOOKUP(J63,{0,1,2,3,4,5,6,7,8,9,10},{0,1,2,3,4,5,6,7,8,9,10})</f>
        <v>4</v>
      </c>
      <c r="L63" s="4">
        <f t="shared" si="0"/>
        <v>104</v>
      </c>
      <c r="M63" s="4">
        <v>7.3</v>
      </c>
      <c r="N63" s="4">
        <f t="shared" si="8"/>
        <v>4.7</v>
      </c>
      <c r="O63" s="32">
        <f>LOOKUP(N63,{0,1.6,1.8,2,2.2,2.4,2.6,2.8,3,3.2,3.4,3.6,3.8,4,4.2,4.4,4.6,4.7,4.8,4.9,5},{0,10,20,30,40,50,60,62,64,66,68,70,72,74,76,78,80,85,90,95,100})</f>
        <v>85</v>
      </c>
      <c r="P63" s="4">
        <v>3.26</v>
      </c>
      <c r="Q63" s="4">
        <f t="shared" si="2"/>
        <v>6.74</v>
      </c>
      <c r="R63" s="32">
        <f>LOOKUP(Q63,{0,3.8,4,4.6,4.8,5,5.6,5.65,5.7,5.75,5.8,5.85,5.9,5.95,6,6.45,6.5,6.58,6.65,6.7,6.75},{0,10,20,30,40,50,60,62,64,66,68,70,72,74,76,78,80,85,90,95,100})</f>
        <v>95</v>
      </c>
      <c r="U63" s="4">
        <f t="shared" si="4"/>
        <v>95</v>
      </c>
      <c r="W63" s="5">
        <f t="shared" si="5"/>
        <v>63.4</v>
      </c>
      <c r="X63" s="20">
        <f t="shared" si="6"/>
        <v>94.5714285714286</v>
      </c>
    </row>
    <row r="64" ht="15.6" hidden="1" spans="1:24">
      <c r="A64" s="4">
        <v>202</v>
      </c>
      <c r="B64" s="24" t="s">
        <v>80</v>
      </c>
      <c r="C64" s="25" t="s">
        <v>11</v>
      </c>
      <c r="D64" s="4">
        <v>20.5</v>
      </c>
      <c r="E64" s="32">
        <f>LOOKUP(D64,{0,-2.9,-1.9,-0.9,0.1,1.1,2.1,3.5,4.9,6.3,7.7,9.1,10.5,11.9,13.3,14.7,16.1,18.3,20.5,22.4,24.3},{0,10,20,30,40,50,60,62,64,66,68,70,72,74,76,78,80,85,90,95,100})</f>
        <v>90</v>
      </c>
      <c r="F64" s="4">
        <v>244</v>
      </c>
      <c r="G64" s="32">
        <f>LOOKUP(F64,{0,175,180,185,190,195,200,204,208,212,216,220,224,228,232,236,240,248,255,260,265},{0,10,20,30,40,50,60,62,64,66,68,70,72,74,76,78,80,85,90,95,100})</f>
        <v>80</v>
      </c>
      <c r="H64" s="4">
        <v>12</v>
      </c>
      <c r="I64" s="32">
        <f>LOOKUP(H64,{0,3,4,5,6,7,8,9,10,11,12,13,14,15,16,17},{0,10,20,30,40,50,60,64,68,72,76,80,85,90,95,100})</f>
        <v>76</v>
      </c>
      <c r="K64" s="35"/>
      <c r="L64" s="4">
        <f t="shared" si="0"/>
        <v>76</v>
      </c>
      <c r="M64" s="4">
        <v>7.3</v>
      </c>
      <c r="N64" s="4">
        <f t="shared" si="8"/>
        <v>4.7</v>
      </c>
      <c r="O64" s="32">
        <f>LOOKUP(N64,{0,1.6,1.8,2,2.2,2.4,2.6,2.8,3,3.2,3.4,3.6,3.8,4,4.2,4.4,4.6,4.7,4.8,4.9,5},{0,10,20,30,40,50,60,62,64,66,68,70,72,74,76,78,80,85,90,95,100})</f>
        <v>85</v>
      </c>
      <c r="P64" s="4">
        <v>3.26</v>
      </c>
      <c r="Q64" s="4">
        <f t="shared" si="2"/>
        <v>6.74</v>
      </c>
      <c r="R64" s="32">
        <f>LOOKUP(Q64,{0,3.8,4,4.6,4.8,5,5.6,5.65,5.7,5.75,5.8,5.85,5.9,5.95,6,6.45,6.5,6.58,6.65,6.7,6.75},{0,10,20,30,40,50,60,62,64,66,68,70,72,74,76,78,80,85,90,95,100})</f>
        <v>95</v>
      </c>
      <c r="U64" s="4">
        <f t="shared" si="4"/>
        <v>95</v>
      </c>
      <c r="W64" s="5">
        <f t="shared" si="5"/>
        <v>60.6</v>
      </c>
      <c r="X64" s="20">
        <f t="shared" si="6"/>
        <v>86.5714285714286</v>
      </c>
    </row>
    <row r="65" ht="15.6" hidden="1" spans="1:24">
      <c r="A65" s="4">
        <v>203</v>
      </c>
      <c r="B65" s="24" t="s">
        <v>148</v>
      </c>
      <c r="C65" s="25" t="s">
        <v>11</v>
      </c>
      <c r="D65" s="4">
        <v>17</v>
      </c>
      <c r="E65" s="32">
        <f>LOOKUP(D65,{0,-2.9,-1.9,-0.9,0.1,1.1,2.1,3.5,4.9,6.3,7.7,9.1,10.5,11.9,13.3,14.7,16.1,18.3,20.5,22.4,24.3},{0,10,20,30,40,50,60,62,64,66,68,70,72,74,76,78,80,85,90,95,100})</f>
        <v>80</v>
      </c>
      <c r="F65" s="4">
        <v>250</v>
      </c>
      <c r="G65" s="32">
        <f>LOOKUP(F65,{0,175,180,185,190,195,200,204,208,212,216,220,224,228,232,236,240,248,255,260,265},{0,10,20,30,40,50,60,62,64,66,68,70,72,74,76,78,80,85,90,95,100})</f>
        <v>85</v>
      </c>
      <c r="H65" s="4">
        <v>17</v>
      </c>
      <c r="I65" s="32">
        <f>LOOKUP(H65,{0,3,4,5,6,7,8,9,10,11,12,13,14,15,16,17},{0,10,20,30,40,50,60,64,68,72,76,80,85,90,95,100})</f>
        <v>100</v>
      </c>
      <c r="J65" s="4">
        <f>H65-17</f>
        <v>0</v>
      </c>
      <c r="K65" s="32">
        <f>LOOKUP(J65,{0,1,2,3,4,5,6,7,8,9,10},{0,1,2,3,4,5,6,7,8,9,10})</f>
        <v>0</v>
      </c>
      <c r="L65" s="4">
        <f t="shared" si="0"/>
        <v>100</v>
      </c>
      <c r="M65" s="4">
        <v>7.5</v>
      </c>
      <c r="N65" s="4">
        <f t="shared" si="8"/>
        <v>4.5</v>
      </c>
      <c r="O65" s="32">
        <f>LOOKUP(N65,{0,1.6,1.8,2,2.2,2.4,2.6,2.8,3,3.2,3.4,3.6,3.8,4,4.2,4.4,4.6,4.7,4.8,4.9,5},{0,10,20,30,40,50,60,62,64,66,68,70,72,74,76,78,80,85,90,95,100})</f>
        <v>78</v>
      </c>
      <c r="P65" s="4">
        <v>3.26</v>
      </c>
      <c r="Q65" s="4">
        <f t="shared" si="2"/>
        <v>6.74</v>
      </c>
      <c r="R65" s="32">
        <f>LOOKUP(Q65,{0,3.8,4,4.6,4.8,5,5.6,5.65,5.7,5.75,5.8,5.85,5.9,5.95,6,6.45,6.5,6.58,6.65,6.7,6.75},{0,10,20,30,40,50,60,62,64,66,68,70,72,74,76,78,80,85,90,95,100})</f>
        <v>95</v>
      </c>
      <c r="U65" s="4">
        <f t="shared" si="4"/>
        <v>95</v>
      </c>
      <c r="W65" s="5">
        <f t="shared" si="5"/>
        <v>61.1</v>
      </c>
      <c r="X65" s="20">
        <f t="shared" si="6"/>
        <v>87.2857142857143</v>
      </c>
    </row>
    <row r="66" ht="15.6" hidden="1" spans="1:24">
      <c r="A66" s="4">
        <v>203</v>
      </c>
      <c r="B66" s="24" t="s">
        <v>114</v>
      </c>
      <c r="C66" s="25" t="s">
        <v>11</v>
      </c>
      <c r="D66" s="4">
        <v>12</v>
      </c>
      <c r="E66" s="32">
        <f>LOOKUP(D66,{0,-2.9,-1.9,-0.9,0.1,1.1,2.1,3.5,4.9,6.3,7.7,9.1,10.5,11.9,13.3,14.7,16.1,18.3,20.5,22.4,24.3},{0,10,20,30,40,50,60,62,64,66,68,70,72,74,76,78,80,85,90,95,100})</f>
        <v>74</v>
      </c>
      <c r="F66" s="4">
        <v>275</v>
      </c>
      <c r="G66" s="32">
        <f>LOOKUP(F66,{0,175,180,185,190,195,200,204,208,212,216,220,224,228,232,236,240,248,255,260,265},{0,10,20,30,40,50,60,62,64,66,68,70,72,74,76,78,80,85,90,95,100})</f>
        <v>100</v>
      </c>
      <c r="H66" s="4">
        <v>21</v>
      </c>
      <c r="I66" s="32">
        <f>LOOKUP(H66,{0,3,4,5,6,7,8,9,10,11,12,13,14,15,16,17},{0,10,20,30,40,50,60,64,68,72,76,80,85,90,95,100})</f>
        <v>100</v>
      </c>
      <c r="J66" s="4">
        <f>H66-17</f>
        <v>4</v>
      </c>
      <c r="K66" s="32">
        <f>LOOKUP(J66,{0,1,2,3,4,5,6,7,8,9,10},{0,1,2,3,4,5,6,7,8,9,10})</f>
        <v>4</v>
      </c>
      <c r="L66" s="4">
        <f t="shared" ref="L66:L129" si="9">I66+K66</f>
        <v>104</v>
      </c>
      <c r="M66" s="4">
        <v>6.6</v>
      </c>
      <c r="N66" s="4">
        <f t="shared" si="8"/>
        <v>5.4</v>
      </c>
      <c r="O66" s="32">
        <f>LOOKUP(N66,{0,1.6,1.8,2,2.2,2.4,2.6,2.8,3,3.2,3.4,3.6,3.8,4,4.2,4.4,4.6,4.7,4.8,4.9,5},{0,10,20,30,40,50,60,62,64,66,68,70,72,74,76,78,80,85,90,95,100})</f>
        <v>100</v>
      </c>
      <c r="P66" s="4">
        <v>3.27</v>
      </c>
      <c r="Q66" s="4">
        <f t="shared" ref="Q66:Q129" si="10">10-P66</f>
        <v>6.73</v>
      </c>
      <c r="R66" s="32">
        <f>LOOKUP(Q66,{0,3.8,4,4.6,4.8,5,5.6,5.65,5.7,5.75,5.8,5.85,5.9,5.95,6,6.45,6.5,6.58,6.65,6.7,6.75},{0,10,20,30,40,50,60,62,64,66,68,70,72,74,76,78,80,85,90,95,100})</f>
        <v>95</v>
      </c>
      <c r="U66" s="4">
        <f t="shared" ref="U66:U129" si="11">R66+T66</f>
        <v>95</v>
      </c>
      <c r="W66" s="5">
        <f t="shared" ref="W66:W129" si="12">E66*0.1+G66*0.1+I66*0.1+O66*0.2+R66*0.2</f>
        <v>66.4</v>
      </c>
      <c r="X66" s="20">
        <f t="shared" ref="X66:X129" si="13">W66/0.7+K66+T66</f>
        <v>98.8571428571429</v>
      </c>
    </row>
    <row r="67" ht="15.6" spans="1:24">
      <c r="A67" s="4">
        <v>211</v>
      </c>
      <c r="B67" s="24" t="s">
        <v>573</v>
      </c>
      <c r="C67" s="25" t="s">
        <v>11</v>
      </c>
      <c r="D67" s="4">
        <v>20</v>
      </c>
      <c r="E67" s="32">
        <f>LOOKUP(D67,{0,-2.9,-1.9,-0.9,0.1,1.1,2.1,3.5,4.9,6.3,7.7,9.1,10.5,11.9,13.3,14.7,16.1,18.3,20.5,22.4,24.3},{0,10,20,30,40,50,60,62,64,66,68,70,72,74,76,78,80,85,90,95,100})</f>
        <v>85</v>
      </c>
      <c r="F67" s="4">
        <v>271</v>
      </c>
      <c r="G67" s="32">
        <f>LOOKUP(F67,{0,175,180,185,190,195,200,204,208,212,216,220,224,228,232,236,240,248,255,260,265},{0,10,20,30,40,50,60,62,64,66,68,70,72,74,76,78,80,85,90,95,100})</f>
        <v>100</v>
      </c>
      <c r="H67" s="4">
        <v>18</v>
      </c>
      <c r="I67" s="32">
        <f>LOOKUP(H67,{0,3,4,5,6,7,8,9,10,11,12,13,14,15,16,17},{0,10,20,30,40,50,60,64,68,72,76,80,85,90,95,100})</f>
        <v>100</v>
      </c>
      <c r="J67" s="4">
        <f>H67-17</f>
        <v>1</v>
      </c>
      <c r="K67" s="34">
        <f>LOOKUP(J67,{0,1,2,3,4,5,6,7,8,9,10},{0,1,2,3,4,5,6,7,8,9,10})</f>
        <v>1</v>
      </c>
      <c r="L67" s="4">
        <f t="shared" si="9"/>
        <v>101</v>
      </c>
      <c r="M67" s="4">
        <v>6.8</v>
      </c>
      <c r="N67" s="4">
        <f t="shared" si="8"/>
        <v>5.2</v>
      </c>
      <c r="O67" s="32">
        <f>LOOKUP(N67,{0,1.6,1.8,2,2.2,2.4,2.6,2.8,3,3.2,3.4,3.6,3.8,4,4.2,4.4,4.6,4.7,4.8,4.9,5},{0,10,20,30,40,50,60,62,64,66,68,70,72,74,76,78,80,85,90,95,100})</f>
        <v>100</v>
      </c>
      <c r="P67" s="4">
        <v>3.27</v>
      </c>
      <c r="Q67" s="4">
        <f t="shared" si="10"/>
        <v>6.73</v>
      </c>
      <c r="R67" s="32">
        <f>LOOKUP(Q67,{0,3.8,4,4.6,4.8,5,5.6,5.65,5.7,5.75,5.8,5.85,5.9,5.95,6,6.45,6.5,6.58,6.65,6.7,6.75},{0,10,20,30,40,50,60,62,64,66,68,70,72,74,76,78,80,85,90,95,100})</f>
        <v>95</v>
      </c>
      <c r="U67" s="4">
        <f t="shared" si="11"/>
        <v>95</v>
      </c>
      <c r="W67" s="5">
        <f t="shared" si="12"/>
        <v>67.5</v>
      </c>
      <c r="X67" s="20">
        <f t="shared" si="13"/>
        <v>97.4285714285714</v>
      </c>
    </row>
    <row r="68" ht="15.6" hidden="1" spans="1:24">
      <c r="A68" s="4">
        <v>209</v>
      </c>
      <c r="B68" s="24" t="s">
        <v>479</v>
      </c>
      <c r="C68" s="25" t="s">
        <v>11</v>
      </c>
      <c r="D68" s="4">
        <v>17.6</v>
      </c>
      <c r="E68" s="32">
        <f>LOOKUP(D68,{0,-2.9,-1.9,-0.9,0.1,1.1,2.1,3.5,4.9,6.3,7.7,9.1,10.5,11.9,13.3,14.7,16.1,18.3,20.5,22.4,24.3},{0,10,20,30,40,50,60,62,64,66,68,70,72,74,76,78,80,85,90,95,100})</f>
        <v>80</v>
      </c>
      <c r="F68" s="4">
        <v>215</v>
      </c>
      <c r="G68" s="32">
        <f>LOOKUP(F68,{0,175,180,185,190,195,200,204,208,212,216,220,224,228,232,236,240,248,255,260,265},{0,10,20,30,40,50,60,62,64,66,68,70,72,74,76,78,80,85,90,95,100})</f>
        <v>66</v>
      </c>
      <c r="H68" s="4">
        <v>13</v>
      </c>
      <c r="I68" s="32">
        <f>LOOKUP(H68,{0,3,4,5,6,7,8,9,10,11,12,13,14,15,16,17},{0,10,20,30,40,50,60,64,68,72,76,80,85,90,95,100})</f>
        <v>80</v>
      </c>
      <c r="L68" s="4">
        <f t="shared" si="9"/>
        <v>80</v>
      </c>
      <c r="M68" s="4">
        <v>6.8</v>
      </c>
      <c r="N68" s="4">
        <f t="shared" si="8"/>
        <v>5.2</v>
      </c>
      <c r="O68" s="32">
        <f>LOOKUP(N68,{0,1.6,1.8,2,2.2,2.4,2.6,2.8,3,3.2,3.4,3.6,3.8,4,4.2,4.4,4.6,4.7,4.8,4.9,5},{0,10,20,30,40,50,60,62,64,66,68,70,72,74,76,78,80,85,90,95,100})</f>
        <v>100</v>
      </c>
      <c r="P68" s="4">
        <v>3.27</v>
      </c>
      <c r="Q68" s="4">
        <f t="shared" si="10"/>
        <v>6.73</v>
      </c>
      <c r="R68" s="32">
        <f>LOOKUP(Q68,{0,3.8,4,4.6,4.8,5,5.6,5.65,5.7,5.75,5.8,5.85,5.9,5.95,6,6.45,6.5,6.58,6.65,6.7,6.75},{0,10,20,30,40,50,60,62,64,66,68,70,72,74,76,78,80,85,90,95,100})</f>
        <v>95</v>
      </c>
      <c r="U68" s="4">
        <f t="shared" si="11"/>
        <v>95</v>
      </c>
      <c r="W68" s="5">
        <f t="shared" si="12"/>
        <v>61.6</v>
      </c>
      <c r="X68" s="20">
        <f t="shared" si="13"/>
        <v>88</v>
      </c>
    </row>
    <row r="69" ht="15.6" hidden="1" spans="1:24">
      <c r="A69" s="4">
        <v>201</v>
      </c>
      <c r="B69" s="24" t="s">
        <v>43</v>
      </c>
      <c r="C69" s="25" t="s">
        <v>11</v>
      </c>
      <c r="D69" s="4">
        <v>11.3</v>
      </c>
      <c r="E69" s="32">
        <f>LOOKUP(D69,{0,-2.9,-1.9,-0.9,0.1,1.1,2.1,3.5,4.9,6.3,7.7,9.1,10.5,11.9,13.3,14.7,16.1,18.3,20.5,22.4,24.3},{0,10,20,30,40,50,60,62,64,66,68,70,72,74,76,78,80,85,90,95,100})</f>
        <v>72</v>
      </c>
      <c r="F69" s="4">
        <v>253</v>
      </c>
      <c r="G69" s="32">
        <f>LOOKUP(F69,{0,175,180,185,190,195,200,204,208,212,216,220,224,228,232,236,240,248,255,260,265},{0,10,20,30,40,50,60,62,64,66,68,70,72,74,76,78,80,85,90,95,100})</f>
        <v>85</v>
      </c>
      <c r="H69" s="4">
        <v>11</v>
      </c>
      <c r="I69" s="32">
        <f>LOOKUP(H69,{0,3,4,5,6,7,8,9,10,11,12,13,14,15,16,17},{0,10,20,30,40,50,60,64,68,72,76,80,85,90,95,100})</f>
        <v>72</v>
      </c>
      <c r="L69" s="4">
        <f t="shared" si="9"/>
        <v>72</v>
      </c>
      <c r="M69" s="4">
        <v>6.9</v>
      </c>
      <c r="N69" s="4">
        <f t="shared" si="8"/>
        <v>5.1</v>
      </c>
      <c r="O69" s="32">
        <f>LOOKUP(N69,{0,1.6,1.8,2,2.2,2.4,2.6,2.8,3,3.2,3.4,3.6,3.8,4,4.2,4.4,4.6,4.7,4.8,4.9,5},{0,10,20,30,40,50,60,62,64,66,68,70,72,74,76,78,80,85,90,95,100})</f>
        <v>100</v>
      </c>
      <c r="P69" s="4">
        <v>3.27</v>
      </c>
      <c r="Q69" s="4">
        <f t="shared" si="10"/>
        <v>6.73</v>
      </c>
      <c r="R69" s="32">
        <f>LOOKUP(Q69,{0,3.8,4,4.6,4.8,5,5.6,5.65,5.7,5.75,5.8,5.85,5.9,5.95,6,6.45,6.5,6.58,6.65,6.7,6.75},{0,10,20,30,40,50,60,62,64,66,68,70,72,74,76,78,80,85,90,95,100})</f>
        <v>95</v>
      </c>
      <c r="U69" s="4">
        <f t="shared" si="11"/>
        <v>95</v>
      </c>
      <c r="W69" s="5">
        <f t="shared" si="12"/>
        <v>61.9</v>
      </c>
      <c r="X69" s="20">
        <f t="shared" si="13"/>
        <v>88.4285714285714</v>
      </c>
    </row>
    <row r="70" ht="15.6" hidden="1" spans="1:24">
      <c r="A70" s="4">
        <v>202</v>
      </c>
      <c r="B70" s="24" t="s">
        <v>81</v>
      </c>
      <c r="C70" s="25" t="s">
        <v>11</v>
      </c>
      <c r="D70" s="4">
        <v>18.2</v>
      </c>
      <c r="E70" s="32">
        <f>LOOKUP(D70,{0,-2.9,-1.9,-0.9,0.1,1.1,2.1,3.5,4.9,6.3,7.7,9.1,10.5,11.9,13.3,14.7,16.1,18.3,20.5,22.4,24.3},{0,10,20,30,40,50,60,62,64,66,68,70,72,74,76,78,80,85,90,95,100})</f>
        <v>80</v>
      </c>
      <c r="F70" s="4">
        <v>250</v>
      </c>
      <c r="G70" s="32">
        <f>LOOKUP(F70,{0,175,180,185,190,195,200,204,208,212,216,220,224,228,232,236,240,248,255,260,265},{0,10,20,30,40,50,60,62,64,66,68,70,72,74,76,78,80,85,90,95,100})</f>
        <v>85</v>
      </c>
      <c r="H70" s="4">
        <v>3</v>
      </c>
      <c r="I70" s="32">
        <f>LOOKUP(H70,{0,3,4,5,6,7,8,9,10,11,12,13,14,15,16,17},{0,10,20,30,40,50,60,64,68,72,76,80,85,90,95,100})</f>
        <v>10</v>
      </c>
      <c r="L70" s="4">
        <f t="shared" si="9"/>
        <v>10</v>
      </c>
      <c r="M70" s="4">
        <v>7.1</v>
      </c>
      <c r="N70" s="4">
        <f t="shared" si="8"/>
        <v>4.9</v>
      </c>
      <c r="O70" s="32">
        <f>LOOKUP(N70,{0,1.6,1.8,2,2.2,2.4,2.6,2.8,3,3.2,3.4,3.6,3.8,4,4.2,4.4,4.6,4.7,4.8,4.9,5},{0,10,20,30,40,50,60,62,64,66,68,70,72,74,76,78,80,85,90,95,100})</f>
        <v>95</v>
      </c>
      <c r="P70" s="4">
        <v>3.27</v>
      </c>
      <c r="Q70" s="4">
        <f t="shared" si="10"/>
        <v>6.73</v>
      </c>
      <c r="R70" s="32">
        <f>LOOKUP(Q70,{0,3.8,4,4.6,4.8,5,5.6,5.65,5.7,5.75,5.8,5.85,5.9,5.95,6,6.45,6.5,6.58,6.65,6.7,6.75},{0,10,20,30,40,50,60,62,64,66,68,70,72,74,76,78,80,85,90,95,100})</f>
        <v>95</v>
      </c>
      <c r="U70" s="4">
        <f t="shared" si="11"/>
        <v>95</v>
      </c>
      <c r="W70" s="5">
        <f t="shared" si="12"/>
        <v>55.5</v>
      </c>
      <c r="X70" s="20">
        <f t="shared" si="13"/>
        <v>79.2857142857143</v>
      </c>
    </row>
    <row r="71" s="1" customFormat="1" ht="15.6" hidden="1" spans="1:24">
      <c r="A71" s="4">
        <v>209</v>
      </c>
      <c r="B71" s="24" t="s">
        <v>449</v>
      </c>
      <c r="C71" s="25" t="s">
        <v>11</v>
      </c>
      <c r="D71" s="4">
        <v>25.5</v>
      </c>
      <c r="E71" s="32">
        <f>LOOKUP(D71,{0,-2.9,-1.9,-0.9,0.1,1.1,2.1,3.5,4.9,6.3,7.7,9.1,10.5,11.9,13.3,14.7,16.1,18.3,20.5,22.4,24.3},{0,10,20,30,40,50,60,62,64,66,68,70,72,74,76,78,80,85,90,95,100})</f>
        <v>100</v>
      </c>
      <c r="F71" s="4">
        <v>258</v>
      </c>
      <c r="G71" s="32">
        <f>LOOKUP(F71,{0,175,180,185,190,195,200,204,208,212,216,220,224,228,232,236,240,248,255,260,265},{0,10,20,30,40,50,60,62,64,66,68,70,72,74,76,78,80,85,90,95,100})</f>
        <v>90</v>
      </c>
      <c r="H71" s="4">
        <v>7</v>
      </c>
      <c r="I71" s="32">
        <f>LOOKUP(H71,{0,3,4,5,6,7,8,9,10,11,12,13,14,15,16,17},{0,10,20,30,40,50,60,64,68,72,76,80,85,90,95,100})</f>
        <v>50</v>
      </c>
      <c r="J71" s="4"/>
      <c r="K71" s="35"/>
      <c r="L71" s="4">
        <f t="shared" si="9"/>
        <v>50</v>
      </c>
      <c r="M71" s="4">
        <v>6.9</v>
      </c>
      <c r="N71" s="4">
        <f t="shared" si="8"/>
        <v>5.1</v>
      </c>
      <c r="O71" s="32">
        <f>LOOKUP(N71,{0,1.6,1.8,2,2.2,2.4,2.6,2.8,3,3.2,3.4,3.6,3.8,4,4.2,4.4,4.6,4.7,4.8,4.9,5},{0,10,20,30,40,50,60,62,64,66,68,70,72,74,76,78,80,85,90,95,100})</f>
        <v>100</v>
      </c>
      <c r="P71" s="4">
        <v>3.28</v>
      </c>
      <c r="Q71" s="4">
        <f t="shared" si="10"/>
        <v>6.72</v>
      </c>
      <c r="R71" s="32">
        <f>LOOKUP(Q71,{0,3.8,4,4.6,4.8,5,5.6,5.65,5.7,5.75,5.8,5.85,5.9,5.95,6,6.45,6.5,6.58,6.65,6.7,6.75},{0,10,20,30,40,50,60,62,64,66,68,70,72,74,76,78,80,85,90,95,100})</f>
        <v>95</v>
      </c>
      <c r="S71" s="4"/>
      <c r="T71" s="4"/>
      <c r="U71" s="4">
        <f t="shared" si="11"/>
        <v>95</v>
      </c>
      <c r="V71" s="4"/>
      <c r="W71" s="5">
        <f t="shared" si="12"/>
        <v>63</v>
      </c>
      <c r="X71" s="20">
        <f t="shared" si="13"/>
        <v>90</v>
      </c>
    </row>
    <row r="72" ht="15.6" hidden="1" spans="1:24">
      <c r="A72" s="4">
        <v>214</v>
      </c>
      <c r="B72" s="33" t="s">
        <v>727</v>
      </c>
      <c r="C72" s="25" t="s">
        <v>11</v>
      </c>
      <c r="D72" s="4">
        <v>9.7</v>
      </c>
      <c r="E72" s="32">
        <f>LOOKUP(D72,{0,-2.9,-1.9,-0.9,0.1,1.1,2.1,3.5,4.9,6.3,7.7,9.1,10.5,11.9,13.3,14.7,16.1,18.3,20.5,22.4,24.3},{0,10,20,30,40,50,60,62,64,66,68,70,72,74,76,78,80,85,90,95,100})</f>
        <v>70</v>
      </c>
      <c r="F72" s="4">
        <v>226</v>
      </c>
      <c r="G72" s="32">
        <f>LOOKUP(F72,{0,175,180,185,190,195,200,204,208,212,216,220,224,228,232,236,240,248,255,260,265},{0,10,20,30,40,50,60,62,64,66,68,70,72,74,76,78,80,85,90,95,100})</f>
        <v>72</v>
      </c>
      <c r="H72" s="4">
        <v>4</v>
      </c>
      <c r="I72" s="32">
        <f>LOOKUP(H72,{0,3,4,5,6,7,8,9,10,11,12,13,14,15,16,17},{0,10,20,30,40,50,60,64,68,72,76,80,85,90,95,100})</f>
        <v>20</v>
      </c>
      <c r="K72" s="35"/>
      <c r="L72" s="4">
        <f t="shared" si="9"/>
        <v>20</v>
      </c>
      <c r="M72" s="4">
        <v>7</v>
      </c>
      <c r="N72" s="4">
        <f t="shared" si="8"/>
        <v>5</v>
      </c>
      <c r="O72" s="32">
        <f>LOOKUP(N72,{0,1.6,1.8,2,2.2,2.4,2.6,2.8,3,3.2,3.4,3.6,3.8,4,4.2,4.4,4.6,4.7,4.8,4.9,5},{0,10,20,30,40,50,60,62,64,66,68,70,72,74,76,78,80,85,90,95,100})</f>
        <v>100</v>
      </c>
      <c r="P72" s="4">
        <v>3.28</v>
      </c>
      <c r="Q72" s="4">
        <f t="shared" si="10"/>
        <v>6.72</v>
      </c>
      <c r="R72" s="32">
        <f>LOOKUP(Q72,{0,3.8,4,4.6,4.8,5,5.6,5.65,5.7,5.75,5.8,5.85,5.9,5.95,6,6.45,6.5,6.58,6.65,6.7,6.75},{0,10,20,30,40,50,60,62,64,66,68,70,72,74,76,78,80,85,90,95,100})</f>
        <v>95</v>
      </c>
      <c r="U72" s="4">
        <f t="shared" si="11"/>
        <v>95</v>
      </c>
      <c r="W72" s="5">
        <f t="shared" si="12"/>
        <v>55.2</v>
      </c>
      <c r="X72" s="20">
        <f t="shared" si="13"/>
        <v>78.8571428571429</v>
      </c>
    </row>
    <row r="73" ht="15.6" hidden="1" spans="1:24">
      <c r="A73" s="4">
        <v>202</v>
      </c>
      <c r="B73" s="24" t="s">
        <v>90</v>
      </c>
      <c r="C73" s="25" t="s">
        <v>11</v>
      </c>
      <c r="D73" s="4">
        <v>11</v>
      </c>
      <c r="E73" s="32">
        <f>LOOKUP(D73,{0,-2.9,-1.9,-0.9,0.1,1.1,2.1,3.5,4.9,6.3,7.7,9.1,10.5,11.9,13.3,14.7,16.1,18.3,20.5,22.4,24.3},{0,10,20,30,40,50,60,62,64,66,68,70,72,74,76,78,80,85,90,95,100})</f>
        <v>72</v>
      </c>
      <c r="F73" s="4">
        <v>228</v>
      </c>
      <c r="G73" s="32">
        <f>LOOKUP(F73,{0,175,180,185,190,195,200,204,208,212,216,220,224,228,232,236,240,248,255,260,265},{0,10,20,30,40,50,60,62,64,66,68,70,72,74,76,78,80,85,90,95,100})</f>
        <v>74</v>
      </c>
      <c r="H73" s="4">
        <v>0</v>
      </c>
      <c r="I73" s="32">
        <f>LOOKUP(H73,{0,3,4,5,6,7,8,9,10,11,12,13,14,15,16,17},{0,10,20,30,40,50,60,64,68,72,76,80,85,90,95,100})</f>
        <v>0</v>
      </c>
      <c r="K73" s="35"/>
      <c r="L73" s="4">
        <f t="shared" si="9"/>
        <v>0</v>
      </c>
      <c r="M73" s="4">
        <v>7</v>
      </c>
      <c r="N73" s="4">
        <f t="shared" si="8"/>
        <v>5</v>
      </c>
      <c r="O73" s="32">
        <f>LOOKUP(N73,{0,1.6,1.8,2,2.2,2.4,2.6,2.8,3,3.2,3.4,3.6,3.8,4,4.2,4.4,4.6,4.7,4.8,4.9,5},{0,10,20,30,40,50,60,62,64,66,68,70,72,74,76,78,80,85,90,95,100})</f>
        <v>100</v>
      </c>
      <c r="P73" s="4">
        <v>3.28</v>
      </c>
      <c r="Q73" s="4">
        <f t="shared" si="10"/>
        <v>6.72</v>
      </c>
      <c r="R73" s="32">
        <f>LOOKUP(Q73,{0,3.8,4,4.6,4.8,5,5.6,5.65,5.7,5.75,5.8,5.85,5.9,5.95,6,6.45,6.5,6.58,6.65,6.7,6.75},{0,10,20,30,40,50,60,62,64,66,68,70,72,74,76,78,80,85,90,95,100})</f>
        <v>95</v>
      </c>
      <c r="U73" s="4">
        <f t="shared" si="11"/>
        <v>95</v>
      </c>
      <c r="W73" s="5">
        <f t="shared" si="12"/>
        <v>53.6</v>
      </c>
      <c r="X73" s="20">
        <f t="shared" si="13"/>
        <v>76.5714285714286</v>
      </c>
    </row>
    <row r="74" ht="15.6" spans="1:24">
      <c r="A74" s="4">
        <v>211</v>
      </c>
      <c r="B74" s="24" t="s">
        <v>571</v>
      </c>
      <c r="C74" s="25" t="s">
        <v>11</v>
      </c>
      <c r="D74" s="4">
        <v>23</v>
      </c>
      <c r="E74" s="32">
        <f>LOOKUP(D74,{0,-2.9,-1.9,-0.9,0.1,1.1,2.1,3.5,4.9,6.3,7.7,9.1,10.5,11.9,13.3,14.7,16.1,18.3,20.5,22.4,24.3},{0,10,20,30,40,50,60,62,64,66,68,70,72,74,76,78,80,85,90,95,100})</f>
        <v>95</v>
      </c>
      <c r="F74" s="4">
        <v>265</v>
      </c>
      <c r="G74" s="32">
        <f>LOOKUP(F74,{0,175,180,185,190,195,200,204,208,212,216,220,224,228,232,236,240,248,255,260,265},{0,10,20,30,40,50,60,62,64,66,68,70,72,74,76,78,80,85,90,95,100})</f>
        <v>100</v>
      </c>
      <c r="H74" s="4">
        <v>9</v>
      </c>
      <c r="I74" s="32">
        <f>LOOKUP(H74,{0,3,4,5,6,7,8,9,10,11,12,13,14,15,16,17},{0,10,20,30,40,50,60,64,68,72,76,80,85,90,95,100})</f>
        <v>64</v>
      </c>
      <c r="L74" s="4">
        <f t="shared" si="9"/>
        <v>64</v>
      </c>
      <c r="M74" s="4">
        <v>7.1</v>
      </c>
      <c r="N74" s="4">
        <f t="shared" si="8"/>
        <v>4.9</v>
      </c>
      <c r="O74" s="32">
        <f>LOOKUP(N74,{0,1.6,1.8,2,2.2,2.4,2.6,2.8,3,3.2,3.4,3.6,3.8,4,4.2,4.4,4.6,4.7,4.8,4.9,5},{0,10,20,30,40,50,60,62,64,66,68,70,72,74,76,78,80,85,90,95,100})</f>
        <v>95</v>
      </c>
      <c r="P74" s="4">
        <v>3.28</v>
      </c>
      <c r="Q74" s="4">
        <f t="shared" si="10"/>
        <v>6.72</v>
      </c>
      <c r="R74" s="32">
        <f>LOOKUP(Q74,{0,3.8,4,4.6,4.8,5,5.6,5.65,5.7,5.75,5.8,5.85,5.9,5.95,6,6.45,6.5,6.58,6.65,6.7,6.75},{0,10,20,30,40,50,60,62,64,66,68,70,72,74,76,78,80,85,90,95,100})</f>
        <v>95</v>
      </c>
      <c r="U74" s="4">
        <f t="shared" si="11"/>
        <v>95</v>
      </c>
      <c r="W74" s="5">
        <f t="shared" si="12"/>
        <v>63.9</v>
      </c>
      <c r="X74" s="20">
        <f t="shared" si="13"/>
        <v>91.2857142857143</v>
      </c>
    </row>
    <row r="75" ht="15.6" hidden="1" spans="1:24">
      <c r="A75" s="4">
        <v>212</v>
      </c>
      <c r="B75" s="24" t="s">
        <v>614</v>
      </c>
      <c r="C75" s="25" t="s">
        <v>11</v>
      </c>
      <c r="D75" s="4">
        <v>13</v>
      </c>
      <c r="E75" s="32">
        <f>LOOKUP(D75,{0,-2.9,-1.9,-0.9,0.1,1.1,2.1,3.5,4.9,6.3,7.7,9.1,10.5,11.9,13.3,14.7,16.1,18.3,20.5,22.4,24.3},{0,10,20,30,40,50,60,62,64,66,68,70,72,74,76,78,80,85,90,95,100})</f>
        <v>74</v>
      </c>
      <c r="F75" s="4">
        <v>239</v>
      </c>
      <c r="G75" s="32">
        <f>LOOKUP(F75,{0,175,180,185,190,195,200,204,208,212,216,220,224,228,232,236,240,248,255,260,265},{0,10,20,30,40,50,60,62,64,66,68,70,72,74,76,78,80,85,90,95,100})</f>
        <v>78</v>
      </c>
      <c r="H75" s="4">
        <v>1</v>
      </c>
      <c r="I75" s="32">
        <f>LOOKUP(H75,{0,3,4,5,6,7,8,9,10,11,12,13,14,15,16,17},{0,10,20,30,40,50,60,64,68,72,76,80,85,90,95,100})</f>
        <v>0</v>
      </c>
      <c r="L75" s="4">
        <f t="shared" si="9"/>
        <v>0</v>
      </c>
      <c r="M75" s="4">
        <v>7.1</v>
      </c>
      <c r="N75" s="4">
        <f t="shared" si="8"/>
        <v>4.9</v>
      </c>
      <c r="O75" s="32">
        <f>LOOKUP(N75,{0,1.6,1.8,2,2.2,2.4,2.6,2.8,3,3.2,3.4,3.6,3.8,4,4.2,4.4,4.6,4.7,4.8,4.9,5},{0,10,20,30,40,50,60,62,64,66,68,70,72,74,76,78,80,85,90,95,100})</f>
        <v>95</v>
      </c>
      <c r="P75" s="4">
        <v>3.28</v>
      </c>
      <c r="Q75" s="4">
        <f t="shared" si="10"/>
        <v>6.72</v>
      </c>
      <c r="R75" s="32">
        <f>LOOKUP(Q75,{0,3.8,4,4.6,4.8,5,5.6,5.65,5.7,5.75,5.8,5.85,5.9,5.95,6,6.45,6.5,6.58,6.65,6.7,6.75},{0,10,20,30,40,50,60,62,64,66,68,70,72,74,76,78,80,85,90,95,100})</f>
        <v>95</v>
      </c>
      <c r="U75" s="4">
        <f t="shared" si="11"/>
        <v>95</v>
      </c>
      <c r="W75" s="5">
        <f t="shared" si="12"/>
        <v>53.2</v>
      </c>
      <c r="X75" s="20">
        <f t="shared" si="13"/>
        <v>76</v>
      </c>
    </row>
    <row r="76" ht="15.6" spans="1:24">
      <c r="A76" s="4">
        <v>211</v>
      </c>
      <c r="B76" s="24" t="s">
        <v>566</v>
      </c>
      <c r="C76" s="25" t="s">
        <v>11</v>
      </c>
      <c r="D76" s="4">
        <v>19</v>
      </c>
      <c r="E76" s="32">
        <f>LOOKUP(D76,{0,-2.9,-1.9,-0.9,0.1,1.1,2.1,3.5,4.9,6.3,7.7,9.1,10.5,11.9,13.3,14.7,16.1,18.3,20.5,22.4,24.3},{0,10,20,30,40,50,60,62,64,66,68,70,72,74,76,78,80,85,90,95,100})</f>
        <v>85</v>
      </c>
      <c r="F76" s="4">
        <v>236</v>
      </c>
      <c r="G76" s="32">
        <f>LOOKUP(F76,{0,175,180,185,190,195,200,204,208,212,216,220,224,228,232,236,240,248,255,260,265},{0,10,20,30,40,50,60,62,64,66,68,70,72,74,76,78,80,85,90,95,100})</f>
        <v>78</v>
      </c>
      <c r="H76" s="4">
        <v>8</v>
      </c>
      <c r="I76" s="32">
        <f>LOOKUP(H76,{0,3,4,5,6,7,8,9,10,11,12,13,14,15,16,17},{0,10,20,30,40,50,60,64,68,72,76,80,85,90,95,100})</f>
        <v>60</v>
      </c>
      <c r="L76" s="4">
        <f t="shared" si="9"/>
        <v>60</v>
      </c>
      <c r="M76" s="4">
        <v>7.2</v>
      </c>
      <c r="N76" s="4">
        <f t="shared" si="8"/>
        <v>4.8</v>
      </c>
      <c r="O76" s="32">
        <f>LOOKUP(N76,{0,1.6,1.8,2,2.2,2.4,2.6,2.8,3,3.2,3.4,3.6,3.8,4,4.2,4.4,4.6,4.7,4.8,4.9,5},{0,10,20,30,40,50,60,62,64,66,68,70,72,74,76,78,80,85,90,95,100})</f>
        <v>90</v>
      </c>
      <c r="P76" s="4">
        <v>3.28</v>
      </c>
      <c r="Q76" s="4">
        <f t="shared" si="10"/>
        <v>6.72</v>
      </c>
      <c r="R76" s="32">
        <f>LOOKUP(Q76,{0,3.8,4,4.6,4.8,5,5.6,5.65,5.7,5.75,5.8,5.85,5.9,5.95,6,6.45,6.5,6.58,6.65,6.7,6.75},{0,10,20,30,40,50,60,62,64,66,68,70,72,74,76,78,80,85,90,95,100})</f>
        <v>95</v>
      </c>
      <c r="U76" s="4">
        <f t="shared" si="11"/>
        <v>95</v>
      </c>
      <c r="W76" s="5">
        <f t="shared" si="12"/>
        <v>59.3</v>
      </c>
      <c r="X76" s="20">
        <f t="shared" si="13"/>
        <v>84.7142857142857</v>
      </c>
    </row>
    <row r="77" ht="15.6" hidden="1" spans="1:24">
      <c r="A77" s="4">
        <v>203</v>
      </c>
      <c r="B77" s="24" t="s">
        <v>117</v>
      </c>
      <c r="C77" s="25" t="s">
        <v>11</v>
      </c>
      <c r="D77" s="4">
        <v>19.5</v>
      </c>
      <c r="E77" s="32">
        <f>LOOKUP(D77,{0,-2.9,-1.9,-0.9,0.1,1.1,2.1,3.5,4.9,6.3,7.7,9.1,10.5,11.9,13.3,14.7,16.1,18.3,20.5,22.4,24.3},{0,10,20,30,40,50,60,62,64,66,68,70,72,74,76,78,80,85,90,95,100})</f>
        <v>85</v>
      </c>
      <c r="F77" s="4">
        <v>230</v>
      </c>
      <c r="G77" s="32">
        <f>LOOKUP(F77,{0,175,180,185,190,195,200,204,208,212,216,220,224,228,232,236,240,248,255,260,265},{0,10,20,30,40,50,60,62,64,66,68,70,72,74,76,78,80,85,90,95,100})</f>
        <v>74</v>
      </c>
      <c r="H77" s="4">
        <v>6</v>
      </c>
      <c r="I77" s="32">
        <f>LOOKUP(H77,{0,3,4,5,6,7,8,9,10,11,12,13,14,15,16,17},{0,10,20,30,40,50,60,64,68,72,76,80,85,90,95,100})</f>
        <v>40</v>
      </c>
      <c r="L77" s="4">
        <f t="shared" si="9"/>
        <v>40</v>
      </c>
      <c r="M77" s="4">
        <v>7.6</v>
      </c>
      <c r="N77" s="4">
        <f t="shared" si="8"/>
        <v>4.4</v>
      </c>
      <c r="O77" s="32">
        <f>LOOKUP(N77,{0,1.6,1.8,2,2.2,2.4,2.6,2.8,3,3.2,3.4,3.6,3.8,4,4.2,4.4,4.6,4.7,4.8,4.9,5},{0,10,20,30,40,50,60,62,64,66,68,70,72,74,76,78,80,85,90,95,100})</f>
        <v>78</v>
      </c>
      <c r="P77" s="4">
        <v>3.28</v>
      </c>
      <c r="Q77" s="4">
        <f t="shared" si="10"/>
        <v>6.72</v>
      </c>
      <c r="R77" s="32">
        <f>LOOKUP(Q77,{0,3.8,4,4.6,4.8,5,5.6,5.65,5.7,5.75,5.8,5.85,5.9,5.95,6,6.45,6.5,6.58,6.65,6.7,6.75},{0,10,20,30,40,50,60,62,64,66,68,70,72,74,76,78,80,85,90,95,100})</f>
        <v>95</v>
      </c>
      <c r="U77" s="4">
        <f t="shared" si="11"/>
        <v>95</v>
      </c>
      <c r="W77" s="5">
        <f t="shared" si="12"/>
        <v>54.5</v>
      </c>
      <c r="X77" s="20">
        <f t="shared" si="13"/>
        <v>77.8571428571429</v>
      </c>
    </row>
    <row r="78" ht="15.6" hidden="1" spans="1:24">
      <c r="A78" s="4">
        <v>206</v>
      </c>
      <c r="B78" s="24" t="s">
        <v>303</v>
      </c>
      <c r="C78" s="25" t="s">
        <v>11</v>
      </c>
      <c r="D78" s="4">
        <v>11</v>
      </c>
      <c r="E78" s="32">
        <f>LOOKUP(D78,{0,-2.9,-1.9,-0.9,0.1,1.1,2.1,3.5,4.9,6.3,7.7,9.1,10.5,11.9,13.3,14.7,16.1,18.3,20.5,22.4,24.3},{0,10,20,30,40,50,60,62,64,66,68,70,72,74,76,78,80,85,90,95,100})</f>
        <v>72</v>
      </c>
      <c r="F78" s="4">
        <v>235</v>
      </c>
      <c r="G78" s="32">
        <f>LOOKUP(F78,{0,175,180,185,190,195,200,204,208,212,216,220,224,228,232,236,240,248,255,260,265},{0,10,20,30,40,50,60,62,64,66,68,70,72,74,76,78,80,85,90,95,100})</f>
        <v>76</v>
      </c>
      <c r="H78" s="4">
        <v>17</v>
      </c>
      <c r="I78" s="32">
        <f>LOOKUP(H78,{0,3,4,5,6,7,8,9,10,11,12,13,14,15,16,17},{0,10,20,30,40,50,60,64,68,72,76,80,85,90,95,100})</f>
        <v>100</v>
      </c>
      <c r="J78" s="4">
        <f>H78-17</f>
        <v>0</v>
      </c>
      <c r="K78" s="32">
        <f>LOOKUP(J78,{0,1,2,3,4,5,6,7,8,9,10},{0,1,2,3,4,5,6,7,8,9,10})</f>
        <v>0</v>
      </c>
      <c r="L78" s="4">
        <f t="shared" si="9"/>
        <v>100</v>
      </c>
      <c r="M78" s="4">
        <v>6.5</v>
      </c>
      <c r="N78" s="4">
        <f t="shared" si="8"/>
        <v>5.5</v>
      </c>
      <c r="O78" s="32">
        <f>LOOKUP(N78,{0,1.6,1.8,2,2.2,2.4,2.6,2.8,3,3.2,3.4,3.6,3.8,4,4.2,4.4,4.6,4.7,4.8,4.9,5},{0,10,20,30,40,50,60,62,64,66,68,70,72,74,76,78,80,85,90,95,100})</f>
        <v>100</v>
      </c>
      <c r="P78" s="4">
        <v>3.29</v>
      </c>
      <c r="Q78" s="4">
        <f t="shared" si="10"/>
        <v>6.71</v>
      </c>
      <c r="R78" s="32">
        <f>LOOKUP(Q78,{0,3.8,4,4.6,4.8,5,5.6,5.65,5.7,5.75,5.8,5.85,5.9,5.95,6,6.45,6.5,6.58,6.65,6.7,6.75},{0,10,20,30,40,50,60,62,64,66,68,70,72,74,76,78,80,85,90,95,100})</f>
        <v>95</v>
      </c>
      <c r="U78" s="4">
        <f t="shared" si="11"/>
        <v>95</v>
      </c>
      <c r="W78" s="5">
        <f t="shared" si="12"/>
        <v>63.8</v>
      </c>
      <c r="X78" s="20">
        <f t="shared" si="13"/>
        <v>91.1428571428571</v>
      </c>
    </row>
    <row r="79" ht="15.6" hidden="1" spans="1:24">
      <c r="A79" s="4">
        <v>210</v>
      </c>
      <c r="B79" s="24" t="s">
        <v>530</v>
      </c>
      <c r="C79" s="25" t="s">
        <v>11</v>
      </c>
      <c r="D79" s="4">
        <v>15.3</v>
      </c>
      <c r="E79" s="32">
        <f>LOOKUP(D79,{0,-2.9,-1.9,-0.9,0.1,1.1,2.1,3.5,4.9,6.3,7.7,9.1,10.5,11.9,13.3,14.7,16.1,18.3,20.5,22.4,24.3},{0,10,20,30,40,50,60,62,64,66,68,70,72,74,76,78,80,85,90,95,100})</f>
        <v>78</v>
      </c>
      <c r="F79" s="4">
        <v>274</v>
      </c>
      <c r="G79" s="32">
        <f>LOOKUP(F79,{0,175,180,185,190,195,200,204,208,212,216,220,224,228,232,236,240,248,255,260,265},{0,10,20,30,40,50,60,62,64,66,68,70,72,74,76,78,80,85,90,95,100})</f>
        <v>100</v>
      </c>
      <c r="H79" s="4">
        <v>12</v>
      </c>
      <c r="I79" s="32">
        <f>LOOKUP(H79,{0,3,4,5,6,7,8,9,10,11,12,13,14,15,16,17},{0,10,20,30,40,50,60,64,68,72,76,80,85,90,95,100})</f>
        <v>76</v>
      </c>
      <c r="K79" s="35"/>
      <c r="L79" s="4">
        <f t="shared" si="9"/>
        <v>76</v>
      </c>
      <c r="M79" s="4">
        <v>6.8</v>
      </c>
      <c r="N79" s="4">
        <f t="shared" si="8"/>
        <v>5.2</v>
      </c>
      <c r="O79" s="32">
        <f>LOOKUP(N79,{0,1.6,1.8,2,2.2,2.4,2.6,2.8,3,3.2,3.4,3.6,3.8,4,4.2,4.4,4.6,4.7,4.8,4.9,5},{0,10,20,30,40,50,60,62,64,66,68,70,72,74,76,78,80,85,90,95,100})</f>
        <v>100</v>
      </c>
      <c r="P79" s="4">
        <v>3.29</v>
      </c>
      <c r="Q79" s="4">
        <f t="shared" si="10"/>
        <v>6.71</v>
      </c>
      <c r="R79" s="32">
        <f>LOOKUP(Q79,{0,3.8,4,4.6,4.8,5,5.6,5.65,5.7,5.75,5.8,5.85,5.9,5.95,6,6.45,6.5,6.58,6.65,6.7,6.75},{0,10,20,30,40,50,60,62,64,66,68,70,72,74,76,78,80,85,90,95,100})</f>
        <v>95</v>
      </c>
      <c r="U79" s="4">
        <f t="shared" si="11"/>
        <v>95</v>
      </c>
      <c r="W79" s="5">
        <f t="shared" si="12"/>
        <v>64.4</v>
      </c>
      <c r="X79" s="20">
        <f t="shared" si="13"/>
        <v>92</v>
      </c>
    </row>
    <row r="80" ht="15.6" hidden="1" spans="1:24">
      <c r="A80" s="4">
        <v>210</v>
      </c>
      <c r="B80" s="24" t="s">
        <v>544</v>
      </c>
      <c r="C80" s="25" t="s">
        <v>53</v>
      </c>
      <c r="D80" s="4">
        <v>19</v>
      </c>
      <c r="E80" s="32">
        <f>LOOKUP(D80,{0,1,1.8,2.6,3.4,4.2,5,6.3,7.6,8.9,10.2,11.5,12.8,14.1,15.4,16.7,18,19.7,21.4,23.1,24.8},{0,10,20,30,40,50,60,62,64,66,68,70,72,74,76,78,80,85,90,95,100})</f>
        <v>80</v>
      </c>
      <c r="F80" s="4">
        <v>191</v>
      </c>
      <c r="G80" s="32">
        <f>LOOKUP(F80,{0,124,129,134,139,144,149,152,155,158,161,164,167,170,173,176,179,186,193,199,205},{0,10,20,30,40,50,60,62,64,66,68,70,72,74,76,78,80,85,90,95,100})</f>
        <v>85</v>
      </c>
      <c r="H80" s="4">
        <v>58</v>
      </c>
      <c r="I80" s="32">
        <f>LOOKUP(H80,{0,14,16,18,20,22,24,26,28,30,32,34,36,38,40,42,44,47,50,52,54},{0,10,20,30,40,50,60,62,64,66,68,70,72,74,76,78,80,85,90,95,100})</f>
        <v>100</v>
      </c>
      <c r="J80" s="4">
        <f>H80-54</f>
        <v>4</v>
      </c>
      <c r="K80" s="34">
        <f>LOOKUP(J80,{0,2,4,6,7,8,9,10,11,12,13},{0,1,2,3,4,5,6,7,8,9,10})</f>
        <v>2</v>
      </c>
      <c r="L80" s="4">
        <f t="shared" si="9"/>
        <v>102</v>
      </c>
      <c r="M80" s="4">
        <v>7.9</v>
      </c>
      <c r="N80" s="4">
        <f t="shared" si="8"/>
        <v>4.1</v>
      </c>
      <c r="O80" s="32">
        <f>LOOKUP(N80,{0,0.5,0.7,0.9,1.1,1.3,1.5,1.7,1.9,2.1,2.3,2.5,2.7,2.9,3.1,3.3,3.5,3.8,4.1,4.2,4.3},{0,10,20,30,40,50,60,62,64,66,68,70,72,74,76,78,80,85,90,95,100})</f>
        <v>90</v>
      </c>
      <c r="P80" s="4">
        <v>3.12</v>
      </c>
      <c r="Q80" s="4">
        <f t="shared" si="10"/>
        <v>6.88</v>
      </c>
      <c r="R80" s="32">
        <f>LOOKUP(Q80,{0,4.72,4.82,4.92,5.42,5.52,5.62,5.67,5.72,5.77,5.82,5.87,5.92,5.97,6.42,6.47,6.52,6.59,6.66,6.72,6.78},{0,10,20,30,40,50,60,62,64,66,68,70,72,74,76,78,80,85,90,95,100})</f>
        <v>100</v>
      </c>
      <c r="S80" s="39">
        <f>3.22-P80</f>
        <v>0.1</v>
      </c>
      <c r="T80" s="32">
        <f>LOOKUP(S80,{0,0.05,0.1,0.15,0.2,0.25,0.3,0.35,0.4,0.45,0.5},{0,1,2,3,4,5,6,7,8,9,10})</f>
        <v>2</v>
      </c>
      <c r="U80" s="4">
        <f t="shared" si="11"/>
        <v>102</v>
      </c>
      <c r="W80" s="5">
        <f t="shared" si="12"/>
        <v>64.5</v>
      </c>
      <c r="X80" s="20">
        <f t="shared" si="13"/>
        <v>96.1428571428572</v>
      </c>
    </row>
    <row r="81" ht="15.6" hidden="1" spans="1:24">
      <c r="A81" s="4">
        <v>213</v>
      </c>
      <c r="B81" s="24" t="s">
        <v>697</v>
      </c>
      <c r="C81" s="25" t="s">
        <v>53</v>
      </c>
      <c r="D81" s="4">
        <v>23.2</v>
      </c>
      <c r="E81" s="32">
        <f>LOOKUP(D81,{0,1,1.8,2.6,3.4,4.2,5,6.3,7.6,8.9,10.2,11.5,12.8,14.1,15.4,16.7,18,19.7,21.4,23.1,24.8},{0,10,20,30,40,50,60,62,64,66,68,70,72,74,76,78,80,85,90,95,100})</f>
        <v>95</v>
      </c>
      <c r="F81" s="4">
        <v>180</v>
      </c>
      <c r="G81" s="32">
        <f>LOOKUP(F81,{0,124,129,134,139,144,149,152,155,158,161,164,167,170,173,176,179,186,193,199,205},{0,10,20,30,40,50,60,62,64,66,68,70,72,74,76,78,80,85,90,95,100})</f>
        <v>80</v>
      </c>
      <c r="H81" s="4">
        <v>51</v>
      </c>
      <c r="I81" s="32">
        <f>LOOKUP(H81,{0,14,16,18,20,22,24,26,28,30,32,34,36,38,40,42,44,47,50,52,54},{0,10,20,30,40,50,60,62,64,66,68,70,72,74,76,78,80,85,90,95,100})</f>
        <v>90</v>
      </c>
      <c r="L81" s="4">
        <f t="shared" si="9"/>
        <v>90</v>
      </c>
      <c r="M81" s="4">
        <v>7.6</v>
      </c>
      <c r="N81" s="4">
        <f t="shared" si="8"/>
        <v>4.4</v>
      </c>
      <c r="O81" s="32">
        <f>LOOKUP(N81,{0,0.5,0.7,0.9,1.1,1.3,1.5,1.7,1.9,2.1,2.3,2.5,2.7,2.9,3.1,3.3,3.5,3.8,4.1,4.2,4.3},{0,10,20,30,40,50,60,62,64,66,68,70,72,74,76,78,80,85,90,95,100})</f>
        <v>100</v>
      </c>
      <c r="P81" s="4">
        <v>3.13</v>
      </c>
      <c r="Q81" s="4">
        <f t="shared" si="10"/>
        <v>6.87</v>
      </c>
      <c r="R81" s="32">
        <f>LOOKUP(Q81,{0,4.72,4.82,4.92,5.42,5.52,5.62,5.67,5.72,5.77,5.82,5.87,5.92,5.97,6.42,6.47,6.52,6.59,6.66,6.72,6.78},{0,10,20,30,40,50,60,62,64,66,68,70,72,74,76,78,80,85,90,95,100})</f>
        <v>100</v>
      </c>
      <c r="S81" s="39">
        <f>3.22-P81</f>
        <v>0.0900000000000003</v>
      </c>
      <c r="T81" s="32">
        <f>LOOKUP(S81,{0,0.05,0.1,0.15,0.2,0.25,0.3,0.35,0.4,0.45,0.5},{0,1,2,3,4,5,6,7,8,9,10})</f>
        <v>1</v>
      </c>
      <c r="U81" s="4">
        <f t="shared" si="11"/>
        <v>101</v>
      </c>
      <c r="W81" s="5">
        <f t="shared" si="12"/>
        <v>66.5</v>
      </c>
      <c r="X81" s="20">
        <f t="shared" si="13"/>
        <v>96</v>
      </c>
    </row>
    <row r="82" customFormat="1" ht="15.6" hidden="1" spans="1:24">
      <c r="A82" s="4">
        <v>214</v>
      </c>
      <c r="B82" s="24" t="s">
        <v>774</v>
      </c>
      <c r="C82" s="25" t="s">
        <v>53</v>
      </c>
      <c r="D82" s="4">
        <v>18.5</v>
      </c>
      <c r="E82" s="32">
        <f>LOOKUP(D82,{0,1,1.8,2.6,3.4,4.2,5,6.3,7.6,8.9,10.2,11.5,12.8,14.1,15.4,16.7,18,19.7,21.4,23.1,24.8},{0,10,20,30,40,50,60,62,64,66,68,70,72,74,76,78,80,85,90,95,100})</f>
        <v>80</v>
      </c>
      <c r="F82" s="4">
        <v>206</v>
      </c>
      <c r="G82" s="32">
        <f>LOOKUP(F82,{0,124,129,134,139,144,149,152,155,158,161,164,167,170,173,176,179,186,193,199,205},{0,10,20,30,40,50,60,62,64,66,68,70,72,74,76,78,80,85,90,95,100})</f>
        <v>100</v>
      </c>
      <c r="H82" s="4">
        <v>50</v>
      </c>
      <c r="I82" s="32">
        <f>LOOKUP(H82,{0,14,16,18,20,22,24,26,28,30,32,34,36,38,40,42,44,47,50,52,54},{0,10,20,30,40,50,60,62,64,66,68,70,72,74,76,78,80,85,90,95,100})</f>
        <v>90</v>
      </c>
      <c r="J82" s="4"/>
      <c r="K82" s="4"/>
      <c r="L82" s="4">
        <f t="shared" si="9"/>
        <v>90</v>
      </c>
      <c r="M82" s="4">
        <v>7.7</v>
      </c>
      <c r="N82" s="4">
        <f t="shared" si="8"/>
        <v>4.3</v>
      </c>
      <c r="O82" s="32">
        <f>LOOKUP(N82,{0,0.5,0.7,0.9,1.1,1.3,1.5,1.7,1.9,2.1,2.3,2.5,2.7,2.9,3.1,3.3,3.5,3.8,4.1,4.2,4.3},{0,10,20,30,40,50,60,62,64,66,68,70,72,74,76,78,80,85,90,95,100})</f>
        <v>100</v>
      </c>
      <c r="P82" s="4">
        <v>3.2</v>
      </c>
      <c r="Q82" s="4">
        <f t="shared" si="10"/>
        <v>6.8</v>
      </c>
      <c r="R82" s="32">
        <f>LOOKUP(Q82,{0,4.72,4.82,4.92,5.42,5.52,5.62,5.67,5.72,5.77,5.82,5.87,5.92,5.97,6.42,6.47,6.52,6.59,6.66,6.72,6.78},{0,10,20,30,40,50,60,62,64,66,68,70,72,74,76,78,80,85,90,95,100})</f>
        <v>100</v>
      </c>
      <c r="S82" s="39">
        <f>3.22-P82</f>
        <v>0.02</v>
      </c>
      <c r="T82" s="32">
        <f>LOOKUP(S82,{0,0.05,0.1,0.15,0.2,0.25,0.3,0.35,0.4,0.45,0.5},{0,1,2,3,4,5,6,7,8,9,10})</f>
        <v>0</v>
      </c>
      <c r="U82" s="4">
        <f t="shared" si="11"/>
        <v>100</v>
      </c>
      <c r="V82" s="4"/>
      <c r="W82" s="5">
        <f t="shared" si="12"/>
        <v>67</v>
      </c>
      <c r="X82" s="20">
        <f t="shared" si="13"/>
        <v>95.7142857142857</v>
      </c>
    </row>
    <row r="83" customFormat="1" ht="15.6" hidden="1" spans="1:24">
      <c r="A83" s="4">
        <v>204</v>
      </c>
      <c r="B83" s="24" t="s">
        <v>203</v>
      </c>
      <c r="C83" s="25" t="s">
        <v>53</v>
      </c>
      <c r="D83" s="4">
        <v>27.7</v>
      </c>
      <c r="E83" s="32">
        <f>LOOKUP(D83,{0,1,1.8,2.6,3.4,4.2,5,6.3,7.6,8.9,10.2,11.5,12.8,14.1,15.4,16.7,18,19.7,21.4,23.1,24.8},{0,10,20,30,40,50,60,62,64,66,68,70,72,74,76,78,80,85,90,95,100})</f>
        <v>100</v>
      </c>
      <c r="F83" s="4">
        <v>215</v>
      </c>
      <c r="G83" s="32">
        <f>LOOKUP(F83,{0,124,129,134,139,144,149,152,155,158,161,164,167,170,173,176,179,186,193,199,205},{0,10,20,30,40,50,60,62,64,66,68,70,72,74,76,78,80,85,90,95,100})</f>
        <v>100</v>
      </c>
      <c r="H83" s="4">
        <v>55</v>
      </c>
      <c r="I83" s="32">
        <f>LOOKUP(H83,{0,14,16,18,20,22,24,26,28,30,32,34,36,38,40,42,44,47,50,52,54},{0,10,20,30,40,50,60,62,64,66,68,70,72,74,76,78,80,85,90,95,100})</f>
        <v>100</v>
      </c>
      <c r="J83" s="4">
        <f>H83-54</f>
        <v>1</v>
      </c>
      <c r="K83" s="32">
        <f>LOOKUP(J83,{0,2,4,6,7,8,9,10,11,12,13},{0,1,2,3,4,5,6,7,8,9,10})</f>
        <v>0</v>
      </c>
      <c r="L83" s="4">
        <f t="shared" si="9"/>
        <v>100</v>
      </c>
      <c r="M83" s="4">
        <v>7.8</v>
      </c>
      <c r="N83" s="4">
        <f t="shared" si="8"/>
        <v>4.2</v>
      </c>
      <c r="O83" s="32">
        <f>LOOKUP(N83,{0,0.5,0.7,0.9,1.1,1.3,1.5,1.7,1.9,2.1,2.3,2.5,2.7,2.9,3.1,3.3,3.5,3.8,4.1,4.2,4.3},{0,10,20,30,40,50,60,62,64,66,68,70,72,74,76,78,80,85,90,95,100})</f>
        <v>95</v>
      </c>
      <c r="P83" s="4">
        <v>3.34</v>
      </c>
      <c r="Q83" s="4">
        <f t="shared" si="10"/>
        <v>6.66</v>
      </c>
      <c r="R83" s="32">
        <f>LOOKUP(Q83,{0,4.72,4.82,4.92,5.42,5.52,5.62,5.67,5.72,5.77,5.82,5.87,5.92,5.97,6.42,6.47,6.52,6.59,6.66,6.72,6.78},{0,10,20,30,40,50,60,62,64,66,68,70,72,74,76,78,80,85,90,95,100})</f>
        <v>90</v>
      </c>
      <c r="S83" s="4"/>
      <c r="T83" s="4"/>
      <c r="U83" s="4">
        <f t="shared" si="11"/>
        <v>90</v>
      </c>
      <c r="V83" s="4"/>
      <c r="W83" s="5">
        <f t="shared" si="12"/>
        <v>67</v>
      </c>
      <c r="X83" s="20">
        <f t="shared" si="13"/>
        <v>95.7142857142857</v>
      </c>
    </row>
    <row r="84" customFormat="1" ht="15.6" hidden="1" spans="1:24">
      <c r="A84" s="4">
        <v>209</v>
      </c>
      <c r="B84" s="24" t="s">
        <v>486</v>
      </c>
      <c r="C84" s="25" t="s">
        <v>53</v>
      </c>
      <c r="D84" s="4">
        <v>25.3</v>
      </c>
      <c r="E84" s="32">
        <f>LOOKUP(D84,{0,1,1.8,2.6,3.4,4.2,5,6.3,7.6,8.9,10.2,11.5,12.8,14.1,15.4,16.7,18,19.7,21.4,23.1,24.8},{0,10,20,30,40,50,60,62,64,66,68,70,72,74,76,78,80,85,90,95,100})</f>
        <v>100</v>
      </c>
      <c r="F84" s="4">
        <v>178</v>
      </c>
      <c r="G84" s="32">
        <f>LOOKUP(F84,{0,124,129,134,139,144,149,152,155,158,161,164,167,170,173,176,179,186,193,199,205},{0,10,20,30,40,50,60,62,64,66,68,70,72,74,76,78,80,85,90,95,100})</f>
        <v>78</v>
      </c>
      <c r="H84" s="4">
        <v>58</v>
      </c>
      <c r="I84" s="32">
        <f>LOOKUP(H84,{0,14,16,18,20,22,24,26,28,30,32,34,36,38,40,42,44,47,50,52,54},{0,10,20,30,40,50,60,62,64,66,68,70,72,74,76,78,80,85,90,95,100})</f>
        <v>100</v>
      </c>
      <c r="J84" s="4">
        <f>H84-54</f>
        <v>4</v>
      </c>
      <c r="K84" s="32">
        <f>LOOKUP(J84,{0,2,4,6,7,8,9,10,11,12,13},{0,1,2,3,4,5,6,7,8,9,10})</f>
        <v>2</v>
      </c>
      <c r="L84" s="4">
        <f t="shared" si="9"/>
        <v>102</v>
      </c>
      <c r="M84" s="4">
        <v>8.2</v>
      </c>
      <c r="N84" s="4">
        <f t="shared" si="8"/>
        <v>3.8</v>
      </c>
      <c r="O84" s="32">
        <f>LOOKUP(N84,{0,0.5,0.7,0.9,1.1,1.3,1.5,1.7,1.9,2.1,2.3,2.5,2.7,2.9,3.1,3.3,3.5,3.8,4.1,4.2,4.3},{0,10,20,30,40,50,60,62,64,66,68,70,72,74,76,78,80,85,90,95,100})</f>
        <v>85</v>
      </c>
      <c r="P84" s="4">
        <v>3.16</v>
      </c>
      <c r="Q84" s="4">
        <f t="shared" si="10"/>
        <v>6.84</v>
      </c>
      <c r="R84" s="32">
        <f>LOOKUP(Q84,{0,4.72,4.82,4.92,5.42,5.52,5.62,5.67,5.72,5.77,5.82,5.87,5.92,5.97,6.42,6.47,6.52,6.59,6.66,6.72,6.78},{0,10,20,30,40,50,60,62,64,66,68,70,72,74,76,78,80,85,90,95,100})</f>
        <v>100</v>
      </c>
      <c r="S84" s="39">
        <f>3.22-P84</f>
        <v>0.0600000000000001</v>
      </c>
      <c r="T84" s="32">
        <f>LOOKUP(S84,{0,0.05,0.1,0.15,0.2,0.25,0.3,0.35,0.4,0.45,0.5},{0,1,2,3,4,5,6,7,8,9,10})</f>
        <v>1</v>
      </c>
      <c r="U84" s="4">
        <f t="shared" si="11"/>
        <v>101</v>
      </c>
      <c r="V84" s="4"/>
      <c r="W84" s="5">
        <f t="shared" si="12"/>
        <v>64.8</v>
      </c>
      <c r="X84" s="20">
        <f t="shared" si="13"/>
        <v>95.5714285714286</v>
      </c>
    </row>
    <row r="85" customFormat="1" ht="15.6" hidden="1" spans="1:24">
      <c r="A85" s="4">
        <v>203</v>
      </c>
      <c r="B85" s="24" t="s">
        <v>158</v>
      </c>
      <c r="C85" s="25" t="s">
        <v>53</v>
      </c>
      <c r="D85" s="4">
        <v>26</v>
      </c>
      <c r="E85" s="32">
        <f>LOOKUP(D85,{0,1,1.8,2.6,3.4,4.2,5,6.3,7.6,8.9,10.2,11.5,12.8,14.1,15.4,16.7,18,19.7,21.4,23.1,24.8},{0,10,20,30,40,50,60,62,64,66,68,70,72,74,76,78,80,85,90,95,100})</f>
        <v>100</v>
      </c>
      <c r="F85" s="4">
        <v>196</v>
      </c>
      <c r="G85" s="32">
        <f>LOOKUP(F85,{0,124,129,134,139,144,149,152,155,158,161,164,167,170,173,176,179,186,193,199,205},{0,10,20,30,40,50,60,62,64,66,68,70,72,74,76,78,80,85,90,95,100})</f>
        <v>90</v>
      </c>
      <c r="H85" s="4">
        <v>55</v>
      </c>
      <c r="I85" s="32">
        <f>LOOKUP(H85,{0,14,16,18,20,22,24,26,28,30,32,34,36,38,40,42,44,47,50,52,54},{0,10,20,30,40,50,60,62,64,66,68,70,72,74,76,78,80,85,90,95,100})</f>
        <v>100</v>
      </c>
      <c r="J85" s="4">
        <f>H85-54</f>
        <v>1</v>
      </c>
      <c r="K85" s="32">
        <f>LOOKUP(J85,{0,2,4,6,7,8,9,10,11,12,13},{0,1,2,3,4,5,6,7,8,9,10})</f>
        <v>0</v>
      </c>
      <c r="L85" s="4">
        <f t="shared" si="9"/>
        <v>100</v>
      </c>
      <c r="M85" s="4">
        <v>8</v>
      </c>
      <c r="N85" s="4">
        <f t="shared" si="8"/>
        <v>4</v>
      </c>
      <c r="O85" s="32">
        <f>LOOKUP(N85,{0,0.5,0.7,0.9,1.1,1.3,1.5,1.7,1.9,2.1,2.3,2.5,2.7,2.9,3.1,3.3,3.5,3.8,4.1,4.2,4.3},{0,10,20,30,40,50,60,62,64,66,68,70,72,74,76,78,80,85,90,95,100})</f>
        <v>85</v>
      </c>
      <c r="P85" s="4">
        <v>3.17</v>
      </c>
      <c r="Q85" s="4">
        <f t="shared" si="10"/>
        <v>6.83</v>
      </c>
      <c r="R85" s="32">
        <f>LOOKUP(Q85,{0,4.72,4.82,4.92,5.42,5.52,5.62,5.67,5.72,5.77,5.82,5.87,5.92,5.97,6.42,6.47,6.52,6.59,6.66,6.72,6.78},{0,10,20,30,40,50,60,62,64,66,68,70,72,74,76,78,80,85,90,95,100})</f>
        <v>100</v>
      </c>
      <c r="S85" s="39">
        <f>3.22-P85</f>
        <v>0.0500000000000003</v>
      </c>
      <c r="T85" s="32">
        <f>LOOKUP(S85,{0,0.05,0.1,0.15,0.2,0.25,0.3,0.35,0.4,0.45,0.5},{0,1,2,3,4,5,6,7,8,9,10})</f>
        <v>1</v>
      </c>
      <c r="U85" s="4">
        <f t="shared" si="11"/>
        <v>101</v>
      </c>
      <c r="V85" s="4"/>
      <c r="W85" s="5">
        <f t="shared" si="12"/>
        <v>66</v>
      </c>
      <c r="X85" s="20">
        <f t="shared" si="13"/>
        <v>95.2857142857143</v>
      </c>
    </row>
    <row r="86" customFormat="1" ht="15.6" hidden="1" spans="1:24">
      <c r="A86" s="4">
        <v>214</v>
      </c>
      <c r="B86" s="24" t="s">
        <v>787</v>
      </c>
      <c r="C86" s="25" t="s">
        <v>53</v>
      </c>
      <c r="D86" s="4">
        <v>26.5</v>
      </c>
      <c r="E86" s="32">
        <f>LOOKUP(D86,{0,1,1.8,2.6,3.4,4.2,5,6.3,7.6,8.9,10.2,11.5,12.8,14.1,15.4,16.7,18,19.7,21.4,23.1,24.8},{0,10,20,30,40,50,60,62,64,66,68,70,72,74,76,78,80,85,90,95,100})</f>
        <v>100</v>
      </c>
      <c r="F86" s="4">
        <v>207</v>
      </c>
      <c r="G86" s="32">
        <f>LOOKUP(F86,{0,124,129,134,139,144,149,152,155,158,161,164,167,170,173,176,179,186,193,199,205},{0,10,20,30,40,50,60,62,64,66,68,70,72,74,76,78,80,85,90,95,100})</f>
        <v>100</v>
      </c>
      <c r="H86" s="4">
        <v>55</v>
      </c>
      <c r="I86" s="32">
        <f>LOOKUP(H86,{0,14,16,18,20,22,24,26,28,30,32,34,36,38,40,42,44,47,50,52,54},{0,10,20,30,40,50,60,62,64,66,68,70,72,74,76,78,80,85,90,95,100})</f>
        <v>100</v>
      </c>
      <c r="J86" s="4">
        <f>H86-54</f>
        <v>1</v>
      </c>
      <c r="K86" s="32">
        <f>LOOKUP(J86,{0,2,4,6,7,8,9,10,11,12,13},{0,1,2,3,4,5,6,7,8,9,10})</f>
        <v>0</v>
      </c>
      <c r="L86" s="4">
        <f t="shared" si="9"/>
        <v>100</v>
      </c>
      <c r="M86" s="4">
        <v>8.5</v>
      </c>
      <c r="N86" s="4">
        <f t="shared" si="8"/>
        <v>3.5</v>
      </c>
      <c r="O86" s="32">
        <f>LOOKUP(N86,{0,0.5,0.7,0.9,1.1,1.3,1.5,1.7,1.9,2.1,2.3,2.5,2.7,2.9,3.1,3.3,3.5,3.8,4.1,4.2,4.3},{0,10,20,30,40,50,60,62,64,66,68,70,72,74,76,78,80,85,90,95,100})</f>
        <v>80</v>
      </c>
      <c r="P86" s="4">
        <v>3.17</v>
      </c>
      <c r="Q86" s="4">
        <f t="shared" si="10"/>
        <v>6.83</v>
      </c>
      <c r="R86" s="32">
        <f>LOOKUP(Q86,{0,4.72,4.82,4.92,5.42,5.52,5.62,5.67,5.72,5.77,5.82,5.87,5.92,5.97,6.42,6.47,6.52,6.59,6.66,6.72,6.78},{0,10,20,30,40,50,60,62,64,66,68,70,72,74,76,78,80,85,90,95,100})</f>
        <v>100</v>
      </c>
      <c r="S86" s="39">
        <f>3.22-P86</f>
        <v>0.0500000000000003</v>
      </c>
      <c r="T86" s="32">
        <f>LOOKUP(S86,{0,0.05,0.1,0.15,0.2,0.25,0.3,0.35,0.4,0.45,0.5},{0,1,2,3,4,5,6,7,8,9,10})</f>
        <v>1</v>
      </c>
      <c r="U86" s="4">
        <f t="shared" si="11"/>
        <v>101</v>
      </c>
      <c r="V86" s="4"/>
      <c r="W86" s="5">
        <f t="shared" si="12"/>
        <v>66</v>
      </c>
      <c r="X86" s="20">
        <f t="shared" si="13"/>
        <v>95.2857142857143</v>
      </c>
    </row>
    <row r="87" customFormat="1" ht="15.6" hidden="1" spans="1:24">
      <c r="A87" s="4">
        <v>214</v>
      </c>
      <c r="B87" s="24" t="s">
        <v>751</v>
      </c>
      <c r="C87" s="25" t="s">
        <v>53</v>
      </c>
      <c r="D87" s="4">
        <v>27.5</v>
      </c>
      <c r="E87" s="32">
        <f>LOOKUP(D87,{0,1,1.8,2.6,3.4,4.2,5,6.3,7.6,8.9,10.2,11.5,12.8,14.1,15.4,16.7,18,19.7,21.4,23.1,24.8},{0,10,20,30,40,50,60,62,64,66,68,70,72,74,76,78,80,85,90,95,100})</f>
        <v>100</v>
      </c>
      <c r="F87" s="4">
        <v>190</v>
      </c>
      <c r="G87" s="32">
        <f>LOOKUP(F87,{0,124,129,134,139,144,149,152,155,158,161,164,167,170,173,176,179,186,193,199,205},{0,10,20,30,40,50,60,62,64,66,68,70,72,74,76,78,80,85,90,95,100})</f>
        <v>85</v>
      </c>
      <c r="H87" s="4">
        <v>58</v>
      </c>
      <c r="I87" s="32">
        <f>LOOKUP(H87,{0,14,16,18,20,22,24,26,28,30,32,34,36,38,40,42,44,47,50,52,54},{0,10,20,30,40,50,60,62,64,66,68,70,72,74,76,78,80,85,90,95,100})</f>
        <v>100</v>
      </c>
      <c r="J87" s="4">
        <f>H87-54</f>
        <v>4</v>
      </c>
      <c r="K87" s="32">
        <f>LOOKUP(J87,{0,2,4,6,7,8,9,10,11,12,13},{0,1,2,3,4,5,6,7,8,9,10})</f>
        <v>2</v>
      </c>
      <c r="L87" s="4">
        <f t="shared" si="9"/>
        <v>102</v>
      </c>
      <c r="M87" s="4">
        <v>8.4</v>
      </c>
      <c r="N87" s="4">
        <f t="shared" si="8"/>
        <v>3.6</v>
      </c>
      <c r="O87" s="32">
        <f>LOOKUP(N87,{0,0.5,0.7,0.9,1.1,1.3,1.5,1.7,1.9,2.1,2.3,2.5,2.7,2.9,3.1,3.3,3.5,3.8,4.1,4.2,4.3},{0,10,20,30,40,50,60,62,64,66,68,70,72,74,76,78,80,85,90,95,100})</f>
        <v>80</v>
      </c>
      <c r="P87" s="4">
        <v>3.17</v>
      </c>
      <c r="Q87" s="4">
        <f t="shared" si="10"/>
        <v>6.83</v>
      </c>
      <c r="R87" s="32">
        <f>LOOKUP(Q87,{0,4.72,4.82,4.92,5.42,5.52,5.62,5.67,5.72,5.77,5.82,5.87,5.92,5.97,6.42,6.47,6.52,6.59,6.66,6.72,6.78},{0,10,20,30,40,50,60,62,64,66,68,70,72,74,76,78,80,85,90,95,100})</f>
        <v>100</v>
      </c>
      <c r="S87" s="39">
        <f>3.22-P87</f>
        <v>0.0500000000000003</v>
      </c>
      <c r="T87" s="32">
        <f>LOOKUP(S87,{0,0.05,0.1,0.15,0.2,0.25,0.3,0.35,0.4,0.45,0.5},{0,1,2,3,4,5,6,7,8,9,10})</f>
        <v>1</v>
      </c>
      <c r="U87" s="4">
        <f t="shared" si="11"/>
        <v>101</v>
      </c>
      <c r="V87" s="4"/>
      <c r="W87" s="5">
        <f t="shared" si="12"/>
        <v>64.5</v>
      </c>
      <c r="X87" s="20">
        <f t="shared" si="13"/>
        <v>95.1428571428572</v>
      </c>
    </row>
    <row r="88" customFormat="1" ht="15.6" hidden="1" spans="1:24">
      <c r="A88" s="4">
        <v>203</v>
      </c>
      <c r="B88" s="24" t="s">
        <v>153</v>
      </c>
      <c r="C88" s="25" t="s">
        <v>53</v>
      </c>
      <c r="D88" s="4">
        <v>28</v>
      </c>
      <c r="E88" s="32">
        <f>LOOKUP(D88,{0,1,1.8,2.6,3.4,4.2,5,6.3,7.6,8.9,10.2,11.5,12.8,14.1,15.4,16.7,18,19.7,21.4,23.1,24.8},{0,10,20,30,40,50,60,62,64,66,68,70,72,74,76,78,80,85,90,95,100})</f>
        <v>100</v>
      </c>
      <c r="F88" s="4">
        <v>207</v>
      </c>
      <c r="G88" s="32">
        <f>LOOKUP(F88,{0,124,129,134,139,144,149,152,155,158,161,164,167,170,173,176,179,186,193,199,205},{0,10,20,30,40,50,60,62,64,66,68,70,72,74,76,78,80,85,90,95,100})</f>
        <v>100</v>
      </c>
      <c r="H88" s="4">
        <v>42</v>
      </c>
      <c r="I88" s="32">
        <f>LOOKUP(H88,{0,14,16,18,20,22,24,26,28,30,32,34,36,38,40,42,44,47,50,52,54},{0,10,20,30,40,50,60,62,64,66,68,70,72,74,76,78,80,85,90,95,100})</f>
        <v>78</v>
      </c>
      <c r="J88" s="4"/>
      <c r="K88" s="4"/>
      <c r="L88" s="4">
        <f t="shared" si="9"/>
        <v>78</v>
      </c>
      <c r="M88" s="4">
        <v>7.9</v>
      </c>
      <c r="N88" s="4">
        <f t="shared" si="8"/>
        <v>4.1</v>
      </c>
      <c r="O88" s="32">
        <f>LOOKUP(N88,{0,0.5,0.7,0.9,1.1,1.3,1.5,1.7,1.9,2.1,2.3,2.5,2.7,2.9,3.1,3.3,3.5,3.8,4.1,4.2,4.3},{0,10,20,30,40,50,60,62,64,66,68,70,72,74,76,78,80,85,90,95,100})</f>
        <v>90</v>
      </c>
      <c r="P88" s="4">
        <v>3.13</v>
      </c>
      <c r="Q88" s="4">
        <f t="shared" si="10"/>
        <v>6.87</v>
      </c>
      <c r="R88" s="32">
        <f>LOOKUP(Q88,{0,4.72,4.82,4.92,5.42,5.52,5.62,5.67,5.72,5.77,5.82,5.87,5.92,5.97,6.42,6.47,6.52,6.59,6.66,6.72,6.78},{0,10,20,30,40,50,60,62,64,66,68,70,72,74,76,78,80,85,90,95,100})</f>
        <v>100</v>
      </c>
      <c r="S88" s="39">
        <f>3.22-P88</f>
        <v>0.0900000000000003</v>
      </c>
      <c r="T88" s="32">
        <f>LOOKUP(S88,{0,0.05,0.1,0.15,0.2,0.25,0.3,0.35,0.4,0.45,0.5},{0,1,2,3,4,5,6,7,8,9,10})</f>
        <v>1</v>
      </c>
      <c r="U88" s="4">
        <f t="shared" si="11"/>
        <v>101</v>
      </c>
      <c r="V88" s="4"/>
      <c r="W88" s="5">
        <f t="shared" si="12"/>
        <v>65.8</v>
      </c>
      <c r="X88" s="20">
        <f t="shared" si="13"/>
        <v>95</v>
      </c>
    </row>
    <row r="89" customFormat="1" ht="15.6" hidden="1" spans="1:24">
      <c r="A89" s="4">
        <v>205</v>
      </c>
      <c r="B89" s="24" t="s">
        <v>257</v>
      </c>
      <c r="C89" s="25" t="s">
        <v>53</v>
      </c>
      <c r="D89" s="4">
        <v>28.4</v>
      </c>
      <c r="E89" s="32">
        <f>LOOKUP(D89,{0,1,1.8,2.6,3.4,4.2,5,6.3,7.6,8.9,10.2,11.5,12.8,14.1,15.4,16.7,18,19.7,21.4,23.1,24.8},{0,10,20,30,40,50,60,62,64,66,68,70,72,74,76,78,80,85,90,95,100})</f>
        <v>100</v>
      </c>
      <c r="F89" s="4">
        <v>200</v>
      </c>
      <c r="G89" s="32">
        <f>LOOKUP(F89,{0,124,129,134,139,144,149,152,155,158,161,164,167,170,173,176,179,186,193,199,205},{0,10,20,30,40,50,60,62,64,66,68,70,72,74,76,78,80,85,90,95,100})</f>
        <v>95</v>
      </c>
      <c r="H89" s="4">
        <v>57</v>
      </c>
      <c r="I89" s="32">
        <f>LOOKUP(H89,{0,14,16,18,20,22,24,26,28,30,32,34,36,38,40,42,44,47,50,52,54},{0,10,20,30,40,50,60,62,64,66,68,70,72,74,76,78,80,85,90,95,100})</f>
        <v>100</v>
      </c>
      <c r="J89" s="4">
        <f>H89-54</f>
        <v>3</v>
      </c>
      <c r="K89" s="32">
        <f>LOOKUP(J89,{0,2,4,6,7,8,9,10,11,12,13},{0,1,2,3,4,5,6,7,8,9,10})</f>
        <v>1</v>
      </c>
      <c r="L89" s="4">
        <f t="shared" si="9"/>
        <v>101</v>
      </c>
      <c r="M89" s="4">
        <v>8.2</v>
      </c>
      <c r="N89" s="4">
        <f t="shared" si="8"/>
        <v>3.8</v>
      </c>
      <c r="O89" s="32">
        <f>LOOKUP(N89,{0,0.5,0.7,0.9,1.1,1.3,1.5,1.7,1.9,2.1,2.3,2.5,2.7,2.9,3.1,3.3,3.5,3.8,4.1,4.2,4.3},{0,10,20,30,40,50,60,62,64,66,68,70,72,74,76,78,80,85,90,95,100})</f>
        <v>85</v>
      </c>
      <c r="P89" s="4">
        <v>3.27</v>
      </c>
      <c r="Q89" s="4">
        <f t="shared" si="10"/>
        <v>6.73</v>
      </c>
      <c r="R89" s="32">
        <f>LOOKUP(Q89,{0,4.72,4.82,4.92,5.42,5.52,5.62,5.67,5.72,5.77,5.82,5.87,5.92,5.97,6.42,6.47,6.52,6.59,6.66,6.72,6.78},{0,10,20,30,40,50,60,62,64,66,68,70,72,74,76,78,80,85,90,95,100})</f>
        <v>95</v>
      </c>
      <c r="S89" s="4"/>
      <c r="T89" s="4"/>
      <c r="U89" s="4">
        <f t="shared" si="11"/>
        <v>95</v>
      </c>
      <c r="V89" s="4"/>
      <c r="W89" s="5">
        <f t="shared" si="12"/>
        <v>65.5</v>
      </c>
      <c r="X89" s="20">
        <f t="shared" si="13"/>
        <v>94.5714285714286</v>
      </c>
    </row>
    <row r="90" customFormat="1" ht="15.6" hidden="1" spans="1:24">
      <c r="A90" s="4">
        <v>212</v>
      </c>
      <c r="B90" s="33" t="s">
        <v>641</v>
      </c>
      <c r="C90" s="25" t="s">
        <v>53</v>
      </c>
      <c r="D90" s="4">
        <v>18.4</v>
      </c>
      <c r="E90" s="32">
        <f>LOOKUP(D90,{0,1,1.8,2.6,3.4,4.2,5,6.3,7.6,8.9,10.2,11.5,12.8,14.1,15.4,16.7,18,19.7,21.4,23.1,24.8},{0,10,20,30,40,50,60,62,64,66,68,70,72,74,76,78,80,85,90,95,100})</f>
        <v>80</v>
      </c>
      <c r="F90" s="4">
        <v>194</v>
      </c>
      <c r="G90" s="32">
        <f>LOOKUP(F90,{0,124,129,134,139,144,149,152,155,158,161,164,167,170,173,176,179,186,193,199,205},{0,10,20,30,40,50,60,62,64,66,68,70,72,74,76,78,80,85,90,95,100})</f>
        <v>90</v>
      </c>
      <c r="H90" s="4">
        <v>48</v>
      </c>
      <c r="I90" s="32">
        <f>LOOKUP(H90,{0,14,16,18,20,22,24,26,28,30,32,34,36,38,40,42,44,47,50,52,54},{0,10,20,30,40,50,60,62,64,66,68,70,72,74,76,78,80,85,90,95,100})</f>
        <v>85</v>
      </c>
      <c r="J90" s="4"/>
      <c r="K90" s="4"/>
      <c r="L90" s="4">
        <f t="shared" si="9"/>
        <v>85</v>
      </c>
      <c r="M90" s="4">
        <v>7.8</v>
      </c>
      <c r="N90" s="4">
        <f t="shared" si="8"/>
        <v>4.2</v>
      </c>
      <c r="O90" s="32">
        <f>LOOKUP(N90,{0,0.5,0.7,0.9,1.1,1.3,1.5,1.7,1.9,2.1,2.3,2.5,2.7,2.9,3.1,3.3,3.5,3.8,4.1,4.2,4.3},{0,10,20,30,40,50,60,62,64,66,68,70,72,74,76,78,80,85,90,95,100})</f>
        <v>95</v>
      </c>
      <c r="P90" s="4">
        <v>3.11</v>
      </c>
      <c r="Q90" s="4">
        <f t="shared" si="10"/>
        <v>6.89</v>
      </c>
      <c r="R90" s="32">
        <f>LOOKUP(Q90,{0,4.72,4.82,4.92,5.42,5.52,5.62,5.67,5.72,5.77,5.82,5.87,5.92,5.97,6.42,6.47,6.52,6.59,6.66,6.72,6.78},{0,10,20,30,40,50,60,62,64,66,68,70,72,74,76,78,80,85,90,95,100})</f>
        <v>100</v>
      </c>
      <c r="S90" s="39">
        <f>3.22-P90</f>
        <v>0.11</v>
      </c>
      <c r="T90" s="32">
        <f>LOOKUP(S90,{0,0.05,0.1,0.15,0.2,0.25,0.3,0.35,0.4,0.45,0.5},{0,1,2,3,4,5,6,7,8,9,10})</f>
        <v>2</v>
      </c>
      <c r="U90" s="4">
        <f t="shared" si="11"/>
        <v>102</v>
      </c>
      <c r="V90" s="4"/>
      <c r="W90" s="5">
        <f t="shared" si="12"/>
        <v>64.5</v>
      </c>
      <c r="X90" s="20">
        <f t="shared" si="13"/>
        <v>94.1428571428572</v>
      </c>
    </row>
    <row r="91" customFormat="1" ht="15.6" hidden="1" spans="1:24">
      <c r="A91" s="4">
        <v>215</v>
      </c>
      <c r="B91" s="24" t="s">
        <v>800</v>
      </c>
      <c r="C91" s="25" t="s">
        <v>11</v>
      </c>
      <c r="D91" s="4">
        <v>3.4</v>
      </c>
      <c r="E91" s="32">
        <f>LOOKUP(D91,{0,-2.9,-1.9,-0.9,0.1,1.1,2.1,3.5,4.9,6.3,7.7,9.1,10.5,11.9,13.3,14.7,16.1,18.3,20.5,22.4,24.3},{0,10,20,30,40,50,60,62,64,66,68,70,72,74,76,78,80,85,90,95,100})</f>
        <v>60</v>
      </c>
      <c r="F91" s="4">
        <v>192</v>
      </c>
      <c r="G91" s="32">
        <f>LOOKUP(F91,{0,175,180,185,190,195,200,204,208,212,216,220,224,228,232,236,240,248,255,260,265},{0,10,20,30,40,50,60,62,64,66,68,70,72,74,76,78,80,85,90,95,100})</f>
        <v>40</v>
      </c>
      <c r="H91" s="4">
        <v>7</v>
      </c>
      <c r="I91" s="32">
        <f>LOOKUP(H91,{0,3,4,5,6,7,8,9,10,11,12,13,14,15,16,17},{0,10,20,30,40,50,60,64,68,72,76,80,85,90,95,100})</f>
        <v>50</v>
      </c>
      <c r="J91" s="4"/>
      <c r="K91" s="4"/>
      <c r="L91" s="4">
        <f t="shared" si="9"/>
        <v>50</v>
      </c>
      <c r="M91" s="4">
        <v>7.2</v>
      </c>
      <c r="N91" s="4">
        <f t="shared" si="8"/>
        <v>4.8</v>
      </c>
      <c r="O91" s="32">
        <f>LOOKUP(N91,{0,1.6,1.8,2,2.2,2.4,2.6,2.8,3,3.2,3.4,3.6,3.8,4,4.2,4.4,4.6,4.7,4.8,4.9,5},{0,10,20,30,40,50,60,62,64,66,68,70,72,74,76,78,80,85,90,95,100})</f>
        <v>90</v>
      </c>
      <c r="P91" s="4">
        <v>3.29</v>
      </c>
      <c r="Q91" s="4">
        <f t="shared" si="10"/>
        <v>6.71</v>
      </c>
      <c r="R91" s="32">
        <f>LOOKUP(Q91,{0,3.8,4,4.6,4.8,5,5.6,5.65,5.7,5.75,5.8,5.85,5.9,5.95,6,6.45,6.5,6.58,6.65,6.7,6.75},{0,10,20,30,40,50,60,62,64,66,68,70,72,74,76,78,80,85,90,95,100})</f>
        <v>95</v>
      </c>
      <c r="S91" s="4"/>
      <c r="T91" s="4"/>
      <c r="U91" s="4">
        <f t="shared" si="11"/>
        <v>95</v>
      </c>
      <c r="V91" s="4"/>
      <c r="W91" s="5">
        <f t="shared" si="12"/>
        <v>52</v>
      </c>
      <c r="X91" s="20">
        <f t="shared" si="13"/>
        <v>74.2857142857143</v>
      </c>
    </row>
    <row r="92" customFormat="1" ht="15.6" spans="1:24">
      <c r="A92" s="4">
        <v>211</v>
      </c>
      <c r="B92" s="24" t="s">
        <v>581</v>
      </c>
      <c r="C92" s="25" t="s">
        <v>11</v>
      </c>
      <c r="D92" s="4">
        <v>11</v>
      </c>
      <c r="E92" s="32">
        <f>LOOKUP(D92,{0,-2.9,-1.9,-0.9,0.1,1.1,2.1,3.5,4.9,6.3,7.7,9.1,10.5,11.9,13.3,14.7,16.1,18.3,20.5,22.4,24.3},{0,10,20,30,40,50,60,62,64,66,68,70,72,74,76,78,80,85,90,95,100})</f>
        <v>72</v>
      </c>
      <c r="F92" s="4">
        <v>257</v>
      </c>
      <c r="G92" s="32">
        <f>LOOKUP(F92,{0,175,180,185,190,195,200,204,208,212,216,220,224,228,232,236,240,248,255,260,265},{0,10,20,30,40,50,60,62,64,66,68,70,72,74,76,78,80,85,90,95,100})</f>
        <v>90</v>
      </c>
      <c r="H92" s="4">
        <v>16</v>
      </c>
      <c r="I92" s="32">
        <f>LOOKUP(H92,{0,3,4,5,6,7,8,9,10,11,12,13,14,15,16,17},{0,10,20,30,40,50,60,64,68,72,76,80,85,90,95,100})</f>
        <v>95</v>
      </c>
      <c r="J92" s="4"/>
      <c r="K92" s="35"/>
      <c r="L92" s="4">
        <f t="shared" si="9"/>
        <v>95</v>
      </c>
      <c r="M92" s="4">
        <v>7.3</v>
      </c>
      <c r="N92" s="4">
        <f t="shared" si="8"/>
        <v>4.7</v>
      </c>
      <c r="O92" s="32">
        <f>LOOKUP(N92,{0,1.6,1.8,2,2.2,2.4,2.6,2.8,3,3.2,3.4,3.6,3.8,4,4.2,4.4,4.6,4.7,4.8,4.9,5},{0,10,20,30,40,50,60,62,64,66,68,70,72,74,76,78,80,85,90,95,100})</f>
        <v>85</v>
      </c>
      <c r="P92" s="4">
        <v>3.29</v>
      </c>
      <c r="Q92" s="4">
        <f t="shared" si="10"/>
        <v>6.71</v>
      </c>
      <c r="R92" s="32">
        <f>LOOKUP(Q92,{0,3.8,4,4.6,4.8,5,5.6,5.65,5.7,5.75,5.8,5.85,5.9,5.95,6,6.45,6.5,6.58,6.65,6.7,6.75},{0,10,20,30,40,50,60,62,64,66,68,70,72,74,76,78,80,85,90,95,100})</f>
        <v>95</v>
      </c>
      <c r="S92" s="4"/>
      <c r="T92" s="4"/>
      <c r="U92" s="4">
        <f t="shared" si="11"/>
        <v>95</v>
      </c>
      <c r="V92" s="4"/>
      <c r="W92" s="5">
        <f t="shared" si="12"/>
        <v>61.7</v>
      </c>
      <c r="X92" s="20">
        <f t="shared" si="13"/>
        <v>88.1428571428572</v>
      </c>
    </row>
    <row r="93" customFormat="1" ht="15.6" hidden="1" spans="1:24">
      <c r="A93" s="4">
        <v>207</v>
      </c>
      <c r="B93" s="24" t="s">
        <v>347</v>
      </c>
      <c r="C93" s="25" t="s">
        <v>11</v>
      </c>
      <c r="D93" s="4">
        <v>10.5</v>
      </c>
      <c r="E93" s="32">
        <f>LOOKUP(D93,{0,-2.9,-1.9,-0.9,0.1,1.1,2.1,3.5,4.9,6.3,7.7,9.1,10.5,11.9,13.3,14.7,16.1,18.3,20.5,22.4,24.3},{0,10,20,30,40,50,60,62,64,66,68,70,72,74,76,78,80,85,90,95,100})</f>
        <v>72</v>
      </c>
      <c r="F93" s="4">
        <v>227</v>
      </c>
      <c r="G93" s="32">
        <f>LOOKUP(F93,{0,175,180,185,190,195,200,204,208,212,216,220,224,228,232,236,240,248,255,260,265},{0,10,20,30,40,50,60,62,64,66,68,70,72,74,76,78,80,85,90,95,100})</f>
        <v>72</v>
      </c>
      <c r="H93" s="4">
        <v>14</v>
      </c>
      <c r="I93" s="32">
        <f>LOOKUP(H93,{0,3,4,5,6,7,8,9,10,11,12,13,14,15,16,17},{0,10,20,30,40,50,60,64,68,72,76,80,85,90,95,100})</f>
        <v>85</v>
      </c>
      <c r="J93" s="4"/>
      <c r="K93" s="4"/>
      <c r="L93" s="4">
        <f t="shared" si="9"/>
        <v>85</v>
      </c>
      <c r="M93" s="4">
        <v>7.4</v>
      </c>
      <c r="N93" s="4">
        <f t="shared" si="8"/>
        <v>4.6</v>
      </c>
      <c r="O93" s="32">
        <f>LOOKUP(N93,{0,1.6,1.8,2,2.2,2.4,2.6,2.8,3,3.2,3.4,3.6,3.8,4,4.2,4.4,4.6,4.7,4.8,4.9,5},{0,10,20,30,40,50,60,62,64,66,68,70,72,74,76,78,80,85,90,95,100})</f>
        <v>80</v>
      </c>
      <c r="P93" s="4">
        <v>3.29</v>
      </c>
      <c r="Q93" s="4">
        <f t="shared" si="10"/>
        <v>6.71</v>
      </c>
      <c r="R93" s="32">
        <f>LOOKUP(Q93,{0,3.8,4,4.6,4.8,5,5.6,5.65,5.7,5.75,5.8,5.85,5.9,5.95,6,6.45,6.5,6.58,6.65,6.7,6.75},{0,10,20,30,40,50,60,62,64,66,68,70,72,74,76,78,80,85,90,95,100})</f>
        <v>95</v>
      </c>
      <c r="S93" s="4"/>
      <c r="T93" s="4"/>
      <c r="U93" s="4">
        <f t="shared" si="11"/>
        <v>95</v>
      </c>
      <c r="V93" s="4"/>
      <c r="W93" s="5">
        <f t="shared" si="12"/>
        <v>57.9</v>
      </c>
      <c r="X93" s="20">
        <f t="shared" si="13"/>
        <v>82.7142857142857</v>
      </c>
    </row>
    <row r="94" s="1" customFormat="1" ht="15.6" hidden="1" spans="1:24">
      <c r="A94" s="4">
        <v>202</v>
      </c>
      <c r="B94" s="24" t="s">
        <v>70</v>
      </c>
      <c r="C94" s="25" t="s">
        <v>11</v>
      </c>
      <c r="D94" s="4">
        <v>12</v>
      </c>
      <c r="E94" s="32">
        <f>LOOKUP(D94,{0,-2.9,-1.9,-0.9,0.1,1.1,2.1,3.5,4.9,6.3,7.7,9.1,10.5,11.9,13.3,14.7,16.1,18.3,20.5,22.4,24.3},{0,10,20,30,40,50,60,62,64,66,68,70,72,74,76,78,80,85,90,95,100})</f>
        <v>74</v>
      </c>
      <c r="F94" s="4">
        <v>239</v>
      </c>
      <c r="G94" s="32">
        <f>LOOKUP(F94,{0,175,180,185,190,195,200,204,208,212,216,220,224,228,232,236,240,248,255,260,265},{0,10,20,30,40,50,60,62,64,66,68,70,72,74,76,78,80,85,90,95,100})</f>
        <v>78</v>
      </c>
      <c r="H94" s="4">
        <v>18</v>
      </c>
      <c r="I94" s="32">
        <f>LOOKUP(H94,{0,3,4,5,6,7,8,9,10,11,12,13,14,15,16,17},{0,10,20,30,40,50,60,64,68,72,76,80,85,90,95,100})</f>
        <v>100</v>
      </c>
      <c r="J94" s="4">
        <f>H94-17</f>
        <v>1</v>
      </c>
      <c r="K94" s="32">
        <f>LOOKUP(J94,{0,1,2,3,4,5,6,7,8,9,10},{0,1,2,3,4,5,6,7,8,9,10})</f>
        <v>1</v>
      </c>
      <c r="L94" s="4">
        <f t="shared" si="9"/>
        <v>101</v>
      </c>
      <c r="M94" s="4">
        <v>7.5</v>
      </c>
      <c r="N94" s="4">
        <f t="shared" si="8"/>
        <v>4.5</v>
      </c>
      <c r="O94" s="32">
        <f>LOOKUP(N94,{0,1.6,1.8,2,2.2,2.4,2.6,2.8,3,3.2,3.4,3.6,3.8,4,4.2,4.4,4.6,4.7,4.8,4.9,5},{0,10,20,30,40,50,60,62,64,66,68,70,72,74,76,78,80,85,90,95,100})</f>
        <v>78</v>
      </c>
      <c r="P94" s="4">
        <v>3.29</v>
      </c>
      <c r="Q94" s="4">
        <f t="shared" si="10"/>
        <v>6.71</v>
      </c>
      <c r="R94" s="32">
        <f>LOOKUP(Q94,{0,3.8,4,4.6,4.8,5,5.6,5.65,5.7,5.75,5.8,5.85,5.9,5.95,6,6.45,6.5,6.58,6.65,6.7,6.75},{0,10,20,30,40,50,60,62,64,66,68,70,72,74,76,78,80,85,90,95,100})</f>
        <v>95</v>
      </c>
      <c r="S94" s="4"/>
      <c r="T94" s="4"/>
      <c r="U94" s="4">
        <f t="shared" si="11"/>
        <v>95</v>
      </c>
      <c r="V94" s="4"/>
      <c r="W94" s="5">
        <f t="shared" si="12"/>
        <v>59.8</v>
      </c>
      <c r="X94" s="20">
        <f t="shared" si="13"/>
        <v>86.4285714285714</v>
      </c>
    </row>
    <row r="95" ht="15.6" hidden="1" spans="1:24">
      <c r="A95" s="4">
        <v>206</v>
      </c>
      <c r="B95" s="24" t="s">
        <v>282</v>
      </c>
      <c r="C95" s="25" t="s">
        <v>11</v>
      </c>
      <c r="D95" s="4">
        <v>19.4</v>
      </c>
      <c r="E95" s="32">
        <f>LOOKUP(D95,{0,-2.9,-1.9,-0.9,0.1,1.1,2.1,3.5,4.9,6.3,7.7,9.1,10.5,11.9,13.3,14.7,16.1,18.3,20.5,22.4,24.3},{0,10,20,30,40,50,60,62,64,66,68,70,72,74,76,78,80,85,90,95,100})</f>
        <v>85</v>
      </c>
      <c r="F95" s="4">
        <v>256</v>
      </c>
      <c r="G95" s="32">
        <f>LOOKUP(F95,{0,175,180,185,190,195,200,204,208,212,216,220,224,228,232,236,240,248,255,260,265},{0,10,20,30,40,50,60,62,64,66,68,70,72,74,76,78,80,85,90,95,100})</f>
        <v>90</v>
      </c>
      <c r="H95" s="4">
        <v>20</v>
      </c>
      <c r="I95" s="32">
        <f>LOOKUP(H95,{0,3,4,5,6,7,8,9,10,11,12,13,14,15,16,17},{0,10,20,30,40,50,60,64,68,72,76,80,85,90,95,100})</f>
        <v>100</v>
      </c>
      <c r="J95" s="4">
        <f>H95-17</f>
        <v>3</v>
      </c>
      <c r="K95" s="32">
        <f>LOOKUP(J95,{0,1,2,3,4,5,6,7,8,9,10},{0,1,2,3,4,5,6,7,8,9,10})</f>
        <v>3</v>
      </c>
      <c r="L95" s="4">
        <f t="shared" si="9"/>
        <v>103</v>
      </c>
      <c r="O95" s="32"/>
      <c r="P95" s="4">
        <v>3.29</v>
      </c>
      <c r="Q95" s="4">
        <f t="shared" si="10"/>
        <v>6.71</v>
      </c>
      <c r="R95" s="32">
        <f>LOOKUP(Q95,{0,3.8,4,4.6,4.8,5,5.6,5.65,5.7,5.75,5.8,5.85,5.9,5.95,6,6.45,6.5,6.58,6.65,6.7,6.75},{0,10,20,30,40,50,60,62,64,66,68,70,72,74,76,78,80,85,90,95,100})</f>
        <v>95</v>
      </c>
      <c r="U95" s="4">
        <f t="shared" si="11"/>
        <v>95</v>
      </c>
      <c r="W95" s="5">
        <f t="shared" si="12"/>
        <v>46.5</v>
      </c>
      <c r="X95" s="20">
        <f t="shared" si="13"/>
        <v>69.4285714285714</v>
      </c>
    </row>
    <row r="96" ht="15.6" hidden="1" spans="1:24">
      <c r="A96" s="4">
        <v>203</v>
      </c>
      <c r="B96" s="24" t="s">
        <v>129</v>
      </c>
      <c r="C96" s="25" t="s">
        <v>11</v>
      </c>
      <c r="D96" s="4">
        <v>11.5</v>
      </c>
      <c r="E96" s="32">
        <f>LOOKUP(D96,{0,-2.9,-1.9,-0.9,0.1,1.1,2.1,3.5,4.9,6.3,7.7,9.1,10.5,11.9,13.3,14.7,16.1,18.3,20.5,22.4,24.3},{0,10,20,30,40,50,60,62,64,66,68,70,72,74,76,78,80,85,90,95,100})</f>
        <v>72</v>
      </c>
      <c r="F96" s="4">
        <v>275</v>
      </c>
      <c r="G96" s="32">
        <f>LOOKUP(F96,{0,175,180,185,190,195,200,204,208,212,216,220,224,228,232,236,240,248,255,260,265},{0,10,20,30,40,50,60,62,64,66,68,70,72,74,76,78,80,85,90,95,100})</f>
        <v>100</v>
      </c>
      <c r="H96" s="4">
        <v>2</v>
      </c>
      <c r="I96" s="32">
        <f>LOOKUP(H96,{0,3,4,5,6,7,8,9,10,11,12,13,14,15,16,17},{0,10,20,30,40,50,60,64,68,72,76,80,85,90,95,100})</f>
        <v>0</v>
      </c>
      <c r="K96" s="35"/>
      <c r="L96" s="4">
        <f t="shared" si="9"/>
        <v>0</v>
      </c>
      <c r="M96" s="4">
        <v>6.3</v>
      </c>
      <c r="N96" s="4">
        <f>12-M96</f>
        <v>5.7</v>
      </c>
      <c r="O96" s="32">
        <f>LOOKUP(N96,{0,1.6,1.8,2,2.2,2.4,2.6,2.8,3,3.2,3.4,3.6,3.8,4,4.2,4.4,4.6,4.7,4.8,4.9,5},{0,10,20,30,40,50,60,62,64,66,68,70,72,74,76,78,80,85,90,95,100})</f>
        <v>100</v>
      </c>
      <c r="P96" s="4">
        <v>3.3</v>
      </c>
      <c r="Q96" s="4">
        <f t="shared" si="10"/>
        <v>6.7</v>
      </c>
      <c r="R96" s="32">
        <f>LOOKUP(Q96,{0,3.8,4,4.6,4.8,5,5.6,5.65,5.7,5.75,5.8,5.85,5.9,5.95,6,6.45,6.5,6.58,6.65,6.7,6.75},{0,10,20,30,40,50,60,62,64,66,68,70,72,74,76,78,80,85,90,95,100})</f>
        <v>95</v>
      </c>
      <c r="U96" s="4">
        <f t="shared" si="11"/>
        <v>95</v>
      </c>
      <c r="W96" s="5">
        <f t="shared" si="12"/>
        <v>56.2</v>
      </c>
      <c r="X96" s="20">
        <f t="shared" si="13"/>
        <v>80.2857142857143</v>
      </c>
    </row>
    <row r="97" ht="15.6" hidden="1" spans="1:24">
      <c r="A97" s="4">
        <v>209</v>
      </c>
      <c r="B97" s="24" t="s">
        <v>467</v>
      </c>
      <c r="C97" s="25" t="s">
        <v>11</v>
      </c>
      <c r="D97" s="4">
        <v>20</v>
      </c>
      <c r="E97" s="32">
        <f>LOOKUP(D97,{0,-2.9,-1.9,-0.9,0.1,1.1,2.1,3.5,4.9,6.3,7.7,9.1,10.5,11.9,13.3,14.7,16.1,18.3,20.5,22.4,24.3},{0,10,20,30,40,50,60,62,64,66,68,70,72,74,76,78,80,85,90,95,100})</f>
        <v>85</v>
      </c>
      <c r="F97" s="4">
        <v>237</v>
      </c>
      <c r="G97" s="32">
        <f>LOOKUP(F97,{0,175,180,185,190,195,200,204,208,212,216,220,224,228,232,236,240,248,255,260,265},{0,10,20,30,40,50,60,62,64,66,68,70,72,74,76,78,80,85,90,95,100})</f>
        <v>78</v>
      </c>
      <c r="H97" s="4">
        <v>27</v>
      </c>
      <c r="I97" s="32">
        <f>LOOKUP(H97,{0,3,4,5,6,7,8,9,10,11,12,13,14,15,16,17},{0,10,20,30,40,50,60,64,68,72,76,80,85,90,95,100})</f>
        <v>100</v>
      </c>
      <c r="J97" s="4">
        <f>H97-17</f>
        <v>10</v>
      </c>
      <c r="K97" s="32">
        <f>LOOKUP(J97,{0,1,2,3,4,5,6,7,8,9,10},{0,1,2,3,4,5,6,7,8,9,10})</f>
        <v>10</v>
      </c>
      <c r="L97" s="4">
        <f t="shared" si="9"/>
        <v>110</v>
      </c>
      <c r="M97" s="4">
        <v>6.8</v>
      </c>
      <c r="N97" s="4">
        <f>12-M97</f>
        <v>5.2</v>
      </c>
      <c r="O97" s="32">
        <f>LOOKUP(N97,{0,1.6,1.8,2,2.2,2.4,2.6,2.8,3,3.2,3.4,3.6,3.8,4,4.2,4.4,4.6,4.7,4.8,4.9,5},{0,10,20,30,40,50,60,62,64,66,68,70,72,74,76,78,80,85,90,95,100})</f>
        <v>100</v>
      </c>
      <c r="P97" s="4">
        <v>3.3</v>
      </c>
      <c r="Q97" s="4">
        <f t="shared" si="10"/>
        <v>6.7</v>
      </c>
      <c r="R97" s="32">
        <f>LOOKUP(Q97,{0,3.8,4,4.6,4.8,5,5.6,5.65,5.7,5.75,5.8,5.85,5.9,5.95,6,6.45,6.5,6.58,6.65,6.7,6.75},{0,10,20,30,40,50,60,62,64,66,68,70,72,74,76,78,80,85,90,95,100})</f>
        <v>95</v>
      </c>
      <c r="U97" s="4">
        <f t="shared" si="11"/>
        <v>95</v>
      </c>
      <c r="W97" s="5">
        <f t="shared" si="12"/>
        <v>65.3</v>
      </c>
      <c r="X97" s="20">
        <f t="shared" si="13"/>
        <v>103.285714285714</v>
      </c>
    </row>
    <row r="98" ht="15.6" hidden="1" spans="1:24">
      <c r="A98" s="4">
        <v>205</v>
      </c>
      <c r="B98" s="24" t="s">
        <v>239</v>
      </c>
      <c r="C98" s="25" t="s">
        <v>11</v>
      </c>
      <c r="D98" s="4">
        <v>15.5</v>
      </c>
      <c r="E98" s="32">
        <f>LOOKUP(D98,{0,-2.9,-1.9,-0.9,0.1,1.1,2.1,3.5,4.9,6.3,7.7,9.1,10.5,11.9,13.3,14.7,16.1,18.3,20.5,22.4,24.3},{0,10,20,30,40,50,60,62,64,66,68,70,72,74,76,78,80,85,90,95,100})</f>
        <v>78</v>
      </c>
      <c r="F98" s="4">
        <v>272</v>
      </c>
      <c r="G98" s="32">
        <f>LOOKUP(F98,{0,175,180,185,190,195,200,204,208,212,216,220,224,228,232,236,240,248,255,260,265},{0,10,20,30,40,50,60,62,64,66,68,70,72,74,76,78,80,85,90,95,100})</f>
        <v>100</v>
      </c>
      <c r="H98" s="4">
        <v>10</v>
      </c>
      <c r="I98" s="32">
        <f>LOOKUP(H98,{0,3,4,5,6,7,8,9,10,11,12,13,14,15,16,17},{0,10,20,30,40,50,60,64,68,72,76,80,85,90,95,100})</f>
        <v>68</v>
      </c>
      <c r="K98" s="35"/>
      <c r="L98" s="4">
        <f t="shared" si="9"/>
        <v>68</v>
      </c>
      <c r="M98" s="4">
        <v>6.9</v>
      </c>
      <c r="N98" s="4">
        <f>12-M98</f>
        <v>5.1</v>
      </c>
      <c r="O98" s="32">
        <f>LOOKUP(N98,{0,1.6,1.8,2,2.2,2.4,2.6,2.8,3,3.2,3.4,3.6,3.8,4,4.2,4.4,4.6,4.7,4.8,4.9,5},{0,10,20,30,40,50,60,62,64,66,68,70,72,74,76,78,80,85,90,95,100})</f>
        <v>100</v>
      </c>
      <c r="P98" s="4">
        <v>3.3</v>
      </c>
      <c r="Q98" s="4">
        <f t="shared" si="10"/>
        <v>6.7</v>
      </c>
      <c r="R98" s="32">
        <f>LOOKUP(Q98,{0,3.8,4,4.6,4.8,5,5.6,5.65,5.7,5.75,5.8,5.85,5.9,5.95,6,6.45,6.5,6.58,6.65,6.7,6.75},{0,10,20,30,40,50,60,62,64,66,68,70,72,74,76,78,80,85,90,95,100})</f>
        <v>95</v>
      </c>
      <c r="U98" s="4">
        <f t="shared" si="11"/>
        <v>95</v>
      </c>
      <c r="W98" s="5">
        <f t="shared" si="12"/>
        <v>63.6</v>
      </c>
      <c r="X98" s="20">
        <f t="shared" si="13"/>
        <v>90.8571428571429</v>
      </c>
    </row>
    <row r="99" ht="15.6" hidden="1" spans="1:24">
      <c r="A99" s="4">
        <v>212</v>
      </c>
      <c r="B99" s="24" t="s">
        <v>631</v>
      </c>
      <c r="C99" s="25" t="s">
        <v>11</v>
      </c>
      <c r="D99" s="4">
        <v>13.5</v>
      </c>
      <c r="E99" s="32">
        <f>LOOKUP(D99,{0,-2.9,-1.9,-0.9,0.1,1.1,2.1,3.5,4.9,6.3,7.7,9.1,10.5,11.9,13.3,14.7,16.1,18.3,20.5,22.4,24.3},{0,10,20,30,40,50,60,62,64,66,68,70,72,74,76,78,80,85,90,95,100})</f>
        <v>76</v>
      </c>
      <c r="F99" s="4">
        <v>270</v>
      </c>
      <c r="G99" s="32">
        <f>LOOKUP(F99,{0,175,180,185,190,195,200,204,208,212,216,220,224,228,232,236,240,248,255,260,265},{0,10,20,30,40,50,60,62,64,66,68,70,72,74,76,78,80,85,90,95,100})</f>
        <v>100</v>
      </c>
      <c r="H99" s="4">
        <v>18</v>
      </c>
      <c r="I99" s="32">
        <f>LOOKUP(H99,{0,3,4,5,6,7,8,9,10,11,12,13,14,15,16,17},{0,10,20,30,40,50,60,64,68,72,76,80,85,90,95,100})</f>
        <v>100</v>
      </c>
      <c r="J99" s="4">
        <f>H99-17</f>
        <v>1</v>
      </c>
      <c r="K99" s="32">
        <f>LOOKUP(J99,{0,1,2,3,4,5,6,7,8,9,10},{0,1,2,3,4,5,6,7,8,9,10})</f>
        <v>1</v>
      </c>
      <c r="L99" s="4">
        <f t="shared" si="9"/>
        <v>101</v>
      </c>
      <c r="M99" s="4">
        <v>7.2</v>
      </c>
      <c r="N99" s="4">
        <f>12-M99</f>
        <v>4.8</v>
      </c>
      <c r="O99" s="32">
        <f>LOOKUP(N99,{0,1.6,1.8,2,2.2,2.4,2.6,2.8,3,3.2,3.4,3.6,3.8,4,4.2,4.4,4.6,4.7,4.8,4.9,5},{0,10,20,30,40,50,60,62,64,66,68,70,72,74,76,78,80,85,90,95,100})</f>
        <v>90</v>
      </c>
      <c r="P99" s="4">
        <v>3.3</v>
      </c>
      <c r="Q99" s="4">
        <f t="shared" si="10"/>
        <v>6.7</v>
      </c>
      <c r="R99" s="32">
        <f>LOOKUP(Q99,{0,3.8,4,4.6,4.8,5,5.6,5.65,5.7,5.75,5.8,5.85,5.9,5.95,6,6.45,6.5,6.58,6.65,6.7,6.75},{0,10,20,30,40,50,60,62,64,66,68,70,72,74,76,78,80,85,90,95,100})</f>
        <v>95</v>
      </c>
      <c r="U99" s="4">
        <f t="shared" si="11"/>
        <v>95</v>
      </c>
      <c r="W99" s="5">
        <f t="shared" si="12"/>
        <v>64.6</v>
      </c>
      <c r="X99" s="20">
        <f t="shared" si="13"/>
        <v>93.2857142857143</v>
      </c>
    </row>
    <row r="100" ht="15.6" hidden="1" spans="1:24">
      <c r="A100" s="4">
        <v>202</v>
      </c>
      <c r="B100" s="24" t="s">
        <v>98</v>
      </c>
      <c r="C100" s="25" t="s">
        <v>11</v>
      </c>
      <c r="D100" s="4">
        <v>4.5</v>
      </c>
      <c r="E100" s="32">
        <f>LOOKUP(D100,{0,-2.9,-1.9,-0.9,0.1,1.1,2.1,3.5,4.9,6.3,7.7,9.1,10.5,11.9,13.3,14.7,16.1,18.3,20.5,22.4,24.3},{0,10,20,30,40,50,60,62,64,66,68,70,72,74,76,78,80,85,90,95,100})</f>
        <v>62</v>
      </c>
      <c r="F100" s="4">
        <v>268</v>
      </c>
      <c r="G100" s="32">
        <f>LOOKUP(F100,{0,175,180,185,190,195,200,204,208,212,216,220,224,228,232,236,240,248,255,260,265},{0,10,20,30,40,50,60,62,64,66,68,70,72,74,76,78,80,85,90,95,100})</f>
        <v>100</v>
      </c>
      <c r="H100" s="4">
        <v>5</v>
      </c>
      <c r="I100" s="32">
        <f>LOOKUP(H100,{0,3,4,5,6,7,8,9,10,11,12,13,14,15,16,17},{0,10,20,30,40,50,60,64,68,72,76,80,85,90,95,100})</f>
        <v>30</v>
      </c>
      <c r="L100" s="4">
        <f t="shared" si="9"/>
        <v>30</v>
      </c>
      <c r="O100" s="32"/>
      <c r="P100" s="4">
        <v>3.3</v>
      </c>
      <c r="Q100" s="4">
        <f t="shared" si="10"/>
        <v>6.7</v>
      </c>
      <c r="R100" s="32">
        <f>LOOKUP(Q100,{0,3.8,4,4.6,4.8,5,5.6,5.65,5.7,5.75,5.8,5.85,5.9,5.95,6,6.45,6.5,6.58,6.65,6.7,6.75},{0,10,20,30,40,50,60,62,64,66,68,70,72,74,76,78,80,85,90,95,100})</f>
        <v>95</v>
      </c>
      <c r="U100" s="4">
        <f t="shared" si="11"/>
        <v>95</v>
      </c>
      <c r="W100" s="5">
        <f t="shared" si="12"/>
        <v>38.2</v>
      </c>
      <c r="X100" s="20">
        <f t="shared" si="13"/>
        <v>54.5714285714286</v>
      </c>
    </row>
    <row r="101" ht="15.6" hidden="1" spans="1:24">
      <c r="A101" s="4">
        <v>202</v>
      </c>
      <c r="B101" s="24" t="s">
        <v>84</v>
      </c>
      <c r="C101" s="25" t="s">
        <v>11</v>
      </c>
      <c r="D101" s="4">
        <v>23</v>
      </c>
      <c r="E101" s="32">
        <f>LOOKUP(D101,{0,-2.9,-1.9,-0.9,0.1,1.1,2.1,3.5,4.9,6.3,7.7,9.1,10.5,11.9,13.3,14.7,16.1,18.3,20.5,22.4,24.3},{0,10,20,30,40,50,60,62,64,66,68,70,72,74,76,78,80,85,90,95,100})</f>
        <v>95</v>
      </c>
      <c r="F101" s="4">
        <v>250</v>
      </c>
      <c r="G101" s="32">
        <f>LOOKUP(F101,{0,175,180,185,190,195,200,204,208,212,216,220,224,228,232,236,240,248,255,260,265},{0,10,20,30,40,50,60,62,64,66,68,70,72,74,76,78,80,85,90,95,100})</f>
        <v>85</v>
      </c>
      <c r="H101" s="4">
        <v>18</v>
      </c>
      <c r="I101" s="32">
        <f>LOOKUP(H101,{0,3,4,5,6,7,8,9,10,11,12,13,14,15,16,17},{0,10,20,30,40,50,60,64,68,72,76,80,85,90,95,100})</f>
        <v>100</v>
      </c>
      <c r="J101" s="4">
        <f>H101-17</f>
        <v>1</v>
      </c>
      <c r="K101" s="32">
        <f>LOOKUP(J101,{0,1,2,3,4,5,6,7,8,9,10},{0,1,2,3,4,5,6,7,8,9,10})</f>
        <v>1</v>
      </c>
      <c r="L101" s="4">
        <f t="shared" si="9"/>
        <v>101</v>
      </c>
      <c r="M101" s="4">
        <v>7.2</v>
      </c>
      <c r="N101" s="4">
        <f t="shared" ref="N101:N114" si="14">12-M101</f>
        <v>4.8</v>
      </c>
      <c r="O101" s="32">
        <f>LOOKUP(N101,{0,1.6,1.8,2,2.2,2.4,2.6,2.8,3,3.2,3.4,3.6,3.8,4,4.2,4.4,4.6,4.7,4.8,4.9,5},{0,10,20,30,40,50,60,62,64,66,68,70,72,74,76,78,80,85,90,95,100})</f>
        <v>90</v>
      </c>
      <c r="P101" s="4">
        <v>3.31</v>
      </c>
      <c r="Q101" s="4">
        <f t="shared" si="10"/>
        <v>6.69</v>
      </c>
      <c r="R101" s="32">
        <f>LOOKUP(Q101,{0,3.8,4,4.6,4.8,5,5.6,5.65,5.7,5.75,5.8,5.85,5.9,5.95,6,6.45,6.5,6.58,6.65,6.7,6.75},{0,10,20,30,40,50,60,62,64,66,68,70,72,74,76,78,80,85,90,95,100})</f>
        <v>90</v>
      </c>
      <c r="U101" s="4">
        <f t="shared" si="11"/>
        <v>90</v>
      </c>
      <c r="W101" s="5">
        <f t="shared" si="12"/>
        <v>64</v>
      </c>
      <c r="X101" s="20">
        <f t="shared" si="13"/>
        <v>92.4285714285714</v>
      </c>
    </row>
    <row r="102" ht="15.6" hidden="1" spans="1:24">
      <c r="A102" s="4">
        <v>214</v>
      </c>
      <c r="B102" s="24" t="s">
        <v>734</v>
      </c>
      <c r="C102" s="25" t="s">
        <v>11</v>
      </c>
      <c r="D102" s="4">
        <v>15</v>
      </c>
      <c r="E102" s="32">
        <f>LOOKUP(D102,{0,-2.9,-1.9,-0.9,0.1,1.1,2.1,3.5,4.9,6.3,7.7,9.1,10.5,11.9,13.3,14.7,16.1,18.3,20.5,22.4,24.3},{0,10,20,30,40,50,60,62,64,66,68,70,72,74,76,78,80,85,90,95,100})</f>
        <v>78</v>
      </c>
      <c r="F102" s="4">
        <v>210</v>
      </c>
      <c r="G102" s="32">
        <f>LOOKUP(F102,{0,175,180,185,190,195,200,204,208,212,216,220,224,228,232,236,240,248,255,260,265},{0,10,20,30,40,50,60,62,64,66,68,70,72,74,76,78,80,85,90,95,100})</f>
        <v>64</v>
      </c>
      <c r="H102" s="4">
        <v>4</v>
      </c>
      <c r="I102" s="32">
        <f>LOOKUP(H102,{0,3,4,5,6,7,8,9,10,11,12,13,14,15,16,17},{0,10,20,30,40,50,60,64,68,72,76,80,85,90,95,100})</f>
        <v>20</v>
      </c>
      <c r="K102" s="35"/>
      <c r="L102" s="4">
        <f t="shared" si="9"/>
        <v>20</v>
      </c>
      <c r="M102" s="4">
        <v>7.2</v>
      </c>
      <c r="N102" s="4">
        <f t="shared" si="14"/>
        <v>4.8</v>
      </c>
      <c r="O102" s="32">
        <f>LOOKUP(N102,{0,1.6,1.8,2,2.2,2.4,2.6,2.8,3,3.2,3.4,3.6,3.8,4,4.2,4.4,4.6,4.7,4.8,4.9,5},{0,10,20,30,40,50,60,62,64,66,68,70,72,74,76,78,80,85,90,95,100})</f>
        <v>90</v>
      </c>
      <c r="P102" s="4">
        <v>3.31</v>
      </c>
      <c r="Q102" s="4">
        <f t="shared" si="10"/>
        <v>6.69</v>
      </c>
      <c r="R102" s="32">
        <f>LOOKUP(Q102,{0,3.8,4,4.6,4.8,5,5.6,5.65,5.7,5.75,5.8,5.85,5.9,5.95,6,6.45,6.5,6.58,6.65,6.7,6.75},{0,10,20,30,40,50,60,62,64,66,68,70,72,74,76,78,80,85,90,95,100})</f>
        <v>90</v>
      </c>
      <c r="U102" s="4">
        <f t="shared" si="11"/>
        <v>90</v>
      </c>
      <c r="W102" s="5">
        <f t="shared" si="12"/>
        <v>52.2</v>
      </c>
      <c r="X102" s="20">
        <f t="shared" si="13"/>
        <v>74.5714285714286</v>
      </c>
    </row>
    <row r="103" ht="15.6" hidden="1" spans="1:24">
      <c r="A103" s="4">
        <v>207</v>
      </c>
      <c r="B103" s="24" t="s">
        <v>356</v>
      </c>
      <c r="C103" s="25" t="s">
        <v>11</v>
      </c>
      <c r="D103" s="4">
        <v>12</v>
      </c>
      <c r="E103" s="32">
        <f>LOOKUP(D103,{0,-2.9,-1.9,-0.9,0.1,1.1,2.1,3.5,4.9,6.3,7.7,9.1,10.5,11.9,13.3,14.7,16.1,18.3,20.5,22.4,24.3},{0,10,20,30,40,50,60,62,64,66,68,70,72,74,76,78,80,85,90,95,100})</f>
        <v>74</v>
      </c>
      <c r="F103" s="4">
        <v>224</v>
      </c>
      <c r="G103" s="32">
        <f>LOOKUP(F103,{0,175,180,185,190,195,200,204,208,212,216,220,224,228,232,236,240,248,255,260,265},{0,10,20,30,40,50,60,62,64,66,68,70,72,74,76,78,80,85,90,95,100})</f>
        <v>72</v>
      </c>
      <c r="H103" s="4">
        <v>21</v>
      </c>
      <c r="I103" s="32">
        <f>LOOKUP(H103,{0,3,4,5,6,7,8,9,10,11,12,13,14,15,16,17},{0,10,20,30,40,50,60,64,68,72,76,80,85,90,95,100})</f>
        <v>100</v>
      </c>
      <c r="J103" s="4">
        <f>H103-17</f>
        <v>4</v>
      </c>
      <c r="K103" s="32">
        <f>LOOKUP(J103,{0,1,2,3,4,5,6,7,8,9,10},{0,1,2,3,4,5,6,7,8,9,10})</f>
        <v>4</v>
      </c>
      <c r="L103" s="4">
        <f t="shared" si="9"/>
        <v>104</v>
      </c>
      <c r="M103" s="4">
        <v>7.7</v>
      </c>
      <c r="N103" s="4">
        <f t="shared" si="14"/>
        <v>4.3</v>
      </c>
      <c r="O103" s="32">
        <f>LOOKUP(N103,{0,1.6,1.8,2,2.2,2.4,2.6,2.8,3,3.2,3.4,3.6,3.8,4,4.2,4.4,4.6,4.7,4.8,4.9,5},{0,10,20,30,40,50,60,62,64,66,68,70,72,74,76,78,80,85,90,95,100})</f>
        <v>76</v>
      </c>
      <c r="P103" s="4">
        <v>3.31</v>
      </c>
      <c r="Q103" s="4">
        <f t="shared" si="10"/>
        <v>6.69</v>
      </c>
      <c r="R103" s="32">
        <f>LOOKUP(Q103,{0,3.8,4,4.6,4.8,5,5.6,5.65,5.7,5.75,5.8,5.85,5.9,5.95,6,6.45,6.5,6.58,6.65,6.7,6.75},{0,10,20,30,40,50,60,62,64,66,68,70,72,74,76,78,80,85,90,95,100})</f>
        <v>90</v>
      </c>
      <c r="U103" s="4">
        <f t="shared" si="11"/>
        <v>90</v>
      </c>
      <c r="W103" s="5">
        <f t="shared" si="12"/>
        <v>57.8</v>
      </c>
      <c r="X103" s="20">
        <f t="shared" si="13"/>
        <v>86.5714285714286</v>
      </c>
    </row>
    <row r="104" ht="15.6" hidden="1" spans="1:24">
      <c r="A104" s="4">
        <v>202</v>
      </c>
      <c r="B104" s="24" t="s">
        <v>97</v>
      </c>
      <c r="C104" s="25" t="s">
        <v>11</v>
      </c>
      <c r="D104" s="4">
        <v>16.5</v>
      </c>
      <c r="E104" s="32">
        <f>LOOKUP(D104,{0,-2.9,-1.9,-0.9,0.1,1.1,2.1,3.5,4.9,6.3,7.7,9.1,10.5,11.9,13.3,14.7,16.1,18.3,20.5,22.4,24.3},{0,10,20,30,40,50,60,62,64,66,68,70,72,74,76,78,80,85,90,95,100})</f>
        <v>80</v>
      </c>
      <c r="F104" s="4">
        <v>254</v>
      </c>
      <c r="G104" s="32">
        <f>LOOKUP(F104,{0,175,180,185,190,195,200,204,208,212,216,220,224,228,232,236,240,248,255,260,265},{0,10,20,30,40,50,60,62,64,66,68,70,72,74,76,78,80,85,90,95,100})</f>
        <v>85</v>
      </c>
      <c r="H104" s="4">
        <v>27</v>
      </c>
      <c r="I104" s="32">
        <f>LOOKUP(H104,{0,3,4,5,6,7,8,9,10,11,12,13,14,15,16,17},{0,10,20,30,40,50,60,64,68,72,76,80,85,90,95,100})</f>
        <v>100</v>
      </c>
      <c r="J104" s="4">
        <f>H104-17</f>
        <v>10</v>
      </c>
      <c r="K104" s="32">
        <f>LOOKUP(J104,{0,1,2,3,4,5,6,7,8,9,10},{0,1,2,3,4,5,6,7,8,9,10})</f>
        <v>10</v>
      </c>
      <c r="L104" s="4">
        <f t="shared" si="9"/>
        <v>110</v>
      </c>
      <c r="M104" s="4">
        <v>7</v>
      </c>
      <c r="N104" s="4">
        <f t="shared" si="14"/>
        <v>5</v>
      </c>
      <c r="O104" s="32">
        <f>LOOKUP(N104,{0,1.6,1.8,2,2.2,2.4,2.6,2.8,3,3.2,3.4,3.6,3.8,4,4.2,4.4,4.6,4.7,4.8,4.9,5},{0,10,20,30,40,50,60,62,64,66,68,70,72,74,76,78,80,85,90,95,100})</f>
        <v>100</v>
      </c>
      <c r="P104" s="4">
        <v>3.32</v>
      </c>
      <c r="Q104" s="4">
        <f t="shared" si="10"/>
        <v>6.68</v>
      </c>
      <c r="R104" s="32">
        <f>LOOKUP(Q104,{0,3.8,4,4.6,4.8,5,5.6,5.65,5.7,5.75,5.8,5.85,5.9,5.95,6,6.45,6.5,6.58,6.65,6.7,6.75},{0,10,20,30,40,50,60,62,64,66,68,70,72,74,76,78,80,85,90,95,100})</f>
        <v>90</v>
      </c>
      <c r="U104" s="4">
        <f t="shared" si="11"/>
        <v>90</v>
      </c>
      <c r="W104" s="5">
        <f t="shared" si="12"/>
        <v>64.5</v>
      </c>
      <c r="X104" s="20">
        <f t="shared" si="13"/>
        <v>102.142857142857</v>
      </c>
    </row>
    <row r="105" ht="15.6" hidden="1" spans="1:24">
      <c r="A105" s="4">
        <v>204</v>
      </c>
      <c r="B105" s="24" t="s">
        <v>165</v>
      </c>
      <c r="C105" s="25" t="s">
        <v>11</v>
      </c>
      <c r="D105" s="4">
        <v>12.4</v>
      </c>
      <c r="E105" s="32">
        <f>LOOKUP(D105,{0,-2.9,-1.9,-0.9,0.1,1.1,2.1,3.5,4.9,6.3,7.7,9.1,10.5,11.9,13.3,14.7,16.1,18.3,20.5,22.4,24.3},{0,10,20,30,40,50,60,62,64,66,68,70,72,74,76,78,80,85,90,95,100})</f>
        <v>74</v>
      </c>
      <c r="F105" s="4">
        <v>249</v>
      </c>
      <c r="G105" s="32">
        <f>LOOKUP(F105,{0,175,180,185,190,195,200,204,208,212,216,220,224,228,232,236,240,248,255,260,265},{0,10,20,30,40,50,60,62,64,66,68,70,72,74,76,78,80,85,90,95,100})</f>
        <v>85</v>
      </c>
      <c r="H105" s="4">
        <v>6</v>
      </c>
      <c r="I105" s="32">
        <f>LOOKUP(H105,{0,3,4,5,6,7,8,9,10,11,12,13,14,15,16,17},{0,10,20,30,40,50,60,64,68,72,76,80,85,90,95,100})</f>
        <v>40</v>
      </c>
      <c r="L105" s="4">
        <f t="shared" si="9"/>
        <v>40</v>
      </c>
      <c r="M105" s="4">
        <v>7.1</v>
      </c>
      <c r="N105" s="4">
        <f t="shared" si="14"/>
        <v>4.9</v>
      </c>
      <c r="O105" s="32">
        <f>LOOKUP(N105,{0,1.6,1.8,2,2.2,2.4,2.6,2.8,3,3.2,3.4,3.6,3.8,4,4.2,4.4,4.6,4.7,4.8,4.9,5},{0,10,20,30,40,50,60,62,64,66,68,70,72,74,76,78,80,85,90,95,100})</f>
        <v>95</v>
      </c>
      <c r="P105" s="4">
        <v>3.32</v>
      </c>
      <c r="Q105" s="4">
        <f t="shared" si="10"/>
        <v>6.68</v>
      </c>
      <c r="R105" s="32">
        <f>LOOKUP(Q105,{0,3.8,4,4.6,4.8,5,5.6,5.65,5.7,5.75,5.8,5.85,5.9,5.95,6,6.45,6.5,6.58,6.65,6.7,6.75},{0,10,20,30,40,50,60,62,64,66,68,70,72,74,76,78,80,85,90,95,100})</f>
        <v>90</v>
      </c>
      <c r="U105" s="4">
        <f t="shared" si="11"/>
        <v>90</v>
      </c>
      <c r="W105" s="5">
        <f t="shared" si="12"/>
        <v>56.9</v>
      </c>
      <c r="X105" s="20">
        <f t="shared" si="13"/>
        <v>81.2857142857143</v>
      </c>
    </row>
    <row r="106" ht="15.6" hidden="1" spans="1:24">
      <c r="A106" s="4">
        <v>212</v>
      </c>
      <c r="B106" s="24" t="s">
        <v>634</v>
      </c>
      <c r="C106" s="25" t="s">
        <v>11</v>
      </c>
      <c r="D106" s="4">
        <v>24.6</v>
      </c>
      <c r="E106" s="32">
        <f>LOOKUP(D106,{0,-2.9,-1.9,-0.9,0.1,1.1,2.1,3.5,4.9,6.3,7.7,9.1,10.5,11.9,13.3,14.7,16.1,18.3,20.5,22.4,24.3},{0,10,20,30,40,50,60,62,64,66,68,70,72,74,76,78,80,85,90,95,100})</f>
        <v>100</v>
      </c>
      <c r="F106" s="4">
        <v>231</v>
      </c>
      <c r="G106" s="32">
        <f>LOOKUP(F106,{0,175,180,185,190,195,200,204,208,212,216,220,224,228,232,236,240,248,255,260,265},{0,10,20,30,40,50,60,62,64,66,68,70,72,74,76,78,80,85,90,95,100})</f>
        <v>74</v>
      </c>
      <c r="H106" s="4">
        <v>5</v>
      </c>
      <c r="I106" s="32">
        <f>LOOKUP(H106,{0,3,4,5,6,7,8,9,10,11,12,13,14,15,16,17},{0,10,20,30,40,50,60,64,68,72,76,80,85,90,95,100})</f>
        <v>30</v>
      </c>
      <c r="K106" s="35"/>
      <c r="L106" s="4">
        <f t="shared" si="9"/>
        <v>30</v>
      </c>
      <c r="M106" s="4">
        <v>7.2</v>
      </c>
      <c r="N106" s="4">
        <f t="shared" si="14"/>
        <v>4.8</v>
      </c>
      <c r="O106" s="32">
        <f>LOOKUP(N106,{0,1.6,1.8,2,2.2,2.4,2.6,2.8,3,3.2,3.4,3.6,3.8,4,4.2,4.4,4.6,4.7,4.8,4.9,5},{0,10,20,30,40,50,60,62,64,66,68,70,72,74,76,78,80,85,90,95,100})</f>
        <v>90</v>
      </c>
      <c r="P106" s="4">
        <v>3.32</v>
      </c>
      <c r="Q106" s="4">
        <f t="shared" si="10"/>
        <v>6.68</v>
      </c>
      <c r="R106" s="32">
        <f>LOOKUP(Q106,{0,3.8,4,4.6,4.8,5,5.6,5.65,5.7,5.75,5.8,5.85,5.9,5.95,6,6.45,6.5,6.58,6.65,6.7,6.75},{0,10,20,30,40,50,60,62,64,66,68,70,72,74,76,78,80,85,90,95,100})</f>
        <v>90</v>
      </c>
      <c r="U106" s="4">
        <f t="shared" si="11"/>
        <v>90</v>
      </c>
      <c r="W106" s="5">
        <f t="shared" si="12"/>
        <v>56.4</v>
      </c>
      <c r="X106" s="20">
        <f t="shared" si="13"/>
        <v>80.5714285714286</v>
      </c>
    </row>
    <row r="107" s="1" customFormat="1" ht="15.6" hidden="1" spans="1:24">
      <c r="A107" s="4">
        <v>207</v>
      </c>
      <c r="B107" s="24" t="s">
        <v>349</v>
      </c>
      <c r="C107" s="25" t="s">
        <v>11</v>
      </c>
      <c r="D107" s="4">
        <v>19.5</v>
      </c>
      <c r="E107" s="32">
        <f>LOOKUP(D107,{0,-2.9,-1.9,-0.9,0.1,1.1,2.1,3.5,4.9,6.3,7.7,9.1,10.5,11.9,13.3,14.7,16.1,18.3,20.5,22.4,24.3},{0,10,20,30,40,50,60,62,64,66,68,70,72,74,76,78,80,85,90,95,100})</f>
        <v>85</v>
      </c>
      <c r="F107" s="4">
        <v>252</v>
      </c>
      <c r="G107" s="32">
        <f>LOOKUP(F107,{0,175,180,185,190,195,200,204,208,212,216,220,224,228,232,236,240,248,255,260,265},{0,10,20,30,40,50,60,62,64,66,68,70,72,74,76,78,80,85,90,95,100})</f>
        <v>85</v>
      </c>
      <c r="H107" s="4">
        <v>20</v>
      </c>
      <c r="I107" s="32">
        <f>LOOKUP(H107,{0,3,4,5,6,7,8,9,10,11,12,13,14,15,16,17},{0,10,20,30,40,50,60,64,68,72,76,80,85,90,95,100})</f>
        <v>100</v>
      </c>
      <c r="J107" s="4">
        <f>H107-17</f>
        <v>3</v>
      </c>
      <c r="K107" s="32">
        <f>LOOKUP(J107,{0,1,2,3,4,5,6,7,8,9,10},{0,1,2,3,4,5,6,7,8,9,10})</f>
        <v>3</v>
      </c>
      <c r="L107" s="4">
        <f t="shared" si="9"/>
        <v>103</v>
      </c>
      <c r="M107" s="4">
        <v>7.3</v>
      </c>
      <c r="N107" s="4">
        <f t="shared" si="14"/>
        <v>4.7</v>
      </c>
      <c r="O107" s="32">
        <f>LOOKUP(N107,{0,1.6,1.8,2,2.2,2.4,2.6,2.8,3,3.2,3.4,3.6,3.8,4,4.2,4.4,4.6,4.7,4.8,4.9,5},{0,10,20,30,40,50,60,62,64,66,68,70,72,74,76,78,80,85,90,95,100})</f>
        <v>85</v>
      </c>
      <c r="P107" s="4">
        <v>3.32</v>
      </c>
      <c r="Q107" s="4">
        <f t="shared" si="10"/>
        <v>6.68</v>
      </c>
      <c r="R107" s="32">
        <f>LOOKUP(Q107,{0,3.8,4,4.6,4.8,5,5.6,5.65,5.7,5.75,5.8,5.85,5.9,5.95,6,6.45,6.5,6.58,6.65,6.7,6.75},{0,10,20,30,40,50,60,62,64,66,68,70,72,74,76,78,80,85,90,95,100})</f>
        <v>90</v>
      </c>
      <c r="S107" s="4"/>
      <c r="T107" s="4"/>
      <c r="U107" s="4">
        <f t="shared" si="11"/>
        <v>90</v>
      </c>
      <c r="V107" s="4"/>
      <c r="W107" s="5">
        <f t="shared" si="12"/>
        <v>62</v>
      </c>
      <c r="X107" s="20">
        <f t="shared" si="13"/>
        <v>91.5714285714286</v>
      </c>
    </row>
    <row r="108" ht="15.6" hidden="1" spans="1:24">
      <c r="A108" s="4">
        <v>206</v>
      </c>
      <c r="B108" s="24" t="s">
        <v>296</v>
      </c>
      <c r="C108" s="25" t="s">
        <v>11</v>
      </c>
      <c r="D108" s="4">
        <v>20</v>
      </c>
      <c r="E108" s="32">
        <f>LOOKUP(D108,{0,-2.9,-1.9,-0.9,0.1,1.1,2.1,3.5,4.9,6.3,7.7,9.1,10.5,11.9,13.3,14.7,16.1,18.3,20.5,22.4,24.3},{0,10,20,30,40,50,60,62,64,66,68,70,72,74,76,78,80,85,90,95,100})</f>
        <v>85</v>
      </c>
      <c r="F108" s="4">
        <v>215</v>
      </c>
      <c r="G108" s="32">
        <f>LOOKUP(F108,{0,175,180,185,190,195,200,204,208,212,216,220,224,228,232,236,240,248,255,260,265},{0,10,20,30,40,50,60,62,64,66,68,70,72,74,76,78,80,85,90,95,100})</f>
        <v>66</v>
      </c>
      <c r="H108" s="4">
        <v>6</v>
      </c>
      <c r="I108" s="32">
        <f>LOOKUP(H108,{0,3,4,5,6,7,8,9,10,11,12,13,14,15,16,17},{0,10,20,30,40,50,60,64,68,72,76,80,85,90,95,100})</f>
        <v>40</v>
      </c>
      <c r="L108" s="4">
        <f t="shared" si="9"/>
        <v>40</v>
      </c>
      <c r="M108" s="4">
        <v>7.3</v>
      </c>
      <c r="N108" s="4">
        <f t="shared" si="14"/>
        <v>4.7</v>
      </c>
      <c r="O108" s="32">
        <f>LOOKUP(N108,{0,1.6,1.8,2,2.2,2.4,2.6,2.8,3,3.2,3.4,3.6,3.8,4,4.2,4.4,4.6,4.7,4.8,4.9,5},{0,10,20,30,40,50,60,62,64,66,68,70,72,74,76,78,80,85,90,95,100})</f>
        <v>85</v>
      </c>
      <c r="P108" s="4">
        <v>3.32</v>
      </c>
      <c r="Q108" s="4">
        <f t="shared" si="10"/>
        <v>6.68</v>
      </c>
      <c r="R108" s="32">
        <f>LOOKUP(Q108,{0,3.8,4,4.6,4.8,5,5.6,5.65,5.7,5.75,5.8,5.85,5.9,5.95,6,6.45,6.5,6.58,6.65,6.7,6.75},{0,10,20,30,40,50,60,62,64,66,68,70,72,74,76,78,80,85,90,95,100})</f>
        <v>90</v>
      </c>
      <c r="U108" s="4">
        <f t="shared" si="11"/>
        <v>90</v>
      </c>
      <c r="W108" s="5">
        <f t="shared" si="12"/>
        <v>54.1</v>
      </c>
      <c r="X108" s="20">
        <f t="shared" si="13"/>
        <v>77.2857142857143</v>
      </c>
    </row>
    <row r="109" ht="15.6" hidden="1" spans="1:24">
      <c r="A109" s="4">
        <v>210</v>
      </c>
      <c r="B109" s="24" t="s">
        <v>521</v>
      </c>
      <c r="C109" s="25" t="s">
        <v>11</v>
      </c>
      <c r="D109" s="4">
        <v>16</v>
      </c>
      <c r="E109" s="32">
        <f>LOOKUP(D109,{0,-2.9,-1.9,-0.9,0.1,1.1,2.1,3.5,4.9,6.3,7.7,9.1,10.5,11.9,13.3,14.7,16.1,18.3,20.5,22.4,24.3},{0,10,20,30,40,50,60,62,64,66,68,70,72,74,76,78,80,85,90,95,100})</f>
        <v>78</v>
      </c>
      <c r="F109" s="4">
        <v>236</v>
      </c>
      <c r="G109" s="32">
        <f>LOOKUP(F109,{0,175,180,185,190,195,200,204,208,212,216,220,224,228,232,236,240,248,255,260,265},{0,10,20,30,40,50,60,62,64,66,68,70,72,74,76,78,80,85,90,95,100})</f>
        <v>78</v>
      </c>
      <c r="H109" s="4">
        <v>4</v>
      </c>
      <c r="I109" s="32">
        <f>LOOKUP(H109,{0,3,4,5,6,7,8,9,10,11,12,13,14,15,16,17},{0,10,20,30,40,50,60,64,68,72,76,80,85,90,95,100})</f>
        <v>20</v>
      </c>
      <c r="L109" s="4">
        <f t="shared" si="9"/>
        <v>20</v>
      </c>
      <c r="M109" s="4">
        <v>7.3</v>
      </c>
      <c r="N109" s="4">
        <f t="shared" si="14"/>
        <v>4.7</v>
      </c>
      <c r="O109" s="32">
        <f>LOOKUP(N109,{0,1.6,1.8,2,2.2,2.4,2.6,2.8,3,3.2,3.4,3.6,3.8,4,4.2,4.4,4.6,4.7,4.8,4.9,5},{0,10,20,30,40,50,60,62,64,66,68,70,72,74,76,78,80,85,90,95,100})</f>
        <v>85</v>
      </c>
      <c r="P109" s="4">
        <v>3.32</v>
      </c>
      <c r="Q109" s="4">
        <f t="shared" si="10"/>
        <v>6.68</v>
      </c>
      <c r="R109" s="32">
        <f>LOOKUP(Q109,{0,3.8,4,4.6,4.8,5,5.6,5.65,5.7,5.75,5.8,5.85,5.9,5.95,6,6.45,6.5,6.58,6.65,6.7,6.75},{0,10,20,30,40,50,60,62,64,66,68,70,72,74,76,78,80,85,90,95,100})</f>
        <v>90</v>
      </c>
      <c r="U109" s="4">
        <f t="shared" si="11"/>
        <v>90</v>
      </c>
      <c r="W109" s="5">
        <f t="shared" si="12"/>
        <v>52.6</v>
      </c>
      <c r="X109" s="20">
        <f t="shared" si="13"/>
        <v>75.1428571428572</v>
      </c>
    </row>
    <row r="110" ht="15.6" hidden="1" spans="1:24">
      <c r="A110" s="4">
        <v>214</v>
      </c>
      <c r="B110" s="24" t="s">
        <v>728</v>
      </c>
      <c r="C110" s="25" t="s">
        <v>11</v>
      </c>
      <c r="D110" s="4">
        <v>15.5</v>
      </c>
      <c r="E110" s="32">
        <f>LOOKUP(D110,{0,-2.9,-1.9,-0.9,0.1,1.1,2.1,3.5,4.9,6.3,7.7,9.1,10.5,11.9,13.3,14.7,16.1,18.3,20.5,22.4,24.3},{0,10,20,30,40,50,60,62,64,66,68,70,72,74,76,78,80,85,90,95,100})</f>
        <v>78</v>
      </c>
      <c r="F110" s="4">
        <v>230</v>
      </c>
      <c r="G110" s="32">
        <f>LOOKUP(F110,{0,175,180,185,190,195,200,204,208,212,216,220,224,228,232,236,240,248,255,260,265},{0,10,20,30,40,50,60,62,64,66,68,70,72,74,76,78,80,85,90,95,100})</f>
        <v>74</v>
      </c>
      <c r="H110" s="4">
        <v>14</v>
      </c>
      <c r="I110" s="32">
        <f>LOOKUP(H110,{0,3,4,5,6,7,8,9,10,11,12,13,14,15,16,17},{0,10,20,30,40,50,60,64,68,72,76,80,85,90,95,100})</f>
        <v>85</v>
      </c>
      <c r="L110" s="4">
        <f t="shared" si="9"/>
        <v>85</v>
      </c>
      <c r="M110" s="4">
        <v>7.5</v>
      </c>
      <c r="N110" s="4">
        <f t="shared" si="14"/>
        <v>4.5</v>
      </c>
      <c r="O110" s="32">
        <f>LOOKUP(N110,{0,1.6,1.8,2,2.2,2.4,2.6,2.8,3,3.2,3.4,3.6,3.8,4,4.2,4.4,4.6,4.7,4.8,4.9,5},{0,10,20,30,40,50,60,62,64,66,68,70,72,74,76,78,80,85,90,95,100})</f>
        <v>78</v>
      </c>
      <c r="P110" s="4">
        <v>3.32</v>
      </c>
      <c r="Q110" s="4">
        <f t="shared" si="10"/>
        <v>6.68</v>
      </c>
      <c r="R110" s="32">
        <f>LOOKUP(Q110,{0,3.8,4,4.6,4.8,5,5.6,5.65,5.7,5.75,5.8,5.85,5.9,5.95,6,6.45,6.5,6.58,6.65,6.7,6.75},{0,10,20,30,40,50,60,62,64,66,68,70,72,74,76,78,80,85,90,95,100})</f>
        <v>90</v>
      </c>
      <c r="U110" s="4">
        <f t="shared" si="11"/>
        <v>90</v>
      </c>
      <c r="W110" s="5">
        <f t="shared" si="12"/>
        <v>57.3</v>
      </c>
      <c r="X110" s="20">
        <f t="shared" si="13"/>
        <v>81.8571428571429</v>
      </c>
    </row>
    <row r="111" ht="15.6" hidden="1" spans="1:24">
      <c r="A111" s="4">
        <v>203</v>
      </c>
      <c r="B111" s="24" t="s">
        <v>120</v>
      </c>
      <c r="C111" s="25" t="s">
        <v>11</v>
      </c>
      <c r="D111" s="4">
        <v>18</v>
      </c>
      <c r="E111" s="32">
        <f>LOOKUP(D111,{0,-2.9,-1.9,-0.9,0.1,1.1,2.1,3.5,4.9,6.3,7.7,9.1,10.5,11.9,13.3,14.7,16.1,18.3,20.5,22.4,24.3},{0,10,20,30,40,50,60,62,64,66,68,70,72,74,76,78,80,85,90,95,100})</f>
        <v>80</v>
      </c>
      <c r="F111" s="4">
        <v>252</v>
      </c>
      <c r="G111" s="32">
        <f>LOOKUP(F111,{0,175,180,185,190,195,200,204,208,212,216,220,224,228,232,236,240,248,255,260,265},{0,10,20,30,40,50,60,62,64,66,68,70,72,74,76,78,80,85,90,95,100})</f>
        <v>85</v>
      </c>
      <c r="H111" s="4">
        <v>1</v>
      </c>
      <c r="I111" s="32">
        <f>LOOKUP(H111,{0,3,4,5,6,7,8,9,10,11,12,13,14,15,16,17},{0,10,20,30,40,50,60,64,68,72,76,80,85,90,95,100})</f>
        <v>0</v>
      </c>
      <c r="L111" s="4">
        <f t="shared" si="9"/>
        <v>0</v>
      </c>
      <c r="M111" s="4">
        <v>7.5</v>
      </c>
      <c r="N111" s="4">
        <f t="shared" si="14"/>
        <v>4.5</v>
      </c>
      <c r="O111" s="32">
        <f>LOOKUP(N111,{0,1.6,1.8,2,2.2,2.4,2.6,2.8,3,3.2,3.4,3.6,3.8,4,4.2,4.4,4.6,4.7,4.8,4.9,5},{0,10,20,30,40,50,60,62,64,66,68,70,72,74,76,78,80,85,90,95,100})</f>
        <v>78</v>
      </c>
      <c r="P111" s="4">
        <v>3.32</v>
      </c>
      <c r="Q111" s="4">
        <f t="shared" si="10"/>
        <v>6.68</v>
      </c>
      <c r="R111" s="32">
        <f>LOOKUP(Q111,{0,3.8,4,4.6,4.8,5,5.6,5.65,5.7,5.75,5.8,5.85,5.9,5.95,6,6.45,6.5,6.58,6.65,6.7,6.75},{0,10,20,30,40,50,60,62,64,66,68,70,72,74,76,78,80,85,90,95,100})</f>
        <v>90</v>
      </c>
      <c r="U111" s="4">
        <f t="shared" si="11"/>
        <v>90</v>
      </c>
      <c r="W111" s="5">
        <f t="shared" si="12"/>
        <v>50.1</v>
      </c>
      <c r="X111" s="20">
        <f t="shared" si="13"/>
        <v>71.5714285714286</v>
      </c>
    </row>
    <row r="112" ht="15.6" hidden="1" spans="1:24">
      <c r="A112" s="4">
        <v>210</v>
      </c>
      <c r="B112" s="33" t="s">
        <v>520</v>
      </c>
      <c r="C112" s="25" t="s">
        <v>11</v>
      </c>
      <c r="D112" s="4">
        <v>7.9</v>
      </c>
      <c r="E112" s="32">
        <f>LOOKUP(D112,{0,-2.9,-1.9,-0.9,0.1,1.1,2.1,3.5,4.9,6.3,7.7,9.1,10.5,11.9,13.3,14.7,16.1,18.3,20.5,22.4,24.3},{0,10,20,30,40,50,60,62,64,66,68,70,72,74,76,78,80,85,90,95,100})</f>
        <v>68</v>
      </c>
      <c r="F112" s="4">
        <v>235</v>
      </c>
      <c r="G112" s="32">
        <f>LOOKUP(F112,{0,175,180,185,190,195,200,204,208,212,216,220,224,228,232,236,240,248,255,260,265},{0,10,20,30,40,50,60,62,64,66,68,70,72,74,76,78,80,85,90,95,100})</f>
        <v>76</v>
      </c>
      <c r="H112" s="4">
        <v>2</v>
      </c>
      <c r="I112" s="32">
        <f>LOOKUP(H112,{0,3,4,5,6,7,8,9,10,11,12,13,14,15,16,17},{0,10,20,30,40,50,60,64,68,72,76,80,85,90,95,100})</f>
        <v>0</v>
      </c>
      <c r="K112" s="35"/>
      <c r="L112" s="4">
        <f t="shared" si="9"/>
        <v>0</v>
      </c>
      <c r="M112" s="4">
        <v>7.7</v>
      </c>
      <c r="N112" s="4">
        <f t="shared" si="14"/>
        <v>4.3</v>
      </c>
      <c r="O112" s="32">
        <f>LOOKUP(N112,{0,1.6,1.8,2,2.2,2.4,2.6,2.8,3,3.2,3.4,3.6,3.8,4,4.2,4.4,4.6,4.7,4.8,4.9,5},{0,10,20,30,40,50,60,62,64,66,68,70,72,74,76,78,80,85,90,95,100})</f>
        <v>76</v>
      </c>
      <c r="P112" s="4">
        <v>3.32</v>
      </c>
      <c r="Q112" s="4">
        <f t="shared" si="10"/>
        <v>6.68</v>
      </c>
      <c r="R112" s="32">
        <f>LOOKUP(Q112,{0,3.8,4,4.6,4.8,5,5.6,5.65,5.7,5.75,5.8,5.85,5.9,5.95,6,6.45,6.5,6.58,6.65,6.7,6.75},{0,10,20,30,40,50,60,62,64,66,68,70,72,74,76,78,80,85,90,95,100})</f>
        <v>90</v>
      </c>
      <c r="U112" s="4">
        <f t="shared" si="11"/>
        <v>90</v>
      </c>
      <c r="W112" s="5">
        <f t="shared" si="12"/>
        <v>47.6</v>
      </c>
      <c r="X112" s="20">
        <f t="shared" si="13"/>
        <v>68</v>
      </c>
    </row>
    <row r="113" ht="15.6" hidden="1" spans="1:24">
      <c r="A113" s="4">
        <v>215</v>
      </c>
      <c r="B113" s="24" t="s">
        <v>801</v>
      </c>
      <c r="C113" s="25" t="s">
        <v>11</v>
      </c>
      <c r="D113" s="4">
        <v>23.6</v>
      </c>
      <c r="E113" s="32">
        <f>LOOKUP(D113,{0,-2.9,-1.9,-0.9,0.1,1.1,2.1,3.5,4.9,6.3,7.7,9.1,10.5,11.9,13.3,14.7,16.1,18.3,20.5,22.4,24.3},{0,10,20,30,40,50,60,62,64,66,68,70,72,74,76,78,80,85,90,95,100})</f>
        <v>95</v>
      </c>
      <c r="F113" s="4">
        <v>211</v>
      </c>
      <c r="G113" s="32">
        <f>LOOKUP(F113,{0,175,180,185,190,195,200,204,208,212,216,220,224,228,232,236,240,248,255,260,265},{0,10,20,30,40,50,60,62,64,66,68,70,72,74,76,78,80,85,90,95,100})</f>
        <v>64</v>
      </c>
      <c r="H113" s="4">
        <v>18</v>
      </c>
      <c r="I113" s="32">
        <f>LOOKUP(H113,{0,3,4,5,6,7,8,9,10,11,12,13,14,15,16,17},{0,10,20,30,40,50,60,64,68,72,76,80,85,90,95,100})</f>
        <v>100</v>
      </c>
      <c r="J113" s="4">
        <f t="shared" ref="J113:J119" si="15">H113-17</f>
        <v>1</v>
      </c>
      <c r="K113" s="34">
        <f>LOOKUP(J113,{0,1,2,3,4,5,6,7,8,9,10},{0,1,2,3,4,5,6,7,8,9,10})</f>
        <v>1</v>
      </c>
      <c r="L113" s="4">
        <f t="shared" si="9"/>
        <v>101</v>
      </c>
      <c r="M113" s="4">
        <v>7.2</v>
      </c>
      <c r="N113" s="4">
        <f t="shared" si="14"/>
        <v>4.8</v>
      </c>
      <c r="O113" s="32">
        <f>LOOKUP(N113,{0,1.6,1.8,2,2.2,2.4,2.6,2.8,3,3.2,3.4,3.6,3.8,4,4.2,4.4,4.6,4.7,4.8,4.9,5},{0,10,20,30,40,50,60,62,64,66,68,70,72,74,76,78,80,85,90,95,100})</f>
        <v>90</v>
      </c>
      <c r="P113" s="4">
        <v>3.33</v>
      </c>
      <c r="Q113" s="4">
        <f t="shared" si="10"/>
        <v>6.67</v>
      </c>
      <c r="R113" s="32">
        <f>LOOKUP(Q113,{0,3.8,4,4.6,4.8,5,5.6,5.65,5.7,5.75,5.8,5.85,5.9,5.95,6,6.45,6.5,6.58,6.65,6.7,6.75},{0,10,20,30,40,50,60,62,64,66,68,70,72,74,76,78,80,85,90,95,100})</f>
        <v>90</v>
      </c>
      <c r="U113" s="4">
        <f t="shared" si="11"/>
        <v>90</v>
      </c>
      <c r="W113" s="5">
        <f t="shared" si="12"/>
        <v>61.9</v>
      </c>
      <c r="X113" s="20">
        <f t="shared" si="13"/>
        <v>89.4285714285714</v>
      </c>
    </row>
    <row r="114" ht="15.6" hidden="1" spans="1:24">
      <c r="A114" s="4">
        <v>203</v>
      </c>
      <c r="B114" s="24" t="s">
        <v>143</v>
      </c>
      <c r="C114" s="25" t="s">
        <v>11</v>
      </c>
      <c r="D114" s="4">
        <v>7</v>
      </c>
      <c r="E114" s="32">
        <f>LOOKUP(D114,{0,-2.9,-1.9,-0.9,0.1,1.1,2.1,3.5,4.9,6.3,7.7,9.1,10.5,11.9,13.3,14.7,16.1,18.3,20.5,22.4,24.3},{0,10,20,30,40,50,60,62,64,66,68,70,72,74,76,78,80,85,90,95,100})</f>
        <v>66</v>
      </c>
      <c r="F114" s="4">
        <v>257</v>
      </c>
      <c r="G114" s="32">
        <f>LOOKUP(F114,{0,175,180,185,190,195,200,204,208,212,216,220,224,228,232,236,240,248,255,260,265},{0,10,20,30,40,50,60,62,64,66,68,70,72,74,76,78,80,85,90,95,100})</f>
        <v>90</v>
      </c>
      <c r="H114" s="4">
        <v>23</v>
      </c>
      <c r="I114" s="32">
        <f>LOOKUP(H114,{0,3,4,5,6,7,8,9,10,11,12,13,14,15,16,17},{0,10,20,30,40,50,60,64,68,72,76,80,85,90,95,100})</f>
        <v>100</v>
      </c>
      <c r="J114" s="4">
        <f t="shared" si="15"/>
        <v>6</v>
      </c>
      <c r="K114" s="32">
        <f>LOOKUP(J114,{0,1,2,3,4,5,6,7,8,9,10},{0,1,2,3,4,5,6,7,8,9,10})</f>
        <v>6</v>
      </c>
      <c r="L114" s="4">
        <f t="shared" si="9"/>
        <v>106</v>
      </c>
      <c r="M114" s="4">
        <v>7.5</v>
      </c>
      <c r="N114" s="4">
        <f t="shared" si="14"/>
        <v>4.5</v>
      </c>
      <c r="O114" s="32">
        <f>LOOKUP(N114,{0,1.6,1.8,2,2.2,2.4,2.6,2.8,3,3.2,3.4,3.6,3.8,4,4.2,4.4,4.6,4.7,4.8,4.9,5},{0,10,20,30,40,50,60,62,64,66,68,70,72,74,76,78,80,85,90,95,100})</f>
        <v>78</v>
      </c>
      <c r="P114" s="4">
        <v>3.33</v>
      </c>
      <c r="Q114" s="4">
        <f t="shared" si="10"/>
        <v>6.67</v>
      </c>
      <c r="R114" s="32">
        <f>LOOKUP(Q114,{0,3.8,4,4.6,4.8,5,5.6,5.65,5.7,5.75,5.8,5.85,5.9,5.95,6,6.45,6.5,6.58,6.65,6.7,6.75},{0,10,20,30,40,50,60,62,64,66,68,70,72,74,76,78,80,85,90,95,100})</f>
        <v>90</v>
      </c>
      <c r="U114" s="4">
        <f t="shared" si="11"/>
        <v>90</v>
      </c>
      <c r="W114" s="5">
        <f t="shared" si="12"/>
        <v>59.2</v>
      </c>
      <c r="X114" s="20">
        <f t="shared" si="13"/>
        <v>90.5714285714286</v>
      </c>
    </row>
    <row r="115" ht="15.6" hidden="1" spans="1:24">
      <c r="A115" s="4">
        <v>202</v>
      </c>
      <c r="B115" s="24" t="s">
        <v>94</v>
      </c>
      <c r="C115" s="25" t="s">
        <v>11</v>
      </c>
      <c r="D115" s="4">
        <v>19</v>
      </c>
      <c r="E115" s="32">
        <f>LOOKUP(D115,{0,-2.9,-1.9,-0.9,0.1,1.1,2.1,3.5,4.9,6.3,7.7,9.1,10.5,11.9,13.3,14.7,16.1,18.3,20.5,22.4,24.3},{0,10,20,30,40,50,60,62,64,66,68,70,72,74,76,78,80,85,90,95,100})</f>
        <v>85</v>
      </c>
      <c r="F115" s="4">
        <v>264</v>
      </c>
      <c r="G115" s="32">
        <f>LOOKUP(F115,{0,175,180,185,190,195,200,204,208,212,216,220,224,228,232,236,240,248,255,260,265},{0,10,20,30,40,50,60,62,64,66,68,70,72,74,76,78,80,85,90,95,100})</f>
        <v>95</v>
      </c>
      <c r="H115" s="4">
        <v>17</v>
      </c>
      <c r="I115" s="32">
        <f>LOOKUP(H115,{0,3,4,5,6,7,8,9,10,11,12,13,14,15,16,17},{0,10,20,30,40,50,60,64,68,72,76,80,85,90,95,100})</f>
        <v>100</v>
      </c>
      <c r="J115" s="4">
        <f t="shared" si="15"/>
        <v>0</v>
      </c>
      <c r="K115" s="32">
        <f>LOOKUP(J115,{0,1,2,3,4,5,6,7,8,9,10},{0,1,2,3,4,5,6,7,8,9,10})</f>
        <v>0</v>
      </c>
      <c r="L115" s="4">
        <f t="shared" si="9"/>
        <v>100</v>
      </c>
      <c r="O115" s="32"/>
      <c r="P115" s="4">
        <v>3.33</v>
      </c>
      <c r="Q115" s="4">
        <f t="shared" si="10"/>
        <v>6.67</v>
      </c>
      <c r="R115" s="32">
        <f>LOOKUP(Q115,{0,3.8,4,4.6,4.8,5,5.6,5.65,5.7,5.75,5.8,5.85,5.9,5.95,6,6.45,6.5,6.58,6.65,6.7,6.75},{0,10,20,30,40,50,60,62,64,66,68,70,72,74,76,78,80,85,90,95,100})</f>
        <v>90</v>
      </c>
      <c r="U115" s="4">
        <f t="shared" si="11"/>
        <v>90</v>
      </c>
      <c r="W115" s="5">
        <f t="shared" si="12"/>
        <v>46</v>
      </c>
      <c r="X115" s="20">
        <f t="shared" si="13"/>
        <v>65.7142857142857</v>
      </c>
    </row>
    <row r="116" ht="15.6" hidden="1" spans="1:24">
      <c r="A116" s="4">
        <v>209</v>
      </c>
      <c r="B116" s="24" t="s">
        <v>480</v>
      </c>
      <c r="C116" s="25" t="s">
        <v>11</v>
      </c>
      <c r="D116" s="4">
        <v>19.5</v>
      </c>
      <c r="E116" s="32">
        <f>LOOKUP(D116,{0,-2.9,-1.9,-0.9,0.1,1.1,2.1,3.5,4.9,6.3,7.7,9.1,10.5,11.9,13.3,14.7,16.1,18.3,20.5,22.4,24.3},{0,10,20,30,40,50,60,62,64,66,68,70,72,74,76,78,80,85,90,95,100})</f>
        <v>85</v>
      </c>
      <c r="F116" s="4">
        <v>270</v>
      </c>
      <c r="G116" s="32">
        <f>LOOKUP(F116,{0,175,180,185,190,195,200,204,208,212,216,220,224,228,232,236,240,248,255,260,265},{0,10,20,30,40,50,60,62,64,66,68,70,72,74,76,78,80,85,90,95,100})</f>
        <v>100</v>
      </c>
      <c r="H116" s="4">
        <v>27</v>
      </c>
      <c r="I116" s="32">
        <f>LOOKUP(H116,{0,3,4,5,6,7,8,9,10,11,12,13,14,15,16,17},{0,10,20,30,40,50,60,64,68,72,76,80,85,90,95,100})</f>
        <v>100</v>
      </c>
      <c r="J116" s="4">
        <f t="shared" si="15"/>
        <v>10</v>
      </c>
      <c r="K116" s="32">
        <f>LOOKUP(J116,{0,1,2,3,4,5,6,7,8,9,10},{0,1,2,3,4,5,6,7,8,9,10})</f>
        <v>10</v>
      </c>
      <c r="L116" s="4">
        <f t="shared" si="9"/>
        <v>110</v>
      </c>
      <c r="M116" s="4">
        <v>6.2</v>
      </c>
      <c r="N116" s="4">
        <f t="shared" ref="N116:N179" si="16">12-M116</f>
        <v>5.8</v>
      </c>
      <c r="O116" s="32">
        <f>LOOKUP(N116,{0,1.6,1.8,2,2.2,2.4,2.6,2.8,3,3.2,3.4,3.6,3.8,4,4.2,4.4,4.6,4.7,4.8,4.9,5},{0,10,20,30,40,50,60,62,64,66,68,70,72,74,76,78,80,85,90,95,100})</f>
        <v>100</v>
      </c>
      <c r="P116" s="4">
        <v>3.34</v>
      </c>
      <c r="Q116" s="4">
        <f t="shared" si="10"/>
        <v>6.66</v>
      </c>
      <c r="R116" s="32">
        <f>LOOKUP(Q116,{0,3.8,4,4.6,4.8,5,5.6,5.65,5.7,5.75,5.8,5.85,5.9,5.95,6,6.45,6.5,6.58,6.65,6.7,6.75},{0,10,20,30,40,50,60,62,64,66,68,70,72,74,76,78,80,85,90,95,100})</f>
        <v>90</v>
      </c>
      <c r="U116" s="4">
        <f t="shared" si="11"/>
        <v>90</v>
      </c>
      <c r="W116" s="5">
        <f t="shared" si="12"/>
        <v>66.5</v>
      </c>
      <c r="X116" s="20">
        <f t="shared" si="13"/>
        <v>105</v>
      </c>
    </row>
    <row r="117" ht="15.6" hidden="1" spans="1:24">
      <c r="A117" s="4">
        <v>212</v>
      </c>
      <c r="B117" s="24" t="s">
        <v>615</v>
      </c>
      <c r="C117" s="25" t="s">
        <v>11</v>
      </c>
      <c r="D117" s="4">
        <v>17.5</v>
      </c>
      <c r="E117" s="32">
        <f>LOOKUP(D117,{0,-2.9,-1.9,-0.9,0.1,1.1,2.1,3.5,4.9,6.3,7.7,9.1,10.5,11.9,13.3,14.7,16.1,18.3,20.5,22.4,24.3},{0,10,20,30,40,50,60,62,64,66,68,70,72,74,76,78,80,85,90,95,100})</f>
        <v>80</v>
      </c>
      <c r="F117" s="4">
        <v>270</v>
      </c>
      <c r="G117" s="32">
        <f>LOOKUP(F117,{0,175,180,185,190,195,200,204,208,212,216,220,224,228,232,236,240,248,255,260,265},{0,10,20,30,40,50,60,62,64,66,68,70,72,74,76,78,80,85,90,95,100})</f>
        <v>100</v>
      </c>
      <c r="H117" s="4">
        <v>27</v>
      </c>
      <c r="I117" s="32">
        <f>LOOKUP(H117,{0,3,4,5,6,7,8,9,10,11,12,13,14,15,16,17},{0,10,20,30,40,50,60,64,68,72,76,80,85,90,95,100})</f>
        <v>100</v>
      </c>
      <c r="J117" s="4">
        <f t="shared" si="15"/>
        <v>10</v>
      </c>
      <c r="K117" s="32">
        <f>LOOKUP(J117,{0,1,2,3,4,5,6,7,8,9,10},{0,1,2,3,4,5,6,7,8,9,10})</f>
        <v>10</v>
      </c>
      <c r="L117" s="4">
        <f t="shared" si="9"/>
        <v>110</v>
      </c>
      <c r="M117" s="4">
        <v>6.7</v>
      </c>
      <c r="N117" s="4">
        <f t="shared" si="16"/>
        <v>5.3</v>
      </c>
      <c r="O117" s="32">
        <f>LOOKUP(N117,{0,1.6,1.8,2,2.2,2.4,2.6,2.8,3,3.2,3.4,3.6,3.8,4,4.2,4.4,4.6,4.7,4.8,4.9,5},{0,10,20,30,40,50,60,62,64,66,68,70,72,74,76,78,80,85,90,95,100})</f>
        <v>100</v>
      </c>
      <c r="P117" s="4">
        <v>3.34</v>
      </c>
      <c r="Q117" s="4">
        <f t="shared" si="10"/>
        <v>6.66</v>
      </c>
      <c r="R117" s="32">
        <f>LOOKUP(Q117,{0,3.8,4,4.6,4.8,5,5.6,5.65,5.7,5.75,5.8,5.85,5.9,5.95,6,6.45,6.5,6.58,6.65,6.7,6.75},{0,10,20,30,40,50,60,62,64,66,68,70,72,74,76,78,80,85,90,95,100})</f>
        <v>90</v>
      </c>
      <c r="U117" s="4">
        <f t="shared" si="11"/>
        <v>90</v>
      </c>
      <c r="W117" s="5">
        <f t="shared" si="12"/>
        <v>66</v>
      </c>
      <c r="X117" s="20">
        <f t="shared" si="13"/>
        <v>104.285714285714</v>
      </c>
    </row>
    <row r="118" ht="15.6" hidden="1" spans="1:24">
      <c r="A118" s="4">
        <v>210</v>
      </c>
      <c r="B118" s="24" t="s">
        <v>495</v>
      </c>
      <c r="C118" s="25" t="s">
        <v>11</v>
      </c>
      <c r="D118" s="4">
        <v>37</v>
      </c>
      <c r="E118" s="32">
        <f>LOOKUP(D118,{0,-2.9,-1.9,-0.9,0.1,1.1,2.1,3.5,4.9,6.3,7.7,9.1,10.5,11.9,13.3,14.7,16.1,18.3,20.5,22.4,24.3},{0,10,20,30,40,50,60,62,64,66,68,70,72,74,76,78,80,85,90,95,100})</f>
        <v>100</v>
      </c>
      <c r="F118" s="4">
        <v>278</v>
      </c>
      <c r="G118" s="32">
        <f>LOOKUP(F118,{0,175,180,185,190,195,200,204,208,212,216,220,224,228,232,236,240,248,255,260,265},{0,10,20,30,40,50,60,62,64,66,68,70,72,74,76,78,80,85,90,95,100})</f>
        <v>100</v>
      </c>
      <c r="H118" s="4">
        <v>25</v>
      </c>
      <c r="I118" s="32">
        <f>LOOKUP(H118,{0,3,4,5,6,7,8,9,10,11,12,13,14,15,16,17},{0,10,20,30,40,50,60,64,68,72,76,80,85,90,95,100})</f>
        <v>100</v>
      </c>
      <c r="J118" s="4">
        <f t="shared" si="15"/>
        <v>8</v>
      </c>
      <c r="K118" s="32">
        <f>LOOKUP(J118,{0,1,2,3,4,5,6,7,8,9,10},{0,1,2,3,4,5,6,7,8,9,10})</f>
        <v>8</v>
      </c>
      <c r="L118" s="4">
        <f t="shared" si="9"/>
        <v>108</v>
      </c>
      <c r="M118" s="4">
        <v>6.9</v>
      </c>
      <c r="N118" s="4">
        <f t="shared" si="16"/>
        <v>5.1</v>
      </c>
      <c r="O118" s="32">
        <f>LOOKUP(N118,{0,1.6,1.8,2,2.2,2.4,2.6,2.8,3,3.2,3.4,3.6,3.8,4,4.2,4.4,4.6,4.7,4.8,4.9,5},{0,10,20,30,40,50,60,62,64,66,68,70,72,74,76,78,80,85,90,95,100})</f>
        <v>100</v>
      </c>
      <c r="P118" s="4">
        <v>3.34</v>
      </c>
      <c r="Q118" s="4">
        <f t="shared" si="10"/>
        <v>6.66</v>
      </c>
      <c r="R118" s="32">
        <f>LOOKUP(Q118,{0,3.8,4,4.6,4.8,5,5.6,5.65,5.7,5.75,5.8,5.85,5.9,5.95,6,6.45,6.5,6.58,6.65,6.7,6.75},{0,10,20,30,40,50,60,62,64,66,68,70,72,74,76,78,80,85,90,95,100})</f>
        <v>90</v>
      </c>
      <c r="U118" s="4">
        <f t="shared" si="11"/>
        <v>90</v>
      </c>
      <c r="W118" s="5">
        <f t="shared" si="12"/>
        <v>68</v>
      </c>
      <c r="X118" s="20">
        <f t="shared" si="13"/>
        <v>105.142857142857</v>
      </c>
    </row>
    <row r="119" customFormat="1" ht="15.6" hidden="1" spans="1:24">
      <c r="A119" s="4">
        <v>207</v>
      </c>
      <c r="B119" s="33" t="s">
        <v>326</v>
      </c>
      <c r="C119" s="25" t="s">
        <v>11</v>
      </c>
      <c r="D119" s="4">
        <v>10</v>
      </c>
      <c r="E119" s="32">
        <f>LOOKUP(D119,{0,-2.9,-1.9,-0.9,0.1,1.1,2.1,3.5,4.9,6.3,7.7,9.1,10.5,11.9,13.3,14.7,16.1,18.3,20.5,22.4,24.3},{0,10,20,30,40,50,60,62,64,66,68,70,72,74,76,78,80,85,90,95,100})</f>
        <v>70</v>
      </c>
      <c r="F119" s="4">
        <v>220</v>
      </c>
      <c r="G119" s="32">
        <f>LOOKUP(F119,{0,175,180,185,190,195,200,204,208,212,216,220,224,228,232,236,240,248,255,260,265},{0,10,20,30,40,50,60,62,64,66,68,70,72,74,76,78,80,85,90,95,100})</f>
        <v>70</v>
      </c>
      <c r="H119" s="4">
        <v>18</v>
      </c>
      <c r="I119" s="32">
        <f>LOOKUP(H119,{0,3,4,5,6,7,8,9,10,11,12,13,14,15,16,17},{0,10,20,30,40,50,60,64,68,72,76,80,85,90,95,100})</f>
        <v>100</v>
      </c>
      <c r="J119" s="4">
        <f t="shared" si="15"/>
        <v>1</v>
      </c>
      <c r="K119" s="34">
        <f>LOOKUP(J119,{0,1,2,3,4,5,6,7,8,9,10},{0,1,2,3,4,5,6,7,8,9,10})</f>
        <v>1</v>
      </c>
      <c r="L119" s="4">
        <f t="shared" si="9"/>
        <v>101</v>
      </c>
      <c r="M119" s="4">
        <v>7</v>
      </c>
      <c r="N119" s="4">
        <f t="shared" si="16"/>
        <v>5</v>
      </c>
      <c r="O119" s="32">
        <f>LOOKUP(N119,{0,1.6,1.8,2,2.2,2.4,2.6,2.8,3,3.2,3.4,3.6,3.8,4,4.2,4.4,4.6,4.7,4.8,4.9,5},{0,10,20,30,40,50,60,62,64,66,68,70,72,74,76,78,80,85,90,95,100})</f>
        <v>100</v>
      </c>
      <c r="P119" s="4">
        <v>3.34</v>
      </c>
      <c r="Q119" s="4">
        <f t="shared" si="10"/>
        <v>6.66</v>
      </c>
      <c r="R119" s="32">
        <f>LOOKUP(Q119,{0,3.8,4,4.6,4.8,5,5.6,5.65,5.7,5.75,5.8,5.85,5.9,5.95,6,6.45,6.5,6.58,6.65,6.7,6.75},{0,10,20,30,40,50,60,62,64,66,68,70,72,74,76,78,80,85,90,95,100})</f>
        <v>90</v>
      </c>
      <c r="S119" s="4"/>
      <c r="T119" s="4"/>
      <c r="U119" s="4">
        <f t="shared" si="11"/>
        <v>90</v>
      </c>
      <c r="V119" s="4"/>
      <c r="W119" s="5">
        <f t="shared" si="12"/>
        <v>62</v>
      </c>
      <c r="X119" s="20">
        <f t="shared" si="13"/>
        <v>89.5714285714286</v>
      </c>
    </row>
    <row r="120" customFormat="1" ht="15.6" hidden="1" spans="1:24">
      <c r="A120" s="4">
        <v>207</v>
      </c>
      <c r="B120" s="24" t="s">
        <v>336</v>
      </c>
      <c r="C120" s="25" t="s">
        <v>11</v>
      </c>
      <c r="D120" s="4">
        <v>5</v>
      </c>
      <c r="E120" s="32">
        <f>LOOKUP(D120,{0,-2.9,-1.9,-0.9,0.1,1.1,2.1,3.5,4.9,6.3,7.7,9.1,10.5,11.9,13.3,14.7,16.1,18.3,20.5,22.4,24.3},{0,10,20,30,40,50,60,62,64,66,68,70,72,74,76,78,80,85,90,95,100})</f>
        <v>64</v>
      </c>
      <c r="F120" s="4">
        <v>223</v>
      </c>
      <c r="G120" s="32">
        <f>LOOKUP(F120,{0,175,180,185,190,195,200,204,208,212,216,220,224,228,232,236,240,248,255,260,265},{0,10,20,30,40,50,60,62,64,66,68,70,72,74,76,78,80,85,90,95,100})</f>
        <v>70</v>
      </c>
      <c r="H120" s="4">
        <v>15</v>
      </c>
      <c r="I120" s="32">
        <f>LOOKUP(H120,{0,3,4,5,6,7,8,9,10,11,12,13,14,15,16,17},{0,10,20,30,40,50,60,64,68,72,76,80,85,90,95,100})</f>
        <v>90</v>
      </c>
      <c r="J120" s="4"/>
      <c r="K120" s="4"/>
      <c r="L120" s="4">
        <f t="shared" si="9"/>
        <v>90</v>
      </c>
      <c r="M120" s="4">
        <v>7.1</v>
      </c>
      <c r="N120" s="4">
        <f t="shared" si="16"/>
        <v>4.9</v>
      </c>
      <c r="O120" s="32">
        <f>LOOKUP(N120,{0,1.6,1.8,2,2.2,2.4,2.6,2.8,3,3.2,3.4,3.6,3.8,4,4.2,4.4,4.6,4.7,4.8,4.9,5},{0,10,20,30,40,50,60,62,64,66,68,70,72,74,76,78,80,85,90,95,100})</f>
        <v>95</v>
      </c>
      <c r="P120" s="4">
        <v>3.34</v>
      </c>
      <c r="Q120" s="4">
        <f t="shared" si="10"/>
        <v>6.66</v>
      </c>
      <c r="R120" s="32">
        <f>LOOKUP(Q120,{0,3.8,4,4.6,4.8,5,5.6,5.65,5.7,5.75,5.8,5.85,5.9,5.95,6,6.45,6.5,6.58,6.65,6.7,6.75},{0,10,20,30,40,50,60,62,64,66,68,70,72,74,76,78,80,85,90,95,100})</f>
        <v>90</v>
      </c>
      <c r="S120" s="4"/>
      <c r="T120" s="4"/>
      <c r="U120" s="4">
        <f t="shared" si="11"/>
        <v>90</v>
      </c>
      <c r="V120" s="4"/>
      <c r="W120" s="5">
        <f t="shared" si="12"/>
        <v>59.4</v>
      </c>
      <c r="X120" s="20">
        <f t="shared" si="13"/>
        <v>84.8571428571429</v>
      </c>
    </row>
    <row r="121" customFormat="1" ht="15.6" hidden="1" spans="1:24">
      <c r="A121" s="4">
        <v>201</v>
      </c>
      <c r="B121" s="24" t="s">
        <v>49</v>
      </c>
      <c r="C121" s="25" t="s">
        <v>11</v>
      </c>
      <c r="D121" s="4">
        <v>27.1</v>
      </c>
      <c r="E121" s="32">
        <f>LOOKUP(D121,{0,-2.9,-1.9,-0.9,0.1,1.1,2.1,3.5,4.9,6.3,7.7,9.1,10.5,11.9,13.3,14.7,16.1,18.3,20.5,22.4,24.3},{0,10,20,30,40,50,60,62,64,66,68,70,72,74,76,78,80,85,90,95,100})</f>
        <v>100</v>
      </c>
      <c r="F121" s="4">
        <v>231</v>
      </c>
      <c r="G121" s="32">
        <f>LOOKUP(F121,{0,175,180,185,190,195,200,204,208,212,216,220,224,228,232,236,240,248,255,260,265},{0,10,20,30,40,50,60,62,64,66,68,70,72,74,76,78,80,85,90,95,100})</f>
        <v>74</v>
      </c>
      <c r="H121" s="4">
        <v>13</v>
      </c>
      <c r="I121" s="32">
        <f>LOOKUP(H121,{0,3,4,5,6,7,8,9,10,11,12,13,14,15,16,17},{0,10,20,30,40,50,60,64,68,72,76,80,85,90,95,100})</f>
        <v>80</v>
      </c>
      <c r="J121" s="4"/>
      <c r="K121" s="4"/>
      <c r="L121" s="4">
        <f t="shared" si="9"/>
        <v>80</v>
      </c>
      <c r="M121" s="4">
        <v>7.1</v>
      </c>
      <c r="N121" s="4">
        <f t="shared" si="16"/>
        <v>4.9</v>
      </c>
      <c r="O121" s="32">
        <f>LOOKUP(N121,{0,1.6,1.8,2,2.2,2.4,2.6,2.8,3,3.2,3.4,3.6,3.8,4,4.2,4.4,4.6,4.7,4.8,4.9,5},{0,10,20,30,40,50,60,62,64,66,68,70,72,74,76,78,80,85,90,95,100})</f>
        <v>95</v>
      </c>
      <c r="P121" s="4">
        <v>3.34</v>
      </c>
      <c r="Q121" s="4">
        <f t="shared" si="10"/>
        <v>6.66</v>
      </c>
      <c r="R121" s="32">
        <f>LOOKUP(Q121,{0,3.8,4,4.6,4.8,5,5.6,5.65,5.7,5.75,5.8,5.85,5.9,5.95,6,6.45,6.5,6.58,6.65,6.7,6.75},{0,10,20,30,40,50,60,62,64,66,68,70,72,74,76,78,80,85,90,95,100})</f>
        <v>90</v>
      </c>
      <c r="S121" s="4"/>
      <c r="T121" s="4"/>
      <c r="U121" s="4">
        <f t="shared" si="11"/>
        <v>90</v>
      </c>
      <c r="V121" s="4"/>
      <c r="W121" s="5">
        <f t="shared" si="12"/>
        <v>62.4</v>
      </c>
      <c r="X121" s="20">
        <f t="shared" si="13"/>
        <v>89.1428571428572</v>
      </c>
    </row>
    <row r="122" customFormat="1" ht="15.6" hidden="1" spans="1:24">
      <c r="A122" s="4">
        <v>207</v>
      </c>
      <c r="B122" s="24" t="s">
        <v>359</v>
      </c>
      <c r="C122" s="25" t="s">
        <v>11</v>
      </c>
      <c r="D122" s="4">
        <v>11.4</v>
      </c>
      <c r="E122" s="32">
        <f>LOOKUP(D122,{0,-2.9,-1.9,-0.9,0.1,1.1,2.1,3.5,4.9,6.3,7.7,9.1,10.5,11.9,13.3,14.7,16.1,18.3,20.5,22.4,24.3},{0,10,20,30,40,50,60,62,64,66,68,70,72,74,76,78,80,85,90,95,100})</f>
        <v>72</v>
      </c>
      <c r="F122" s="4">
        <v>215</v>
      </c>
      <c r="G122" s="32">
        <f>LOOKUP(F122,{0,175,180,185,190,195,200,204,208,212,216,220,224,228,232,236,240,248,255,260,265},{0,10,20,30,40,50,60,62,64,66,68,70,72,74,76,78,80,85,90,95,100})</f>
        <v>66</v>
      </c>
      <c r="H122" s="4">
        <v>3</v>
      </c>
      <c r="I122" s="32">
        <f>LOOKUP(H122,{0,3,4,5,6,7,8,9,10,11,12,13,14,15,16,17},{0,10,20,30,40,50,60,64,68,72,76,80,85,90,95,100})</f>
        <v>10</v>
      </c>
      <c r="J122" s="4"/>
      <c r="K122" s="4"/>
      <c r="L122" s="4">
        <f t="shared" si="9"/>
        <v>10</v>
      </c>
      <c r="M122" s="4">
        <v>7.1</v>
      </c>
      <c r="N122" s="4">
        <f t="shared" si="16"/>
        <v>4.9</v>
      </c>
      <c r="O122" s="32">
        <f>LOOKUP(N122,{0,1.6,1.8,2,2.2,2.4,2.6,2.8,3,3.2,3.4,3.6,3.8,4,4.2,4.4,4.6,4.7,4.8,4.9,5},{0,10,20,30,40,50,60,62,64,66,68,70,72,74,76,78,80,85,90,95,100})</f>
        <v>95</v>
      </c>
      <c r="P122" s="4">
        <v>3.34</v>
      </c>
      <c r="Q122" s="4">
        <f t="shared" si="10"/>
        <v>6.66</v>
      </c>
      <c r="R122" s="32">
        <f>LOOKUP(Q122,{0,3.8,4,4.6,4.8,5,5.6,5.65,5.7,5.75,5.8,5.85,5.9,5.95,6,6.45,6.5,6.58,6.65,6.7,6.75},{0,10,20,30,40,50,60,62,64,66,68,70,72,74,76,78,80,85,90,95,100})</f>
        <v>90</v>
      </c>
      <c r="S122" s="4"/>
      <c r="T122" s="4"/>
      <c r="U122" s="4">
        <f t="shared" si="11"/>
        <v>90</v>
      </c>
      <c r="V122" s="4"/>
      <c r="W122" s="5">
        <f t="shared" si="12"/>
        <v>51.8</v>
      </c>
      <c r="X122" s="20">
        <f t="shared" si="13"/>
        <v>74</v>
      </c>
    </row>
    <row r="123" customFormat="1" ht="15.6" hidden="1" spans="1:24">
      <c r="A123" s="4">
        <v>210</v>
      </c>
      <c r="B123" s="24" t="s">
        <v>511</v>
      </c>
      <c r="C123" s="25" t="s">
        <v>11</v>
      </c>
      <c r="D123" s="4">
        <v>13.4</v>
      </c>
      <c r="E123" s="32">
        <f>LOOKUP(D123,{0,-2.9,-1.9,-0.9,0.1,1.1,2.1,3.5,4.9,6.3,7.7,9.1,10.5,11.9,13.3,14.7,16.1,18.3,20.5,22.4,24.3},{0,10,20,30,40,50,60,62,64,66,68,70,72,74,76,78,80,85,90,95,100})</f>
        <v>76</v>
      </c>
      <c r="F123" s="4">
        <v>232</v>
      </c>
      <c r="G123" s="32">
        <f>LOOKUP(F123,{0,175,180,185,190,195,200,204,208,212,216,220,224,228,232,236,240,248,255,260,265},{0,10,20,30,40,50,60,62,64,66,68,70,72,74,76,78,80,85,90,95,100})</f>
        <v>76</v>
      </c>
      <c r="H123" s="4">
        <v>3</v>
      </c>
      <c r="I123" s="32">
        <f>LOOKUP(H123,{0,3,4,5,6,7,8,9,10,11,12,13,14,15,16,17},{0,10,20,30,40,50,60,64,68,72,76,80,85,90,95,100})</f>
        <v>10</v>
      </c>
      <c r="J123" s="4"/>
      <c r="K123" s="4"/>
      <c r="L123" s="4">
        <f t="shared" si="9"/>
        <v>10</v>
      </c>
      <c r="M123" s="4">
        <v>7.2</v>
      </c>
      <c r="N123" s="4">
        <f t="shared" si="16"/>
        <v>4.8</v>
      </c>
      <c r="O123" s="32">
        <f>LOOKUP(N123,{0,1.6,1.8,2,2.2,2.4,2.6,2.8,3,3.2,3.4,3.6,3.8,4,4.2,4.4,4.6,4.7,4.8,4.9,5},{0,10,20,30,40,50,60,62,64,66,68,70,72,74,76,78,80,85,90,95,100})</f>
        <v>90</v>
      </c>
      <c r="P123" s="4">
        <v>3.34</v>
      </c>
      <c r="Q123" s="4">
        <f t="shared" si="10"/>
        <v>6.66</v>
      </c>
      <c r="R123" s="32">
        <f>LOOKUP(Q123,{0,3.8,4,4.6,4.8,5,5.6,5.65,5.7,5.75,5.8,5.85,5.9,5.95,6,6.45,6.5,6.58,6.65,6.7,6.75},{0,10,20,30,40,50,60,62,64,66,68,70,72,74,76,78,80,85,90,95,100})</f>
        <v>90</v>
      </c>
      <c r="S123" s="4"/>
      <c r="T123" s="4"/>
      <c r="U123" s="4">
        <f t="shared" si="11"/>
        <v>90</v>
      </c>
      <c r="V123" s="4"/>
      <c r="W123" s="5">
        <f t="shared" si="12"/>
        <v>52.2</v>
      </c>
      <c r="X123" s="20">
        <f t="shared" si="13"/>
        <v>74.5714285714286</v>
      </c>
    </row>
    <row r="124" customFormat="1" ht="15.6" hidden="1" spans="1:24">
      <c r="A124" s="4">
        <v>213</v>
      </c>
      <c r="B124" s="24" t="s">
        <v>703</v>
      </c>
      <c r="C124" s="25" t="s">
        <v>53</v>
      </c>
      <c r="D124" s="4">
        <v>12.4</v>
      </c>
      <c r="E124" s="32">
        <f>LOOKUP(D124,{0,1,1.8,2.6,3.4,4.2,5,6.3,7.6,8.9,10.2,11.5,12.8,14.1,15.4,16.7,18,19.7,21.4,23.1,24.8},{0,10,20,30,40,50,60,62,64,66,68,70,72,74,76,78,80,85,90,95,100})</f>
        <v>70</v>
      </c>
      <c r="F124" s="4">
        <v>215</v>
      </c>
      <c r="G124" s="32">
        <f>LOOKUP(F124,{0,124,129,134,139,144,149,152,155,158,161,164,167,170,173,176,179,186,193,199,205},{0,10,20,30,40,50,60,62,64,66,68,70,72,74,76,78,80,85,90,95,100})</f>
        <v>100</v>
      </c>
      <c r="H124" s="4">
        <v>55</v>
      </c>
      <c r="I124" s="32">
        <f>LOOKUP(H124,{0,14,16,18,20,22,24,26,28,30,32,34,36,38,40,42,44,47,50,52,54},{0,10,20,30,40,50,60,62,64,66,68,70,72,74,76,78,80,85,90,95,100})</f>
        <v>100</v>
      </c>
      <c r="J124" s="4">
        <f>H124-54</f>
        <v>1</v>
      </c>
      <c r="K124" s="32">
        <f>LOOKUP(J124,{0,2,4,6,7,8,9,10,11,12,13},{0,1,2,3,4,5,6,7,8,9,10})</f>
        <v>0</v>
      </c>
      <c r="L124" s="4">
        <f t="shared" si="9"/>
        <v>100</v>
      </c>
      <c r="M124" s="4">
        <v>7.9</v>
      </c>
      <c r="N124" s="4">
        <f t="shared" si="16"/>
        <v>4.1</v>
      </c>
      <c r="O124" s="32">
        <f>LOOKUP(N124,{0,0.5,0.7,0.9,1.1,1.3,1.5,1.7,1.9,2.1,2.3,2.5,2.7,2.9,3.1,3.3,3.5,3.8,4.1,4.2,4.3},{0,10,20,30,40,50,60,62,64,66,68,70,72,74,76,78,80,85,90,95,100})</f>
        <v>90</v>
      </c>
      <c r="P124" s="4">
        <v>3.13</v>
      </c>
      <c r="Q124" s="4">
        <f t="shared" si="10"/>
        <v>6.87</v>
      </c>
      <c r="R124" s="32">
        <f>LOOKUP(Q124,{0,4.72,4.82,4.92,5.42,5.52,5.62,5.67,5.72,5.77,5.82,5.87,5.92,5.97,6.42,6.47,6.52,6.59,6.66,6.72,6.78},{0,10,20,30,40,50,60,62,64,66,68,70,72,74,76,78,80,85,90,95,100})</f>
        <v>100</v>
      </c>
      <c r="S124" s="39">
        <f>3.22-P124</f>
        <v>0.0900000000000003</v>
      </c>
      <c r="T124" s="32">
        <f>LOOKUP(S124,{0,0.05,0.1,0.15,0.2,0.25,0.3,0.35,0.4,0.45,0.5},{0,1,2,3,4,5,6,7,8,9,10})</f>
        <v>1</v>
      </c>
      <c r="U124" s="4">
        <f t="shared" si="11"/>
        <v>101</v>
      </c>
      <c r="V124" s="4"/>
      <c r="W124" s="5">
        <f t="shared" si="12"/>
        <v>65</v>
      </c>
      <c r="X124" s="20">
        <f t="shared" si="13"/>
        <v>93.8571428571429</v>
      </c>
    </row>
    <row r="125" customFormat="1" ht="15.6" hidden="1" spans="1:24">
      <c r="A125" s="4">
        <v>206</v>
      </c>
      <c r="B125" s="24" t="s">
        <v>324</v>
      </c>
      <c r="C125" s="25" t="s">
        <v>53</v>
      </c>
      <c r="D125" s="4">
        <v>22.5</v>
      </c>
      <c r="E125" s="32">
        <f>LOOKUP(D125,{0,1,1.8,2.6,3.4,4.2,5,6.3,7.6,8.9,10.2,11.5,12.8,14.1,15.4,16.7,18,19.7,21.4,23.1,24.8},{0,10,20,30,40,50,60,62,64,66,68,70,72,74,76,78,80,85,90,95,100})</f>
        <v>90</v>
      </c>
      <c r="F125" s="4">
        <v>195</v>
      </c>
      <c r="G125" s="32">
        <f>LOOKUP(F125,{0,124,129,134,139,144,149,152,155,158,161,164,167,170,173,176,179,186,193,199,205},{0,10,20,30,40,50,60,62,64,66,68,70,72,74,76,78,80,85,90,95,100})</f>
        <v>90</v>
      </c>
      <c r="H125" s="4">
        <v>62</v>
      </c>
      <c r="I125" s="32">
        <f>LOOKUP(H125,{0,14,16,18,20,22,24,26,28,30,32,34,36,38,40,42,44,47,50,52,54},{0,10,20,30,40,50,60,62,64,66,68,70,72,74,76,78,80,85,90,95,100})</f>
        <v>100</v>
      </c>
      <c r="J125" s="4">
        <f>H125-54</f>
        <v>8</v>
      </c>
      <c r="K125" s="32">
        <f>LOOKUP(J125,{0,2,4,6,7,8,9,10,11,12,13},{0,1,2,3,4,5,6,7,8,9,10})</f>
        <v>5</v>
      </c>
      <c r="L125" s="4">
        <f t="shared" si="9"/>
        <v>105</v>
      </c>
      <c r="M125" s="4">
        <v>8.4</v>
      </c>
      <c r="N125" s="4">
        <f t="shared" si="16"/>
        <v>3.6</v>
      </c>
      <c r="O125" s="32">
        <f>LOOKUP(N125,{0,0.5,0.7,0.9,1.1,1.3,1.5,1.7,1.9,2.1,2.3,2.5,2.7,2.9,3.1,3.3,3.5,3.8,4.1,4.2,4.3},{0,10,20,30,40,50,60,62,64,66,68,70,72,74,76,78,80,85,90,95,100})</f>
        <v>80</v>
      </c>
      <c r="P125" s="4">
        <v>3.31</v>
      </c>
      <c r="Q125" s="4">
        <f t="shared" si="10"/>
        <v>6.69</v>
      </c>
      <c r="R125" s="32">
        <f>LOOKUP(Q125,{0,4.72,4.82,4.92,5.42,5.52,5.62,5.67,5.72,5.77,5.82,5.87,5.92,5.97,6.42,6.47,6.52,6.59,6.66,6.72,6.78},{0,10,20,30,40,50,60,62,64,66,68,70,72,74,76,78,80,85,90,95,100})</f>
        <v>90</v>
      </c>
      <c r="S125" s="4"/>
      <c r="T125" s="4"/>
      <c r="U125" s="4">
        <f t="shared" si="11"/>
        <v>90</v>
      </c>
      <c r="V125" s="4"/>
      <c r="W125" s="5">
        <f t="shared" si="12"/>
        <v>62</v>
      </c>
      <c r="X125" s="20">
        <f t="shared" si="13"/>
        <v>93.5714285714286</v>
      </c>
    </row>
    <row r="126" customFormat="1" ht="15.6" hidden="1" spans="1:24">
      <c r="A126" s="4">
        <v>213</v>
      </c>
      <c r="B126" s="24" t="s">
        <v>725</v>
      </c>
      <c r="C126" s="25" t="s">
        <v>53</v>
      </c>
      <c r="D126" s="4">
        <v>26</v>
      </c>
      <c r="E126" s="32">
        <f>LOOKUP(D126,{0,1,1.8,2.6,3.4,4.2,5,6.3,7.6,8.9,10.2,11.5,12.8,14.1,15.4,16.7,18,19.7,21.4,23.1,24.8},{0,10,20,30,40,50,60,62,64,66,68,70,72,74,76,78,80,85,90,95,100})</f>
        <v>100</v>
      </c>
      <c r="F126" s="4">
        <v>202</v>
      </c>
      <c r="G126" s="32">
        <f>LOOKUP(F126,{0,124,129,134,139,144,149,152,155,158,161,164,167,170,173,176,179,186,193,199,205},{0,10,20,30,40,50,60,62,64,66,68,70,72,74,76,78,80,85,90,95,100})</f>
        <v>95</v>
      </c>
      <c r="H126" s="4">
        <v>52</v>
      </c>
      <c r="I126" s="32">
        <f>LOOKUP(H126,{0,14,16,18,20,22,24,26,28,30,32,34,36,38,40,42,44,47,50,52,54},{0,10,20,30,40,50,60,62,64,66,68,70,72,74,76,78,80,85,90,95,100})</f>
        <v>95</v>
      </c>
      <c r="J126" s="4"/>
      <c r="K126" s="4"/>
      <c r="L126" s="4">
        <f t="shared" si="9"/>
        <v>95</v>
      </c>
      <c r="M126" s="4">
        <v>8.7</v>
      </c>
      <c r="N126" s="4">
        <f t="shared" si="16"/>
        <v>3.3</v>
      </c>
      <c r="O126" s="32">
        <f>LOOKUP(N126,{0,0.5,0.7,0.9,1.1,1.3,1.5,1.7,1.9,2.1,2.3,2.5,2.7,2.9,3.1,3.3,3.5,3.8,4.1,4.2,4.3},{0,10,20,30,40,50,60,62,64,66,68,70,72,74,76,78,80,85,90,95,100})</f>
        <v>78</v>
      </c>
      <c r="P126" s="4">
        <v>3.16</v>
      </c>
      <c r="Q126" s="4">
        <f t="shared" si="10"/>
        <v>6.84</v>
      </c>
      <c r="R126" s="32">
        <f>LOOKUP(Q126,{0,4.72,4.82,4.92,5.42,5.52,5.62,5.67,5.72,5.77,5.82,5.87,5.92,5.97,6.42,6.47,6.52,6.59,6.66,6.72,6.78},{0,10,20,30,40,50,60,62,64,66,68,70,72,74,76,78,80,85,90,95,100})</f>
        <v>100</v>
      </c>
      <c r="S126" s="39">
        <f>3.22-P126</f>
        <v>0.0600000000000001</v>
      </c>
      <c r="T126" s="32">
        <f>LOOKUP(S126,{0,0.05,0.1,0.15,0.2,0.25,0.3,0.35,0.4,0.45,0.5},{0,1,2,3,4,5,6,7,8,9,10})</f>
        <v>1</v>
      </c>
      <c r="U126" s="4">
        <f t="shared" si="11"/>
        <v>101</v>
      </c>
      <c r="V126" s="4"/>
      <c r="W126" s="5">
        <f t="shared" si="12"/>
        <v>64.6</v>
      </c>
      <c r="X126" s="20">
        <f t="shared" si="13"/>
        <v>93.2857142857143</v>
      </c>
    </row>
    <row r="127" customFormat="1" ht="15.6" hidden="1" spans="1:24">
      <c r="A127" s="4">
        <v>204</v>
      </c>
      <c r="B127" s="24" t="s">
        <v>176</v>
      </c>
      <c r="C127" s="25" t="s">
        <v>53</v>
      </c>
      <c r="D127" s="4">
        <v>15.5</v>
      </c>
      <c r="E127" s="32">
        <f>LOOKUP(D127,{0,1,1.8,2.6,3.4,4.2,5,6.3,7.6,8.9,10.2,11.5,12.8,14.1,15.4,16.7,18,19.7,21.4,23.1,24.8},{0,10,20,30,40,50,60,62,64,66,68,70,72,74,76,78,80,85,90,95,100})</f>
        <v>76</v>
      </c>
      <c r="F127" s="4">
        <v>207</v>
      </c>
      <c r="G127" s="32">
        <f>LOOKUP(F127,{0,124,129,134,139,144,149,152,155,158,161,164,167,170,173,176,179,186,193,199,205},{0,10,20,30,40,50,60,62,64,66,68,70,72,74,76,78,80,85,90,95,100})</f>
        <v>100</v>
      </c>
      <c r="H127" s="4">
        <v>35</v>
      </c>
      <c r="I127" s="32">
        <f>LOOKUP(H127,{0,14,16,18,20,22,24,26,28,30,32,34,36,38,40,42,44,47,50,52,54},{0,10,20,30,40,50,60,62,64,66,68,70,72,74,76,78,80,85,90,95,100})</f>
        <v>70</v>
      </c>
      <c r="J127" s="4"/>
      <c r="K127" s="4"/>
      <c r="L127" s="4">
        <f t="shared" si="9"/>
        <v>70</v>
      </c>
      <c r="M127" s="4">
        <v>7.7</v>
      </c>
      <c r="N127" s="4">
        <f t="shared" si="16"/>
        <v>4.3</v>
      </c>
      <c r="O127" s="32">
        <f>LOOKUP(N127,{0,0.5,0.7,0.9,1.1,1.3,1.5,1.7,1.9,2.1,2.3,2.5,2.7,2.9,3.1,3.3,3.5,3.8,4.1,4.2,4.3},{0,10,20,30,40,50,60,62,64,66,68,70,72,74,76,78,80,85,90,95,100})</f>
        <v>100</v>
      </c>
      <c r="P127" s="4">
        <v>3.17</v>
      </c>
      <c r="Q127" s="4">
        <f t="shared" si="10"/>
        <v>6.83</v>
      </c>
      <c r="R127" s="32">
        <f>LOOKUP(Q127,{0,4.72,4.82,4.92,5.42,5.52,5.62,5.67,5.72,5.77,5.82,5.87,5.92,5.97,6.42,6.47,6.52,6.59,6.66,6.72,6.78},{0,10,20,30,40,50,60,62,64,66,68,70,72,74,76,78,80,85,90,95,100})</f>
        <v>100</v>
      </c>
      <c r="S127" s="39">
        <f>3.22-P127</f>
        <v>0.0500000000000003</v>
      </c>
      <c r="T127" s="32">
        <f>LOOKUP(S127,{0,0.05,0.1,0.15,0.2,0.25,0.3,0.35,0.4,0.45,0.5},{0,1,2,3,4,5,6,7,8,9,10})</f>
        <v>1</v>
      </c>
      <c r="U127" s="4">
        <f t="shared" si="11"/>
        <v>101</v>
      </c>
      <c r="V127" s="4"/>
      <c r="W127" s="5">
        <f t="shared" si="12"/>
        <v>64.6</v>
      </c>
      <c r="X127" s="20">
        <f t="shared" si="13"/>
        <v>93.2857142857143</v>
      </c>
    </row>
    <row r="128" s="1" customFormat="1" ht="15.6" hidden="1" spans="1:24">
      <c r="A128" s="4">
        <v>209</v>
      </c>
      <c r="B128" s="24" t="s">
        <v>492</v>
      </c>
      <c r="C128" s="25" t="s">
        <v>53</v>
      </c>
      <c r="D128" s="4">
        <v>28.9</v>
      </c>
      <c r="E128" s="32">
        <f>LOOKUP(D128,{0,1,1.8,2.6,3.4,4.2,5,6.3,7.6,8.9,10.2,11.5,12.8,14.1,15.4,16.7,18,19.7,21.4,23.1,24.8},{0,10,20,30,40,50,60,62,64,66,68,70,72,74,76,78,80,85,90,95,100})</f>
        <v>100</v>
      </c>
      <c r="F128" s="4">
        <v>205</v>
      </c>
      <c r="G128" s="32">
        <f>LOOKUP(F128,{0,124,129,134,139,144,149,152,155,158,161,164,167,170,173,176,179,186,193,199,205},{0,10,20,30,40,50,60,62,64,66,68,70,72,74,76,78,80,85,90,95,100})</f>
        <v>100</v>
      </c>
      <c r="H128" s="4">
        <v>56</v>
      </c>
      <c r="I128" s="32">
        <f>LOOKUP(H128,{0,14,16,18,20,22,24,26,28,30,32,34,36,38,40,42,44,47,50,52,54},{0,10,20,30,40,50,60,62,64,66,68,70,72,74,76,78,80,85,90,95,100})</f>
        <v>100</v>
      </c>
      <c r="J128" s="4">
        <f>H128-54</f>
        <v>2</v>
      </c>
      <c r="K128" s="34">
        <f>LOOKUP(J128,{0,2,4,6,7,8,9,10,11,12,13},{0,1,2,3,4,5,6,7,8,9,10})</f>
        <v>1</v>
      </c>
      <c r="L128" s="4">
        <f t="shared" si="9"/>
        <v>101</v>
      </c>
      <c r="M128" s="4">
        <v>8.6</v>
      </c>
      <c r="N128" s="4">
        <f t="shared" si="16"/>
        <v>3.4</v>
      </c>
      <c r="O128" s="32">
        <f>LOOKUP(N128,{0,0.5,0.7,0.9,1.1,1.3,1.5,1.7,1.9,2.1,2.3,2.5,2.7,2.9,3.1,3.3,3.5,3.8,4.1,4.2,4.3},{0,10,20,30,40,50,60,62,64,66,68,70,72,74,76,78,80,85,90,95,100})</f>
        <v>78</v>
      </c>
      <c r="P128" s="4">
        <v>3.28</v>
      </c>
      <c r="Q128" s="4">
        <f t="shared" si="10"/>
        <v>6.72</v>
      </c>
      <c r="R128" s="32">
        <f>LOOKUP(Q128,{0,4.72,4.82,4.92,5.42,5.52,5.62,5.67,5.72,5.77,5.82,5.87,5.92,5.97,6.42,6.47,6.52,6.59,6.66,6.72,6.78},{0,10,20,30,40,50,60,62,64,66,68,70,72,74,76,78,80,85,90,95,100})</f>
        <v>95</v>
      </c>
      <c r="S128" s="4"/>
      <c r="T128" s="4"/>
      <c r="U128" s="4">
        <f t="shared" si="11"/>
        <v>95</v>
      </c>
      <c r="V128" s="4"/>
      <c r="W128" s="5">
        <f t="shared" si="12"/>
        <v>64.6</v>
      </c>
      <c r="X128" s="20">
        <f t="shared" si="13"/>
        <v>93.2857142857143</v>
      </c>
    </row>
    <row r="129" ht="15.6" hidden="1" spans="1:24">
      <c r="A129" s="4">
        <v>213</v>
      </c>
      <c r="B129" s="24" t="s">
        <v>698</v>
      </c>
      <c r="C129" s="25" t="s">
        <v>53</v>
      </c>
      <c r="D129" s="4">
        <v>19</v>
      </c>
      <c r="E129" s="32">
        <f>LOOKUP(D129,{0,1,1.8,2.6,3.4,4.2,5,6.3,7.6,8.9,10.2,11.5,12.8,14.1,15.4,16.7,18,19.7,21.4,23.1,24.8},{0,10,20,30,40,50,60,62,64,66,68,70,72,74,76,78,80,85,90,95,100})</f>
        <v>80</v>
      </c>
      <c r="F129" s="4">
        <v>206</v>
      </c>
      <c r="G129" s="32">
        <f>LOOKUP(F129,{0,124,129,134,139,144,149,152,155,158,161,164,167,170,173,176,179,186,193,199,205},{0,10,20,30,40,50,60,62,64,66,68,70,72,74,76,78,80,85,90,95,100})</f>
        <v>100</v>
      </c>
      <c r="H129" s="4">
        <v>55</v>
      </c>
      <c r="I129" s="32">
        <f>LOOKUP(H129,{0,14,16,18,20,22,24,26,28,30,32,34,36,38,40,42,44,47,50,52,54},{0,10,20,30,40,50,60,62,64,66,68,70,72,74,76,78,80,85,90,95,100})</f>
        <v>100</v>
      </c>
      <c r="J129" s="4">
        <f>H129-54</f>
        <v>1</v>
      </c>
      <c r="K129" s="32">
        <f>LOOKUP(J129,{0,2,4,6,7,8,9,10,11,12,13},{0,1,2,3,4,5,6,7,8,9,10})</f>
        <v>0</v>
      </c>
      <c r="L129" s="4">
        <f t="shared" si="9"/>
        <v>100</v>
      </c>
      <c r="M129" s="4">
        <v>8.1</v>
      </c>
      <c r="N129" s="4">
        <f t="shared" si="16"/>
        <v>3.9</v>
      </c>
      <c r="O129" s="32">
        <f>LOOKUP(N129,{0,0.5,0.7,0.9,1.1,1.3,1.5,1.7,1.9,2.1,2.3,2.5,2.7,2.9,3.1,3.3,3.5,3.8,4.1,4.2,4.3},{0,10,20,30,40,50,60,62,64,66,68,70,72,74,76,78,80,85,90,95,100})</f>
        <v>85</v>
      </c>
      <c r="P129" s="4">
        <v>3.21</v>
      </c>
      <c r="Q129" s="4">
        <f t="shared" si="10"/>
        <v>6.79</v>
      </c>
      <c r="R129" s="32">
        <f>LOOKUP(Q129,{0,4.72,4.82,4.92,5.42,5.52,5.62,5.67,5.72,5.77,5.82,5.87,5.92,5.97,6.42,6.47,6.52,6.59,6.66,6.72,6.78},{0,10,20,30,40,50,60,62,64,66,68,70,72,74,76,78,80,85,90,95,100})</f>
        <v>100</v>
      </c>
      <c r="S129" s="39">
        <f>3.22-P129</f>
        <v>0.0100000000000002</v>
      </c>
      <c r="T129" s="32">
        <f>LOOKUP(S129,{0,0.05,0.1,0.15,0.2,0.25,0.3,0.35,0.4,0.45,0.5},{0,1,2,3,4,5,6,7,8,9,10})</f>
        <v>0</v>
      </c>
      <c r="U129" s="4">
        <f t="shared" si="11"/>
        <v>100</v>
      </c>
      <c r="W129" s="5">
        <f t="shared" si="12"/>
        <v>65</v>
      </c>
      <c r="X129" s="20">
        <f t="shared" si="13"/>
        <v>92.8571428571429</v>
      </c>
    </row>
    <row r="130" ht="15.6" hidden="1" spans="1:24">
      <c r="A130" s="4">
        <v>204</v>
      </c>
      <c r="B130" s="24" t="s">
        <v>174</v>
      </c>
      <c r="C130" s="25" t="s">
        <v>53</v>
      </c>
      <c r="D130" s="4">
        <v>21</v>
      </c>
      <c r="E130" s="32">
        <f>LOOKUP(D130,{0,1,1.8,2.6,3.4,4.2,5,6.3,7.6,8.9,10.2,11.5,12.8,14.1,15.4,16.7,18,19.7,21.4,23.1,24.8},{0,10,20,30,40,50,60,62,64,66,68,70,72,74,76,78,80,85,90,95,100})</f>
        <v>85</v>
      </c>
      <c r="F130" s="4">
        <v>206</v>
      </c>
      <c r="G130" s="32">
        <f>LOOKUP(F130,{0,124,129,134,139,144,149,152,155,158,161,164,167,170,173,176,179,186,193,199,205},{0,10,20,30,40,50,60,62,64,66,68,70,72,74,76,78,80,85,90,95,100})</f>
        <v>100</v>
      </c>
      <c r="H130" s="4">
        <v>38</v>
      </c>
      <c r="I130" s="32">
        <f>LOOKUP(H130,{0,14,16,18,20,22,24,26,28,30,32,34,36,38,40,42,44,47,50,52,54},{0,10,20,30,40,50,60,62,64,66,68,70,72,74,76,78,80,85,90,95,100})</f>
        <v>74</v>
      </c>
      <c r="L130" s="4">
        <f t="shared" ref="L130:L193" si="17">I130+K130</f>
        <v>74</v>
      </c>
      <c r="M130" s="4">
        <v>7.7</v>
      </c>
      <c r="N130" s="4">
        <f t="shared" si="16"/>
        <v>4.3</v>
      </c>
      <c r="O130" s="32">
        <f>LOOKUP(N130,{0,0.5,0.7,0.9,1.1,1.3,1.5,1.7,1.9,2.1,2.3,2.5,2.7,2.9,3.1,3.3,3.5,3.8,4.1,4.2,4.3},{0,10,20,30,40,50,60,62,64,66,68,70,72,74,76,78,80,85,90,95,100})</f>
        <v>100</v>
      </c>
      <c r="P130" s="4">
        <v>3.28</v>
      </c>
      <c r="Q130" s="4">
        <f t="shared" ref="Q130:Q193" si="18">10-P130</f>
        <v>6.72</v>
      </c>
      <c r="R130" s="32">
        <f>LOOKUP(Q130,{0,4.72,4.82,4.92,5.42,5.52,5.62,5.67,5.72,5.77,5.82,5.87,5.92,5.97,6.42,6.47,6.52,6.59,6.66,6.72,6.78},{0,10,20,30,40,50,60,62,64,66,68,70,72,74,76,78,80,85,90,95,100})</f>
        <v>95</v>
      </c>
      <c r="U130" s="4">
        <f t="shared" ref="U130:U193" si="19">R130+T130</f>
        <v>95</v>
      </c>
      <c r="W130" s="5">
        <f t="shared" ref="W130:W193" si="20">E130*0.1+G130*0.1+I130*0.1+O130*0.2+R130*0.2</f>
        <v>64.9</v>
      </c>
      <c r="X130" s="20">
        <f t="shared" ref="X130:X193" si="21">W130/0.7+K130+T130</f>
        <v>92.7142857142857</v>
      </c>
    </row>
    <row r="131" ht="15.6" hidden="1" spans="1:24">
      <c r="A131" s="4">
        <v>209</v>
      </c>
      <c r="B131" s="24" t="s">
        <v>487</v>
      </c>
      <c r="C131" s="25" t="s">
        <v>53</v>
      </c>
      <c r="D131" s="4">
        <v>18</v>
      </c>
      <c r="E131" s="32">
        <f>LOOKUP(D131,{0,1,1.8,2.6,3.4,4.2,5,6.3,7.6,8.9,10.2,11.5,12.8,14.1,15.4,16.7,18,19.7,21.4,23.1,24.8},{0,10,20,30,40,50,60,62,64,66,68,70,72,74,76,78,80,85,90,95,100})</f>
        <v>80</v>
      </c>
      <c r="F131" s="4">
        <v>188</v>
      </c>
      <c r="G131" s="32">
        <f>LOOKUP(F131,{0,124,129,134,139,144,149,152,155,158,161,164,167,170,173,176,179,186,193,199,205},{0,10,20,30,40,50,60,62,64,66,68,70,72,74,76,78,80,85,90,95,100})</f>
        <v>85</v>
      </c>
      <c r="H131" s="4">
        <v>61</v>
      </c>
      <c r="I131" s="32">
        <f>LOOKUP(H131,{0,14,16,18,20,22,24,26,28,30,32,34,36,38,40,42,44,47,50,52,54},{0,10,20,30,40,50,60,62,64,66,68,70,72,74,76,78,80,85,90,95,100})</f>
        <v>100</v>
      </c>
      <c r="J131" s="4">
        <f>H131-54</f>
        <v>7</v>
      </c>
      <c r="K131" s="32">
        <f>LOOKUP(J131,{0,2,4,6,7,8,9,10,11,12,13},{0,1,2,3,4,5,6,7,8,9,10})</f>
        <v>4</v>
      </c>
      <c r="L131" s="4">
        <f t="shared" si="17"/>
        <v>104</v>
      </c>
      <c r="M131" s="4">
        <v>8.2</v>
      </c>
      <c r="N131" s="4">
        <f t="shared" si="16"/>
        <v>3.8</v>
      </c>
      <c r="O131" s="32">
        <f>LOOKUP(N131,{0,0.5,0.7,0.9,1.1,1.3,1.5,1.7,1.9,2.1,2.3,2.5,2.7,2.9,3.1,3.3,3.5,3.8,4.1,4.2,4.3},{0,10,20,30,40,50,60,62,64,66,68,70,72,74,76,78,80,85,90,95,100})</f>
        <v>85</v>
      </c>
      <c r="P131" s="4">
        <v>3.34</v>
      </c>
      <c r="Q131" s="4">
        <f t="shared" si="18"/>
        <v>6.66</v>
      </c>
      <c r="R131" s="32">
        <f>LOOKUP(Q131,{0,4.72,4.82,4.92,5.42,5.52,5.62,5.67,5.72,5.77,5.82,5.87,5.92,5.97,6.42,6.47,6.52,6.59,6.66,6.72,6.78},{0,10,20,30,40,50,60,62,64,66,68,70,72,74,76,78,80,85,90,95,100})</f>
        <v>90</v>
      </c>
      <c r="U131" s="4">
        <f t="shared" si="19"/>
        <v>90</v>
      </c>
      <c r="W131" s="5">
        <f t="shared" si="20"/>
        <v>61.5</v>
      </c>
      <c r="X131" s="20">
        <f t="shared" si="21"/>
        <v>91.8571428571429</v>
      </c>
    </row>
    <row r="132" ht="15.6" hidden="1" spans="1:24">
      <c r="A132" s="4">
        <v>209</v>
      </c>
      <c r="B132" s="33" t="s">
        <v>482</v>
      </c>
      <c r="C132" s="25" t="s">
        <v>53</v>
      </c>
      <c r="D132" s="4">
        <v>25.4</v>
      </c>
      <c r="E132" s="32">
        <f>LOOKUP(D132,{0,1,1.8,2.6,3.4,4.2,5,6.3,7.6,8.9,10.2,11.5,12.8,14.1,15.4,16.7,18,19.7,21.4,23.1,24.8},{0,10,20,30,40,50,60,62,64,66,68,70,72,74,76,78,80,85,90,95,100})</f>
        <v>100</v>
      </c>
      <c r="F132" s="4">
        <v>181</v>
      </c>
      <c r="G132" s="32">
        <f>LOOKUP(F132,{0,124,129,134,139,144,149,152,155,158,161,164,167,170,173,176,179,186,193,199,205},{0,10,20,30,40,50,60,62,64,66,68,70,72,74,76,78,80,85,90,95,100})</f>
        <v>80</v>
      </c>
      <c r="H132" s="4">
        <v>51</v>
      </c>
      <c r="I132" s="32">
        <f>LOOKUP(H132,{0,14,16,18,20,22,24,26,28,30,32,34,36,38,40,42,44,47,50,52,54},{0,10,20,30,40,50,60,62,64,66,68,70,72,74,76,78,80,85,90,95,100})</f>
        <v>90</v>
      </c>
      <c r="L132" s="4">
        <f t="shared" si="17"/>
        <v>90</v>
      </c>
      <c r="M132" s="4">
        <v>8.2</v>
      </c>
      <c r="N132" s="4">
        <f t="shared" si="16"/>
        <v>3.8</v>
      </c>
      <c r="O132" s="32">
        <f>LOOKUP(N132,{0,0.5,0.7,0.9,1.1,1.3,1.5,1.7,1.9,2.1,2.3,2.5,2.7,2.9,3.1,3.3,3.5,3.8,4.1,4.2,4.3},{0,10,20,30,40,50,60,62,64,66,68,70,72,74,76,78,80,85,90,95,100})</f>
        <v>85</v>
      </c>
      <c r="P132" s="4">
        <v>3.18</v>
      </c>
      <c r="Q132" s="4">
        <f t="shared" si="18"/>
        <v>6.82</v>
      </c>
      <c r="R132" s="32">
        <f>LOOKUP(Q132,{0,4.72,4.82,4.92,5.42,5.52,5.62,5.67,5.72,5.77,5.82,5.87,5.92,5.97,6.42,6.47,6.52,6.59,6.66,6.72,6.78},{0,10,20,30,40,50,60,62,64,66,68,70,72,74,76,78,80,85,90,95,100})</f>
        <v>100</v>
      </c>
      <c r="S132" s="39">
        <f>3.22-P132</f>
        <v>0.04</v>
      </c>
      <c r="T132" s="32">
        <f>LOOKUP(S132,{0,0.05,0.1,0.15,0.2,0.25,0.3,0.35,0.4,0.45,0.5},{0,1,2,3,4,5,6,7,8,9,10})</f>
        <v>0</v>
      </c>
      <c r="U132" s="4">
        <f t="shared" si="19"/>
        <v>100</v>
      </c>
      <c r="W132" s="5">
        <f t="shared" si="20"/>
        <v>64</v>
      </c>
      <c r="X132" s="20">
        <f t="shared" si="21"/>
        <v>91.4285714285714</v>
      </c>
    </row>
    <row r="133" ht="15.6" hidden="1" spans="1:24">
      <c r="A133" s="4">
        <v>209</v>
      </c>
      <c r="B133" s="24" t="s">
        <v>490</v>
      </c>
      <c r="C133" s="25" t="s">
        <v>53</v>
      </c>
      <c r="D133" s="4">
        <v>25</v>
      </c>
      <c r="E133" s="32">
        <f>LOOKUP(D133,{0,1,1.8,2.6,3.4,4.2,5,6.3,7.6,8.9,10.2,11.5,12.8,14.1,15.4,16.7,18,19.7,21.4,23.1,24.8},{0,10,20,30,40,50,60,62,64,66,68,70,72,74,76,78,80,85,90,95,100})</f>
        <v>100</v>
      </c>
      <c r="F133" s="4">
        <v>180</v>
      </c>
      <c r="G133" s="32">
        <f>LOOKUP(F133,{0,124,129,134,139,144,149,152,155,158,161,164,167,170,173,176,179,186,193,199,205},{0,10,20,30,40,50,60,62,64,66,68,70,72,74,76,78,80,85,90,95,100})</f>
        <v>80</v>
      </c>
      <c r="H133" s="4">
        <v>54</v>
      </c>
      <c r="I133" s="32">
        <f>LOOKUP(H133,{0,14,16,18,20,22,24,26,28,30,32,34,36,38,40,42,44,47,50,52,54},{0,10,20,30,40,50,60,62,64,66,68,70,72,74,76,78,80,85,90,95,100})</f>
        <v>100</v>
      </c>
      <c r="J133" s="4">
        <f>H133-54</f>
        <v>0</v>
      </c>
      <c r="K133" s="32">
        <f>LOOKUP(J133,{0,2,4,6,7,8,9,10,11,12,13},{0,1,2,3,4,5,6,7,8,9,10})</f>
        <v>0</v>
      </c>
      <c r="L133" s="4">
        <f t="shared" si="17"/>
        <v>100</v>
      </c>
      <c r="M133" s="4">
        <v>8.5</v>
      </c>
      <c r="N133" s="4">
        <f t="shared" si="16"/>
        <v>3.5</v>
      </c>
      <c r="O133" s="32">
        <f>LOOKUP(N133,{0,0.5,0.7,0.9,1.1,1.3,1.5,1.7,1.9,2.1,2.3,2.5,2.7,2.9,3.1,3.3,3.5,3.8,4.1,4.2,4.3},{0,10,20,30,40,50,60,62,64,66,68,70,72,74,76,78,80,85,90,95,100})</f>
        <v>80</v>
      </c>
      <c r="P133" s="4">
        <v>3.18</v>
      </c>
      <c r="Q133" s="4">
        <f t="shared" si="18"/>
        <v>6.82</v>
      </c>
      <c r="R133" s="32">
        <f>LOOKUP(Q133,{0,4.72,4.82,4.92,5.42,5.52,5.62,5.67,5.72,5.77,5.82,5.87,5.92,5.97,6.42,6.47,6.52,6.59,6.66,6.72,6.78},{0,10,20,30,40,50,60,62,64,66,68,70,72,74,76,78,80,85,90,95,100})</f>
        <v>100</v>
      </c>
      <c r="S133" s="39">
        <f>3.22-P133</f>
        <v>0.04</v>
      </c>
      <c r="T133" s="32">
        <f>LOOKUP(S133,{0,0.05,0.1,0.15,0.2,0.25,0.3,0.35,0.4,0.45,0.5},{0,1,2,3,4,5,6,7,8,9,10})</f>
        <v>0</v>
      </c>
      <c r="U133" s="4">
        <f t="shared" si="19"/>
        <v>100</v>
      </c>
      <c r="W133" s="5">
        <f t="shared" si="20"/>
        <v>64</v>
      </c>
      <c r="X133" s="20">
        <f t="shared" si="21"/>
        <v>91.4285714285714</v>
      </c>
    </row>
    <row r="134" ht="15.6" hidden="1" spans="1:24">
      <c r="A134" s="4">
        <v>204</v>
      </c>
      <c r="B134" s="24" t="s">
        <v>163</v>
      </c>
      <c r="C134" s="25" t="s">
        <v>11</v>
      </c>
      <c r="D134" s="4">
        <v>17.6</v>
      </c>
      <c r="E134" s="32">
        <f>LOOKUP(D134,{0,-2.9,-1.9,-0.9,0.1,1.1,2.1,3.5,4.9,6.3,7.7,9.1,10.5,11.9,13.3,14.7,16.1,18.3,20.5,22.4,24.3},{0,10,20,30,40,50,60,62,64,66,68,70,72,74,76,78,80,85,90,95,100})</f>
        <v>80</v>
      </c>
      <c r="F134" s="4">
        <v>262</v>
      </c>
      <c r="G134" s="32">
        <f>LOOKUP(F134,{0,175,180,185,190,195,200,204,208,212,216,220,224,228,232,236,240,248,255,260,265},{0,10,20,30,40,50,60,62,64,66,68,70,72,74,76,78,80,85,90,95,100})</f>
        <v>95</v>
      </c>
      <c r="H134" s="4">
        <v>14</v>
      </c>
      <c r="I134" s="32">
        <f>LOOKUP(H134,{0,3,4,5,6,7,8,9,10,11,12,13,14,15,16,17},{0,10,20,30,40,50,60,64,68,72,76,80,85,90,95,100})</f>
        <v>85</v>
      </c>
      <c r="L134" s="4">
        <f t="shared" si="17"/>
        <v>85</v>
      </c>
      <c r="M134" s="4">
        <v>7.3</v>
      </c>
      <c r="N134" s="4">
        <f t="shared" si="16"/>
        <v>4.7</v>
      </c>
      <c r="O134" s="32">
        <f>LOOKUP(N134,{0,1.6,1.8,2,2.2,2.4,2.6,2.8,3,3.2,3.4,3.6,3.8,4,4.2,4.4,4.6,4.7,4.8,4.9,5},{0,10,20,30,40,50,60,62,64,66,68,70,72,74,76,78,80,85,90,95,100})</f>
        <v>85</v>
      </c>
      <c r="P134" s="4">
        <v>3.34</v>
      </c>
      <c r="Q134" s="4">
        <f t="shared" si="18"/>
        <v>6.66</v>
      </c>
      <c r="R134" s="32">
        <f>LOOKUP(Q134,{0,3.8,4,4.6,4.8,5,5.6,5.65,5.7,5.75,5.8,5.85,5.9,5.95,6,6.45,6.5,6.58,6.65,6.7,6.75},{0,10,20,30,40,50,60,62,64,66,68,70,72,74,76,78,80,85,90,95,100})</f>
        <v>90</v>
      </c>
      <c r="U134" s="4">
        <f t="shared" si="19"/>
        <v>90</v>
      </c>
      <c r="W134" s="5">
        <f t="shared" si="20"/>
        <v>61</v>
      </c>
      <c r="X134" s="20">
        <f t="shared" si="21"/>
        <v>87.1428571428572</v>
      </c>
    </row>
    <row r="135" ht="15.6" hidden="1" spans="1:24">
      <c r="A135" s="4">
        <v>215</v>
      </c>
      <c r="B135" s="24" t="s">
        <v>795</v>
      </c>
      <c r="C135" s="25" t="s">
        <v>11</v>
      </c>
      <c r="D135" s="4">
        <v>17.4</v>
      </c>
      <c r="E135" s="32">
        <f>LOOKUP(D135,{0,-2.9,-1.9,-0.9,0.1,1.1,2.1,3.5,4.9,6.3,7.7,9.1,10.5,11.9,13.3,14.7,16.1,18.3,20.5,22.4,24.3},{0,10,20,30,40,50,60,62,64,66,68,70,72,74,76,78,80,85,90,95,100})</f>
        <v>80</v>
      </c>
      <c r="F135" s="4">
        <v>210</v>
      </c>
      <c r="G135" s="32">
        <f>LOOKUP(F135,{0,175,180,185,190,195,200,204,208,212,216,220,224,228,232,236,240,248,255,260,265},{0,10,20,30,40,50,60,62,64,66,68,70,72,74,76,78,80,85,90,95,100})</f>
        <v>64</v>
      </c>
      <c r="H135" s="4">
        <v>1</v>
      </c>
      <c r="I135" s="32">
        <f>LOOKUP(H135,{0,3,4,5,6,7,8,9,10,11,12,13,14,15,16,17},{0,10,20,30,40,50,60,64,68,72,76,80,85,90,95,100})</f>
        <v>0</v>
      </c>
      <c r="L135" s="4">
        <f t="shared" si="17"/>
        <v>0</v>
      </c>
      <c r="M135" s="4">
        <v>7.7</v>
      </c>
      <c r="N135" s="4">
        <f t="shared" si="16"/>
        <v>4.3</v>
      </c>
      <c r="O135" s="32">
        <f>LOOKUP(N135,{0,1.6,1.8,2,2.2,2.4,2.6,2.8,3,3.2,3.4,3.6,3.8,4,4.2,4.4,4.6,4.7,4.8,4.9,5},{0,10,20,30,40,50,60,62,64,66,68,70,72,74,76,78,80,85,90,95,100})</f>
        <v>76</v>
      </c>
      <c r="P135" s="4">
        <v>3.34</v>
      </c>
      <c r="Q135" s="4">
        <f t="shared" si="18"/>
        <v>6.66</v>
      </c>
      <c r="R135" s="32">
        <f>LOOKUP(Q135,{0,3.8,4,4.6,4.8,5,5.6,5.65,5.7,5.75,5.8,5.85,5.9,5.95,6,6.45,6.5,6.58,6.65,6.7,6.75},{0,10,20,30,40,50,60,62,64,66,68,70,72,74,76,78,80,85,90,95,100})</f>
        <v>90</v>
      </c>
      <c r="U135" s="4">
        <f t="shared" si="19"/>
        <v>90</v>
      </c>
      <c r="W135" s="5">
        <f t="shared" si="20"/>
        <v>47.6</v>
      </c>
      <c r="X135" s="20">
        <f t="shared" si="21"/>
        <v>68</v>
      </c>
    </row>
    <row r="136" ht="15.6" hidden="1" spans="1:24">
      <c r="A136" s="4">
        <v>203</v>
      </c>
      <c r="B136" s="24" t="s">
        <v>140</v>
      </c>
      <c r="C136" s="25" t="s">
        <v>11</v>
      </c>
      <c r="D136" s="4">
        <v>6</v>
      </c>
      <c r="E136" s="32">
        <f>LOOKUP(D136,{0,-2.9,-1.9,-0.9,0.1,1.1,2.1,3.5,4.9,6.3,7.7,9.1,10.5,11.9,13.3,14.7,16.1,18.3,20.5,22.4,24.3},{0,10,20,30,40,50,60,62,64,66,68,70,72,74,76,78,80,85,90,95,100})</f>
        <v>64</v>
      </c>
      <c r="F136" s="4">
        <v>190</v>
      </c>
      <c r="G136" s="32">
        <f>LOOKUP(F136,{0,175,180,185,190,195,200,204,208,212,216,220,224,228,232,236,240,248,255,260,265},{0,10,20,30,40,50,60,62,64,66,68,70,72,74,76,78,80,85,90,95,100})</f>
        <v>40</v>
      </c>
      <c r="H136" s="4">
        <v>0</v>
      </c>
      <c r="I136" s="32">
        <f>LOOKUP(H136,{0,3,4,5,6,7,8,9,10,11,12,13,14,15,16,17},{0,10,20,30,40,50,60,64,68,72,76,80,85,90,95,100})</f>
        <v>0</v>
      </c>
      <c r="L136" s="4">
        <f t="shared" si="17"/>
        <v>0</v>
      </c>
      <c r="M136" s="4">
        <v>7.8</v>
      </c>
      <c r="N136" s="4">
        <f t="shared" si="16"/>
        <v>4.2</v>
      </c>
      <c r="O136" s="32">
        <f>LOOKUP(N136,{0,1.6,1.8,2,2.2,2.4,2.6,2.8,3,3.2,3.4,3.6,3.8,4,4.2,4.4,4.6,4.7,4.8,4.9,5},{0,10,20,30,40,50,60,62,64,66,68,70,72,74,76,78,80,85,90,95,100})</f>
        <v>76</v>
      </c>
      <c r="P136" s="4">
        <v>3.34</v>
      </c>
      <c r="Q136" s="4">
        <f t="shared" si="18"/>
        <v>6.66</v>
      </c>
      <c r="R136" s="32">
        <f>LOOKUP(Q136,{0,3.8,4,4.6,4.8,5,5.6,5.65,5.7,5.75,5.8,5.85,5.9,5.95,6,6.45,6.5,6.58,6.65,6.7,6.75},{0,10,20,30,40,50,60,62,64,66,68,70,72,74,76,78,80,85,90,95,100})</f>
        <v>90</v>
      </c>
      <c r="U136" s="4">
        <f t="shared" si="19"/>
        <v>90</v>
      </c>
      <c r="W136" s="5">
        <f t="shared" si="20"/>
        <v>43.6</v>
      </c>
      <c r="X136" s="20">
        <f t="shared" si="21"/>
        <v>62.2857142857143</v>
      </c>
    </row>
    <row r="137" ht="15.6" hidden="1" spans="1:24">
      <c r="A137" s="4">
        <v>202</v>
      </c>
      <c r="B137" s="24" t="s">
        <v>78</v>
      </c>
      <c r="C137" s="25" t="s">
        <v>11</v>
      </c>
      <c r="D137" s="4">
        <v>16.5</v>
      </c>
      <c r="E137" s="32">
        <f>LOOKUP(D137,{0,-2.9,-1.9,-0.9,0.1,1.1,2.1,3.5,4.9,6.3,7.7,9.1,10.5,11.9,13.3,14.7,16.1,18.3,20.5,22.4,24.3},{0,10,20,30,40,50,60,62,64,66,68,70,72,74,76,78,80,85,90,95,100})</f>
        <v>80</v>
      </c>
      <c r="F137" s="4">
        <v>250</v>
      </c>
      <c r="G137" s="32">
        <f>LOOKUP(F137,{0,175,180,185,190,195,200,204,208,212,216,220,224,228,232,236,240,248,255,260,265},{0,10,20,30,40,50,60,62,64,66,68,70,72,74,76,78,80,85,90,95,100})</f>
        <v>85</v>
      </c>
      <c r="H137" s="4">
        <v>11</v>
      </c>
      <c r="I137" s="32">
        <f>LOOKUP(H137,{0,3,4,5,6,7,8,9,10,11,12,13,14,15,16,17},{0,10,20,30,40,50,60,64,68,72,76,80,85,90,95,100})</f>
        <v>72</v>
      </c>
      <c r="L137" s="4">
        <f t="shared" si="17"/>
        <v>72</v>
      </c>
      <c r="M137" s="4">
        <v>6.9</v>
      </c>
      <c r="N137" s="4">
        <f t="shared" si="16"/>
        <v>5.1</v>
      </c>
      <c r="O137" s="32">
        <f>LOOKUP(N137,{0,1.6,1.8,2,2.2,2.4,2.6,2.8,3,3.2,3.4,3.6,3.8,4,4.2,4.4,4.6,4.7,4.8,4.9,5},{0,10,20,30,40,50,60,62,64,66,68,70,72,74,76,78,80,85,90,95,100})</f>
        <v>100</v>
      </c>
      <c r="P137" s="4">
        <v>3.35</v>
      </c>
      <c r="Q137" s="4">
        <f t="shared" si="18"/>
        <v>6.65</v>
      </c>
      <c r="R137" s="32">
        <f>LOOKUP(Q137,{0,3.8,4,4.6,4.8,5,5.6,5.65,5.7,5.75,5.8,5.85,5.9,5.95,6,6.45,6.5,6.58,6.65,6.7,6.75},{0,10,20,30,40,50,60,62,64,66,68,70,72,74,76,78,80,85,90,95,100})</f>
        <v>90</v>
      </c>
      <c r="U137" s="4">
        <f t="shared" si="19"/>
        <v>90</v>
      </c>
      <c r="W137" s="5">
        <f t="shared" si="20"/>
        <v>61.7</v>
      </c>
      <c r="X137" s="20">
        <f t="shared" si="21"/>
        <v>88.1428571428572</v>
      </c>
    </row>
    <row r="138" ht="15.6" hidden="1" spans="1:24">
      <c r="A138" s="4">
        <v>201</v>
      </c>
      <c r="B138" s="24" t="s">
        <v>31</v>
      </c>
      <c r="C138" s="25" t="s">
        <v>11</v>
      </c>
      <c r="D138" s="4">
        <v>17</v>
      </c>
      <c r="E138" s="32">
        <f>LOOKUP(D138,{0,-2.9,-1.9,-0.9,0.1,1.1,2.1,3.5,4.9,6.3,7.7,9.1,10.5,11.9,13.3,14.7,16.1,18.3,20.5,22.4,24.3},{0,10,20,30,40,50,60,62,64,66,68,70,72,74,76,78,80,85,90,95,100})</f>
        <v>80</v>
      </c>
      <c r="F138" s="4">
        <v>256</v>
      </c>
      <c r="G138" s="32">
        <f>LOOKUP(F138,{0,175,180,185,190,195,200,204,208,212,216,220,224,228,232,236,240,248,255,260,265},{0,10,20,30,40,50,60,62,64,66,68,70,72,74,76,78,80,85,90,95,100})</f>
        <v>90</v>
      </c>
      <c r="H138" s="4">
        <v>0</v>
      </c>
      <c r="I138" s="32">
        <f>LOOKUP(H138,{0,3,4,5,6,7,8,9,10,11,12,13,14,15,16,17},{0,10,20,30,40,50,60,64,68,72,76,80,85,90,95,100})</f>
        <v>0</v>
      </c>
      <c r="L138" s="4">
        <f t="shared" si="17"/>
        <v>0</v>
      </c>
      <c r="M138" s="4">
        <v>7</v>
      </c>
      <c r="N138" s="4">
        <f t="shared" si="16"/>
        <v>5</v>
      </c>
      <c r="O138" s="32">
        <f>LOOKUP(N138,{0,1.6,1.8,2,2.2,2.4,2.6,2.8,3,3.2,3.4,3.6,3.8,4,4.2,4.4,4.6,4.7,4.8,4.9,5},{0,10,20,30,40,50,60,62,64,66,68,70,72,74,76,78,80,85,90,95,100})</f>
        <v>100</v>
      </c>
      <c r="P138" s="4">
        <v>3.35</v>
      </c>
      <c r="Q138" s="4">
        <f t="shared" si="18"/>
        <v>6.65</v>
      </c>
      <c r="R138" s="32">
        <f>LOOKUP(Q138,{0,3.8,4,4.6,4.8,5,5.6,5.65,5.7,5.75,5.8,5.85,5.9,5.95,6,6.45,6.5,6.58,6.65,6.7,6.75},{0,10,20,30,40,50,60,62,64,66,68,70,72,74,76,78,80,85,90,95,100})</f>
        <v>90</v>
      </c>
      <c r="U138" s="4">
        <f t="shared" si="19"/>
        <v>90</v>
      </c>
      <c r="W138" s="5">
        <f t="shared" si="20"/>
        <v>55</v>
      </c>
      <c r="X138" s="20">
        <f t="shared" si="21"/>
        <v>78.5714285714286</v>
      </c>
    </row>
    <row r="139" ht="15.6" hidden="1" spans="1:24">
      <c r="A139" s="4">
        <v>203</v>
      </c>
      <c r="B139" s="24" t="s">
        <v>139</v>
      </c>
      <c r="C139" s="25" t="s">
        <v>11</v>
      </c>
      <c r="D139" s="4">
        <v>22.5</v>
      </c>
      <c r="E139" s="32">
        <f>LOOKUP(D139,{0,-2.9,-1.9,-0.9,0.1,1.1,2.1,3.5,4.9,6.3,7.7,9.1,10.5,11.9,13.3,14.7,16.1,18.3,20.5,22.4,24.3},{0,10,20,30,40,50,60,62,64,66,68,70,72,74,76,78,80,85,90,95,100})</f>
        <v>95</v>
      </c>
      <c r="F139" s="4">
        <v>250</v>
      </c>
      <c r="G139" s="32">
        <f>LOOKUP(F139,{0,175,180,185,190,195,200,204,208,212,216,220,224,228,232,236,240,248,255,260,265},{0,10,20,30,40,50,60,62,64,66,68,70,72,74,76,78,80,85,90,95,100})</f>
        <v>85</v>
      </c>
      <c r="H139" s="4">
        <v>3</v>
      </c>
      <c r="I139" s="32">
        <f>LOOKUP(H139,{0,3,4,5,6,7,8,9,10,11,12,13,14,15,16,17},{0,10,20,30,40,50,60,64,68,72,76,80,85,90,95,100})</f>
        <v>10</v>
      </c>
      <c r="L139" s="4">
        <f t="shared" si="17"/>
        <v>10</v>
      </c>
      <c r="M139" s="4">
        <v>7.1</v>
      </c>
      <c r="N139" s="4">
        <f t="shared" si="16"/>
        <v>4.9</v>
      </c>
      <c r="O139" s="32">
        <f>LOOKUP(N139,{0,1.6,1.8,2,2.2,2.4,2.6,2.8,3,3.2,3.4,3.6,3.8,4,4.2,4.4,4.6,4.7,4.8,4.9,5},{0,10,20,30,40,50,60,62,64,66,68,70,72,74,76,78,80,85,90,95,100})</f>
        <v>95</v>
      </c>
      <c r="P139" s="4">
        <v>3.35</v>
      </c>
      <c r="Q139" s="4">
        <f t="shared" si="18"/>
        <v>6.65</v>
      </c>
      <c r="R139" s="32">
        <f>LOOKUP(Q139,{0,3.8,4,4.6,4.8,5,5.6,5.65,5.7,5.75,5.8,5.85,5.9,5.95,6,6.45,6.5,6.58,6.65,6.7,6.75},{0,10,20,30,40,50,60,62,64,66,68,70,72,74,76,78,80,85,90,95,100})</f>
        <v>90</v>
      </c>
      <c r="U139" s="4">
        <f t="shared" si="19"/>
        <v>90</v>
      </c>
      <c r="W139" s="5">
        <f t="shared" si="20"/>
        <v>56</v>
      </c>
      <c r="X139" s="20">
        <f t="shared" si="21"/>
        <v>80</v>
      </c>
    </row>
    <row r="140" ht="15.6" hidden="1" spans="1:24">
      <c r="A140" s="4">
        <v>209</v>
      </c>
      <c r="B140" s="24" t="s">
        <v>438</v>
      </c>
      <c r="C140" s="25" t="s">
        <v>11</v>
      </c>
      <c r="D140" s="4">
        <v>2.8</v>
      </c>
      <c r="E140" s="32">
        <f>LOOKUP(D140,{0,-2.9,-1.9,-0.9,0.1,1.1,2.1,3.5,4.9,6.3,7.7,9.1,10.5,11.9,13.3,14.7,16.1,18.3,20.5,22.4,24.3},{0,10,20,30,40,50,60,62,64,66,68,70,72,74,76,78,80,85,90,95,100})</f>
        <v>60</v>
      </c>
      <c r="F140" s="4">
        <v>218</v>
      </c>
      <c r="G140" s="32">
        <f>LOOKUP(F140,{0,175,180,185,190,195,200,204,208,212,216,220,224,228,232,236,240,248,255,260,265},{0,10,20,30,40,50,60,62,64,66,68,70,72,74,76,78,80,85,90,95,100})</f>
        <v>68</v>
      </c>
      <c r="H140" s="4">
        <v>2</v>
      </c>
      <c r="I140" s="32">
        <f>LOOKUP(H140,{0,3,4,5,6,7,8,9,10,11,12,13,14,15,16,17},{0,10,20,30,40,50,60,64,68,72,76,80,85,90,95,100})</f>
        <v>0</v>
      </c>
      <c r="L140" s="4">
        <f t="shared" si="17"/>
        <v>0</v>
      </c>
      <c r="M140" s="4">
        <v>7.1</v>
      </c>
      <c r="N140" s="4">
        <f t="shared" si="16"/>
        <v>4.9</v>
      </c>
      <c r="O140" s="32">
        <f>LOOKUP(N140,{0,1.6,1.8,2,2.2,2.4,2.6,2.8,3,3.2,3.4,3.6,3.8,4,4.2,4.4,4.6,4.7,4.8,4.9,5},{0,10,20,30,40,50,60,62,64,66,68,70,72,74,76,78,80,85,90,95,100})</f>
        <v>95</v>
      </c>
      <c r="P140" s="4">
        <v>3.35</v>
      </c>
      <c r="Q140" s="4">
        <f t="shared" si="18"/>
        <v>6.65</v>
      </c>
      <c r="R140" s="32">
        <f>LOOKUP(Q140,{0,3.8,4,4.6,4.8,5,5.6,5.65,5.7,5.75,5.8,5.85,5.9,5.95,6,6.45,6.5,6.58,6.65,6.7,6.75},{0,10,20,30,40,50,60,62,64,66,68,70,72,74,76,78,80,85,90,95,100})</f>
        <v>90</v>
      </c>
      <c r="U140" s="4">
        <f t="shared" si="19"/>
        <v>90</v>
      </c>
      <c r="W140" s="5">
        <f t="shared" si="20"/>
        <v>49.8</v>
      </c>
      <c r="X140" s="20">
        <f t="shared" si="21"/>
        <v>71.1428571428571</v>
      </c>
    </row>
    <row r="141" s="1" customFormat="1" ht="15.6" hidden="1" spans="1:24">
      <c r="A141" s="4">
        <v>215</v>
      </c>
      <c r="B141" s="24" t="s">
        <v>821</v>
      </c>
      <c r="C141" s="25" t="s">
        <v>53</v>
      </c>
      <c r="D141" s="4">
        <v>20</v>
      </c>
      <c r="E141" s="32">
        <f>LOOKUP(D141,{0,1,1.8,2.6,3.4,4.2,5,6.3,7.6,8.9,10.2,11.5,12.8,14.1,15.4,16.7,18,19.7,21.4,23.1,24.8},{0,10,20,30,40,50,60,62,64,66,68,70,72,74,76,78,80,85,90,95,100})</f>
        <v>85</v>
      </c>
      <c r="F141" s="4">
        <v>186</v>
      </c>
      <c r="G141" s="32">
        <f>LOOKUP(F141,{0,124,129,134,139,144,149,152,155,158,161,164,167,170,173,176,179,186,193,199,205},{0,10,20,30,40,50,60,62,64,66,68,70,72,74,76,78,80,85,90,95,100})</f>
        <v>85</v>
      </c>
      <c r="H141" s="4">
        <v>58</v>
      </c>
      <c r="I141" s="32">
        <f>LOOKUP(H141,{0,14,16,18,20,22,24,26,28,30,32,34,36,38,40,42,44,47,50,52,54},{0,10,20,30,40,50,60,62,64,66,68,70,72,74,76,78,80,85,90,95,100})</f>
        <v>100</v>
      </c>
      <c r="J141" s="4">
        <f>H141-54</f>
        <v>4</v>
      </c>
      <c r="K141" s="32">
        <f>LOOKUP(J141,{0,2,4,6,7,8,9,10,11,12,13},{0,1,2,3,4,5,6,7,8,9,10})</f>
        <v>2</v>
      </c>
      <c r="L141" s="4">
        <f t="shared" si="17"/>
        <v>102</v>
      </c>
      <c r="M141" s="4">
        <v>8.6</v>
      </c>
      <c r="N141" s="4">
        <f t="shared" si="16"/>
        <v>3.4</v>
      </c>
      <c r="O141" s="32">
        <f>LOOKUP(N141,{0,0.5,0.7,0.9,1.1,1.3,1.5,1.7,1.9,2.1,2.3,2.5,2.7,2.9,3.1,3.3,3.5,3.8,4.1,4.2,4.3},{0,10,20,30,40,50,60,62,64,66,68,70,72,74,76,78,80,85,90,95,100})</f>
        <v>78</v>
      </c>
      <c r="P141" s="4">
        <v>3.2</v>
      </c>
      <c r="Q141" s="4">
        <f t="shared" si="18"/>
        <v>6.8</v>
      </c>
      <c r="R141" s="32">
        <f>LOOKUP(Q141,{0,4.72,4.82,4.92,5.42,5.52,5.62,5.67,5.72,5.77,5.82,5.87,5.92,5.97,6.42,6.47,6.52,6.59,6.66,6.72,6.78},{0,10,20,30,40,50,60,62,64,66,68,70,72,74,76,78,80,85,90,95,100})</f>
        <v>100</v>
      </c>
      <c r="S141" s="39">
        <f>3.22-P141</f>
        <v>0.02</v>
      </c>
      <c r="T141" s="32">
        <f>LOOKUP(S141,{0,0.05,0.1,0.15,0.2,0.25,0.3,0.35,0.4,0.45,0.5},{0,1,2,3,4,5,6,7,8,9,10})</f>
        <v>0</v>
      </c>
      <c r="U141" s="4">
        <f t="shared" si="19"/>
        <v>100</v>
      </c>
      <c r="V141" s="4"/>
      <c r="W141" s="5">
        <f t="shared" si="20"/>
        <v>62.6</v>
      </c>
      <c r="X141" s="20">
        <f t="shared" si="21"/>
        <v>91.4285714285714</v>
      </c>
    </row>
    <row r="142" ht="15.6" hidden="1" spans="1:24">
      <c r="A142" s="4">
        <v>201</v>
      </c>
      <c r="B142" s="24" t="s">
        <v>56</v>
      </c>
      <c r="C142" s="25" t="s">
        <v>53</v>
      </c>
      <c r="D142" s="4">
        <v>28.5</v>
      </c>
      <c r="E142" s="32">
        <f>LOOKUP(D142,{0,1,1.8,2.6,3.4,4.2,5,6.3,7.6,8.9,10.2,11.5,12.8,14.1,15.4,16.7,18,19.7,21.4,23.1,24.8},{0,10,20,30,40,50,60,62,64,66,68,70,72,74,76,78,80,85,90,95,100})</f>
        <v>100</v>
      </c>
      <c r="F142" s="4">
        <v>192</v>
      </c>
      <c r="G142" s="32">
        <f>LOOKUP(F142,{0,124,129,134,139,144,149,152,155,158,161,164,167,170,173,176,179,186,193,199,205},{0,10,20,30,40,50,60,62,64,66,68,70,72,74,76,78,80,85,90,95,100})</f>
        <v>85</v>
      </c>
      <c r="H142" s="4">
        <v>47</v>
      </c>
      <c r="I142" s="32">
        <f>LOOKUP(H142,{0,14,16,18,20,22,24,26,28,30,32,34,36,38,40,42,44,47,50,52,54},{0,10,20,30,40,50,60,62,64,66,68,70,72,74,76,78,80,85,90,95,100})</f>
        <v>85</v>
      </c>
      <c r="L142" s="4">
        <f t="shared" si="17"/>
        <v>85</v>
      </c>
      <c r="M142" s="4">
        <v>7.8</v>
      </c>
      <c r="N142" s="4">
        <f t="shared" si="16"/>
        <v>4.2</v>
      </c>
      <c r="O142" s="32">
        <f>LOOKUP(N142,{0,0.5,0.7,0.9,1.1,1.3,1.5,1.7,1.9,2.1,2.3,2.5,2.7,2.9,3.1,3.3,3.5,3.8,4.1,4.2,4.3},{0,10,20,30,40,50,60,62,64,66,68,70,72,74,76,78,80,85,90,95,100})</f>
        <v>95</v>
      </c>
      <c r="P142" s="4">
        <v>3.34</v>
      </c>
      <c r="Q142" s="4">
        <f t="shared" si="18"/>
        <v>6.66</v>
      </c>
      <c r="R142" s="32">
        <f>LOOKUP(Q142,{0,4.72,4.82,4.92,5.42,5.52,5.62,5.67,5.72,5.77,5.82,5.87,5.92,5.97,6.42,6.47,6.52,6.59,6.66,6.72,6.78},{0,10,20,30,40,50,60,62,64,66,68,70,72,74,76,78,80,85,90,95,100})</f>
        <v>90</v>
      </c>
      <c r="U142" s="4">
        <f t="shared" si="19"/>
        <v>90</v>
      </c>
      <c r="W142" s="5">
        <f t="shared" si="20"/>
        <v>64</v>
      </c>
      <c r="X142" s="20">
        <f t="shared" si="21"/>
        <v>91.4285714285714</v>
      </c>
    </row>
    <row r="143" ht="15.6" hidden="1" spans="1:24">
      <c r="A143" s="4">
        <v>214</v>
      </c>
      <c r="B143" s="24" t="s">
        <v>743</v>
      </c>
      <c r="C143" s="25" t="s">
        <v>53</v>
      </c>
      <c r="D143" s="4">
        <v>17</v>
      </c>
      <c r="E143" s="32">
        <f>LOOKUP(D143,{0,1,1.8,2.6,3.4,4.2,5,6.3,7.6,8.9,10.2,11.5,12.8,14.1,15.4,16.7,18,19.7,21.4,23.1,24.8},{0,10,20,30,40,50,60,62,64,66,68,70,72,74,76,78,80,85,90,95,100})</f>
        <v>78</v>
      </c>
      <c r="F143" s="4">
        <v>196</v>
      </c>
      <c r="G143" s="32">
        <f>LOOKUP(F143,{0,124,129,134,139,144,149,152,155,158,161,164,167,170,173,176,179,186,193,199,205},{0,10,20,30,40,50,60,62,64,66,68,70,72,74,76,78,80,85,90,95,100})</f>
        <v>90</v>
      </c>
      <c r="H143" s="4">
        <v>59</v>
      </c>
      <c r="I143" s="32">
        <f>LOOKUP(H143,{0,14,16,18,20,22,24,26,28,30,32,34,36,38,40,42,44,47,50,52,54},{0,10,20,30,40,50,60,62,64,66,68,70,72,74,76,78,80,85,90,95,100})</f>
        <v>100</v>
      </c>
      <c r="J143" s="4">
        <f>H143-54</f>
        <v>5</v>
      </c>
      <c r="K143" s="34">
        <f>LOOKUP(J143,{0,2,4,6,7,8,9,10,11,12,13},{0,1,2,3,4,5,6,7,8,9,10})</f>
        <v>2</v>
      </c>
      <c r="L143" s="4">
        <f t="shared" si="17"/>
        <v>102</v>
      </c>
      <c r="M143" s="4">
        <v>8.6</v>
      </c>
      <c r="N143" s="4">
        <f t="shared" si="16"/>
        <v>3.4</v>
      </c>
      <c r="O143" s="32">
        <f>LOOKUP(N143,{0,0.5,0.7,0.9,1.1,1.3,1.5,1.7,1.9,2.1,2.3,2.5,2.7,2.9,3.1,3.3,3.5,3.8,4.1,4.2,4.3},{0,10,20,30,40,50,60,62,64,66,68,70,72,74,76,78,80,85,90,95,100})</f>
        <v>78</v>
      </c>
      <c r="P143" s="4">
        <v>3.18</v>
      </c>
      <c r="Q143" s="4">
        <f t="shared" si="18"/>
        <v>6.82</v>
      </c>
      <c r="R143" s="32">
        <f>LOOKUP(Q143,{0,4.72,4.82,4.92,5.42,5.52,5.62,5.67,5.72,5.77,5.82,5.87,5.92,5.97,6.42,6.47,6.52,6.59,6.66,6.72,6.78},{0,10,20,30,40,50,60,62,64,66,68,70,72,74,76,78,80,85,90,95,100})</f>
        <v>100</v>
      </c>
      <c r="S143" s="39">
        <f>3.22-P143</f>
        <v>0.04</v>
      </c>
      <c r="T143" s="32">
        <f>LOOKUP(S143,{0,0.05,0.1,0.15,0.2,0.25,0.3,0.35,0.4,0.45,0.5},{0,1,2,3,4,5,6,7,8,9,10})</f>
        <v>0</v>
      </c>
      <c r="U143" s="4">
        <f t="shared" si="19"/>
        <v>100</v>
      </c>
      <c r="W143" s="5">
        <f t="shared" si="20"/>
        <v>62.4</v>
      </c>
      <c r="X143" s="20">
        <f t="shared" si="21"/>
        <v>91.1428571428572</v>
      </c>
    </row>
    <row r="144" ht="15.6" hidden="1" spans="1:24">
      <c r="A144" s="4">
        <v>213</v>
      </c>
      <c r="B144" s="24" t="s">
        <v>707</v>
      </c>
      <c r="C144" s="25" t="s">
        <v>53</v>
      </c>
      <c r="D144" s="4">
        <v>17.7</v>
      </c>
      <c r="E144" s="32">
        <f>LOOKUP(D144,{0,1,1.8,2.6,3.4,4.2,5,6.3,7.6,8.9,10.2,11.5,12.8,14.1,15.4,16.7,18,19.7,21.4,23.1,24.8},{0,10,20,30,40,50,60,62,64,66,68,70,72,74,76,78,80,85,90,95,100})</f>
        <v>78</v>
      </c>
      <c r="F144" s="4">
        <v>200</v>
      </c>
      <c r="G144" s="32">
        <f>LOOKUP(F144,{0,124,129,134,139,144,149,152,155,158,161,164,167,170,173,176,179,186,193,199,205},{0,10,20,30,40,50,60,62,64,66,68,70,72,74,76,78,80,85,90,95,100})</f>
        <v>95</v>
      </c>
      <c r="H144" s="4">
        <v>49</v>
      </c>
      <c r="I144" s="32">
        <f>LOOKUP(H144,{0,14,16,18,20,22,24,26,28,30,32,34,36,38,40,42,44,47,50,52,54},{0,10,20,30,40,50,60,62,64,66,68,70,72,74,76,78,80,85,90,95,100})</f>
        <v>85</v>
      </c>
      <c r="L144" s="4">
        <f t="shared" si="17"/>
        <v>85</v>
      </c>
      <c r="M144" s="4">
        <v>7.9</v>
      </c>
      <c r="N144" s="4">
        <f t="shared" si="16"/>
        <v>4.1</v>
      </c>
      <c r="O144" s="32">
        <f>LOOKUP(N144,{0,0.5,0.7,0.9,1.1,1.3,1.5,1.7,1.9,2.1,2.3,2.5,2.7,2.9,3.1,3.3,3.5,3.8,4.1,4.2,4.3},{0,10,20,30,40,50,60,62,64,66,68,70,72,74,76,78,80,85,90,95,100})</f>
        <v>90</v>
      </c>
      <c r="P144" s="4">
        <v>3.2</v>
      </c>
      <c r="Q144" s="4">
        <f t="shared" si="18"/>
        <v>6.8</v>
      </c>
      <c r="R144" s="32">
        <f>LOOKUP(Q144,{0,4.72,4.82,4.92,5.42,5.52,5.62,5.67,5.72,5.77,5.82,5.87,5.92,5.97,6.42,6.47,6.52,6.59,6.66,6.72,6.78},{0,10,20,30,40,50,60,62,64,66,68,70,72,74,76,78,80,85,90,95,100})</f>
        <v>100</v>
      </c>
      <c r="S144" s="39">
        <f>3.22-P144</f>
        <v>0.02</v>
      </c>
      <c r="T144" s="32">
        <f>LOOKUP(S144,{0,0.05,0.1,0.15,0.2,0.25,0.3,0.35,0.4,0.45,0.5},{0,1,2,3,4,5,6,7,8,9,10})</f>
        <v>0</v>
      </c>
      <c r="U144" s="4">
        <f t="shared" si="19"/>
        <v>100</v>
      </c>
      <c r="W144" s="5">
        <f t="shared" si="20"/>
        <v>63.8</v>
      </c>
      <c r="X144" s="20">
        <f t="shared" si="21"/>
        <v>91.1428571428571</v>
      </c>
    </row>
    <row r="145" ht="15.6" hidden="1" spans="1:24">
      <c r="A145" s="4">
        <v>204</v>
      </c>
      <c r="B145" s="24" t="s">
        <v>205</v>
      </c>
      <c r="C145" s="25" t="s">
        <v>53</v>
      </c>
      <c r="D145" s="4">
        <v>12.8</v>
      </c>
      <c r="E145" s="32">
        <f>LOOKUP(D145,{0,1,1.8,2.6,3.4,4.2,5,6.3,7.6,8.9,10.2,11.5,12.8,14.1,15.4,16.7,18,19.7,21.4,23.1,24.8},{0,10,20,30,40,50,60,62,64,66,68,70,72,74,76,78,80,85,90,95,100})</f>
        <v>72</v>
      </c>
      <c r="F145" s="4">
        <v>212</v>
      </c>
      <c r="G145" s="32">
        <f>LOOKUP(F145,{0,124,129,134,139,144,149,152,155,158,161,164,167,170,173,176,179,186,193,199,205},{0,10,20,30,40,50,60,62,64,66,68,70,72,74,76,78,80,85,90,95,100})</f>
        <v>100</v>
      </c>
      <c r="H145" s="4">
        <v>52</v>
      </c>
      <c r="I145" s="32">
        <f>LOOKUP(H145,{0,14,16,18,20,22,24,26,28,30,32,34,36,38,40,42,44,47,50,52,54},{0,10,20,30,40,50,60,62,64,66,68,70,72,74,76,78,80,85,90,95,100})</f>
        <v>95</v>
      </c>
      <c r="L145" s="4">
        <f t="shared" si="17"/>
        <v>95</v>
      </c>
      <c r="M145" s="4">
        <v>7.8</v>
      </c>
      <c r="N145" s="4">
        <f t="shared" si="16"/>
        <v>4.2</v>
      </c>
      <c r="O145" s="32">
        <f>LOOKUP(N145,{0,0.5,0.7,0.9,1.1,1.3,1.5,1.7,1.9,2.1,2.3,2.5,2.7,2.9,3.1,3.3,3.5,3.8,4.1,4.2,4.3},{0,10,20,30,40,50,60,62,64,66,68,70,72,74,76,78,80,85,90,95,100})</f>
        <v>95</v>
      </c>
      <c r="P145" s="4">
        <v>3.3</v>
      </c>
      <c r="Q145" s="4">
        <f t="shared" si="18"/>
        <v>6.7</v>
      </c>
      <c r="R145" s="32">
        <f>LOOKUP(Q145,{0,4.72,4.82,4.92,5.42,5.52,5.62,5.67,5.72,5.77,5.82,5.87,5.92,5.97,6.42,6.47,6.52,6.59,6.66,6.72,6.78},{0,10,20,30,40,50,60,62,64,66,68,70,72,74,76,78,80,85,90,95,100})</f>
        <v>90</v>
      </c>
      <c r="U145" s="4">
        <f t="shared" si="19"/>
        <v>90</v>
      </c>
      <c r="W145" s="5">
        <f t="shared" si="20"/>
        <v>63.7</v>
      </c>
      <c r="X145" s="20">
        <f t="shared" si="21"/>
        <v>91</v>
      </c>
    </row>
    <row r="146" ht="15.6" hidden="1" spans="1:24">
      <c r="A146" s="4">
        <v>204</v>
      </c>
      <c r="B146" s="33" t="s">
        <v>180</v>
      </c>
      <c r="C146" s="25" t="s">
        <v>53</v>
      </c>
      <c r="D146" s="4">
        <v>21.5</v>
      </c>
      <c r="E146" s="32">
        <f>LOOKUP(D146,{0,1,1.8,2.6,3.4,4.2,5,6.3,7.6,8.9,10.2,11.5,12.8,14.1,15.4,16.7,18,19.7,21.4,23.1,24.8},{0,10,20,30,40,50,60,62,64,66,68,70,72,74,76,78,80,85,90,95,100})</f>
        <v>90</v>
      </c>
      <c r="F146" s="4">
        <v>190</v>
      </c>
      <c r="G146" s="32">
        <f>LOOKUP(F146,{0,124,129,134,139,144,149,152,155,158,161,164,167,170,173,176,179,186,193,199,205},{0,10,20,30,40,50,60,62,64,66,68,70,72,74,76,78,80,85,90,95,100})</f>
        <v>85</v>
      </c>
      <c r="H146" s="4">
        <v>49</v>
      </c>
      <c r="I146" s="32">
        <f>LOOKUP(H146,{0,14,16,18,20,22,24,26,28,30,32,34,36,38,40,42,44,47,50,52,54},{0,10,20,30,40,50,60,62,64,66,68,70,72,74,76,78,80,85,90,95,100})</f>
        <v>85</v>
      </c>
      <c r="L146" s="4">
        <f t="shared" si="17"/>
        <v>85</v>
      </c>
      <c r="M146" s="4">
        <v>8.1</v>
      </c>
      <c r="N146" s="4">
        <f t="shared" si="16"/>
        <v>3.9</v>
      </c>
      <c r="O146" s="32">
        <f>LOOKUP(N146,{0,0.5,0.7,0.9,1.1,1.3,1.5,1.7,1.9,2.1,2.3,2.5,2.7,2.9,3.1,3.3,3.5,3.8,4.1,4.2,4.3},{0,10,20,30,40,50,60,62,64,66,68,70,72,74,76,78,80,85,90,95,100})</f>
        <v>85</v>
      </c>
      <c r="P146" s="4">
        <v>3.13</v>
      </c>
      <c r="Q146" s="4">
        <f t="shared" si="18"/>
        <v>6.87</v>
      </c>
      <c r="R146" s="32">
        <f>LOOKUP(Q146,{0,4.72,4.82,4.92,5.42,5.52,5.62,5.67,5.72,5.77,5.82,5.87,5.92,5.97,6.42,6.47,6.52,6.59,6.66,6.72,6.78},{0,10,20,30,40,50,60,62,64,66,68,70,72,74,76,78,80,85,90,95,100})</f>
        <v>100</v>
      </c>
      <c r="S146" s="39">
        <f>3.22-P146</f>
        <v>0.0900000000000003</v>
      </c>
      <c r="T146" s="32">
        <f>LOOKUP(S146,{0,0.05,0.1,0.15,0.2,0.25,0.3,0.35,0.4,0.45,0.5},{0,1,2,3,4,5,6,7,8,9,10})</f>
        <v>1</v>
      </c>
      <c r="U146" s="4">
        <f t="shared" si="19"/>
        <v>101</v>
      </c>
      <c r="W146" s="5">
        <f t="shared" si="20"/>
        <v>63</v>
      </c>
      <c r="X146" s="20">
        <f t="shared" si="21"/>
        <v>91</v>
      </c>
    </row>
    <row r="147" ht="15.6" hidden="1" spans="1:24">
      <c r="A147" s="4">
        <v>213</v>
      </c>
      <c r="B147" s="24" t="s">
        <v>704</v>
      </c>
      <c r="C147" s="25" t="s">
        <v>53</v>
      </c>
      <c r="D147" s="4">
        <v>20.5</v>
      </c>
      <c r="E147" s="32">
        <f>LOOKUP(D147,{0,1,1.8,2.6,3.4,4.2,5,6.3,7.6,8.9,10.2,11.5,12.8,14.1,15.4,16.7,18,19.7,21.4,23.1,24.8},{0,10,20,30,40,50,60,62,64,66,68,70,72,74,76,78,80,85,90,95,100})</f>
        <v>85</v>
      </c>
      <c r="F147" s="4">
        <v>202</v>
      </c>
      <c r="G147" s="32">
        <f>LOOKUP(F147,{0,124,129,134,139,144,149,152,155,158,161,164,167,170,173,176,179,186,193,199,205},{0,10,20,30,40,50,60,62,64,66,68,70,72,74,76,78,80,85,90,95,100})</f>
        <v>95</v>
      </c>
      <c r="H147" s="4">
        <v>46</v>
      </c>
      <c r="I147" s="32">
        <f>LOOKUP(H147,{0,14,16,18,20,22,24,26,28,30,32,34,36,38,40,42,44,47,50,52,54},{0,10,20,30,40,50,60,62,64,66,68,70,72,74,76,78,80,85,90,95,100})</f>
        <v>80</v>
      </c>
      <c r="L147" s="4">
        <f t="shared" si="17"/>
        <v>80</v>
      </c>
      <c r="M147" s="4">
        <v>8</v>
      </c>
      <c r="N147" s="4">
        <f t="shared" si="16"/>
        <v>4</v>
      </c>
      <c r="O147" s="32">
        <f>LOOKUP(N147,{0,0.5,0.7,0.9,1.1,1.3,1.5,1.7,1.9,2.1,2.3,2.5,2.7,2.9,3.1,3.3,3.5,3.8,4.1,4.2,4.3},{0,10,20,30,40,50,60,62,64,66,68,70,72,74,76,78,80,85,90,95,100})</f>
        <v>85</v>
      </c>
      <c r="P147" s="4">
        <v>3.14</v>
      </c>
      <c r="Q147" s="4">
        <f t="shared" si="18"/>
        <v>6.86</v>
      </c>
      <c r="R147" s="32">
        <f>LOOKUP(Q147,{0,4.72,4.82,4.92,5.42,5.52,5.62,5.67,5.72,5.77,5.82,5.87,5.92,5.97,6.42,6.47,6.52,6.59,6.66,6.72,6.78},{0,10,20,30,40,50,60,62,64,66,68,70,72,74,76,78,80,85,90,95,100})</f>
        <v>100</v>
      </c>
      <c r="S147" s="39">
        <f>3.22-P147</f>
        <v>0.0800000000000001</v>
      </c>
      <c r="T147" s="32">
        <f>LOOKUP(S147,{0,0.05,0.1,0.15,0.2,0.25,0.3,0.35,0.4,0.45,0.5},{0,1,2,3,4,5,6,7,8,9,10})</f>
        <v>1</v>
      </c>
      <c r="U147" s="4">
        <f t="shared" si="19"/>
        <v>101</v>
      </c>
      <c r="W147" s="5">
        <f t="shared" si="20"/>
        <v>63</v>
      </c>
      <c r="X147" s="20">
        <f t="shared" si="21"/>
        <v>91</v>
      </c>
    </row>
    <row r="148" ht="15.6" hidden="1" spans="1:24">
      <c r="A148" s="4">
        <v>205</v>
      </c>
      <c r="B148" s="24" t="s">
        <v>261</v>
      </c>
      <c r="C148" s="25" t="s">
        <v>53</v>
      </c>
      <c r="D148" s="4">
        <v>23.1</v>
      </c>
      <c r="E148" s="32">
        <f>LOOKUP(D148,{0,1,1.8,2.6,3.4,4.2,5,6.3,7.6,8.9,10.2,11.5,12.8,14.1,15.4,16.7,18,19.7,21.4,23.1,24.8},{0,10,20,30,40,50,60,62,64,66,68,70,72,74,76,78,80,85,90,95,100})</f>
        <v>95</v>
      </c>
      <c r="F148" s="4">
        <v>191</v>
      </c>
      <c r="G148" s="32">
        <f>LOOKUP(F148,{0,124,129,134,139,144,149,152,155,158,161,164,167,170,173,176,179,186,193,199,205},{0,10,20,30,40,50,60,62,64,66,68,70,72,74,76,78,80,85,90,95,100})</f>
        <v>85</v>
      </c>
      <c r="H148" s="4">
        <v>57</v>
      </c>
      <c r="I148" s="32">
        <f>LOOKUP(H148,{0,14,16,18,20,22,24,26,28,30,32,34,36,38,40,42,44,47,50,52,54},{0,10,20,30,40,50,60,62,64,66,68,70,72,74,76,78,80,85,90,95,100})</f>
        <v>100</v>
      </c>
      <c r="J148" s="4">
        <f>H148-54</f>
        <v>3</v>
      </c>
      <c r="K148" s="32">
        <f>LOOKUP(J148,{0,2,4,6,7,8,9,10,11,12,13},{0,1,2,3,4,5,6,7,8,9,10})</f>
        <v>1</v>
      </c>
      <c r="L148" s="4">
        <f t="shared" si="17"/>
        <v>101</v>
      </c>
      <c r="M148" s="4">
        <v>8.4</v>
      </c>
      <c r="N148" s="4">
        <f t="shared" si="16"/>
        <v>3.6</v>
      </c>
      <c r="O148" s="32">
        <f>LOOKUP(N148,{0,0.5,0.7,0.9,1.1,1.3,1.5,1.7,1.9,2.1,2.3,2.5,2.7,2.9,3.1,3.3,3.5,3.8,4.1,4.2,4.3},{0,10,20,30,40,50,60,62,64,66,68,70,72,74,76,78,80,85,90,95,100})</f>
        <v>80</v>
      </c>
      <c r="P148" s="4">
        <v>3.26</v>
      </c>
      <c r="Q148" s="4">
        <f t="shared" si="18"/>
        <v>6.74</v>
      </c>
      <c r="R148" s="32">
        <f>LOOKUP(Q148,{0,4.72,4.82,4.92,5.42,5.52,5.62,5.67,5.72,5.77,5.82,5.87,5.92,5.97,6.42,6.47,6.52,6.59,6.66,6.72,6.78},{0,10,20,30,40,50,60,62,64,66,68,70,72,74,76,78,80,85,90,95,100})</f>
        <v>95</v>
      </c>
      <c r="U148" s="4">
        <f t="shared" si="19"/>
        <v>95</v>
      </c>
      <c r="W148" s="5">
        <f t="shared" si="20"/>
        <v>63</v>
      </c>
      <c r="X148" s="20">
        <f t="shared" si="21"/>
        <v>91</v>
      </c>
    </row>
    <row r="149" ht="15.6" hidden="1" spans="1:24">
      <c r="A149" s="4">
        <v>204</v>
      </c>
      <c r="B149" s="33" t="s">
        <v>202</v>
      </c>
      <c r="C149" s="25" t="s">
        <v>53</v>
      </c>
      <c r="D149" s="4">
        <v>25.5</v>
      </c>
      <c r="E149" s="32">
        <f>LOOKUP(D149,{0,1,1.8,2.6,3.4,4.2,5,6.3,7.6,8.9,10.2,11.5,12.8,14.1,15.4,16.7,18,19.7,21.4,23.1,24.8},{0,10,20,30,40,50,60,62,64,66,68,70,72,74,76,78,80,85,90,95,100})</f>
        <v>100</v>
      </c>
      <c r="F149" s="4">
        <v>184</v>
      </c>
      <c r="G149" s="32">
        <f>LOOKUP(F149,{0,124,129,134,139,144,149,152,155,158,161,164,167,170,173,176,179,186,193,199,205},{0,10,20,30,40,50,60,62,64,66,68,70,72,74,76,78,80,85,90,95,100})</f>
        <v>80</v>
      </c>
      <c r="H149" s="4">
        <v>56</v>
      </c>
      <c r="I149" s="32">
        <f>LOOKUP(H149,{0,14,16,18,20,22,24,26,28,30,32,34,36,38,40,42,44,47,50,52,54},{0,10,20,30,40,50,60,62,64,66,68,70,72,74,76,78,80,85,90,95,100})</f>
        <v>100</v>
      </c>
      <c r="J149" s="4">
        <f>H149-54</f>
        <v>2</v>
      </c>
      <c r="K149" s="34">
        <f>LOOKUP(J149,{0,2,4,6,7,8,9,10,11,12,13},{0,1,2,3,4,5,6,7,8,9,10})</f>
        <v>1</v>
      </c>
      <c r="L149" s="4">
        <f t="shared" si="17"/>
        <v>101</v>
      </c>
      <c r="M149" s="4">
        <v>8.2</v>
      </c>
      <c r="N149" s="4">
        <f t="shared" si="16"/>
        <v>3.8</v>
      </c>
      <c r="O149" s="32">
        <f>LOOKUP(N149,{0,0.5,0.7,0.9,1.1,1.3,1.5,1.7,1.9,2.1,2.3,2.5,2.7,2.9,3.1,3.3,3.5,3.8,4.1,4.2,4.3},{0,10,20,30,40,50,60,62,64,66,68,70,72,74,76,78,80,85,90,95,100})</f>
        <v>85</v>
      </c>
      <c r="P149" s="4">
        <v>3.29</v>
      </c>
      <c r="Q149" s="4">
        <f t="shared" si="18"/>
        <v>6.71</v>
      </c>
      <c r="R149" s="32">
        <f>LOOKUP(Q149,{0,4.72,4.82,4.92,5.42,5.52,5.62,5.67,5.72,5.77,5.82,5.87,5.92,5.97,6.42,6.47,6.52,6.59,6.66,6.72,6.78},{0,10,20,30,40,50,60,62,64,66,68,70,72,74,76,78,80,85,90,95,100})</f>
        <v>90</v>
      </c>
      <c r="U149" s="4">
        <f t="shared" si="19"/>
        <v>90</v>
      </c>
      <c r="W149" s="5">
        <f t="shared" si="20"/>
        <v>63</v>
      </c>
      <c r="X149" s="20">
        <f t="shared" si="21"/>
        <v>91</v>
      </c>
    </row>
    <row r="150" ht="15.6" hidden="1" spans="1:24">
      <c r="A150" s="4">
        <v>207</v>
      </c>
      <c r="B150" s="24" t="s">
        <v>367</v>
      </c>
      <c r="C150" s="25" t="s">
        <v>53</v>
      </c>
      <c r="D150" s="4">
        <v>18</v>
      </c>
      <c r="E150" s="32">
        <f>LOOKUP(D150,{0,1,1.8,2.6,3.4,4.2,5,6.3,7.6,8.9,10.2,11.5,12.8,14.1,15.4,16.7,18,19.7,21.4,23.1,24.8},{0,10,20,30,40,50,60,62,64,66,68,70,72,74,76,78,80,85,90,95,100})</f>
        <v>80</v>
      </c>
      <c r="F150" s="4">
        <v>171</v>
      </c>
      <c r="G150" s="32">
        <f>LOOKUP(F150,{0,124,129,134,139,144,149,152,155,158,161,164,167,170,173,176,179,186,193,199,205},{0,10,20,30,40,50,60,62,64,66,68,70,72,74,76,78,80,85,90,95,100})</f>
        <v>74</v>
      </c>
      <c r="H150" s="4">
        <v>57</v>
      </c>
      <c r="I150" s="32">
        <f>LOOKUP(H150,{0,14,16,18,20,22,24,26,28,30,32,34,36,38,40,42,44,47,50,52,54},{0,10,20,30,40,50,60,62,64,66,68,70,72,74,76,78,80,85,90,95,100})</f>
        <v>100</v>
      </c>
      <c r="J150" s="4">
        <f>H150-54</f>
        <v>3</v>
      </c>
      <c r="K150" s="32">
        <f>LOOKUP(J150,{0,2,4,6,7,8,9,10,11,12,13},{0,1,2,3,4,5,6,7,8,9,10})</f>
        <v>1</v>
      </c>
      <c r="L150" s="4">
        <f t="shared" si="17"/>
        <v>101</v>
      </c>
      <c r="M150" s="4">
        <v>8.3</v>
      </c>
      <c r="N150" s="4">
        <f t="shared" si="16"/>
        <v>3.7</v>
      </c>
      <c r="O150" s="32">
        <f>LOOKUP(N150,{0,0.5,0.7,0.9,1.1,1.3,1.5,1.7,1.9,2.1,2.3,2.5,2.7,2.9,3.1,3.3,3.5,3.8,4.1,4.2,4.3},{0,10,20,30,40,50,60,62,64,66,68,70,72,74,76,78,80,85,90,95,100})</f>
        <v>80</v>
      </c>
      <c r="P150" s="4">
        <v>3.12</v>
      </c>
      <c r="Q150" s="4">
        <f t="shared" si="18"/>
        <v>6.88</v>
      </c>
      <c r="R150" s="32">
        <f>LOOKUP(Q150,{0,4.72,4.82,4.92,5.42,5.52,5.62,5.67,5.72,5.77,5.82,5.87,5.92,5.97,6.42,6.47,6.52,6.59,6.66,6.72,6.78},{0,10,20,30,40,50,60,62,64,66,68,70,72,74,76,78,80,85,90,95,100})</f>
        <v>100</v>
      </c>
      <c r="S150" s="39">
        <f>3.22-P150</f>
        <v>0.1</v>
      </c>
      <c r="T150" s="32">
        <f>LOOKUP(S150,{0,0.05,0.1,0.15,0.2,0.25,0.3,0.35,0.4,0.45,0.5},{0,1,2,3,4,5,6,7,8,9,10})</f>
        <v>2</v>
      </c>
      <c r="U150" s="4">
        <f t="shared" si="19"/>
        <v>102</v>
      </c>
      <c r="W150" s="5">
        <f t="shared" si="20"/>
        <v>61.4</v>
      </c>
      <c r="X150" s="20">
        <f t="shared" si="21"/>
        <v>90.7142857142857</v>
      </c>
    </row>
    <row r="151" ht="15.6" hidden="1" spans="1:24">
      <c r="A151" s="4">
        <v>204</v>
      </c>
      <c r="B151" s="24" t="s">
        <v>195</v>
      </c>
      <c r="C151" s="25" t="s">
        <v>53</v>
      </c>
      <c r="D151" s="4">
        <v>18</v>
      </c>
      <c r="E151" s="32">
        <f>LOOKUP(D151,{0,1,1.8,2.6,3.4,4.2,5,6.3,7.6,8.9,10.2,11.5,12.8,14.1,15.4,16.7,18,19.7,21.4,23.1,24.8},{0,10,20,30,40,50,60,62,64,66,68,70,72,74,76,78,80,85,90,95,100})</f>
        <v>80</v>
      </c>
      <c r="F151" s="4">
        <v>189</v>
      </c>
      <c r="G151" s="32">
        <f>LOOKUP(F151,{0,124,129,134,139,144,149,152,155,158,161,164,167,170,173,176,179,186,193,199,205},{0,10,20,30,40,50,60,62,64,66,68,70,72,74,76,78,80,85,90,95,100})</f>
        <v>85</v>
      </c>
      <c r="H151" s="4">
        <v>45</v>
      </c>
      <c r="I151" s="32">
        <f>LOOKUP(H151,{0,14,16,18,20,22,24,26,28,30,32,34,36,38,40,42,44,47,50,52,54},{0,10,20,30,40,50,60,62,64,66,68,70,72,74,76,78,80,85,90,95,100})</f>
        <v>80</v>
      </c>
      <c r="K151" s="35"/>
      <c r="L151" s="4">
        <f t="shared" si="17"/>
        <v>80</v>
      </c>
      <c r="M151" s="4">
        <v>7.5</v>
      </c>
      <c r="N151" s="4">
        <f t="shared" si="16"/>
        <v>4.5</v>
      </c>
      <c r="O151" s="32">
        <f>LOOKUP(N151,{0,0.5,0.7,0.9,1.1,1.3,1.5,1.7,1.9,2.1,2.3,2.5,2.7,2.9,3.1,3.3,3.5,3.8,4.1,4.2,4.3},{0,10,20,30,40,50,60,62,64,66,68,70,72,74,76,78,80,85,90,95,100})</f>
        <v>100</v>
      </c>
      <c r="P151" s="4">
        <v>3.25</v>
      </c>
      <c r="Q151" s="4">
        <f t="shared" si="18"/>
        <v>6.75</v>
      </c>
      <c r="R151" s="32">
        <f>LOOKUP(Q151,{0,4.72,4.82,4.92,5.42,5.52,5.62,5.67,5.72,5.77,5.82,5.87,5.92,5.97,6.42,6.47,6.52,6.59,6.66,6.72,6.78},{0,10,20,30,40,50,60,62,64,66,68,70,72,74,76,78,80,85,90,95,100})</f>
        <v>95</v>
      </c>
      <c r="U151" s="4">
        <f t="shared" si="19"/>
        <v>95</v>
      </c>
      <c r="W151" s="5">
        <f t="shared" si="20"/>
        <v>63.5</v>
      </c>
      <c r="X151" s="20">
        <f t="shared" si="21"/>
        <v>90.7142857142857</v>
      </c>
    </row>
    <row r="152" ht="15.6" hidden="1" spans="1:24">
      <c r="A152" s="4">
        <v>204</v>
      </c>
      <c r="B152" s="24" t="s">
        <v>177</v>
      </c>
      <c r="C152" s="25" t="s">
        <v>53</v>
      </c>
      <c r="D152" s="4">
        <v>25.5</v>
      </c>
      <c r="E152" s="32">
        <f>LOOKUP(D152,{0,1,1.8,2.6,3.4,4.2,5,6.3,7.6,8.9,10.2,11.5,12.8,14.1,15.4,16.7,18,19.7,21.4,23.1,24.8},{0,10,20,30,40,50,60,62,64,66,68,70,72,74,76,78,80,85,90,95,100})</f>
        <v>100</v>
      </c>
      <c r="F152" s="4">
        <v>210</v>
      </c>
      <c r="G152" s="32">
        <f>LOOKUP(F152,{0,124,129,134,139,144,149,152,155,158,161,164,167,170,173,176,179,186,193,199,205},{0,10,20,30,40,50,60,62,64,66,68,70,72,74,76,78,80,85,90,95,100})</f>
        <v>100</v>
      </c>
      <c r="H152" s="4">
        <v>49</v>
      </c>
      <c r="I152" s="32">
        <f>LOOKUP(H152,{0,14,16,18,20,22,24,26,28,30,32,34,36,38,40,42,44,47,50,52,54},{0,10,20,30,40,50,60,62,64,66,68,70,72,74,76,78,80,85,90,95,100})</f>
        <v>85</v>
      </c>
      <c r="L152" s="4">
        <f t="shared" si="17"/>
        <v>85</v>
      </c>
      <c r="M152" s="4">
        <v>8.1</v>
      </c>
      <c r="N152" s="4">
        <f t="shared" si="16"/>
        <v>3.9</v>
      </c>
      <c r="O152" s="32">
        <f>LOOKUP(N152,{0,0.5,0.7,0.9,1.1,1.3,1.5,1.7,1.9,2.1,2.3,2.5,2.7,2.9,3.1,3.3,3.5,3.8,4.1,4.2,4.3},{0,10,20,30,40,50,60,62,64,66,68,70,72,74,76,78,80,85,90,95,100})</f>
        <v>85</v>
      </c>
      <c r="P152" s="4">
        <v>3.29</v>
      </c>
      <c r="Q152" s="4">
        <f t="shared" si="18"/>
        <v>6.71</v>
      </c>
      <c r="R152" s="32">
        <f>LOOKUP(Q152,{0,4.72,4.82,4.92,5.42,5.52,5.62,5.67,5.72,5.77,5.82,5.87,5.92,5.97,6.42,6.47,6.52,6.59,6.66,6.72,6.78},{0,10,20,30,40,50,60,62,64,66,68,70,72,74,76,78,80,85,90,95,100})</f>
        <v>90</v>
      </c>
      <c r="U152" s="4">
        <f t="shared" si="19"/>
        <v>90</v>
      </c>
      <c r="W152" s="5">
        <f t="shared" si="20"/>
        <v>63.5</v>
      </c>
      <c r="X152" s="20">
        <f t="shared" si="21"/>
        <v>90.7142857142857</v>
      </c>
    </row>
    <row r="153" ht="15.6" hidden="1" spans="1:24">
      <c r="A153" s="4">
        <v>211</v>
      </c>
      <c r="B153" s="24" t="s">
        <v>600</v>
      </c>
      <c r="C153" s="25" t="s">
        <v>53</v>
      </c>
      <c r="D153" s="4">
        <v>27</v>
      </c>
      <c r="E153" s="32">
        <f>LOOKUP(D153,{0,1,1.8,2.6,3.4,4.2,5,6.3,7.6,8.9,10.2,11.5,12.8,14.1,15.4,16.7,18,19.7,21.4,23.1,24.8},{0,10,20,30,40,50,60,62,64,66,68,70,72,74,76,78,80,85,90,95,100})</f>
        <v>100</v>
      </c>
      <c r="F153" s="4">
        <v>193</v>
      </c>
      <c r="G153" s="32">
        <f>LOOKUP(F153,{0,124,129,134,139,144,149,152,155,158,161,164,167,170,173,176,179,186,193,199,205},{0,10,20,30,40,50,60,62,64,66,68,70,72,74,76,78,80,85,90,95,100})</f>
        <v>90</v>
      </c>
      <c r="H153" s="4">
        <v>60</v>
      </c>
      <c r="I153" s="32">
        <f>LOOKUP(H153,{0,14,16,18,20,22,24,26,28,30,32,34,36,38,40,42,44,47,50,52,54},{0,10,20,30,40,50,60,62,64,66,68,70,72,74,76,78,80,85,90,95,100})</f>
        <v>100</v>
      </c>
      <c r="J153" s="4">
        <f>H153-54</f>
        <v>6</v>
      </c>
      <c r="K153" s="34">
        <f>LOOKUP(J153,{0,2,4,6,7,8,9,10,11,12,13},{0,1,2,3,4,5,6,7,8,9,10})</f>
        <v>3</v>
      </c>
      <c r="L153" s="4">
        <f t="shared" si="17"/>
        <v>103</v>
      </c>
      <c r="M153" s="4">
        <v>8.1</v>
      </c>
      <c r="N153" s="4">
        <f t="shared" si="16"/>
        <v>3.9</v>
      </c>
      <c r="O153" s="32">
        <f>LOOKUP(N153,{0,0.5,0.7,0.9,1.1,1.3,1.5,1.7,1.9,2.1,2.3,2.5,2.7,2.9,3.1,3.3,3.5,3.8,4.1,4.2,4.3},{0,10,20,30,40,50,60,62,64,66,68,70,72,74,76,78,80,85,90,95,100})</f>
        <v>85</v>
      </c>
      <c r="P153" s="4">
        <v>3.55</v>
      </c>
      <c r="Q153" s="4">
        <f t="shared" si="18"/>
        <v>6.45</v>
      </c>
      <c r="R153" s="32">
        <f>LOOKUP(Q153,{0,4.72,4.82,4.92,5.42,5.52,5.62,5.67,5.72,5.77,5.82,5.87,5.92,5.97,6.42,6.47,6.52,6.59,6.66,6.72,6.78},{0,10,20,30,40,50,60,62,64,66,68,70,72,74,76,78,80,85,90,95,100})</f>
        <v>76</v>
      </c>
      <c r="U153" s="4">
        <f t="shared" si="19"/>
        <v>76</v>
      </c>
      <c r="W153" s="5">
        <f t="shared" si="20"/>
        <v>61.2</v>
      </c>
      <c r="X153" s="20">
        <f t="shared" si="21"/>
        <v>90.4285714285714</v>
      </c>
    </row>
    <row r="154" ht="15.6" hidden="1" spans="1:24">
      <c r="A154" s="4">
        <v>204</v>
      </c>
      <c r="B154" s="24" t="s">
        <v>178</v>
      </c>
      <c r="C154" s="25" t="s">
        <v>53</v>
      </c>
      <c r="D154" s="4">
        <v>25</v>
      </c>
      <c r="E154" s="32">
        <f>LOOKUP(D154,{0,1,1.8,2.6,3.4,4.2,5,6.3,7.6,8.9,10.2,11.5,12.8,14.1,15.4,16.7,18,19.7,21.4,23.1,24.8},{0,10,20,30,40,50,60,62,64,66,68,70,72,74,76,78,80,85,90,95,100})</f>
        <v>100</v>
      </c>
      <c r="F154" s="4">
        <v>201</v>
      </c>
      <c r="G154" s="32">
        <f>LOOKUP(F154,{0,124,129,134,139,144,149,152,155,158,161,164,167,170,173,176,179,186,193,199,205},{0,10,20,30,40,50,60,62,64,66,68,70,72,74,76,78,80,85,90,95,100})</f>
        <v>95</v>
      </c>
      <c r="H154" s="4">
        <v>43</v>
      </c>
      <c r="I154" s="32">
        <f>LOOKUP(H154,{0,14,16,18,20,22,24,26,28,30,32,34,36,38,40,42,44,47,50,52,54},{0,10,20,30,40,50,60,62,64,66,68,70,72,74,76,78,80,85,90,95,100})</f>
        <v>78</v>
      </c>
      <c r="L154" s="4">
        <f t="shared" si="17"/>
        <v>78</v>
      </c>
      <c r="M154" s="4">
        <v>8.1</v>
      </c>
      <c r="N154" s="4">
        <f t="shared" si="16"/>
        <v>3.9</v>
      </c>
      <c r="O154" s="32">
        <f>LOOKUP(N154,{0,0.5,0.7,0.9,1.1,1.3,1.5,1.7,1.9,2.1,2.3,2.5,2.7,2.9,3.1,3.3,3.5,3.8,4.1,4.2,4.3},{0,10,20,30,40,50,60,62,64,66,68,70,72,74,76,78,80,85,90,95,100})</f>
        <v>85</v>
      </c>
      <c r="P154" s="4">
        <v>3.27</v>
      </c>
      <c r="Q154" s="4">
        <f t="shared" si="18"/>
        <v>6.73</v>
      </c>
      <c r="R154" s="32">
        <f>LOOKUP(Q154,{0,4.72,4.82,4.92,5.42,5.52,5.62,5.67,5.72,5.77,5.82,5.87,5.92,5.97,6.42,6.47,6.52,6.59,6.66,6.72,6.78},{0,10,20,30,40,50,60,62,64,66,68,70,72,74,76,78,80,85,90,95,100})</f>
        <v>95</v>
      </c>
      <c r="U154" s="4">
        <f t="shared" si="19"/>
        <v>95</v>
      </c>
      <c r="W154" s="5">
        <f t="shared" si="20"/>
        <v>63.3</v>
      </c>
      <c r="X154" s="20">
        <f t="shared" si="21"/>
        <v>90.4285714285714</v>
      </c>
    </row>
    <row r="155" ht="15.6" hidden="1" spans="1:24">
      <c r="A155" s="4">
        <v>215</v>
      </c>
      <c r="B155" s="24" t="s">
        <v>833</v>
      </c>
      <c r="C155" s="25" t="s">
        <v>53</v>
      </c>
      <c r="D155" s="4">
        <v>13.5</v>
      </c>
      <c r="E155" s="32">
        <f>LOOKUP(D155,{0,1,1.8,2.6,3.4,4.2,5,6.3,7.6,8.9,10.2,11.5,12.8,14.1,15.4,16.7,18,19.7,21.4,23.1,24.8},{0,10,20,30,40,50,60,62,64,66,68,70,72,74,76,78,80,85,90,95,100})</f>
        <v>72</v>
      </c>
      <c r="F155" s="4">
        <v>160</v>
      </c>
      <c r="G155" s="32">
        <f>LOOKUP(F155,{0,124,129,134,139,144,149,152,155,158,161,164,167,170,173,176,179,186,193,199,205},{0,10,20,30,40,50,60,62,64,66,68,70,72,74,76,78,80,85,90,95,100})</f>
        <v>66</v>
      </c>
      <c r="H155" s="4">
        <v>65</v>
      </c>
      <c r="I155" s="32">
        <f>LOOKUP(H155,{0,14,16,18,20,22,24,26,28,30,32,34,36,38,40,42,44,47,50,52,54},{0,10,20,30,40,50,60,62,64,66,68,70,72,74,76,78,80,85,90,95,100})</f>
        <v>100</v>
      </c>
      <c r="J155" s="4">
        <f>H155-54</f>
        <v>11</v>
      </c>
      <c r="K155" s="32">
        <f>LOOKUP(J155,{0,2,4,6,7,8,9,10,11,12,13},{0,1,2,3,4,5,6,7,8,9,10})</f>
        <v>8</v>
      </c>
      <c r="L155" s="4">
        <f t="shared" si="17"/>
        <v>108</v>
      </c>
      <c r="M155" s="4">
        <v>9</v>
      </c>
      <c r="N155" s="4">
        <f t="shared" si="16"/>
        <v>3</v>
      </c>
      <c r="O155" s="32">
        <f>LOOKUP(N155,{0,0.5,0.7,0.9,1.1,1.3,1.5,1.7,1.9,2.1,2.3,2.5,2.7,2.9,3.1,3.3,3.5,3.8,4.1,4.2,4.3},{0,10,20,30,40,50,60,62,64,66,68,70,72,74,76,78,80,85,90,95,100})</f>
        <v>74</v>
      </c>
      <c r="P155" s="4">
        <v>3.26</v>
      </c>
      <c r="Q155" s="4">
        <f t="shared" si="18"/>
        <v>6.74</v>
      </c>
      <c r="R155" s="32">
        <f>LOOKUP(Q155,{0,4.72,4.82,4.92,5.42,5.52,5.62,5.67,5.72,5.77,5.82,5.87,5.92,5.97,6.42,6.47,6.52,6.59,6.66,6.72,6.78},{0,10,20,30,40,50,60,62,64,66,68,70,72,74,76,78,80,85,90,95,100})</f>
        <v>95</v>
      </c>
      <c r="U155" s="4">
        <f t="shared" si="19"/>
        <v>95</v>
      </c>
      <c r="W155" s="5">
        <f t="shared" si="20"/>
        <v>57.6</v>
      </c>
      <c r="X155" s="20">
        <f t="shared" si="21"/>
        <v>90.2857142857143</v>
      </c>
    </row>
    <row r="156" ht="15.6" hidden="1" spans="1:24">
      <c r="A156" s="4">
        <v>214</v>
      </c>
      <c r="B156" s="24" t="s">
        <v>780</v>
      </c>
      <c r="C156" s="25" t="s">
        <v>53</v>
      </c>
      <c r="D156" s="4">
        <v>13</v>
      </c>
      <c r="E156" s="32">
        <f>LOOKUP(D156,{0,1,1.8,2.6,3.4,4.2,5,6.3,7.6,8.9,10.2,11.5,12.8,14.1,15.4,16.7,18,19.7,21.4,23.1,24.8},{0,10,20,30,40,50,60,62,64,66,68,70,72,74,76,78,80,85,90,95,100})</f>
        <v>72</v>
      </c>
      <c r="F156" s="4">
        <v>187</v>
      </c>
      <c r="G156" s="32">
        <f>LOOKUP(F156,{0,124,129,134,139,144,149,152,155,158,161,164,167,170,173,176,179,186,193,199,205},{0,10,20,30,40,50,60,62,64,66,68,70,72,74,76,78,80,85,90,95,100})</f>
        <v>85</v>
      </c>
      <c r="H156" s="4">
        <v>57</v>
      </c>
      <c r="I156" s="32">
        <f>LOOKUP(H156,{0,14,16,18,20,22,24,26,28,30,32,34,36,38,40,42,44,47,50,52,54},{0,10,20,30,40,50,60,62,64,66,68,70,72,74,76,78,80,85,90,95,100})</f>
        <v>100</v>
      </c>
      <c r="J156" s="4">
        <f>H156-54</f>
        <v>3</v>
      </c>
      <c r="K156" s="32">
        <f>LOOKUP(J156,{0,2,4,6,7,8,9,10,11,12,13},{0,1,2,3,4,5,6,7,8,9,10})</f>
        <v>1</v>
      </c>
      <c r="L156" s="4">
        <f t="shared" si="17"/>
        <v>101</v>
      </c>
      <c r="M156" s="4">
        <v>8.3</v>
      </c>
      <c r="N156" s="4">
        <f t="shared" si="16"/>
        <v>3.7</v>
      </c>
      <c r="O156" s="32">
        <f>LOOKUP(N156,{0,0.5,0.7,0.9,1.1,1.3,1.5,1.7,1.9,2.1,2.3,2.5,2.7,2.9,3.1,3.3,3.5,3.8,4.1,4.2,4.3},{0,10,20,30,40,50,60,62,64,66,68,70,72,74,76,78,80,85,90,95,100})</f>
        <v>80</v>
      </c>
      <c r="P156" s="4">
        <v>3.13</v>
      </c>
      <c r="Q156" s="4">
        <f t="shared" si="18"/>
        <v>6.87</v>
      </c>
      <c r="R156" s="32">
        <f>LOOKUP(Q156,{0,4.72,4.82,4.92,5.42,5.52,5.62,5.67,5.72,5.77,5.82,5.87,5.92,5.97,6.42,6.47,6.52,6.59,6.66,6.72,6.78},{0,10,20,30,40,50,60,62,64,66,68,70,72,74,76,78,80,85,90,95,100})</f>
        <v>100</v>
      </c>
      <c r="S156" s="39">
        <f>3.22-P156</f>
        <v>0.0900000000000003</v>
      </c>
      <c r="T156" s="32">
        <f>LOOKUP(S156,{0,0.05,0.1,0.15,0.2,0.25,0.3,0.35,0.4,0.45,0.5},{0,1,2,3,4,5,6,7,8,9,10})</f>
        <v>1</v>
      </c>
      <c r="U156" s="4">
        <f t="shared" si="19"/>
        <v>101</v>
      </c>
      <c r="W156" s="5">
        <f t="shared" si="20"/>
        <v>61.7</v>
      </c>
      <c r="X156" s="20">
        <f t="shared" si="21"/>
        <v>90.1428571428572</v>
      </c>
    </row>
    <row r="157" ht="15.6" hidden="1" spans="1:24">
      <c r="A157" s="4">
        <v>204</v>
      </c>
      <c r="B157" s="24" t="s">
        <v>193</v>
      </c>
      <c r="C157" s="25" t="s">
        <v>53</v>
      </c>
      <c r="D157" s="4">
        <v>23.5</v>
      </c>
      <c r="E157" s="32">
        <f>LOOKUP(D157,{0,1,1.8,2.6,3.4,4.2,5,6.3,7.6,8.9,10.2,11.5,12.8,14.1,15.4,16.7,18,19.7,21.4,23.1,24.8},{0,10,20,30,40,50,60,62,64,66,68,70,72,74,76,78,80,85,90,95,100})</f>
        <v>95</v>
      </c>
      <c r="F157" s="4">
        <v>200</v>
      </c>
      <c r="G157" s="32">
        <f>LOOKUP(F157,{0,124,129,134,139,144,149,152,155,158,161,164,167,170,173,176,179,186,193,199,205},{0,10,20,30,40,50,60,62,64,66,68,70,72,74,76,78,80,85,90,95,100})</f>
        <v>95</v>
      </c>
      <c r="H157" s="4">
        <v>51</v>
      </c>
      <c r="I157" s="32">
        <f>LOOKUP(H157,{0,14,16,18,20,22,24,26,28,30,32,34,36,38,40,42,44,47,50,52,54},{0,10,20,30,40,50,60,62,64,66,68,70,72,74,76,78,80,85,90,95,100})</f>
        <v>90</v>
      </c>
      <c r="L157" s="4">
        <f t="shared" si="17"/>
        <v>90</v>
      </c>
      <c r="M157" s="4">
        <v>8.2</v>
      </c>
      <c r="N157" s="4">
        <f t="shared" si="16"/>
        <v>3.8</v>
      </c>
      <c r="O157" s="32">
        <f>LOOKUP(N157,{0,0.5,0.7,0.9,1.1,1.3,1.5,1.7,1.9,2.1,2.3,2.5,2.7,2.9,3.1,3.3,3.5,3.8,4.1,4.2,4.3},{0,10,20,30,40,50,60,62,64,66,68,70,72,74,76,78,80,85,90,95,100})</f>
        <v>85</v>
      </c>
      <c r="P157" s="4">
        <v>3.3</v>
      </c>
      <c r="Q157" s="4">
        <f t="shared" si="18"/>
        <v>6.7</v>
      </c>
      <c r="R157" s="32">
        <f>LOOKUP(Q157,{0,4.72,4.82,4.92,5.42,5.52,5.62,5.67,5.72,5.77,5.82,5.87,5.92,5.97,6.42,6.47,6.52,6.59,6.66,6.72,6.78},{0,10,20,30,40,50,60,62,64,66,68,70,72,74,76,78,80,85,90,95,100})</f>
        <v>90</v>
      </c>
      <c r="U157" s="4">
        <f t="shared" si="19"/>
        <v>90</v>
      </c>
      <c r="W157" s="5">
        <f t="shared" si="20"/>
        <v>63</v>
      </c>
      <c r="X157" s="20">
        <f t="shared" si="21"/>
        <v>90</v>
      </c>
    </row>
    <row r="158" ht="15.6" hidden="1" spans="1:24">
      <c r="A158" s="4">
        <v>207</v>
      </c>
      <c r="B158" s="24" t="s">
        <v>372</v>
      </c>
      <c r="C158" s="25" t="s">
        <v>53</v>
      </c>
      <c r="D158" s="4">
        <v>25</v>
      </c>
      <c r="E158" s="32">
        <f>LOOKUP(D158,{0,1,1.8,2.6,3.4,4.2,5,6.3,7.6,8.9,10.2,11.5,12.8,14.1,15.4,16.7,18,19.7,21.4,23.1,24.8},{0,10,20,30,40,50,60,62,64,66,68,70,72,74,76,78,80,85,90,95,100})</f>
        <v>100</v>
      </c>
      <c r="F158" s="4">
        <v>205</v>
      </c>
      <c r="G158" s="32">
        <f>LOOKUP(F158,{0,124,129,134,139,144,149,152,155,158,161,164,167,170,173,176,179,186,193,199,205},{0,10,20,30,40,50,60,62,64,66,68,70,72,74,76,78,80,85,90,95,100})</f>
        <v>100</v>
      </c>
      <c r="H158" s="4">
        <v>54</v>
      </c>
      <c r="I158" s="32">
        <f>LOOKUP(H158,{0,14,16,18,20,22,24,26,28,30,32,34,36,38,40,42,44,47,50,52,54},{0,10,20,30,40,50,60,62,64,66,68,70,72,74,76,78,80,85,90,95,100})</f>
        <v>100</v>
      </c>
      <c r="J158" s="4">
        <f>H158-54</f>
        <v>0</v>
      </c>
      <c r="K158" s="32">
        <f>LOOKUP(J158,{0,2,4,6,7,8,9,10,11,12,13},{0,1,2,3,4,5,6,7,8,9,10})</f>
        <v>0</v>
      </c>
      <c r="L158" s="4">
        <f t="shared" si="17"/>
        <v>100</v>
      </c>
      <c r="M158" s="4">
        <v>8.5</v>
      </c>
      <c r="N158" s="4">
        <f t="shared" si="16"/>
        <v>3.5</v>
      </c>
      <c r="O158" s="32">
        <f>LOOKUP(N158,{0,0.5,0.7,0.9,1.1,1.3,1.5,1.7,1.9,2.1,2.3,2.5,2.7,2.9,3.1,3.3,3.5,3.8,4.1,4.2,4.3},{0,10,20,30,40,50,60,62,64,66,68,70,72,74,76,78,80,85,90,95,100})</f>
        <v>80</v>
      </c>
      <c r="P158" s="4">
        <v>3.37</v>
      </c>
      <c r="Q158" s="4">
        <f t="shared" si="18"/>
        <v>6.63</v>
      </c>
      <c r="R158" s="32">
        <f>LOOKUP(Q158,{0,4.72,4.82,4.92,5.42,5.52,5.62,5.67,5.72,5.77,5.82,5.87,5.92,5.97,6.42,6.47,6.52,6.59,6.66,6.72,6.78},{0,10,20,30,40,50,60,62,64,66,68,70,72,74,76,78,80,85,90,95,100})</f>
        <v>85</v>
      </c>
      <c r="U158" s="4">
        <f t="shared" si="19"/>
        <v>85</v>
      </c>
      <c r="W158" s="5">
        <f t="shared" si="20"/>
        <v>63</v>
      </c>
      <c r="X158" s="20">
        <f t="shared" si="21"/>
        <v>90</v>
      </c>
    </row>
    <row r="159" ht="15.6" hidden="1" spans="1:24">
      <c r="A159" s="4">
        <v>214</v>
      </c>
      <c r="B159" s="24" t="s">
        <v>777</v>
      </c>
      <c r="C159" s="25" t="s">
        <v>53</v>
      </c>
      <c r="D159" s="4">
        <v>15.4</v>
      </c>
      <c r="E159" s="32">
        <f>LOOKUP(D159,{0,1,1.8,2.6,3.4,4.2,5,6.3,7.6,8.9,10.2,11.5,12.8,14.1,15.4,16.7,18,19.7,21.4,23.1,24.8},{0,10,20,30,40,50,60,62,64,66,68,70,72,74,76,78,80,85,90,95,100})</f>
        <v>76</v>
      </c>
      <c r="F159" s="4">
        <v>192</v>
      </c>
      <c r="G159" s="32">
        <f>LOOKUP(F159,{0,124,129,134,139,144,149,152,155,158,161,164,167,170,173,176,179,186,193,199,205},{0,10,20,30,40,50,60,62,64,66,68,70,72,74,76,78,80,85,90,95,100})</f>
        <v>85</v>
      </c>
      <c r="H159" s="4">
        <v>56</v>
      </c>
      <c r="I159" s="32">
        <f>LOOKUP(H159,{0,14,16,18,20,22,24,26,28,30,32,34,36,38,40,42,44,47,50,52,54},{0,10,20,30,40,50,60,62,64,66,68,70,72,74,76,78,80,85,90,95,100})</f>
        <v>100</v>
      </c>
      <c r="J159" s="4">
        <f>H159-54</f>
        <v>2</v>
      </c>
      <c r="K159" s="32">
        <f>LOOKUP(J159,{0,2,4,6,7,8,9,10,11,12,13},{0,1,2,3,4,5,6,7,8,9,10})</f>
        <v>1</v>
      </c>
      <c r="L159" s="4">
        <f t="shared" si="17"/>
        <v>101</v>
      </c>
      <c r="M159" s="4">
        <v>7.4</v>
      </c>
      <c r="N159" s="4">
        <f t="shared" si="16"/>
        <v>4.6</v>
      </c>
      <c r="O159" s="32">
        <f>LOOKUP(N159,{0,0.5,0.7,0.9,1.1,1.3,1.5,1.7,1.9,2.1,2.3,2.5,2.7,2.9,3.1,3.3,3.5,3.8,4.1,4.2,4.3},{0,10,20,30,40,50,60,62,64,66,68,70,72,74,76,78,80,85,90,95,100})</f>
        <v>100</v>
      </c>
      <c r="P159" s="4">
        <v>3.46</v>
      </c>
      <c r="Q159" s="4">
        <f t="shared" si="18"/>
        <v>6.54</v>
      </c>
      <c r="R159" s="32">
        <f>LOOKUP(Q159,{0,4.72,4.82,4.92,5.42,5.52,5.62,5.67,5.72,5.77,5.82,5.87,5.92,5.97,6.42,6.47,6.52,6.59,6.66,6.72,6.78},{0,10,20,30,40,50,60,62,64,66,68,70,72,74,76,78,80,85,90,95,100})</f>
        <v>80</v>
      </c>
      <c r="U159" s="4">
        <f t="shared" si="19"/>
        <v>80</v>
      </c>
      <c r="W159" s="5">
        <f t="shared" si="20"/>
        <v>62.1</v>
      </c>
      <c r="X159" s="20">
        <f t="shared" si="21"/>
        <v>89.7142857142857</v>
      </c>
    </row>
    <row r="160" ht="15.6" hidden="1" spans="1:24">
      <c r="A160" s="4">
        <v>214</v>
      </c>
      <c r="B160" s="24" t="s">
        <v>783</v>
      </c>
      <c r="C160" s="25" t="s">
        <v>53</v>
      </c>
      <c r="D160" s="4">
        <v>7.9</v>
      </c>
      <c r="E160" s="32">
        <f>LOOKUP(D160,{0,1,1.8,2.6,3.4,4.2,5,6.3,7.6,8.9,10.2,11.5,12.8,14.1,15.4,16.7,18,19.7,21.4,23.1,24.8},{0,10,20,30,40,50,60,62,64,66,68,70,72,74,76,78,80,85,90,95,100})</f>
        <v>64</v>
      </c>
      <c r="F160" s="4">
        <v>206</v>
      </c>
      <c r="G160" s="32">
        <f>LOOKUP(F160,{0,124,129,134,139,144,149,152,155,158,161,164,167,170,173,176,179,186,193,199,205},{0,10,20,30,40,50,60,62,64,66,68,70,72,74,76,78,80,85,90,95,100})</f>
        <v>100</v>
      </c>
      <c r="H160" s="4">
        <v>57</v>
      </c>
      <c r="I160" s="32">
        <f>LOOKUP(H160,{0,14,16,18,20,22,24,26,28,30,32,34,36,38,40,42,44,47,50,52,54},{0,10,20,30,40,50,60,62,64,66,68,70,72,74,76,78,80,85,90,95,100})</f>
        <v>100</v>
      </c>
      <c r="J160" s="4">
        <f>H160-54</f>
        <v>3</v>
      </c>
      <c r="K160" s="32">
        <f>LOOKUP(J160,{0,2,4,6,7,8,9,10,11,12,13},{0,1,2,3,4,5,6,7,8,9,10})</f>
        <v>1</v>
      </c>
      <c r="L160" s="4">
        <f t="shared" si="17"/>
        <v>101</v>
      </c>
      <c r="M160" s="4">
        <v>8.6</v>
      </c>
      <c r="N160" s="4">
        <f t="shared" si="16"/>
        <v>3.4</v>
      </c>
      <c r="O160" s="32">
        <f>LOOKUP(N160,{0,0.5,0.7,0.9,1.1,1.3,1.5,1.7,1.9,2.1,2.3,2.5,2.7,2.9,3.1,3.3,3.5,3.8,4.1,4.2,4.3},{0,10,20,30,40,50,60,62,64,66,68,70,72,74,76,78,80,85,90,95,100})</f>
        <v>78</v>
      </c>
      <c r="P160" s="4">
        <v>3.2</v>
      </c>
      <c r="Q160" s="4">
        <f t="shared" si="18"/>
        <v>6.8</v>
      </c>
      <c r="R160" s="32">
        <f>LOOKUP(Q160,{0,4.72,4.82,4.92,5.42,5.52,5.62,5.67,5.72,5.77,5.82,5.87,5.92,5.97,6.42,6.47,6.52,6.59,6.66,6.72,6.78},{0,10,20,30,40,50,60,62,64,66,68,70,72,74,76,78,80,85,90,95,100})</f>
        <v>100</v>
      </c>
      <c r="S160" s="39">
        <f>3.22-P160</f>
        <v>0.02</v>
      </c>
      <c r="T160" s="32">
        <f>LOOKUP(S160,{0,0.05,0.1,0.15,0.2,0.25,0.3,0.35,0.4,0.45,0.5},{0,1,2,3,4,5,6,7,8,9,10})</f>
        <v>0</v>
      </c>
      <c r="U160" s="4">
        <f t="shared" si="19"/>
        <v>100</v>
      </c>
      <c r="W160" s="5">
        <f t="shared" si="20"/>
        <v>62</v>
      </c>
      <c r="X160" s="20">
        <f t="shared" si="21"/>
        <v>89.5714285714286</v>
      </c>
    </row>
    <row r="161" ht="15.6" hidden="1" spans="1:24">
      <c r="A161" s="4">
        <v>204</v>
      </c>
      <c r="B161" s="24" t="s">
        <v>186</v>
      </c>
      <c r="C161" s="25" t="s">
        <v>53</v>
      </c>
      <c r="D161" s="4">
        <v>30</v>
      </c>
      <c r="E161" s="32">
        <f>LOOKUP(D161,{0,1,1.8,2.6,3.4,4.2,5,6.3,7.6,8.9,10.2,11.5,12.8,14.1,15.4,16.7,18,19.7,21.4,23.1,24.8},{0,10,20,30,40,50,60,62,64,66,68,70,72,74,76,78,80,85,90,95,100})</f>
        <v>100</v>
      </c>
      <c r="F161" s="4">
        <v>191</v>
      </c>
      <c r="G161" s="32">
        <f>LOOKUP(F161,{0,124,129,134,139,144,149,152,155,158,161,164,167,170,173,176,179,186,193,199,205},{0,10,20,30,40,50,60,62,64,66,68,70,72,74,76,78,80,85,90,95,100})</f>
        <v>85</v>
      </c>
      <c r="H161" s="4">
        <v>51</v>
      </c>
      <c r="I161" s="32">
        <f>LOOKUP(H161,{0,14,16,18,20,22,24,26,28,30,32,34,36,38,40,42,44,47,50,52,54},{0,10,20,30,40,50,60,62,64,66,68,70,72,74,76,78,80,85,90,95,100})</f>
        <v>90</v>
      </c>
      <c r="K161" s="35"/>
      <c r="L161" s="4">
        <f t="shared" si="17"/>
        <v>90</v>
      </c>
      <c r="M161" s="4">
        <v>8.9</v>
      </c>
      <c r="N161" s="4">
        <f t="shared" si="16"/>
        <v>3.1</v>
      </c>
      <c r="O161" s="32">
        <f>LOOKUP(N161,{0,0.5,0.7,0.9,1.1,1.3,1.5,1.7,1.9,2.1,2.3,2.5,2.7,2.9,3.1,3.3,3.5,3.8,4.1,4.2,4.3},{0,10,20,30,40,50,60,62,64,66,68,70,72,74,76,78,80,85,90,95,100})</f>
        <v>76</v>
      </c>
      <c r="P161" s="4">
        <v>3.22</v>
      </c>
      <c r="Q161" s="4">
        <f t="shared" si="18"/>
        <v>6.78</v>
      </c>
      <c r="R161" s="32">
        <f>LOOKUP(Q161,{0,4.72,4.82,4.92,5.42,5.52,5.62,5.67,5.72,5.77,5.82,5.87,5.92,5.97,6.42,6.47,6.52,6.59,6.66,6.72,6.78},{0,10,20,30,40,50,60,62,64,66,68,70,72,74,76,78,80,85,90,95,100})</f>
        <v>100</v>
      </c>
      <c r="S161" s="39">
        <f>3.22-P161</f>
        <v>0</v>
      </c>
      <c r="T161" s="32">
        <f>LOOKUP(S161,{0,0.05,0.1,0.15,0.2,0.25,0.3,0.35,0.4,0.45,0.5},{0,1,2,3,4,5,6,7,8,9,10})</f>
        <v>0</v>
      </c>
      <c r="U161" s="4">
        <f t="shared" si="19"/>
        <v>100</v>
      </c>
      <c r="W161" s="5">
        <f t="shared" si="20"/>
        <v>62.7</v>
      </c>
      <c r="X161" s="20">
        <f t="shared" si="21"/>
        <v>89.5714285714286</v>
      </c>
    </row>
    <row r="162" ht="15.6" hidden="1" spans="1:24">
      <c r="A162" s="4">
        <v>211</v>
      </c>
      <c r="B162" s="24" t="s">
        <v>593</v>
      </c>
      <c r="C162" s="25" t="s">
        <v>53</v>
      </c>
      <c r="D162" s="4">
        <v>14</v>
      </c>
      <c r="E162" s="32">
        <f>LOOKUP(D162,{0,1,1.8,2.6,3.4,4.2,5,6.3,7.6,8.9,10.2,11.5,12.8,14.1,15.4,16.7,18,19.7,21.4,23.1,24.8},{0,10,20,30,40,50,60,62,64,66,68,70,72,74,76,78,80,85,90,95,100})</f>
        <v>72</v>
      </c>
      <c r="F162" s="4">
        <v>203</v>
      </c>
      <c r="G162" s="32">
        <f>LOOKUP(F162,{0,124,129,134,139,144,149,152,155,158,161,164,167,170,173,176,179,186,193,199,205},{0,10,20,30,40,50,60,62,64,66,68,70,72,74,76,78,80,85,90,95,100})</f>
        <v>95</v>
      </c>
      <c r="H162" s="4">
        <v>50</v>
      </c>
      <c r="I162" s="32">
        <f>LOOKUP(H162,{0,14,16,18,20,22,24,26,28,30,32,34,36,38,40,42,44,47,50,52,54},{0,10,20,30,40,50,60,62,64,66,68,70,72,74,76,78,80,85,90,95,100})</f>
        <v>90</v>
      </c>
      <c r="L162" s="4">
        <f t="shared" si="17"/>
        <v>90</v>
      </c>
      <c r="M162" s="4">
        <v>7.9</v>
      </c>
      <c r="N162" s="4">
        <f t="shared" si="16"/>
        <v>4.1</v>
      </c>
      <c r="O162" s="32">
        <f>LOOKUP(N162,{0,0.5,0.7,0.9,1.1,1.3,1.5,1.7,1.9,2.1,2.3,2.5,2.7,2.9,3.1,3.3,3.5,3.8,4.1,4.2,4.3},{0,10,20,30,40,50,60,62,64,66,68,70,72,74,76,78,80,85,90,95,100})</f>
        <v>90</v>
      </c>
      <c r="P162" s="4">
        <v>3.26</v>
      </c>
      <c r="Q162" s="4">
        <f t="shared" si="18"/>
        <v>6.74</v>
      </c>
      <c r="R162" s="32">
        <f>LOOKUP(Q162,{0,4.72,4.82,4.92,5.42,5.52,5.62,5.67,5.72,5.77,5.82,5.87,5.92,5.97,6.42,6.47,6.52,6.59,6.66,6.72,6.78},{0,10,20,30,40,50,60,62,64,66,68,70,72,74,76,78,80,85,90,95,100})</f>
        <v>95</v>
      </c>
      <c r="U162" s="4">
        <f t="shared" si="19"/>
        <v>95</v>
      </c>
      <c r="W162" s="5">
        <f t="shared" si="20"/>
        <v>62.7</v>
      </c>
      <c r="X162" s="20">
        <f t="shared" si="21"/>
        <v>89.5714285714286</v>
      </c>
    </row>
    <row r="163" s="1" customFormat="1" ht="15.6" hidden="1" spans="1:24">
      <c r="A163" s="4">
        <v>211</v>
      </c>
      <c r="B163" s="24" t="s">
        <v>587</v>
      </c>
      <c r="C163" s="25" t="s">
        <v>53</v>
      </c>
      <c r="D163" s="4">
        <v>16</v>
      </c>
      <c r="E163" s="32">
        <f>LOOKUP(D163,{0,1,1.8,2.6,3.4,4.2,5,6.3,7.6,8.9,10.2,11.5,12.8,14.1,15.4,16.7,18,19.7,21.4,23.1,24.8},{0,10,20,30,40,50,60,62,64,66,68,70,72,74,76,78,80,85,90,95,100})</f>
        <v>76</v>
      </c>
      <c r="F163" s="4">
        <v>189</v>
      </c>
      <c r="G163" s="32">
        <f>LOOKUP(F163,{0,124,129,134,139,144,149,152,155,158,161,164,167,170,173,176,179,186,193,199,205},{0,10,20,30,40,50,60,62,64,66,68,70,72,74,76,78,80,85,90,95,100})</f>
        <v>85</v>
      </c>
      <c r="H163" s="4">
        <v>52</v>
      </c>
      <c r="I163" s="32">
        <f>LOOKUP(H163,{0,14,16,18,20,22,24,26,28,30,32,34,36,38,40,42,44,47,50,52,54},{0,10,20,30,40,50,60,62,64,66,68,70,72,74,76,78,80,85,90,95,100})</f>
        <v>95</v>
      </c>
      <c r="J163" s="4"/>
      <c r="K163" s="4"/>
      <c r="L163" s="4">
        <f t="shared" si="17"/>
        <v>95</v>
      </c>
      <c r="M163" s="4">
        <v>8.2</v>
      </c>
      <c r="N163" s="4">
        <f t="shared" si="16"/>
        <v>3.8</v>
      </c>
      <c r="O163" s="32">
        <f>LOOKUP(N163,{0,0.5,0.7,0.9,1.1,1.3,1.5,1.7,1.9,2.1,2.3,2.5,2.7,2.9,3.1,3.3,3.5,3.8,4.1,4.2,4.3},{0,10,20,30,40,50,60,62,64,66,68,70,72,74,76,78,80,85,90,95,100})</f>
        <v>85</v>
      </c>
      <c r="P163" s="4">
        <v>3.19</v>
      </c>
      <c r="Q163" s="4">
        <f t="shared" si="18"/>
        <v>6.81</v>
      </c>
      <c r="R163" s="32">
        <f>LOOKUP(Q163,{0,4.72,4.82,4.92,5.42,5.52,5.62,5.67,5.72,5.77,5.82,5.87,5.92,5.97,6.42,6.47,6.52,6.59,6.66,6.72,6.78},{0,10,20,30,40,50,60,62,64,66,68,70,72,74,76,78,80,85,90,95,100})</f>
        <v>100</v>
      </c>
      <c r="S163" s="39">
        <f>3.22-P163</f>
        <v>0.0300000000000002</v>
      </c>
      <c r="T163" s="32">
        <f>LOOKUP(S163,{0,0.05,0.1,0.15,0.2,0.25,0.3,0.35,0.4,0.45,0.5},{0,1,2,3,4,5,6,7,8,9,10})</f>
        <v>0</v>
      </c>
      <c r="U163" s="4">
        <f t="shared" si="19"/>
        <v>100</v>
      </c>
      <c r="V163" s="4"/>
      <c r="W163" s="5">
        <f t="shared" si="20"/>
        <v>62.6</v>
      </c>
      <c r="X163" s="20">
        <f t="shared" si="21"/>
        <v>89.4285714285714</v>
      </c>
    </row>
    <row r="164" ht="15.6" hidden="1" spans="1:24">
      <c r="A164" s="4">
        <v>215</v>
      </c>
      <c r="B164" s="24" t="s">
        <v>843</v>
      </c>
      <c r="C164" s="25" t="s">
        <v>53</v>
      </c>
      <c r="D164" s="4">
        <v>25</v>
      </c>
      <c r="E164" s="32">
        <f>LOOKUP(D164,{0,1,1.8,2.6,3.4,4.2,5,6.3,7.6,8.9,10.2,11.5,12.8,14.1,15.4,16.7,18,19.7,21.4,23.1,24.8},{0,10,20,30,40,50,60,62,64,66,68,70,72,74,76,78,80,85,90,95,100})</f>
        <v>100</v>
      </c>
      <c r="F164" s="4">
        <v>174</v>
      </c>
      <c r="G164" s="32">
        <f>LOOKUP(F164,{0,124,129,134,139,144,149,152,155,158,161,164,167,170,173,176,179,186,193,199,205},{0,10,20,30,40,50,60,62,64,66,68,70,72,74,76,78,80,85,90,95,100})</f>
        <v>76</v>
      </c>
      <c r="H164" s="4">
        <v>51</v>
      </c>
      <c r="I164" s="32">
        <f>LOOKUP(H164,{0,14,16,18,20,22,24,26,28,30,32,34,36,38,40,42,44,47,50,52,54},{0,10,20,30,40,50,60,62,64,66,68,70,72,74,76,78,80,85,90,95,100})</f>
        <v>90</v>
      </c>
      <c r="L164" s="4">
        <f t="shared" si="17"/>
        <v>90</v>
      </c>
      <c r="M164" s="4">
        <v>8.2</v>
      </c>
      <c r="N164" s="4">
        <f t="shared" si="16"/>
        <v>3.8</v>
      </c>
      <c r="O164" s="32">
        <f>LOOKUP(N164,{0,0.5,0.7,0.9,1.1,1.3,1.5,1.7,1.9,2.1,2.3,2.5,2.7,2.9,3.1,3.3,3.5,3.8,4.1,4.2,4.3},{0,10,20,30,40,50,60,62,64,66,68,70,72,74,76,78,80,85,90,95,100})</f>
        <v>85</v>
      </c>
      <c r="P164" s="4">
        <v>3.24</v>
      </c>
      <c r="Q164" s="4">
        <f t="shared" si="18"/>
        <v>6.76</v>
      </c>
      <c r="R164" s="32">
        <f>LOOKUP(Q164,{0,4.72,4.82,4.92,5.42,5.52,5.62,5.67,5.72,5.77,5.82,5.87,5.92,5.97,6.42,6.47,6.52,6.59,6.66,6.72,6.78},{0,10,20,30,40,50,60,62,64,66,68,70,72,74,76,78,80,85,90,95,100})</f>
        <v>95</v>
      </c>
      <c r="U164" s="4">
        <f t="shared" si="19"/>
        <v>95</v>
      </c>
      <c r="W164" s="5">
        <f t="shared" si="20"/>
        <v>62.6</v>
      </c>
      <c r="X164" s="20">
        <f t="shared" si="21"/>
        <v>89.4285714285714</v>
      </c>
    </row>
    <row r="165" ht="15.6" hidden="1" spans="1:24">
      <c r="A165" s="4">
        <v>215</v>
      </c>
      <c r="B165" s="24" t="s">
        <v>823</v>
      </c>
      <c r="C165" s="25" t="s">
        <v>53</v>
      </c>
      <c r="D165" s="4">
        <v>28.5</v>
      </c>
      <c r="E165" s="32">
        <f>LOOKUP(D165,{0,1,1.8,2.6,3.4,4.2,5,6.3,7.6,8.9,10.2,11.5,12.8,14.1,15.4,16.7,18,19.7,21.4,23.1,24.8},{0,10,20,30,40,50,60,62,64,66,68,70,72,74,76,78,80,85,90,95,100})</f>
        <v>100</v>
      </c>
      <c r="F165" s="4">
        <v>180</v>
      </c>
      <c r="G165" s="32">
        <f>LOOKUP(F165,{0,124,129,134,139,144,149,152,155,158,161,164,167,170,173,176,179,186,193,199,205},{0,10,20,30,40,50,60,62,64,66,68,70,72,74,76,78,80,85,90,95,100})</f>
        <v>80</v>
      </c>
      <c r="H165" s="4">
        <v>47</v>
      </c>
      <c r="I165" s="32">
        <f>LOOKUP(H165,{0,14,16,18,20,22,24,26,28,30,32,34,36,38,40,42,44,47,50,52,54},{0,10,20,30,40,50,60,62,64,66,68,70,72,74,76,78,80,85,90,95,100})</f>
        <v>85</v>
      </c>
      <c r="K165" s="35"/>
      <c r="L165" s="4">
        <f t="shared" si="17"/>
        <v>85</v>
      </c>
      <c r="M165" s="4">
        <v>8</v>
      </c>
      <c r="N165" s="4">
        <f t="shared" si="16"/>
        <v>4</v>
      </c>
      <c r="O165" s="32">
        <f>LOOKUP(N165,{0,0.5,0.7,0.9,1.1,1.3,1.5,1.7,1.9,2.1,2.3,2.5,2.7,2.9,3.1,3.3,3.5,3.8,4.1,4.2,4.3},{0,10,20,30,40,50,60,62,64,66,68,70,72,74,76,78,80,85,90,95,100})</f>
        <v>85</v>
      </c>
      <c r="P165" s="4">
        <v>3.23</v>
      </c>
      <c r="Q165" s="4">
        <f t="shared" si="18"/>
        <v>6.77</v>
      </c>
      <c r="R165" s="32">
        <f>LOOKUP(Q165,{0,4.72,4.82,4.92,5.42,5.52,5.62,5.67,5.72,5.77,5.82,5.87,5.92,5.97,6.42,6.47,6.52,6.59,6.66,6.72,6.78},{0,10,20,30,40,50,60,62,64,66,68,70,72,74,76,78,80,85,90,95,100})</f>
        <v>95</v>
      </c>
      <c r="U165" s="4">
        <f t="shared" si="19"/>
        <v>95</v>
      </c>
      <c r="W165" s="5">
        <f t="shared" si="20"/>
        <v>62.5</v>
      </c>
      <c r="X165" s="20">
        <f t="shared" si="21"/>
        <v>89.2857142857143</v>
      </c>
    </row>
    <row r="166" ht="15.6" hidden="1" spans="1:24">
      <c r="A166" s="4">
        <v>209</v>
      </c>
      <c r="B166" s="24" t="s">
        <v>488</v>
      </c>
      <c r="C166" s="25" t="s">
        <v>53</v>
      </c>
      <c r="D166" s="4">
        <v>24.5</v>
      </c>
      <c r="E166" s="32">
        <f>LOOKUP(D166,{0,1,1.8,2.6,3.4,4.2,5,6.3,7.6,8.9,10.2,11.5,12.8,14.1,15.4,16.7,18,19.7,21.4,23.1,24.8},{0,10,20,30,40,50,60,62,64,66,68,70,72,74,76,78,80,85,90,95,100})</f>
        <v>95</v>
      </c>
      <c r="F166" s="4">
        <v>177</v>
      </c>
      <c r="G166" s="32">
        <f>LOOKUP(F166,{0,124,129,134,139,144,149,152,155,158,161,164,167,170,173,176,179,186,193,199,205},{0,10,20,30,40,50,60,62,64,66,68,70,72,74,76,78,80,85,90,95,100})</f>
        <v>78</v>
      </c>
      <c r="H166" s="4">
        <v>50</v>
      </c>
      <c r="I166" s="32">
        <f>LOOKUP(H166,{0,14,16,18,20,22,24,26,28,30,32,34,36,38,40,42,44,47,50,52,54},{0,10,20,30,40,50,60,62,64,66,68,70,72,74,76,78,80,85,90,95,100})</f>
        <v>90</v>
      </c>
      <c r="K166" s="35"/>
      <c r="L166" s="4">
        <f t="shared" si="17"/>
        <v>90</v>
      </c>
      <c r="M166" s="4">
        <v>8.4</v>
      </c>
      <c r="N166" s="4">
        <f t="shared" si="16"/>
        <v>3.6</v>
      </c>
      <c r="O166" s="32">
        <f>LOOKUP(N166,{0,0.5,0.7,0.9,1.1,1.3,1.5,1.7,1.9,2.1,2.3,2.5,2.7,2.9,3.1,3.3,3.5,3.8,4.1,4.2,4.3},{0,10,20,30,40,50,60,62,64,66,68,70,72,74,76,78,80,85,90,95,100})</f>
        <v>80</v>
      </c>
      <c r="P166" s="4">
        <v>3.19</v>
      </c>
      <c r="Q166" s="4">
        <f t="shared" si="18"/>
        <v>6.81</v>
      </c>
      <c r="R166" s="32">
        <f>LOOKUP(Q166,{0,4.72,4.82,4.92,5.42,5.52,5.62,5.67,5.72,5.77,5.82,5.87,5.92,5.97,6.42,6.47,6.52,6.59,6.66,6.72,6.78},{0,10,20,30,40,50,60,62,64,66,68,70,72,74,76,78,80,85,90,95,100})</f>
        <v>100</v>
      </c>
      <c r="S166" s="39">
        <f>3.22-P166</f>
        <v>0.0300000000000002</v>
      </c>
      <c r="T166" s="32">
        <f>LOOKUP(S166,{0,0.05,0.1,0.15,0.2,0.25,0.3,0.35,0.4,0.45,0.5},{0,1,2,3,4,5,6,7,8,9,10})</f>
        <v>0</v>
      </c>
      <c r="U166" s="4">
        <f t="shared" si="19"/>
        <v>100</v>
      </c>
      <c r="W166" s="5">
        <f t="shared" si="20"/>
        <v>62.3</v>
      </c>
      <c r="X166" s="20">
        <f t="shared" si="21"/>
        <v>89</v>
      </c>
    </row>
    <row r="167" ht="15.6" hidden="1" spans="1:24">
      <c r="A167" s="4">
        <v>205</v>
      </c>
      <c r="B167" s="24" t="s">
        <v>267</v>
      </c>
      <c r="C167" s="25" t="s">
        <v>53</v>
      </c>
      <c r="D167" s="4">
        <v>26.7</v>
      </c>
      <c r="E167" s="32">
        <f>LOOKUP(D167,{0,1,1.8,2.6,3.4,4.2,5,6.3,7.6,8.9,10.2,11.5,12.8,14.1,15.4,16.7,18,19.7,21.4,23.1,24.8},{0,10,20,30,40,50,60,62,64,66,68,70,72,74,76,78,80,85,90,95,100})</f>
        <v>100</v>
      </c>
      <c r="F167" s="4">
        <v>191</v>
      </c>
      <c r="G167" s="32">
        <f>LOOKUP(F167,{0,124,129,134,139,144,149,152,155,158,161,164,167,170,173,176,179,186,193,199,205},{0,10,20,30,40,50,60,62,64,66,68,70,72,74,76,78,80,85,90,95,100})</f>
        <v>85</v>
      </c>
      <c r="H167" s="4">
        <v>53</v>
      </c>
      <c r="I167" s="32">
        <f>LOOKUP(H167,{0,14,16,18,20,22,24,26,28,30,32,34,36,38,40,42,44,47,50,52,54},{0,10,20,30,40,50,60,62,64,66,68,70,72,74,76,78,80,85,90,95,100})</f>
        <v>95</v>
      </c>
      <c r="L167" s="4">
        <f t="shared" si="17"/>
        <v>95</v>
      </c>
      <c r="M167" s="4">
        <v>8.5</v>
      </c>
      <c r="N167" s="4">
        <f t="shared" si="16"/>
        <v>3.5</v>
      </c>
      <c r="O167" s="32">
        <f>LOOKUP(N167,{0,0.5,0.7,0.9,1.1,1.3,1.5,1.7,1.9,2.1,2.3,2.5,2.7,2.9,3.1,3.3,3.5,3.8,4.1,4.2,4.3},{0,10,20,30,40,50,60,62,64,66,68,70,72,74,76,78,80,85,90,95,100})</f>
        <v>80</v>
      </c>
      <c r="P167" s="4">
        <v>3.32</v>
      </c>
      <c r="Q167" s="4">
        <f t="shared" si="18"/>
        <v>6.68</v>
      </c>
      <c r="R167" s="32">
        <f>LOOKUP(Q167,{0,4.72,4.82,4.92,5.42,5.52,5.62,5.67,5.72,5.77,5.82,5.87,5.92,5.97,6.42,6.47,6.52,6.59,6.66,6.72,6.78},{0,10,20,30,40,50,60,62,64,66,68,70,72,74,76,78,80,85,90,95,100})</f>
        <v>90</v>
      </c>
      <c r="U167" s="4">
        <f t="shared" si="19"/>
        <v>90</v>
      </c>
      <c r="W167" s="5">
        <f t="shared" si="20"/>
        <v>62</v>
      </c>
      <c r="X167" s="20">
        <f t="shared" si="21"/>
        <v>88.5714285714286</v>
      </c>
    </row>
    <row r="168" ht="15.6" hidden="1" spans="1:24">
      <c r="A168" s="4">
        <v>204</v>
      </c>
      <c r="B168" s="33" t="s">
        <v>191</v>
      </c>
      <c r="C168" s="25" t="s">
        <v>53</v>
      </c>
      <c r="D168" s="4">
        <v>19.5</v>
      </c>
      <c r="E168" s="32">
        <f>LOOKUP(D168,{0,1,1.8,2.6,3.4,4.2,5,6.3,7.6,8.9,10.2,11.5,12.8,14.1,15.4,16.7,18,19.7,21.4,23.1,24.8},{0,10,20,30,40,50,60,62,64,66,68,70,72,74,76,78,80,85,90,95,100})</f>
        <v>80</v>
      </c>
      <c r="F168" s="4">
        <v>206</v>
      </c>
      <c r="G168" s="32">
        <f>LOOKUP(F168,{0,124,129,134,139,144,149,152,155,158,161,164,167,170,173,176,179,186,193,199,205},{0,10,20,30,40,50,60,62,64,66,68,70,72,74,76,78,80,85,90,95,100})</f>
        <v>100</v>
      </c>
      <c r="H168" s="4">
        <v>54</v>
      </c>
      <c r="I168" s="32">
        <f>LOOKUP(H168,{0,14,16,18,20,22,24,26,28,30,32,34,36,38,40,42,44,47,50,52,54},{0,10,20,30,40,50,60,62,64,66,68,70,72,74,76,78,80,85,90,95,100})</f>
        <v>100</v>
      </c>
      <c r="J168" s="4">
        <f>H168-54</f>
        <v>0</v>
      </c>
      <c r="K168" s="32">
        <f>LOOKUP(J168,{0,2,4,6,7,8,9,10,11,12,13},{0,1,2,3,4,5,6,7,8,9,10})</f>
        <v>0</v>
      </c>
      <c r="L168" s="4">
        <f t="shared" si="17"/>
        <v>100</v>
      </c>
      <c r="M168" s="4">
        <v>8.1</v>
      </c>
      <c r="N168" s="4">
        <f t="shared" si="16"/>
        <v>3.9</v>
      </c>
      <c r="O168" s="32">
        <f>LOOKUP(N168,{0,0.5,0.7,0.9,1.1,1.3,1.5,1.7,1.9,2.1,2.3,2.5,2.7,2.9,3.1,3.3,3.5,3.8,4.1,4.2,4.3},{0,10,20,30,40,50,60,62,64,66,68,70,72,74,76,78,80,85,90,95,100})</f>
        <v>85</v>
      </c>
      <c r="P168" s="4">
        <v>3.38</v>
      </c>
      <c r="Q168" s="4">
        <f t="shared" si="18"/>
        <v>6.62</v>
      </c>
      <c r="R168" s="32">
        <f>LOOKUP(Q168,{0,4.72,4.82,4.92,5.42,5.52,5.62,5.67,5.72,5.77,5.82,5.87,5.92,5.97,6.42,6.47,6.52,6.59,6.66,6.72,6.78},{0,10,20,30,40,50,60,62,64,66,68,70,72,74,76,78,80,85,90,95,100})</f>
        <v>85</v>
      </c>
      <c r="U168" s="4">
        <f t="shared" si="19"/>
        <v>85</v>
      </c>
      <c r="W168" s="5">
        <f t="shared" si="20"/>
        <v>62</v>
      </c>
      <c r="X168" s="20">
        <f t="shared" si="21"/>
        <v>88.5714285714286</v>
      </c>
    </row>
    <row r="169" ht="15.6" hidden="1" spans="1:24">
      <c r="A169" s="4">
        <v>208</v>
      </c>
      <c r="B169" s="24" t="s">
        <v>421</v>
      </c>
      <c r="C169" s="25" t="s">
        <v>53</v>
      </c>
      <c r="D169" s="4">
        <v>30</v>
      </c>
      <c r="E169" s="32">
        <f>LOOKUP(D169,{0,1,1.8,2.6,3.4,4.2,5,6.3,7.6,8.9,10.2,11.5,12.8,14.1,15.4,16.7,18,19.7,21.4,23.1,24.8},{0,10,20,30,40,50,60,62,64,66,68,70,72,74,76,78,80,85,90,95,100})</f>
        <v>100</v>
      </c>
      <c r="F169" s="4">
        <v>198</v>
      </c>
      <c r="G169" s="32">
        <f>LOOKUP(F169,{0,124,129,134,139,144,149,152,155,158,161,164,167,170,173,176,179,186,193,199,205},{0,10,20,30,40,50,60,62,64,66,68,70,72,74,76,78,80,85,90,95,100})</f>
        <v>90</v>
      </c>
      <c r="H169" s="4">
        <v>59</v>
      </c>
      <c r="I169" s="32">
        <f>LOOKUP(H169,{0,14,16,18,20,22,24,26,28,30,32,34,36,38,40,42,44,47,50,52,54},{0,10,20,30,40,50,60,62,64,66,68,70,72,74,76,78,80,85,90,95,100})</f>
        <v>100</v>
      </c>
      <c r="J169" s="4">
        <f>H169-54</f>
        <v>5</v>
      </c>
      <c r="K169" s="32">
        <f>LOOKUP(J169,{0,2,4,6,7,8,9,10,11,12,13},{0,1,2,3,4,5,6,7,8,9,10})</f>
        <v>2</v>
      </c>
      <c r="L169" s="4">
        <f t="shared" si="17"/>
        <v>102</v>
      </c>
      <c r="M169" s="4">
        <v>8.3</v>
      </c>
      <c r="N169" s="4">
        <f t="shared" si="16"/>
        <v>3.7</v>
      </c>
      <c r="O169" s="32">
        <f>LOOKUP(N169,{0,0.5,0.7,0.9,1.1,1.3,1.5,1.7,1.9,2.1,2.3,2.5,2.7,2.9,3.1,3.3,3.5,3.8,4.1,4.2,4.3},{0,10,20,30,40,50,60,62,64,66,68,70,72,74,76,78,80,85,90,95,100})</f>
        <v>80</v>
      </c>
      <c r="P169" s="4">
        <v>3.49</v>
      </c>
      <c r="Q169" s="4">
        <f t="shared" si="18"/>
        <v>6.51</v>
      </c>
      <c r="R169" s="32">
        <f>LOOKUP(Q169,{0,4.72,4.82,4.92,5.42,5.52,5.62,5.67,5.72,5.77,5.82,5.87,5.92,5.97,6.42,6.47,6.52,6.59,6.66,6.72,6.78},{0,10,20,30,40,50,60,62,64,66,68,70,72,74,76,78,80,85,90,95,100})</f>
        <v>78</v>
      </c>
      <c r="U169" s="4">
        <f t="shared" si="19"/>
        <v>78</v>
      </c>
      <c r="W169" s="5">
        <f t="shared" si="20"/>
        <v>60.6</v>
      </c>
      <c r="X169" s="20">
        <f t="shared" si="21"/>
        <v>88.5714285714286</v>
      </c>
    </row>
    <row r="170" ht="15.6" hidden="1" spans="1:24">
      <c r="A170" s="4">
        <v>208</v>
      </c>
      <c r="B170" s="24" t="s">
        <v>423</v>
      </c>
      <c r="C170" s="25" t="s">
        <v>53</v>
      </c>
      <c r="D170" s="4">
        <v>24.2</v>
      </c>
      <c r="E170" s="32">
        <f>LOOKUP(D170,{0,1,1.8,2.6,3.4,4.2,5,6.3,7.6,8.9,10.2,11.5,12.8,14.1,15.4,16.7,18,19.7,21.4,23.1,24.8},{0,10,20,30,40,50,60,62,64,66,68,70,72,74,76,78,80,85,90,95,100})</f>
        <v>95</v>
      </c>
      <c r="F170" s="4">
        <v>220</v>
      </c>
      <c r="G170" s="32">
        <f>LOOKUP(F170,{0,124,129,134,139,144,149,152,155,158,161,164,167,170,173,176,179,186,193,199,205},{0,10,20,30,40,50,60,62,64,66,68,70,72,74,76,78,80,85,90,95,100})</f>
        <v>100</v>
      </c>
      <c r="H170" s="4">
        <v>37</v>
      </c>
      <c r="I170" s="32">
        <f>LOOKUP(H170,{0,14,16,18,20,22,24,26,28,30,32,34,36,38,40,42,44,47,50,52,54},{0,10,20,30,40,50,60,62,64,66,68,70,72,74,76,78,80,85,90,95,100})</f>
        <v>72</v>
      </c>
      <c r="K170" s="35"/>
      <c r="L170" s="4">
        <f t="shared" si="17"/>
        <v>72</v>
      </c>
      <c r="M170" s="4">
        <v>8.3</v>
      </c>
      <c r="N170" s="4">
        <f t="shared" si="16"/>
        <v>3.7</v>
      </c>
      <c r="O170" s="32">
        <f>LOOKUP(N170,{0,0.5,0.7,0.9,1.1,1.3,1.5,1.7,1.9,2.1,2.3,2.5,2.7,2.9,3.1,3.3,3.5,3.8,4.1,4.2,4.3},{0,10,20,30,40,50,60,62,64,66,68,70,72,74,76,78,80,85,90,95,100})</f>
        <v>80</v>
      </c>
      <c r="P170" s="4">
        <v>3.23</v>
      </c>
      <c r="Q170" s="4">
        <f t="shared" si="18"/>
        <v>6.77</v>
      </c>
      <c r="R170" s="32">
        <f>LOOKUP(Q170,{0,4.72,4.82,4.92,5.42,5.52,5.62,5.67,5.72,5.77,5.82,5.87,5.92,5.97,6.42,6.47,6.52,6.59,6.66,6.72,6.78},{0,10,20,30,40,50,60,62,64,66,68,70,72,74,76,78,80,85,90,95,100})</f>
        <v>95</v>
      </c>
      <c r="U170" s="4">
        <f t="shared" si="19"/>
        <v>95</v>
      </c>
      <c r="W170" s="5">
        <f t="shared" si="20"/>
        <v>61.7</v>
      </c>
      <c r="X170" s="20">
        <f t="shared" si="21"/>
        <v>88.1428571428572</v>
      </c>
    </row>
    <row r="171" ht="15.6" hidden="1" spans="1:24">
      <c r="A171" s="4">
        <v>210</v>
      </c>
      <c r="B171" s="24" t="s">
        <v>534</v>
      </c>
      <c r="C171" s="25" t="s">
        <v>53</v>
      </c>
      <c r="D171" s="4">
        <v>22.5</v>
      </c>
      <c r="E171" s="32">
        <f>LOOKUP(D171,{0,1,1.8,2.6,3.4,4.2,5,6.3,7.6,8.9,10.2,11.5,12.8,14.1,15.4,16.7,18,19.7,21.4,23.1,24.8},{0,10,20,30,40,50,60,62,64,66,68,70,72,74,76,78,80,85,90,95,100})</f>
        <v>90</v>
      </c>
      <c r="F171" s="4">
        <v>182</v>
      </c>
      <c r="G171" s="32">
        <f>LOOKUP(F171,{0,124,129,134,139,144,149,152,155,158,161,164,167,170,173,176,179,186,193,199,205},{0,10,20,30,40,50,60,62,64,66,68,70,72,74,76,78,80,85,90,95,100})</f>
        <v>80</v>
      </c>
      <c r="H171" s="4">
        <v>58</v>
      </c>
      <c r="I171" s="32">
        <f>LOOKUP(H171,{0,14,16,18,20,22,24,26,28,30,32,34,36,38,40,42,44,47,50,52,54},{0,10,20,30,40,50,60,62,64,66,68,70,72,74,76,78,80,85,90,95,100})</f>
        <v>100</v>
      </c>
      <c r="J171" s="4">
        <f>H171-54</f>
        <v>4</v>
      </c>
      <c r="K171" s="32">
        <f>LOOKUP(J171,{0,2,4,6,7,8,9,10,11,12,13},{0,1,2,3,4,5,6,7,8,9,10})</f>
        <v>2</v>
      </c>
      <c r="L171" s="4">
        <f t="shared" si="17"/>
        <v>102</v>
      </c>
      <c r="M171" s="4">
        <v>8.9</v>
      </c>
      <c r="N171" s="4">
        <f t="shared" si="16"/>
        <v>3.1</v>
      </c>
      <c r="O171" s="32">
        <f>LOOKUP(N171,{0,0.5,0.7,0.9,1.1,1.3,1.5,1.7,1.9,2.1,2.3,2.5,2.7,2.9,3.1,3.3,3.5,3.8,4.1,4.2,4.3},{0,10,20,30,40,50,60,62,64,66,68,70,72,74,76,78,80,85,90,95,100})</f>
        <v>76</v>
      </c>
      <c r="P171" s="4">
        <v>3.31</v>
      </c>
      <c r="Q171" s="4">
        <f t="shared" si="18"/>
        <v>6.69</v>
      </c>
      <c r="R171" s="32">
        <f>LOOKUP(Q171,{0,4.72,4.82,4.92,5.42,5.52,5.62,5.67,5.72,5.77,5.82,5.87,5.92,5.97,6.42,6.47,6.52,6.59,6.66,6.72,6.78},{0,10,20,30,40,50,60,62,64,66,68,70,72,74,76,78,80,85,90,95,100})</f>
        <v>90</v>
      </c>
      <c r="U171" s="4">
        <f t="shared" si="19"/>
        <v>90</v>
      </c>
      <c r="W171" s="5">
        <f t="shared" si="20"/>
        <v>60.2</v>
      </c>
      <c r="X171" s="20">
        <f t="shared" si="21"/>
        <v>88</v>
      </c>
    </row>
    <row r="172" ht="15.6" hidden="1" spans="1:24">
      <c r="A172" s="4">
        <v>202</v>
      </c>
      <c r="B172" s="33" t="s">
        <v>101</v>
      </c>
      <c r="C172" s="25" t="s">
        <v>53</v>
      </c>
      <c r="D172" s="4">
        <v>26</v>
      </c>
      <c r="E172" s="32">
        <f>LOOKUP(D172,{0,1,1.8,2.6,3.4,4.2,5,6.3,7.6,8.9,10.2,11.5,12.8,14.1,15.4,16.7,18,19.7,21.4,23.1,24.8},{0,10,20,30,40,50,60,62,64,66,68,70,72,74,76,78,80,85,90,95,100})</f>
        <v>100</v>
      </c>
      <c r="F172" s="4">
        <v>191</v>
      </c>
      <c r="G172" s="32">
        <f>LOOKUP(F172,{0,124,129,134,139,144,149,152,155,158,161,164,167,170,173,176,179,186,193,199,205},{0,10,20,30,40,50,60,62,64,66,68,70,72,74,76,78,80,85,90,95,100})</f>
        <v>85</v>
      </c>
      <c r="H172" s="4">
        <v>45</v>
      </c>
      <c r="I172" s="32">
        <f>LOOKUP(H172,{0,14,16,18,20,22,24,26,28,30,32,34,36,38,40,42,44,47,50,52,54},{0,10,20,30,40,50,60,62,64,66,68,70,72,74,76,78,80,85,90,95,100})</f>
        <v>80</v>
      </c>
      <c r="L172" s="4">
        <f t="shared" si="17"/>
        <v>80</v>
      </c>
      <c r="M172" s="4">
        <v>8.4</v>
      </c>
      <c r="N172" s="4">
        <f t="shared" si="16"/>
        <v>3.6</v>
      </c>
      <c r="O172" s="32">
        <f>LOOKUP(N172,{0,0.5,0.7,0.9,1.1,1.3,1.5,1.7,1.9,2.1,2.3,2.5,2.7,2.9,3.1,3.3,3.5,3.8,4.1,4.2,4.3},{0,10,20,30,40,50,60,62,64,66,68,70,72,74,76,78,80,85,90,95,100})</f>
        <v>80</v>
      </c>
      <c r="P172" s="4">
        <v>3.24</v>
      </c>
      <c r="Q172" s="4">
        <f t="shared" si="18"/>
        <v>6.76</v>
      </c>
      <c r="R172" s="32">
        <f>LOOKUP(Q172,{0,4.72,4.82,4.92,5.42,5.52,5.62,5.67,5.72,5.77,5.82,5.87,5.92,5.97,6.42,6.47,6.52,6.59,6.66,6.72,6.78},{0,10,20,30,40,50,60,62,64,66,68,70,72,74,76,78,80,85,90,95,100})</f>
        <v>95</v>
      </c>
      <c r="U172" s="4">
        <f t="shared" si="19"/>
        <v>95</v>
      </c>
      <c r="W172" s="5">
        <f t="shared" si="20"/>
        <v>61.5</v>
      </c>
      <c r="X172" s="20">
        <f t="shared" si="21"/>
        <v>87.8571428571429</v>
      </c>
    </row>
    <row r="173" ht="15.6" hidden="1" spans="1:24">
      <c r="A173" s="4">
        <v>208</v>
      </c>
      <c r="B173" s="24" t="s">
        <v>433</v>
      </c>
      <c r="C173" s="25" t="s">
        <v>53</v>
      </c>
      <c r="D173" s="4">
        <v>27</v>
      </c>
      <c r="E173" s="32">
        <f>LOOKUP(D173,{0,1,1.8,2.6,3.4,4.2,5,6.3,7.6,8.9,10.2,11.5,12.8,14.1,15.4,16.7,18,19.7,21.4,23.1,24.8},{0,10,20,30,40,50,60,62,64,66,68,70,72,74,76,78,80,85,90,95,100})</f>
        <v>100</v>
      </c>
      <c r="F173" s="4">
        <v>203</v>
      </c>
      <c r="G173" s="32">
        <f>LOOKUP(F173,{0,124,129,134,139,144,149,152,155,158,161,164,167,170,173,176,179,186,193,199,205},{0,10,20,30,40,50,60,62,64,66,68,70,72,74,76,78,80,85,90,95,100})</f>
        <v>95</v>
      </c>
      <c r="H173" s="4">
        <v>51</v>
      </c>
      <c r="I173" s="32">
        <f>LOOKUP(H173,{0,14,16,18,20,22,24,26,28,30,32,34,36,38,40,42,44,47,50,52,54},{0,10,20,30,40,50,60,62,64,66,68,70,72,74,76,78,80,85,90,95,100})</f>
        <v>90</v>
      </c>
      <c r="L173" s="4">
        <f t="shared" si="17"/>
        <v>90</v>
      </c>
      <c r="M173" s="4">
        <v>8.2</v>
      </c>
      <c r="N173" s="4">
        <f t="shared" si="16"/>
        <v>3.8</v>
      </c>
      <c r="O173" s="32">
        <f>LOOKUP(N173,{0,0.5,0.7,0.9,1.1,1.3,1.5,1.7,1.9,2.1,2.3,2.5,2.7,2.9,3.1,3.3,3.5,3.8,4.1,4.2,4.3},{0,10,20,30,40,50,60,62,64,66,68,70,72,74,76,78,80,85,90,95,100})</f>
        <v>85</v>
      </c>
      <c r="P173" s="4">
        <v>3.46</v>
      </c>
      <c r="Q173" s="4">
        <f t="shared" si="18"/>
        <v>6.54</v>
      </c>
      <c r="R173" s="32">
        <f>LOOKUP(Q173,{0,4.72,4.82,4.92,5.42,5.52,5.62,5.67,5.72,5.77,5.82,5.87,5.92,5.97,6.42,6.47,6.52,6.59,6.66,6.72,6.78},{0,10,20,30,40,50,60,62,64,66,68,70,72,74,76,78,80,85,90,95,100})</f>
        <v>80</v>
      </c>
      <c r="U173" s="4">
        <f t="shared" si="19"/>
        <v>80</v>
      </c>
      <c r="W173" s="5">
        <f t="shared" si="20"/>
        <v>61.5</v>
      </c>
      <c r="X173" s="20">
        <f t="shared" si="21"/>
        <v>87.8571428571429</v>
      </c>
    </row>
    <row r="174" ht="15.6" hidden="1" spans="1:24">
      <c r="A174" s="4">
        <v>215</v>
      </c>
      <c r="B174" s="24" t="s">
        <v>832</v>
      </c>
      <c r="C174" s="25" t="s">
        <v>53</v>
      </c>
      <c r="D174" s="4">
        <v>11</v>
      </c>
      <c r="E174" s="32">
        <f>LOOKUP(D174,{0,1,1.8,2.6,3.4,4.2,5,6.3,7.6,8.9,10.2,11.5,12.8,14.1,15.4,16.7,18,19.7,21.4,23.1,24.8},{0,10,20,30,40,50,60,62,64,66,68,70,72,74,76,78,80,85,90,95,100})</f>
        <v>68</v>
      </c>
      <c r="F174" s="4">
        <v>182</v>
      </c>
      <c r="G174" s="32">
        <f>LOOKUP(F174,{0,124,129,134,139,144,149,152,155,158,161,164,167,170,173,176,179,186,193,199,205},{0,10,20,30,40,50,60,62,64,66,68,70,72,74,76,78,80,85,90,95,100})</f>
        <v>80</v>
      </c>
      <c r="H174" s="4">
        <v>53</v>
      </c>
      <c r="I174" s="32">
        <f>LOOKUP(H174,{0,14,16,18,20,22,24,26,28,30,32,34,36,38,40,42,44,47,50,52,54},{0,10,20,30,40,50,60,62,64,66,68,70,72,74,76,78,80,85,90,95,100})</f>
        <v>95</v>
      </c>
      <c r="L174" s="4">
        <f t="shared" si="17"/>
        <v>95</v>
      </c>
      <c r="M174" s="4">
        <v>7.9</v>
      </c>
      <c r="N174" s="4">
        <f t="shared" si="16"/>
        <v>4.1</v>
      </c>
      <c r="O174" s="32">
        <f>LOOKUP(N174,{0,0.5,0.7,0.9,1.1,1.3,1.5,1.7,1.9,2.1,2.3,2.5,2.7,2.9,3.1,3.3,3.5,3.8,4.1,4.2,4.3},{0,10,20,30,40,50,60,62,64,66,68,70,72,74,76,78,80,85,90,95,100})</f>
        <v>90</v>
      </c>
      <c r="P174" s="4">
        <v>3.23</v>
      </c>
      <c r="Q174" s="4">
        <f t="shared" si="18"/>
        <v>6.77</v>
      </c>
      <c r="R174" s="32">
        <f>LOOKUP(Q174,{0,4.72,4.82,4.92,5.42,5.52,5.62,5.67,5.72,5.77,5.82,5.87,5.92,5.97,6.42,6.47,6.52,6.59,6.66,6.72,6.78},{0,10,20,30,40,50,60,62,64,66,68,70,72,74,76,78,80,85,90,95,100})</f>
        <v>95</v>
      </c>
      <c r="U174" s="4">
        <f t="shared" si="19"/>
        <v>95</v>
      </c>
      <c r="W174" s="5">
        <f t="shared" si="20"/>
        <v>61.3</v>
      </c>
      <c r="X174" s="20">
        <f t="shared" si="21"/>
        <v>87.5714285714286</v>
      </c>
    </row>
    <row r="175" customFormat="1" ht="15.6" hidden="1" spans="1:24">
      <c r="A175" s="4">
        <v>213</v>
      </c>
      <c r="B175" s="24" t="s">
        <v>717</v>
      </c>
      <c r="C175" s="25" t="s">
        <v>53</v>
      </c>
      <c r="D175" s="4">
        <v>31.5</v>
      </c>
      <c r="E175" s="32">
        <f>LOOKUP(D175,{0,1,1.8,2.6,3.4,4.2,5,6.3,7.6,8.9,10.2,11.5,12.8,14.1,15.4,16.7,18,19.7,21.4,23.1,24.8},{0,10,20,30,40,50,60,62,64,66,68,70,72,74,76,78,80,85,90,95,100})</f>
        <v>100</v>
      </c>
      <c r="F175" s="4">
        <v>193</v>
      </c>
      <c r="G175" s="32">
        <f>LOOKUP(F175,{0,124,129,134,139,144,149,152,155,158,161,164,167,170,173,176,179,186,193,199,205},{0,10,20,30,40,50,60,62,64,66,68,70,72,74,76,78,80,85,90,95,100})</f>
        <v>90</v>
      </c>
      <c r="H175" s="4">
        <v>49</v>
      </c>
      <c r="I175" s="32">
        <f>LOOKUP(H175,{0,14,16,18,20,22,24,26,28,30,32,34,36,38,40,42,44,47,50,52,54},{0,10,20,30,40,50,60,62,64,66,68,70,72,74,76,78,80,85,90,95,100})</f>
        <v>85</v>
      </c>
      <c r="J175" s="4"/>
      <c r="K175" s="4"/>
      <c r="L175" s="4">
        <f t="shared" si="17"/>
        <v>85</v>
      </c>
      <c r="M175" s="4">
        <v>8.6</v>
      </c>
      <c r="N175" s="4">
        <f t="shared" si="16"/>
        <v>3.4</v>
      </c>
      <c r="O175" s="32">
        <f>LOOKUP(N175,{0,0.5,0.7,0.9,1.1,1.3,1.5,1.7,1.9,2.1,2.3,2.5,2.7,2.9,3.1,3.3,3.5,3.8,4.1,4.2,4.3},{0,10,20,30,40,50,60,62,64,66,68,70,72,74,76,78,80,85,90,95,100})</f>
        <v>78</v>
      </c>
      <c r="P175" s="4">
        <v>3.31</v>
      </c>
      <c r="Q175" s="4">
        <f t="shared" si="18"/>
        <v>6.69</v>
      </c>
      <c r="R175" s="32">
        <f>LOOKUP(Q175,{0,4.72,4.82,4.92,5.42,5.52,5.62,5.67,5.72,5.77,5.82,5.87,5.92,5.97,6.42,6.47,6.52,6.59,6.66,6.72,6.78},{0,10,20,30,40,50,60,62,64,66,68,70,72,74,76,78,80,85,90,95,100})</f>
        <v>90</v>
      </c>
      <c r="S175" s="4"/>
      <c r="T175" s="4"/>
      <c r="U175" s="4">
        <f t="shared" si="19"/>
        <v>90</v>
      </c>
      <c r="V175" s="4"/>
      <c r="W175" s="5">
        <f t="shared" si="20"/>
        <v>61.1</v>
      </c>
      <c r="X175" s="20">
        <f t="shared" si="21"/>
        <v>87.2857142857143</v>
      </c>
    </row>
    <row r="176" s="1" customFormat="1" ht="15.6" hidden="1" spans="1:24">
      <c r="A176" s="4">
        <v>212</v>
      </c>
      <c r="B176" s="24" t="s">
        <v>657</v>
      </c>
      <c r="C176" s="25" t="s">
        <v>53</v>
      </c>
      <c r="D176" s="4">
        <v>11.5</v>
      </c>
      <c r="E176" s="32">
        <f>LOOKUP(D176,{0,1,1.8,2.6,3.4,4.2,5,6.3,7.6,8.9,10.2,11.5,12.8,14.1,15.4,16.7,18,19.7,21.4,23.1,24.8},{0,10,20,30,40,50,60,62,64,66,68,70,72,74,76,78,80,85,90,95,100})</f>
        <v>70</v>
      </c>
      <c r="F176" s="4">
        <v>197</v>
      </c>
      <c r="G176" s="32">
        <f>LOOKUP(F176,{0,124,129,134,139,144,149,152,155,158,161,164,167,170,173,176,179,186,193,199,205},{0,10,20,30,40,50,60,62,64,66,68,70,72,74,76,78,80,85,90,95,100})</f>
        <v>90</v>
      </c>
      <c r="H176" s="4">
        <v>45</v>
      </c>
      <c r="I176" s="32">
        <f>LOOKUP(H176,{0,14,16,18,20,22,24,26,28,30,32,34,36,38,40,42,44,47,50,52,54},{0,10,20,30,40,50,60,62,64,66,68,70,72,74,76,78,80,85,90,95,100})</f>
        <v>80</v>
      </c>
      <c r="J176" s="4"/>
      <c r="K176" s="35"/>
      <c r="L176" s="4">
        <f t="shared" si="17"/>
        <v>80</v>
      </c>
      <c r="M176" s="4">
        <v>7.9</v>
      </c>
      <c r="N176" s="4">
        <f t="shared" si="16"/>
        <v>4.1</v>
      </c>
      <c r="O176" s="32">
        <f>LOOKUP(N176,{0,0.5,0.7,0.9,1.1,1.3,1.5,1.7,1.9,2.1,2.3,2.5,2.7,2.9,3.1,3.3,3.5,3.8,4.1,4.2,4.3},{0,10,20,30,40,50,60,62,64,66,68,70,72,74,76,78,80,85,90,95,100})</f>
        <v>90</v>
      </c>
      <c r="P176" s="4">
        <v>3.26</v>
      </c>
      <c r="Q176" s="4">
        <f t="shared" si="18"/>
        <v>6.74</v>
      </c>
      <c r="R176" s="32">
        <f>LOOKUP(Q176,{0,4.72,4.82,4.92,5.42,5.52,5.62,5.67,5.72,5.77,5.82,5.87,5.92,5.97,6.42,6.47,6.52,6.59,6.66,6.72,6.78},{0,10,20,30,40,50,60,62,64,66,68,70,72,74,76,78,80,85,90,95,100})</f>
        <v>95</v>
      </c>
      <c r="S176" s="4"/>
      <c r="T176" s="4"/>
      <c r="U176" s="4">
        <f t="shared" si="19"/>
        <v>95</v>
      </c>
      <c r="V176" s="4"/>
      <c r="W176" s="5">
        <f t="shared" si="20"/>
        <v>61</v>
      </c>
      <c r="X176" s="20">
        <f t="shared" si="21"/>
        <v>87.1428571428572</v>
      </c>
    </row>
    <row r="177" ht="15.6" hidden="1" spans="1:24">
      <c r="A177" s="4">
        <v>205</v>
      </c>
      <c r="B177" s="24" t="s">
        <v>264</v>
      </c>
      <c r="C177" s="25" t="s">
        <v>53</v>
      </c>
      <c r="D177" s="4">
        <v>22.2</v>
      </c>
      <c r="E177" s="32">
        <f>LOOKUP(D177,{0,1,1.8,2.6,3.4,4.2,5,6.3,7.6,8.9,10.2,11.5,12.8,14.1,15.4,16.7,18,19.7,21.4,23.1,24.8},{0,10,20,30,40,50,60,62,64,66,68,70,72,74,76,78,80,85,90,95,100})</f>
        <v>90</v>
      </c>
      <c r="F177" s="4">
        <v>210</v>
      </c>
      <c r="G177" s="32">
        <f>LOOKUP(F177,{0,124,129,134,139,144,149,152,155,158,161,164,167,170,173,176,179,186,193,199,205},{0,10,20,30,40,50,60,62,64,66,68,70,72,74,76,78,80,85,90,95,100})</f>
        <v>100</v>
      </c>
      <c r="H177" s="4">
        <v>45</v>
      </c>
      <c r="I177" s="32">
        <f>LOOKUP(H177,{0,14,16,18,20,22,24,26,28,30,32,34,36,38,40,42,44,47,50,52,54},{0,10,20,30,40,50,60,62,64,66,68,70,72,74,76,78,80,85,90,95,100})</f>
        <v>80</v>
      </c>
      <c r="L177" s="4">
        <f t="shared" si="17"/>
        <v>80</v>
      </c>
      <c r="M177" s="4">
        <v>8.3</v>
      </c>
      <c r="N177" s="4">
        <f t="shared" si="16"/>
        <v>3.7</v>
      </c>
      <c r="O177" s="32">
        <f>LOOKUP(N177,{0,0.5,0.7,0.9,1.1,1.3,1.5,1.7,1.9,2.1,2.3,2.5,2.7,2.9,3.1,3.3,3.5,3.8,4.1,4.2,4.3},{0,10,20,30,40,50,60,62,64,66,68,70,72,74,76,78,80,85,90,95,100})</f>
        <v>80</v>
      </c>
      <c r="P177" s="4">
        <v>3.29</v>
      </c>
      <c r="Q177" s="4">
        <f t="shared" si="18"/>
        <v>6.71</v>
      </c>
      <c r="R177" s="32">
        <f>LOOKUP(Q177,{0,4.72,4.82,4.92,5.42,5.52,5.62,5.67,5.72,5.77,5.82,5.87,5.92,5.97,6.42,6.47,6.52,6.59,6.66,6.72,6.78},{0,10,20,30,40,50,60,62,64,66,68,70,72,74,76,78,80,85,90,95,100})</f>
        <v>90</v>
      </c>
      <c r="U177" s="4">
        <f t="shared" si="19"/>
        <v>90</v>
      </c>
      <c r="W177" s="5">
        <f t="shared" si="20"/>
        <v>61</v>
      </c>
      <c r="X177" s="20">
        <f t="shared" si="21"/>
        <v>87.1428571428572</v>
      </c>
    </row>
    <row r="178" ht="15.6" hidden="1" spans="1:24">
      <c r="A178" s="4">
        <v>212</v>
      </c>
      <c r="B178" s="24" t="s">
        <v>646</v>
      </c>
      <c r="C178" s="25" t="s">
        <v>53</v>
      </c>
      <c r="D178" s="4">
        <v>23.3</v>
      </c>
      <c r="E178" s="32">
        <f>LOOKUP(D178,{0,1,1.8,2.6,3.4,4.2,5,6.3,7.6,8.9,10.2,11.5,12.8,14.1,15.4,16.7,18,19.7,21.4,23.1,24.8},{0,10,20,30,40,50,60,62,64,66,68,70,72,74,76,78,80,85,90,95,100})</f>
        <v>95</v>
      </c>
      <c r="F178" s="4">
        <v>180</v>
      </c>
      <c r="G178" s="32">
        <f>LOOKUP(F178,{0,124,129,134,139,144,149,152,155,158,161,164,167,170,173,176,179,186,193,199,205},{0,10,20,30,40,50,60,62,64,66,68,70,72,74,76,78,80,85,90,95,100})</f>
        <v>80</v>
      </c>
      <c r="H178" s="4">
        <v>47</v>
      </c>
      <c r="I178" s="32">
        <f>LOOKUP(H178,{0,14,16,18,20,22,24,26,28,30,32,34,36,38,40,42,44,47,50,52,54},{0,10,20,30,40,50,60,62,64,66,68,70,72,74,76,78,80,85,90,95,100})</f>
        <v>85</v>
      </c>
      <c r="L178" s="4">
        <f t="shared" si="17"/>
        <v>85</v>
      </c>
      <c r="M178" s="4">
        <v>8.2</v>
      </c>
      <c r="N178" s="4">
        <f t="shared" si="16"/>
        <v>3.8</v>
      </c>
      <c r="O178" s="32">
        <f>LOOKUP(N178,{0,0.5,0.7,0.9,1.1,1.3,1.5,1.7,1.9,2.1,2.3,2.5,2.7,2.9,3.1,3.3,3.5,3.8,4.1,4.2,4.3},{0,10,20,30,40,50,60,62,64,66,68,70,72,74,76,78,80,85,90,95,100})</f>
        <v>85</v>
      </c>
      <c r="P178" s="4">
        <v>3.33</v>
      </c>
      <c r="Q178" s="4">
        <f t="shared" si="18"/>
        <v>6.67</v>
      </c>
      <c r="R178" s="32">
        <f>LOOKUP(Q178,{0,4.72,4.82,4.92,5.42,5.52,5.62,5.67,5.72,5.77,5.82,5.87,5.92,5.97,6.42,6.47,6.52,6.59,6.66,6.72,6.78},{0,10,20,30,40,50,60,62,64,66,68,70,72,74,76,78,80,85,90,95,100})</f>
        <v>90</v>
      </c>
      <c r="U178" s="4">
        <f t="shared" si="19"/>
        <v>90</v>
      </c>
      <c r="W178" s="5">
        <f t="shared" si="20"/>
        <v>61</v>
      </c>
      <c r="X178" s="20">
        <f t="shared" si="21"/>
        <v>87.1428571428572</v>
      </c>
    </row>
    <row r="179" ht="15.6" hidden="1" spans="1:24">
      <c r="A179" s="4">
        <v>213</v>
      </c>
      <c r="B179" s="24" t="s">
        <v>722</v>
      </c>
      <c r="C179" s="25" t="s">
        <v>53</v>
      </c>
      <c r="D179" s="4">
        <v>11.2</v>
      </c>
      <c r="E179" s="32">
        <f>LOOKUP(D179,{0,1,1.8,2.6,3.4,4.2,5,6.3,7.6,8.9,10.2,11.5,12.8,14.1,15.4,16.7,18,19.7,21.4,23.1,24.8},{0,10,20,30,40,50,60,62,64,66,68,70,72,74,76,78,80,85,90,95,100})</f>
        <v>68</v>
      </c>
      <c r="F179" s="4">
        <v>197</v>
      </c>
      <c r="G179" s="32">
        <f>LOOKUP(F179,{0,124,129,134,139,144,149,152,155,158,161,164,167,170,173,176,179,186,193,199,205},{0,10,20,30,40,50,60,62,64,66,68,70,72,74,76,78,80,85,90,95,100})</f>
        <v>90</v>
      </c>
      <c r="H179" s="4">
        <v>50</v>
      </c>
      <c r="I179" s="32">
        <f>LOOKUP(H179,{0,14,16,18,20,22,24,26,28,30,32,34,36,38,40,42,44,47,50,52,54},{0,10,20,30,40,50,60,62,64,66,68,70,72,74,76,78,80,85,90,95,100})</f>
        <v>90</v>
      </c>
      <c r="K179" s="35"/>
      <c r="L179" s="4">
        <f t="shared" si="17"/>
        <v>90</v>
      </c>
      <c r="M179" s="4">
        <v>8.2</v>
      </c>
      <c r="N179" s="4">
        <f t="shared" si="16"/>
        <v>3.8</v>
      </c>
      <c r="O179" s="32">
        <f>LOOKUP(N179,{0,0.5,0.7,0.9,1.1,1.3,1.5,1.7,1.9,2.1,2.3,2.5,2.7,2.9,3.1,3.3,3.5,3.8,4.1,4.2,4.3},{0,10,20,30,40,50,60,62,64,66,68,70,72,74,76,78,80,85,90,95,100})</f>
        <v>85</v>
      </c>
      <c r="P179" s="4">
        <v>3.26</v>
      </c>
      <c r="Q179" s="4">
        <f t="shared" si="18"/>
        <v>6.74</v>
      </c>
      <c r="R179" s="32">
        <f>LOOKUP(Q179,{0,4.72,4.82,4.92,5.42,5.52,5.62,5.67,5.72,5.77,5.82,5.87,5.92,5.97,6.42,6.47,6.52,6.59,6.66,6.72,6.78},{0,10,20,30,40,50,60,62,64,66,68,70,72,74,76,78,80,85,90,95,100})</f>
        <v>95</v>
      </c>
      <c r="U179" s="4">
        <f t="shared" si="19"/>
        <v>95</v>
      </c>
      <c r="W179" s="5">
        <f t="shared" si="20"/>
        <v>60.8</v>
      </c>
      <c r="X179" s="20">
        <f t="shared" si="21"/>
        <v>86.8571428571429</v>
      </c>
    </row>
    <row r="180" ht="15.6" hidden="1" spans="1:24">
      <c r="A180" s="4">
        <v>204</v>
      </c>
      <c r="B180" s="24" t="s">
        <v>183</v>
      </c>
      <c r="C180" s="25" t="s">
        <v>53</v>
      </c>
      <c r="D180" s="4">
        <v>26.3</v>
      </c>
      <c r="E180" s="32">
        <f>LOOKUP(D180,{0,1,1.8,2.6,3.4,4.2,5,6.3,7.6,8.9,10.2,11.5,12.8,14.1,15.4,16.7,18,19.7,21.4,23.1,24.8},{0,10,20,30,40,50,60,62,64,66,68,70,72,74,76,78,80,85,90,95,100})</f>
        <v>100</v>
      </c>
      <c r="F180" s="4">
        <v>178</v>
      </c>
      <c r="G180" s="32">
        <f>LOOKUP(F180,{0,124,129,134,139,144,149,152,155,158,161,164,167,170,173,176,179,186,193,199,205},{0,10,20,30,40,50,60,62,64,66,68,70,72,74,76,78,80,85,90,95,100})</f>
        <v>78</v>
      </c>
      <c r="H180" s="4">
        <v>50</v>
      </c>
      <c r="I180" s="32">
        <f>LOOKUP(H180,{0,14,16,18,20,22,24,26,28,30,32,34,36,38,40,42,44,47,50,52,54},{0,10,20,30,40,50,60,62,64,66,68,70,72,74,76,78,80,85,90,95,100})</f>
        <v>90</v>
      </c>
      <c r="K180" s="35"/>
      <c r="L180" s="4">
        <f t="shared" si="17"/>
        <v>90</v>
      </c>
      <c r="M180" s="4">
        <v>8.2</v>
      </c>
      <c r="N180" s="4">
        <f t="shared" ref="N180:N204" si="22">12-M180</f>
        <v>3.8</v>
      </c>
      <c r="O180" s="32">
        <f>LOOKUP(N180,{0,0.5,0.7,0.9,1.1,1.3,1.5,1.7,1.9,2.1,2.3,2.5,2.7,2.9,3.1,3.3,3.5,3.8,4.1,4.2,4.3},{0,10,20,30,40,50,60,62,64,66,68,70,72,74,76,78,80,85,90,95,100})</f>
        <v>85</v>
      </c>
      <c r="P180" s="4">
        <v>3.39</v>
      </c>
      <c r="Q180" s="4">
        <f t="shared" si="18"/>
        <v>6.61</v>
      </c>
      <c r="R180" s="32">
        <f>LOOKUP(Q180,{0,4.72,4.82,4.92,5.42,5.52,5.62,5.67,5.72,5.77,5.82,5.87,5.92,5.97,6.42,6.47,6.52,6.59,6.66,6.72,6.78},{0,10,20,30,40,50,60,62,64,66,68,70,72,74,76,78,80,85,90,95,100})</f>
        <v>85</v>
      </c>
      <c r="U180" s="4">
        <f t="shared" si="19"/>
        <v>85</v>
      </c>
      <c r="W180" s="5">
        <f t="shared" si="20"/>
        <v>60.8</v>
      </c>
      <c r="X180" s="20">
        <f t="shared" si="21"/>
        <v>86.8571428571429</v>
      </c>
    </row>
    <row r="181" ht="15.6" hidden="1" spans="1:24">
      <c r="A181" s="4">
        <v>210</v>
      </c>
      <c r="B181" s="24" t="s">
        <v>526</v>
      </c>
      <c r="C181" s="25" t="s">
        <v>11</v>
      </c>
      <c r="D181" s="4">
        <v>8.8</v>
      </c>
      <c r="E181" s="32">
        <f>LOOKUP(D181,{0,-2.9,-1.9,-0.9,0.1,1.1,2.1,3.5,4.9,6.3,7.7,9.1,10.5,11.9,13.3,14.7,16.1,18.3,20.5,22.4,24.3},{0,10,20,30,40,50,60,62,64,66,68,70,72,74,76,78,80,85,90,95,100})</f>
        <v>68</v>
      </c>
      <c r="F181" s="4">
        <v>272</v>
      </c>
      <c r="G181" s="32">
        <f>LOOKUP(F181,{0,175,180,185,190,195,200,204,208,212,216,220,224,228,232,236,240,248,255,260,265},{0,10,20,30,40,50,60,62,64,66,68,70,72,74,76,78,80,85,90,95,100})</f>
        <v>100</v>
      </c>
      <c r="H181" s="4">
        <v>23</v>
      </c>
      <c r="I181" s="32">
        <f>LOOKUP(H181,{0,3,4,5,6,7,8,9,10,11,12,13,14,15,16,17},{0,10,20,30,40,50,60,64,68,72,76,80,85,90,95,100})</f>
        <v>100</v>
      </c>
      <c r="J181" s="4">
        <f>H181-17</f>
        <v>6</v>
      </c>
      <c r="K181" s="32">
        <f>LOOKUP(J181,{0,1,2,3,4,5,6,7,8,9,10},{0,1,2,3,4,5,6,7,8,9,10})</f>
        <v>6</v>
      </c>
      <c r="L181" s="4">
        <f t="shared" si="17"/>
        <v>106</v>
      </c>
      <c r="M181" s="4">
        <v>6.4</v>
      </c>
      <c r="N181" s="4">
        <f t="shared" si="22"/>
        <v>5.6</v>
      </c>
      <c r="O181" s="32">
        <f>LOOKUP(N181,{0,1.6,1.8,2,2.2,2.4,2.6,2.8,3,3.2,3.4,3.6,3.8,4,4.2,4.4,4.6,4.7,4.8,4.9,5},{0,10,20,30,40,50,60,62,64,66,68,70,72,74,76,78,80,85,90,95,100})</f>
        <v>100</v>
      </c>
      <c r="P181" s="4">
        <v>3.36</v>
      </c>
      <c r="Q181" s="4">
        <f t="shared" si="18"/>
        <v>6.64</v>
      </c>
      <c r="R181" s="32">
        <f>LOOKUP(Q181,{0,3.8,4,4.6,4.8,5,5.6,5.65,5.7,5.75,5.8,5.85,5.9,5.95,6,6.45,6.5,6.58,6.65,6.7,6.75},{0,10,20,30,40,50,60,62,64,66,68,70,72,74,76,78,80,85,90,95,100})</f>
        <v>85</v>
      </c>
      <c r="U181" s="4">
        <f t="shared" si="19"/>
        <v>85</v>
      </c>
      <c r="W181" s="5">
        <f t="shared" si="20"/>
        <v>63.8</v>
      </c>
      <c r="X181" s="20">
        <f t="shared" si="21"/>
        <v>97.1428571428571</v>
      </c>
    </row>
    <row r="182" ht="15.6" hidden="1" spans="1:24">
      <c r="A182" s="4">
        <v>213</v>
      </c>
      <c r="B182" s="33" t="s">
        <v>666</v>
      </c>
      <c r="C182" s="25" t="s">
        <v>11</v>
      </c>
      <c r="D182" s="4">
        <v>9.2</v>
      </c>
      <c r="E182" s="32">
        <f>LOOKUP(D182,{0,-2.9,-1.9,-0.9,0.1,1.1,2.1,3.5,4.9,6.3,7.7,9.1,10.5,11.9,13.3,14.7,16.1,18.3,20.5,22.4,24.3},{0,10,20,30,40,50,60,62,64,66,68,70,72,74,76,78,80,85,90,95,100})</f>
        <v>70</v>
      </c>
      <c r="F182" s="4">
        <v>255</v>
      </c>
      <c r="G182" s="32">
        <f>LOOKUP(F182,{0,175,180,185,190,195,200,204,208,212,216,220,224,228,232,236,240,248,255,260,265},{0,10,20,30,40,50,60,62,64,66,68,70,72,74,76,78,80,85,90,95,100})</f>
        <v>90</v>
      </c>
      <c r="H182" s="4">
        <v>5</v>
      </c>
      <c r="I182" s="32">
        <f>LOOKUP(H182,{0,3,4,5,6,7,8,9,10,11,12,13,14,15,16,17},{0,10,20,30,40,50,60,64,68,72,76,80,85,90,95,100})</f>
        <v>30</v>
      </c>
      <c r="L182" s="4">
        <f t="shared" si="17"/>
        <v>30</v>
      </c>
      <c r="M182" s="4">
        <v>6.9</v>
      </c>
      <c r="N182" s="4">
        <f t="shared" si="22"/>
        <v>5.1</v>
      </c>
      <c r="O182" s="32">
        <f>LOOKUP(N182,{0,1.6,1.8,2,2.2,2.4,2.6,2.8,3,3.2,3.4,3.6,3.8,4,4.2,4.4,4.6,4.7,4.8,4.9,5},{0,10,20,30,40,50,60,62,64,66,68,70,72,74,76,78,80,85,90,95,100})</f>
        <v>100</v>
      </c>
      <c r="P182" s="4">
        <v>3.36</v>
      </c>
      <c r="Q182" s="4">
        <f t="shared" si="18"/>
        <v>6.64</v>
      </c>
      <c r="R182" s="32">
        <f>LOOKUP(Q182,{0,3.8,4,4.6,4.8,5,5.6,5.65,5.7,5.75,5.8,5.85,5.9,5.95,6,6.45,6.5,6.58,6.65,6.7,6.75},{0,10,20,30,40,50,60,62,64,66,68,70,72,74,76,78,80,85,90,95,100})</f>
        <v>85</v>
      </c>
      <c r="U182" s="4">
        <f t="shared" si="19"/>
        <v>85</v>
      </c>
      <c r="W182" s="5">
        <f t="shared" si="20"/>
        <v>56</v>
      </c>
      <c r="X182" s="20">
        <f t="shared" si="21"/>
        <v>80</v>
      </c>
    </row>
    <row r="183" ht="15.6" hidden="1" spans="1:24">
      <c r="A183" s="4">
        <v>209</v>
      </c>
      <c r="B183" s="24" t="s">
        <v>465</v>
      </c>
      <c r="C183" s="25" t="s">
        <v>11</v>
      </c>
      <c r="D183" s="4">
        <v>2.9</v>
      </c>
      <c r="E183" s="32">
        <f>LOOKUP(D183,{0,-2.9,-1.9,-0.9,0.1,1.1,2.1,3.5,4.9,6.3,7.7,9.1,10.5,11.9,13.3,14.7,16.1,18.3,20.5,22.4,24.3},{0,10,20,30,40,50,60,62,64,66,68,70,72,74,76,78,80,85,90,95,100})</f>
        <v>60</v>
      </c>
      <c r="F183" s="4">
        <v>265</v>
      </c>
      <c r="G183" s="32">
        <f>LOOKUP(F183,{0,175,180,185,190,195,200,204,208,212,216,220,224,228,232,236,240,248,255,260,265},{0,10,20,30,40,50,60,62,64,66,68,70,72,74,76,78,80,85,90,95,100})</f>
        <v>100</v>
      </c>
      <c r="H183" s="4">
        <v>14</v>
      </c>
      <c r="I183" s="32">
        <f>LOOKUP(H183,{0,3,4,5,6,7,8,9,10,11,12,13,14,15,16,17},{0,10,20,30,40,50,60,64,68,72,76,80,85,90,95,100})</f>
        <v>85</v>
      </c>
      <c r="L183" s="4">
        <f t="shared" si="17"/>
        <v>85</v>
      </c>
      <c r="M183" s="4">
        <v>7</v>
      </c>
      <c r="N183" s="4">
        <f t="shared" si="22"/>
        <v>5</v>
      </c>
      <c r="O183" s="32">
        <f>LOOKUP(N183,{0,1.6,1.8,2,2.2,2.4,2.6,2.8,3,3.2,3.4,3.6,3.8,4,4.2,4.4,4.6,4.7,4.8,4.9,5},{0,10,20,30,40,50,60,62,64,66,68,70,72,74,76,78,80,85,90,95,100})</f>
        <v>100</v>
      </c>
      <c r="P183" s="4">
        <v>3.36</v>
      </c>
      <c r="Q183" s="4">
        <f t="shared" si="18"/>
        <v>6.64</v>
      </c>
      <c r="R183" s="32">
        <f>LOOKUP(Q183,{0,3.8,4,4.6,4.8,5,5.6,5.65,5.7,5.75,5.8,5.85,5.9,5.95,6,6.45,6.5,6.58,6.65,6.7,6.75},{0,10,20,30,40,50,60,62,64,66,68,70,72,74,76,78,80,85,90,95,100})</f>
        <v>85</v>
      </c>
      <c r="U183" s="4">
        <f t="shared" si="19"/>
        <v>85</v>
      </c>
      <c r="W183" s="5">
        <f t="shared" si="20"/>
        <v>61.5</v>
      </c>
      <c r="X183" s="20">
        <f t="shared" si="21"/>
        <v>87.8571428571429</v>
      </c>
    </row>
    <row r="184" ht="15.6" hidden="1" spans="1:24">
      <c r="A184" s="4">
        <v>205</v>
      </c>
      <c r="B184" s="24" t="s">
        <v>242</v>
      </c>
      <c r="C184" s="25" t="s">
        <v>11</v>
      </c>
      <c r="D184" s="4">
        <v>15</v>
      </c>
      <c r="E184" s="32">
        <f>LOOKUP(D184,{0,-2.9,-1.9,-0.9,0.1,1.1,2.1,3.5,4.9,6.3,7.7,9.1,10.5,11.9,13.3,14.7,16.1,18.3,20.5,22.4,24.3},{0,10,20,30,40,50,60,62,64,66,68,70,72,74,76,78,80,85,90,95,100})</f>
        <v>78</v>
      </c>
      <c r="F184" s="4">
        <v>279</v>
      </c>
      <c r="G184" s="32">
        <f>LOOKUP(F184,{0,175,180,185,190,195,200,204,208,212,216,220,224,228,232,236,240,248,255,260,265},{0,10,20,30,40,50,60,62,64,66,68,70,72,74,76,78,80,85,90,95,100})</f>
        <v>100</v>
      </c>
      <c r="H184" s="4">
        <v>10</v>
      </c>
      <c r="I184" s="32">
        <f>LOOKUP(H184,{0,3,4,5,6,7,8,9,10,11,12,13,14,15,16,17},{0,10,20,30,40,50,60,64,68,72,76,80,85,90,95,100})</f>
        <v>68</v>
      </c>
      <c r="L184" s="4">
        <f t="shared" si="17"/>
        <v>68</v>
      </c>
      <c r="M184" s="4">
        <v>7.3</v>
      </c>
      <c r="N184" s="4">
        <f t="shared" si="22"/>
        <v>4.7</v>
      </c>
      <c r="O184" s="32">
        <f>LOOKUP(N184,{0,1.6,1.8,2,2.2,2.4,2.6,2.8,3,3.2,3.4,3.6,3.8,4,4.2,4.4,4.6,4.7,4.8,4.9,5},{0,10,20,30,40,50,60,62,64,66,68,70,72,74,76,78,80,85,90,95,100})</f>
        <v>85</v>
      </c>
      <c r="P184" s="4">
        <v>3.36</v>
      </c>
      <c r="Q184" s="4">
        <f t="shared" si="18"/>
        <v>6.64</v>
      </c>
      <c r="R184" s="32">
        <f>LOOKUP(Q184,{0,3.8,4,4.6,4.8,5,5.6,5.65,5.7,5.75,5.8,5.85,5.9,5.95,6,6.45,6.5,6.58,6.65,6.7,6.75},{0,10,20,30,40,50,60,62,64,66,68,70,72,74,76,78,80,85,90,95,100})</f>
        <v>85</v>
      </c>
      <c r="U184" s="4">
        <f t="shared" si="19"/>
        <v>85</v>
      </c>
      <c r="W184" s="5">
        <f t="shared" si="20"/>
        <v>58.6</v>
      </c>
      <c r="X184" s="20">
        <f t="shared" si="21"/>
        <v>83.7142857142857</v>
      </c>
    </row>
    <row r="185" ht="15.6" hidden="1" spans="1:24">
      <c r="A185" s="4">
        <v>201</v>
      </c>
      <c r="B185" s="24" t="s">
        <v>37</v>
      </c>
      <c r="C185" s="25" t="s">
        <v>11</v>
      </c>
      <c r="D185" s="4">
        <v>22.5</v>
      </c>
      <c r="E185" s="32">
        <f>LOOKUP(D185,{0,-2.9,-1.9,-0.9,0.1,1.1,2.1,3.5,4.9,6.3,7.7,9.1,10.5,11.9,13.3,14.7,16.1,18.3,20.5,22.4,24.3},{0,10,20,30,40,50,60,62,64,66,68,70,72,74,76,78,80,85,90,95,100})</f>
        <v>95</v>
      </c>
      <c r="F185" s="4">
        <v>251</v>
      </c>
      <c r="G185" s="32">
        <f>LOOKUP(F185,{0,175,180,185,190,195,200,204,208,212,216,220,224,228,232,236,240,248,255,260,265},{0,10,20,30,40,50,60,62,64,66,68,70,72,74,76,78,80,85,90,95,100})</f>
        <v>85</v>
      </c>
      <c r="H185" s="4">
        <v>0</v>
      </c>
      <c r="I185" s="32">
        <f>LOOKUP(H185,{0,3,4,5,6,7,8,9,10,11,12,13,14,15,16,17},{0,10,20,30,40,50,60,64,68,72,76,80,85,90,95,100})</f>
        <v>0</v>
      </c>
      <c r="L185" s="4">
        <f t="shared" si="17"/>
        <v>0</v>
      </c>
      <c r="M185" s="4">
        <v>7.3</v>
      </c>
      <c r="N185" s="4">
        <f t="shared" si="22"/>
        <v>4.7</v>
      </c>
      <c r="O185" s="32">
        <f>LOOKUP(N185,{0,1.6,1.8,2,2.2,2.4,2.6,2.8,3,3.2,3.4,3.6,3.8,4,4.2,4.4,4.6,4.7,4.8,4.9,5},{0,10,20,30,40,50,60,62,64,66,68,70,72,74,76,78,80,85,90,95,100})</f>
        <v>85</v>
      </c>
      <c r="P185" s="4">
        <v>3.36</v>
      </c>
      <c r="Q185" s="4">
        <f t="shared" si="18"/>
        <v>6.64</v>
      </c>
      <c r="R185" s="32">
        <f>LOOKUP(Q185,{0,3.8,4,4.6,4.8,5,5.6,5.65,5.7,5.75,5.8,5.85,5.9,5.95,6,6.45,6.5,6.58,6.65,6.7,6.75},{0,10,20,30,40,50,60,62,64,66,68,70,72,74,76,78,80,85,90,95,100})</f>
        <v>85</v>
      </c>
      <c r="U185" s="4">
        <f t="shared" si="19"/>
        <v>85</v>
      </c>
      <c r="W185" s="5">
        <f t="shared" si="20"/>
        <v>52</v>
      </c>
      <c r="X185" s="20">
        <f t="shared" si="21"/>
        <v>74.2857142857143</v>
      </c>
    </row>
    <row r="186" ht="15.6" hidden="1" spans="1:24">
      <c r="A186" s="4">
        <v>208</v>
      </c>
      <c r="B186" s="24" t="s">
        <v>390</v>
      </c>
      <c r="C186" s="25" t="s">
        <v>11</v>
      </c>
      <c r="D186" s="4">
        <v>23</v>
      </c>
      <c r="E186" s="32">
        <f>LOOKUP(D186,{0,-2.9,-1.9,-0.9,0.1,1.1,2.1,3.5,4.9,6.3,7.7,9.1,10.5,11.9,13.3,14.7,16.1,18.3,20.5,22.4,24.3},{0,10,20,30,40,50,60,62,64,66,68,70,72,74,76,78,80,85,90,95,100})</f>
        <v>95</v>
      </c>
      <c r="F186" s="4">
        <v>241</v>
      </c>
      <c r="G186" s="32">
        <f>LOOKUP(F186,{0,175,180,185,190,195,200,204,208,212,216,220,224,228,232,236,240,248,255,260,265},{0,10,20,30,40,50,60,62,64,66,68,70,72,74,76,78,80,85,90,95,100})</f>
        <v>80</v>
      </c>
      <c r="H186" s="4">
        <v>12</v>
      </c>
      <c r="I186" s="32">
        <f>LOOKUP(H186,{0,3,4,5,6,7,8,9,10,11,12,13,14,15,16,17},{0,10,20,30,40,50,60,64,68,72,76,80,85,90,95,100})</f>
        <v>76</v>
      </c>
      <c r="L186" s="4">
        <f t="shared" si="17"/>
        <v>76</v>
      </c>
      <c r="M186" s="4">
        <v>7.5</v>
      </c>
      <c r="N186" s="4">
        <f t="shared" si="22"/>
        <v>4.5</v>
      </c>
      <c r="O186" s="32">
        <f>LOOKUP(N186,{0,1.6,1.8,2,2.2,2.4,2.6,2.8,3,3.2,3.4,3.6,3.8,4,4.2,4.4,4.6,4.7,4.8,4.9,5},{0,10,20,30,40,50,60,62,64,66,68,70,72,74,76,78,80,85,90,95,100})</f>
        <v>78</v>
      </c>
      <c r="P186" s="4">
        <v>3.36</v>
      </c>
      <c r="Q186" s="4">
        <f t="shared" si="18"/>
        <v>6.64</v>
      </c>
      <c r="R186" s="32">
        <f>LOOKUP(Q186,{0,3.8,4,4.6,4.8,5,5.6,5.65,5.7,5.75,5.8,5.85,5.9,5.95,6,6.45,6.5,6.58,6.65,6.7,6.75},{0,10,20,30,40,50,60,62,64,66,68,70,72,74,76,78,80,85,90,95,100})</f>
        <v>85</v>
      </c>
      <c r="U186" s="4">
        <f t="shared" si="19"/>
        <v>85</v>
      </c>
      <c r="W186" s="5">
        <f t="shared" si="20"/>
        <v>57.7</v>
      </c>
      <c r="X186" s="20">
        <f t="shared" si="21"/>
        <v>82.4285714285714</v>
      </c>
    </row>
    <row r="187" ht="15.6" hidden="1" spans="1:24">
      <c r="A187" s="4">
        <v>208</v>
      </c>
      <c r="B187" s="24" t="s">
        <v>408</v>
      </c>
      <c r="C187" s="25" t="s">
        <v>11</v>
      </c>
      <c r="D187" s="4">
        <v>21.9</v>
      </c>
      <c r="E187" s="32">
        <f>LOOKUP(D187,{0,-2.9,-1.9,-0.9,0.1,1.1,2.1,3.5,4.9,6.3,7.7,9.1,10.5,11.9,13.3,14.7,16.1,18.3,20.5,22.4,24.3},{0,10,20,30,40,50,60,62,64,66,68,70,72,74,76,78,80,85,90,95,100})</f>
        <v>90</v>
      </c>
      <c r="F187" s="4">
        <v>218</v>
      </c>
      <c r="G187" s="32">
        <f>LOOKUP(F187,{0,175,180,185,190,195,200,204,208,212,216,220,224,228,232,236,240,248,255,260,265},{0,10,20,30,40,50,60,62,64,66,68,70,72,74,76,78,80,85,90,95,100})</f>
        <v>68</v>
      </c>
      <c r="H187" s="4">
        <v>7</v>
      </c>
      <c r="I187" s="32">
        <f>LOOKUP(H187,{0,3,4,5,6,7,8,9,10,11,12,13,14,15,16,17},{0,10,20,30,40,50,60,64,68,72,76,80,85,90,95,100})</f>
        <v>50</v>
      </c>
      <c r="K187" s="35"/>
      <c r="L187" s="4">
        <f t="shared" si="17"/>
        <v>50</v>
      </c>
      <c r="M187" s="4">
        <v>7</v>
      </c>
      <c r="N187" s="4">
        <f t="shared" si="22"/>
        <v>5</v>
      </c>
      <c r="O187" s="32">
        <f>LOOKUP(N187,{0,1.6,1.8,2,2.2,2.4,2.6,2.8,3,3.2,3.4,3.6,3.8,4,4.2,4.4,4.6,4.7,4.8,4.9,5},{0,10,20,30,40,50,60,62,64,66,68,70,72,74,76,78,80,85,90,95,100})</f>
        <v>100</v>
      </c>
      <c r="P187" s="4">
        <v>3.37</v>
      </c>
      <c r="Q187" s="4">
        <f t="shared" si="18"/>
        <v>6.63</v>
      </c>
      <c r="R187" s="32">
        <f>LOOKUP(Q187,{0,3.8,4,4.6,4.8,5,5.6,5.65,5.7,5.75,5.8,5.85,5.9,5.95,6,6.45,6.5,6.58,6.65,6.7,6.75},{0,10,20,30,40,50,60,62,64,66,68,70,72,74,76,78,80,85,90,95,100})</f>
        <v>85</v>
      </c>
      <c r="U187" s="4">
        <f t="shared" si="19"/>
        <v>85</v>
      </c>
      <c r="W187" s="5">
        <f t="shared" si="20"/>
        <v>57.8</v>
      </c>
      <c r="X187" s="20">
        <f t="shared" si="21"/>
        <v>82.5714285714286</v>
      </c>
    </row>
    <row r="188" customFormat="1" ht="15.6" hidden="1" spans="1:24">
      <c r="A188" s="4">
        <v>206</v>
      </c>
      <c r="B188" s="24" t="s">
        <v>307</v>
      </c>
      <c r="C188" s="25" t="s">
        <v>11</v>
      </c>
      <c r="D188" s="4">
        <v>16</v>
      </c>
      <c r="E188" s="32">
        <f>LOOKUP(D188,{0,-2.9,-1.9,-0.9,0.1,1.1,2.1,3.5,4.9,6.3,7.7,9.1,10.5,11.9,13.3,14.7,16.1,18.3,20.5,22.4,24.3},{0,10,20,30,40,50,60,62,64,66,68,70,72,74,76,78,80,85,90,95,100})</f>
        <v>78</v>
      </c>
      <c r="F188" s="4">
        <v>234</v>
      </c>
      <c r="G188" s="32">
        <f>LOOKUP(F188,{0,175,180,185,190,195,200,204,208,212,216,220,224,228,232,236,240,248,255,260,265},{0,10,20,30,40,50,60,62,64,66,68,70,72,74,76,78,80,85,90,95,100})</f>
        <v>76</v>
      </c>
      <c r="H188" s="4">
        <v>4</v>
      </c>
      <c r="I188" s="32">
        <f>LOOKUP(H188,{0,3,4,5,6,7,8,9,10,11,12,13,14,15,16,17},{0,10,20,30,40,50,60,64,68,72,76,80,85,90,95,100})</f>
        <v>20</v>
      </c>
      <c r="J188" s="4"/>
      <c r="K188" s="35"/>
      <c r="L188" s="4">
        <f t="shared" si="17"/>
        <v>20</v>
      </c>
      <c r="M188" s="4">
        <v>7.2</v>
      </c>
      <c r="N188" s="4">
        <f t="shared" si="22"/>
        <v>4.8</v>
      </c>
      <c r="O188" s="32">
        <f>LOOKUP(N188,{0,1.6,1.8,2,2.2,2.4,2.6,2.8,3,3.2,3.4,3.6,3.8,4,4.2,4.4,4.6,4.7,4.8,4.9,5},{0,10,20,30,40,50,60,62,64,66,68,70,72,74,76,78,80,85,90,95,100})</f>
        <v>90</v>
      </c>
      <c r="P188" s="4">
        <v>3.37</v>
      </c>
      <c r="Q188" s="4">
        <f t="shared" si="18"/>
        <v>6.63</v>
      </c>
      <c r="R188" s="32">
        <f>LOOKUP(Q188,{0,3.8,4,4.6,4.8,5,5.6,5.65,5.7,5.75,5.8,5.85,5.9,5.95,6,6.45,6.5,6.58,6.65,6.7,6.75},{0,10,20,30,40,50,60,62,64,66,68,70,72,74,76,78,80,85,90,95,100})</f>
        <v>85</v>
      </c>
      <c r="S188" s="4"/>
      <c r="T188" s="4"/>
      <c r="U188" s="4">
        <f t="shared" si="19"/>
        <v>85</v>
      </c>
      <c r="V188" s="4"/>
      <c r="W188" s="5">
        <f t="shared" si="20"/>
        <v>52.4</v>
      </c>
      <c r="X188" s="20">
        <f t="shared" si="21"/>
        <v>74.8571428571429</v>
      </c>
    </row>
    <row r="189" s="1" customFormat="1" ht="15.6" hidden="1" spans="1:24">
      <c r="A189" s="4">
        <v>207</v>
      </c>
      <c r="B189" s="24" t="s">
        <v>363</v>
      </c>
      <c r="C189" s="25" t="s">
        <v>11</v>
      </c>
      <c r="D189" s="4">
        <v>13</v>
      </c>
      <c r="E189" s="32">
        <f>LOOKUP(D189,{0,-2.9,-1.9,-0.9,0.1,1.1,2.1,3.5,4.9,6.3,7.7,9.1,10.5,11.9,13.3,14.7,16.1,18.3,20.5,22.4,24.3},{0,10,20,30,40,50,60,62,64,66,68,70,72,74,76,78,80,85,90,95,100})</f>
        <v>74</v>
      </c>
      <c r="F189" s="4">
        <v>239</v>
      </c>
      <c r="G189" s="32">
        <f>LOOKUP(F189,{0,175,180,185,190,195,200,204,208,212,216,220,224,228,232,236,240,248,255,260,265},{0,10,20,30,40,50,60,62,64,66,68,70,72,74,76,78,80,85,90,95,100})</f>
        <v>78</v>
      </c>
      <c r="H189" s="4">
        <v>11</v>
      </c>
      <c r="I189" s="32">
        <f>LOOKUP(H189,{0,3,4,5,6,7,8,9,10,11,12,13,14,15,16,17},{0,10,20,30,40,50,60,64,68,72,76,80,85,90,95,100})</f>
        <v>72</v>
      </c>
      <c r="J189" s="4"/>
      <c r="K189" s="35"/>
      <c r="L189" s="4">
        <f t="shared" si="17"/>
        <v>72</v>
      </c>
      <c r="M189" s="4">
        <v>7.5</v>
      </c>
      <c r="N189" s="4">
        <f t="shared" si="22"/>
        <v>4.5</v>
      </c>
      <c r="O189" s="32">
        <f>LOOKUP(N189,{0,1.6,1.8,2,2.2,2.4,2.6,2.8,3,3.2,3.4,3.6,3.8,4,4.2,4.4,4.6,4.7,4.8,4.9,5},{0,10,20,30,40,50,60,62,64,66,68,70,72,74,76,78,80,85,90,95,100})</f>
        <v>78</v>
      </c>
      <c r="P189" s="4">
        <v>3.37</v>
      </c>
      <c r="Q189" s="4">
        <f t="shared" si="18"/>
        <v>6.63</v>
      </c>
      <c r="R189" s="32">
        <f>LOOKUP(Q189,{0,3.8,4,4.6,4.8,5,5.6,5.65,5.7,5.75,5.8,5.85,5.9,5.95,6,6.45,6.5,6.58,6.65,6.7,6.75},{0,10,20,30,40,50,60,62,64,66,68,70,72,74,76,78,80,85,90,95,100})</f>
        <v>85</v>
      </c>
      <c r="S189" s="4"/>
      <c r="T189" s="4"/>
      <c r="U189" s="4">
        <f t="shared" si="19"/>
        <v>85</v>
      </c>
      <c r="V189" s="4"/>
      <c r="W189" s="5">
        <f t="shared" si="20"/>
        <v>55</v>
      </c>
      <c r="X189" s="20">
        <f t="shared" si="21"/>
        <v>78.5714285714286</v>
      </c>
    </row>
    <row r="190" ht="15.6" hidden="1" spans="1:24">
      <c r="A190" s="4">
        <v>209</v>
      </c>
      <c r="B190" s="24" t="s">
        <v>468</v>
      </c>
      <c r="C190" s="25" t="s">
        <v>11</v>
      </c>
      <c r="D190" s="4">
        <v>18.9</v>
      </c>
      <c r="E190" s="32">
        <f>LOOKUP(D190,{0,-2.9,-1.9,-0.9,0.1,1.1,2.1,3.5,4.9,6.3,7.7,9.1,10.5,11.9,13.3,14.7,16.1,18.3,20.5,22.4,24.3},{0,10,20,30,40,50,60,62,64,66,68,70,72,74,76,78,80,85,90,95,100})</f>
        <v>85</v>
      </c>
      <c r="F190" s="4">
        <v>260</v>
      </c>
      <c r="G190" s="32">
        <f>LOOKUP(F190,{0,175,180,185,190,195,200,204,208,212,216,220,224,228,232,236,240,248,255,260,265},{0,10,20,30,40,50,60,62,64,66,68,70,72,74,76,78,80,85,90,95,100})</f>
        <v>95</v>
      </c>
      <c r="H190" s="4">
        <v>18</v>
      </c>
      <c r="I190" s="32">
        <f>LOOKUP(H190,{0,3,4,5,6,7,8,9,10,11,12,13,14,15,16,17},{0,10,20,30,40,50,60,64,68,72,76,80,85,90,95,100})</f>
        <v>100</v>
      </c>
      <c r="J190" s="4">
        <f>H190-17</f>
        <v>1</v>
      </c>
      <c r="K190" s="34">
        <f>LOOKUP(J190,{0,1,2,3,4,5,6,7,8,9,10},{0,1,2,3,4,5,6,7,8,9,10})</f>
        <v>1</v>
      </c>
      <c r="L190" s="4">
        <f t="shared" si="17"/>
        <v>101</v>
      </c>
      <c r="M190" s="4">
        <v>7</v>
      </c>
      <c r="N190" s="4">
        <f t="shared" si="22"/>
        <v>5</v>
      </c>
      <c r="O190" s="32">
        <f>LOOKUP(N190,{0,1.6,1.8,2,2.2,2.4,2.6,2.8,3,3.2,3.4,3.6,3.8,4,4.2,4.4,4.6,4.7,4.8,4.9,5},{0,10,20,30,40,50,60,62,64,66,68,70,72,74,76,78,80,85,90,95,100})</f>
        <v>100</v>
      </c>
      <c r="P190" s="4">
        <v>3.38</v>
      </c>
      <c r="Q190" s="4">
        <f t="shared" si="18"/>
        <v>6.62</v>
      </c>
      <c r="R190" s="32">
        <f>LOOKUP(Q190,{0,3.8,4,4.6,4.8,5,5.6,5.65,5.7,5.75,5.8,5.85,5.9,5.95,6,6.45,6.5,6.58,6.65,6.7,6.75},{0,10,20,30,40,50,60,62,64,66,68,70,72,74,76,78,80,85,90,95,100})</f>
        <v>85</v>
      </c>
      <c r="U190" s="4">
        <f t="shared" si="19"/>
        <v>85</v>
      </c>
      <c r="W190" s="5">
        <f t="shared" si="20"/>
        <v>65</v>
      </c>
      <c r="X190" s="20">
        <f t="shared" si="21"/>
        <v>93.8571428571429</v>
      </c>
    </row>
    <row r="191" ht="15.6" hidden="1" spans="1:24">
      <c r="A191" s="4">
        <v>203</v>
      </c>
      <c r="B191" s="24" t="s">
        <v>121</v>
      </c>
      <c r="C191" s="25" t="s">
        <v>11</v>
      </c>
      <c r="D191" s="4">
        <v>10.5</v>
      </c>
      <c r="E191" s="32">
        <f>LOOKUP(D191,{0,-2.9,-1.9,-0.9,0.1,1.1,2.1,3.5,4.9,6.3,7.7,9.1,10.5,11.9,13.3,14.7,16.1,18.3,20.5,22.4,24.3},{0,10,20,30,40,50,60,62,64,66,68,70,72,74,76,78,80,85,90,95,100})</f>
        <v>72</v>
      </c>
      <c r="F191" s="4">
        <v>233</v>
      </c>
      <c r="G191" s="32">
        <f>LOOKUP(F191,{0,175,180,185,190,195,200,204,208,212,216,220,224,228,232,236,240,248,255,260,265},{0,10,20,30,40,50,60,62,64,66,68,70,72,74,76,78,80,85,90,95,100})</f>
        <v>76</v>
      </c>
      <c r="H191" s="4">
        <v>16</v>
      </c>
      <c r="I191" s="32">
        <f>LOOKUP(H191,{0,3,4,5,6,7,8,9,10,11,12,13,14,15,16,17},{0,10,20,30,40,50,60,64,68,72,76,80,85,90,95,100})</f>
        <v>95</v>
      </c>
      <c r="L191" s="4">
        <f t="shared" si="17"/>
        <v>95</v>
      </c>
      <c r="M191" s="4">
        <v>7</v>
      </c>
      <c r="N191" s="4">
        <f t="shared" si="22"/>
        <v>5</v>
      </c>
      <c r="O191" s="32">
        <f>LOOKUP(N191,{0,1.6,1.8,2,2.2,2.4,2.6,2.8,3,3.2,3.4,3.6,3.8,4,4.2,4.4,4.6,4.7,4.8,4.9,5},{0,10,20,30,40,50,60,62,64,66,68,70,72,74,76,78,80,85,90,95,100})</f>
        <v>100</v>
      </c>
      <c r="P191" s="4">
        <v>3.38</v>
      </c>
      <c r="Q191" s="4">
        <f t="shared" si="18"/>
        <v>6.62</v>
      </c>
      <c r="R191" s="32">
        <f>LOOKUP(Q191,{0,3.8,4,4.6,4.8,5,5.6,5.65,5.7,5.75,5.8,5.85,5.9,5.95,6,6.45,6.5,6.58,6.65,6.7,6.75},{0,10,20,30,40,50,60,62,64,66,68,70,72,74,76,78,80,85,90,95,100})</f>
        <v>85</v>
      </c>
      <c r="U191" s="4">
        <f t="shared" si="19"/>
        <v>85</v>
      </c>
      <c r="W191" s="5">
        <f t="shared" si="20"/>
        <v>61.3</v>
      </c>
      <c r="X191" s="20">
        <f t="shared" si="21"/>
        <v>87.5714285714286</v>
      </c>
    </row>
    <row r="192" ht="15.6" hidden="1" spans="1:24">
      <c r="A192" s="4">
        <v>205</v>
      </c>
      <c r="B192" s="24" t="s">
        <v>231</v>
      </c>
      <c r="C192" s="25" t="s">
        <v>11</v>
      </c>
      <c r="D192" s="4">
        <v>3</v>
      </c>
      <c r="E192" s="32">
        <f>LOOKUP(D192,{0,-2.9,-1.9,-0.9,0.1,1.1,2.1,3.5,4.9,6.3,7.7,9.1,10.5,11.9,13.3,14.7,16.1,18.3,20.5,22.4,24.3},{0,10,20,30,40,50,60,62,64,66,68,70,72,74,76,78,80,85,90,95,100})</f>
        <v>60</v>
      </c>
      <c r="F192" s="4">
        <v>250</v>
      </c>
      <c r="G192" s="32">
        <f>LOOKUP(F192,{0,175,180,185,190,195,200,204,208,212,216,220,224,228,232,236,240,248,255,260,265},{0,10,20,30,40,50,60,62,64,66,68,70,72,74,76,78,80,85,90,95,100})</f>
        <v>85</v>
      </c>
      <c r="H192" s="4">
        <v>13</v>
      </c>
      <c r="I192" s="32">
        <f>LOOKUP(H192,{0,3,4,5,6,7,8,9,10,11,12,13,14,15,16,17},{0,10,20,30,40,50,60,64,68,72,76,80,85,90,95,100})</f>
        <v>80</v>
      </c>
      <c r="L192" s="4">
        <f t="shared" si="17"/>
        <v>80</v>
      </c>
      <c r="M192" s="4">
        <v>7.1</v>
      </c>
      <c r="N192" s="4">
        <f t="shared" si="22"/>
        <v>4.9</v>
      </c>
      <c r="O192" s="32">
        <f>LOOKUP(N192,{0,1.6,1.8,2,2.2,2.4,2.6,2.8,3,3.2,3.4,3.6,3.8,4,4.2,4.4,4.6,4.7,4.8,4.9,5},{0,10,20,30,40,50,60,62,64,66,68,70,72,74,76,78,80,85,90,95,100})</f>
        <v>95</v>
      </c>
      <c r="P192" s="4">
        <v>3.38</v>
      </c>
      <c r="Q192" s="4">
        <f t="shared" si="18"/>
        <v>6.62</v>
      </c>
      <c r="R192" s="32">
        <f>LOOKUP(Q192,{0,3.8,4,4.6,4.8,5,5.6,5.65,5.7,5.75,5.8,5.85,5.9,5.95,6,6.45,6.5,6.58,6.65,6.7,6.75},{0,10,20,30,40,50,60,62,64,66,68,70,72,74,76,78,80,85,90,95,100})</f>
        <v>85</v>
      </c>
      <c r="U192" s="4">
        <f t="shared" si="19"/>
        <v>85</v>
      </c>
      <c r="W192" s="5">
        <f t="shared" si="20"/>
        <v>58.5</v>
      </c>
      <c r="X192" s="20">
        <f t="shared" si="21"/>
        <v>83.5714285714286</v>
      </c>
    </row>
    <row r="193" ht="15.6" hidden="1" spans="1:24">
      <c r="A193" s="4">
        <v>215</v>
      </c>
      <c r="B193" s="24" t="s">
        <v>794</v>
      </c>
      <c r="C193" s="25" t="s">
        <v>11</v>
      </c>
      <c r="D193" s="4">
        <v>7</v>
      </c>
      <c r="E193" s="32">
        <f>LOOKUP(D193,{0,-2.9,-1.9,-0.9,0.1,1.1,2.1,3.5,4.9,6.3,7.7,9.1,10.5,11.9,13.3,14.7,16.1,18.3,20.5,22.4,24.3},{0,10,20,30,40,50,60,62,64,66,68,70,72,74,76,78,80,85,90,95,100})</f>
        <v>66</v>
      </c>
      <c r="F193" s="4">
        <v>197</v>
      </c>
      <c r="G193" s="32">
        <f>LOOKUP(F193,{0,175,180,185,190,195,200,204,208,212,216,220,224,228,232,236,240,248,255,260,265},{0,10,20,30,40,50,60,62,64,66,68,70,72,74,76,78,80,85,90,95,100})</f>
        <v>50</v>
      </c>
      <c r="H193" s="4">
        <v>6</v>
      </c>
      <c r="I193" s="32">
        <f>LOOKUP(H193,{0,3,4,5,6,7,8,9,10,11,12,13,14,15,16,17},{0,10,20,30,40,50,60,64,68,72,76,80,85,90,95,100})</f>
        <v>40</v>
      </c>
      <c r="L193" s="4">
        <f t="shared" si="17"/>
        <v>40</v>
      </c>
      <c r="M193" s="4">
        <v>7.3</v>
      </c>
      <c r="N193" s="4">
        <f t="shared" si="22"/>
        <v>4.7</v>
      </c>
      <c r="O193" s="32">
        <f>LOOKUP(N193,{0,1.6,1.8,2,2.2,2.4,2.6,2.8,3,3.2,3.4,3.6,3.8,4,4.2,4.4,4.6,4.7,4.8,4.9,5},{0,10,20,30,40,50,60,62,64,66,68,70,72,74,76,78,80,85,90,95,100})</f>
        <v>85</v>
      </c>
      <c r="P193" s="4">
        <v>3.38</v>
      </c>
      <c r="Q193" s="4">
        <f t="shared" si="18"/>
        <v>6.62</v>
      </c>
      <c r="R193" s="32">
        <f>LOOKUP(Q193,{0,3.8,4,4.6,4.8,5,5.6,5.65,5.7,5.75,5.8,5.85,5.9,5.95,6,6.45,6.5,6.58,6.65,6.7,6.75},{0,10,20,30,40,50,60,62,64,66,68,70,72,74,76,78,80,85,90,95,100})</f>
        <v>85</v>
      </c>
      <c r="U193" s="4">
        <f t="shared" si="19"/>
        <v>85</v>
      </c>
      <c r="W193" s="5">
        <f t="shared" si="20"/>
        <v>49.6</v>
      </c>
      <c r="X193" s="20">
        <f t="shared" si="21"/>
        <v>70.8571428571429</v>
      </c>
    </row>
    <row r="194" ht="15.6" hidden="1" spans="1:24">
      <c r="A194" s="4">
        <v>203</v>
      </c>
      <c r="B194" s="24" t="s">
        <v>126</v>
      </c>
      <c r="C194" s="25" t="s">
        <v>11</v>
      </c>
      <c r="D194" s="4">
        <v>10.5</v>
      </c>
      <c r="E194" s="32">
        <f>LOOKUP(D194,{0,-2.9,-1.9,-0.9,0.1,1.1,2.1,3.5,4.9,6.3,7.7,9.1,10.5,11.9,13.3,14.7,16.1,18.3,20.5,22.4,24.3},{0,10,20,30,40,50,60,62,64,66,68,70,72,74,76,78,80,85,90,95,100})</f>
        <v>72</v>
      </c>
      <c r="F194" s="4">
        <v>270</v>
      </c>
      <c r="G194" s="32">
        <f>LOOKUP(F194,{0,175,180,185,190,195,200,204,208,212,216,220,224,228,232,236,240,248,255,260,265},{0,10,20,30,40,50,60,62,64,66,68,70,72,74,76,78,80,85,90,95,100})</f>
        <v>100</v>
      </c>
      <c r="H194" s="4">
        <v>11</v>
      </c>
      <c r="I194" s="32">
        <f>LOOKUP(H194,{0,3,4,5,6,7,8,9,10,11,12,13,14,15,16,17},{0,10,20,30,40,50,60,64,68,72,76,80,85,90,95,100})</f>
        <v>72</v>
      </c>
      <c r="K194" s="35"/>
      <c r="L194" s="4">
        <f t="shared" ref="L194:L257" si="23">I194+K194</f>
        <v>72</v>
      </c>
      <c r="M194" s="4">
        <v>6.6</v>
      </c>
      <c r="N194" s="4">
        <f t="shared" si="22"/>
        <v>5.4</v>
      </c>
      <c r="O194" s="32">
        <f>LOOKUP(N194,{0,1.6,1.8,2,2.2,2.4,2.6,2.8,3,3.2,3.4,3.6,3.8,4,4.2,4.4,4.6,4.7,4.8,4.9,5},{0,10,20,30,40,50,60,62,64,66,68,70,72,74,76,78,80,85,90,95,100})</f>
        <v>100</v>
      </c>
      <c r="P194" s="4">
        <v>3.39</v>
      </c>
      <c r="Q194" s="4">
        <f t="shared" ref="Q194:Q257" si="24">10-P194</f>
        <v>6.61</v>
      </c>
      <c r="R194" s="32">
        <f>LOOKUP(Q194,{0,3.8,4,4.6,4.8,5,5.6,5.65,5.7,5.75,5.8,5.85,5.9,5.95,6,6.45,6.5,6.58,6.65,6.7,6.75},{0,10,20,30,40,50,60,62,64,66,68,70,72,74,76,78,80,85,90,95,100})</f>
        <v>85</v>
      </c>
      <c r="U194" s="4">
        <f t="shared" ref="U194:U257" si="25">R194+T194</f>
        <v>85</v>
      </c>
      <c r="W194" s="5">
        <f t="shared" ref="W194:W257" si="26">E194*0.1+G194*0.1+I194*0.1+O194*0.2+R194*0.2</f>
        <v>61.4</v>
      </c>
      <c r="X194" s="20">
        <f t="shared" ref="X194:X203" si="27">W194/0.7+K194+T194</f>
        <v>87.7142857142857</v>
      </c>
    </row>
    <row r="195" ht="15.6" hidden="1" spans="1:24">
      <c r="A195" s="4">
        <v>207</v>
      </c>
      <c r="B195" s="24" t="s">
        <v>343</v>
      </c>
      <c r="C195" s="25" t="s">
        <v>11</v>
      </c>
      <c r="D195" s="4">
        <v>10.8</v>
      </c>
      <c r="E195" s="32">
        <f>LOOKUP(D195,{0,-2.9,-1.9,-0.9,0.1,1.1,2.1,3.5,4.9,6.3,7.7,9.1,10.5,11.9,13.3,14.7,16.1,18.3,20.5,22.4,24.3},{0,10,20,30,40,50,60,62,64,66,68,70,72,74,76,78,80,85,90,95,100})</f>
        <v>72</v>
      </c>
      <c r="F195" s="4">
        <v>259</v>
      </c>
      <c r="G195" s="32">
        <f>LOOKUP(F195,{0,175,180,185,190,195,200,204,208,212,216,220,224,228,232,236,240,248,255,260,265},{0,10,20,30,40,50,60,62,64,66,68,70,72,74,76,78,80,85,90,95,100})</f>
        <v>90</v>
      </c>
      <c r="H195" s="4">
        <v>20</v>
      </c>
      <c r="I195" s="32">
        <f>LOOKUP(H195,{0,3,4,5,6,7,8,9,10,11,12,13,14,15,16,17},{0,10,20,30,40,50,60,64,68,72,76,80,85,90,95,100})</f>
        <v>100</v>
      </c>
      <c r="J195" s="4">
        <f>H195-17</f>
        <v>3</v>
      </c>
      <c r="K195" s="32">
        <f>LOOKUP(J195,{0,1,2,3,4,5,6,7,8,9,10},{0,1,2,3,4,5,6,7,8,9,10})</f>
        <v>3</v>
      </c>
      <c r="L195" s="4">
        <f t="shared" si="23"/>
        <v>103</v>
      </c>
      <c r="M195" s="4">
        <v>6.7</v>
      </c>
      <c r="N195" s="4">
        <f t="shared" si="22"/>
        <v>5.3</v>
      </c>
      <c r="O195" s="32">
        <f>LOOKUP(N195,{0,1.6,1.8,2,2.2,2.4,2.6,2.8,3,3.2,3.4,3.6,3.8,4,4.2,4.4,4.6,4.7,4.8,4.9,5},{0,10,20,30,40,50,60,62,64,66,68,70,72,74,76,78,80,85,90,95,100})</f>
        <v>100</v>
      </c>
      <c r="P195" s="4">
        <v>3.39</v>
      </c>
      <c r="Q195" s="4">
        <f t="shared" si="24"/>
        <v>6.61</v>
      </c>
      <c r="R195" s="32">
        <f>LOOKUP(Q195,{0,3.8,4,4.6,4.8,5,5.6,5.65,5.7,5.75,5.8,5.85,5.9,5.95,6,6.45,6.5,6.58,6.65,6.7,6.75},{0,10,20,30,40,50,60,62,64,66,68,70,72,74,76,78,80,85,90,95,100})</f>
        <v>85</v>
      </c>
      <c r="U195" s="4">
        <f t="shared" si="25"/>
        <v>85</v>
      </c>
      <c r="W195" s="5">
        <f t="shared" si="26"/>
        <v>63.2</v>
      </c>
      <c r="X195" s="20">
        <f t="shared" si="27"/>
        <v>93.2857142857143</v>
      </c>
    </row>
    <row r="196" ht="15.6" hidden="1" spans="1:24">
      <c r="A196" s="4">
        <v>207</v>
      </c>
      <c r="B196" s="24" t="s">
        <v>328</v>
      </c>
      <c r="C196" s="25" t="s">
        <v>11</v>
      </c>
      <c r="D196" s="4">
        <v>6</v>
      </c>
      <c r="E196" s="32">
        <f>LOOKUP(D196,{0,-2.9,-1.9,-0.9,0.1,1.1,2.1,3.5,4.9,6.3,7.7,9.1,10.5,11.9,13.3,14.7,16.1,18.3,20.5,22.4,24.3},{0,10,20,30,40,50,60,62,64,66,68,70,72,74,76,78,80,85,90,95,100})</f>
        <v>64</v>
      </c>
      <c r="F196" s="4">
        <v>230</v>
      </c>
      <c r="G196" s="32">
        <f>LOOKUP(F196,{0,175,180,185,190,195,200,204,208,212,216,220,224,228,232,236,240,248,255,260,265},{0,10,20,30,40,50,60,62,64,66,68,70,72,74,76,78,80,85,90,95,100})</f>
        <v>74</v>
      </c>
      <c r="H196" s="4">
        <v>20</v>
      </c>
      <c r="I196" s="32">
        <f>LOOKUP(H196,{0,3,4,5,6,7,8,9,10,11,12,13,14,15,16,17},{0,10,20,30,40,50,60,64,68,72,76,80,85,90,95,100})</f>
        <v>100</v>
      </c>
      <c r="J196" s="4">
        <f>H196-17</f>
        <v>3</v>
      </c>
      <c r="K196" s="32">
        <f>LOOKUP(J196,{0,1,2,3,4,5,6,7,8,9,10},{0,1,2,3,4,5,6,7,8,9,10})</f>
        <v>3</v>
      </c>
      <c r="L196" s="4">
        <f t="shared" si="23"/>
        <v>103</v>
      </c>
      <c r="M196" s="4">
        <v>6.8</v>
      </c>
      <c r="N196" s="4">
        <f t="shared" si="22"/>
        <v>5.2</v>
      </c>
      <c r="O196" s="32">
        <f>LOOKUP(N196,{0,1.6,1.8,2,2.2,2.4,2.6,2.8,3,3.2,3.4,3.6,3.8,4,4.2,4.4,4.6,4.7,4.8,4.9,5},{0,10,20,30,40,50,60,62,64,66,68,70,72,74,76,78,80,85,90,95,100})</f>
        <v>100</v>
      </c>
      <c r="P196" s="4">
        <v>3.39</v>
      </c>
      <c r="Q196" s="4">
        <f t="shared" si="24"/>
        <v>6.61</v>
      </c>
      <c r="R196" s="32">
        <f>LOOKUP(Q196,{0,3.8,4,4.6,4.8,5,5.6,5.65,5.7,5.75,5.8,5.85,5.9,5.95,6,6.45,6.5,6.58,6.65,6.7,6.75},{0,10,20,30,40,50,60,62,64,66,68,70,72,74,76,78,80,85,90,95,100})</f>
        <v>85</v>
      </c>
      <c r="U196" s="4">
        <f t="shared" si="25"/>
        <v>85</v>
      </c>
      <c r="W196" s="5">
        <f t="shared" si="26"/>
        <v>60.8</v>
      </c>
      <c r="X196" s="20">
        <f t="shared" si="27"/>
        <v>89.8571428571429</v>
      </c>
    </row>
    <row r="197" ht="15.6" hidden="1" spans="1:24">
      <c r="A197" s="4">
        <v>201</v>
      </c>
      <c r="B197" s="33" t="s">
        <v>39</v>
      </c>
      <c r="C197" s="25" t="s">
        <v>11</v>
      </c>
      <c r="D197" s="4">
        <v>15.1</v>
      </c>
      <c r="E197" s="32">
        <f>LOOKUP(D197,{0,-2.9,-1.9,-0.9,0.1,1.1,2.1,3.5,4.9,6.3,7.7,9.1,10.5,11.9,13.3,14.7,16.1,18.3,20.5,22.4,24.3},{0,10,20,30,40,50,60,62,64,66,68,70,72,74,76,78,80,85,90,95,100})</f>
        <v>78</v>
      </c>
      <c r="F197" s="4">
        <v>248</v>
      </c>
      <c r="G197" s="32">
        <f>LOOKUP(F197,{0,175,180,185,190,195,200,204,208,212,216,220,224,228,232,236,240,248,255,260,265},{0,10,20,30,40,50,60,62,64,66,68,70,72,74,76,78,80,85,90,95,100})</f>
        <v>85</v>
      </c>
      <c r="H197" s="4">
        <v>17</v>
      </c>
      <c r="I197" s="32">
        <f>LOOKUP(H197,{0,3,4,5,6,7,8,9,10,11,12,13,14,15,16,17},{0,10,20,30,40,50,60,64,68,72,76,80,85,90,95,100})</f>
        <v>100</v>
      </c>
      <c r="J197" s="4">
        <f>H197-17</f>
        <v>0</v>
      </c>
      <c r="K197" s="32">
        <f>LOOKUP(J197,{0,1,2,3,4,5,6,7,8,9,10},{0,1,2,3,4,5,6,7,8,9,10})</f>
        <v>0</v>
      </c>
      <c r="L197" s="4">
        <f t="shared" si="23"/>
        <v>100</v>
      </c>
      <c r="M197" s="4">
        <v>6.9</v>
      </c>
      <c r="N197" s="4">
        <f t="shared" si="22"/>
        <v>5.1</v>
      </c>
      <c r="O197" s="32">
        <f>LOOKUP(N197,{0,1.6,1.8,2,2.2,2.4,2.6,2.8,3,3.2,3.4,3.6,3.8,4,4.2,4.4,4.6,4.7,4.8,4.9,5},{0,10,20,30,40,50,60,62,64,66,68,70,72,74,76,78,80,85,90,95,100})</f>
        <v>100</v>
      </c>
      <c r="P197" s="4">
        <v>3.39</v>
      </c>
      <c r="Q197" s="4">
        <f t="shared" si="24"/>
        <v>6.61</v>
      </c>
      <c r="R197" s="32">
        <f>LOOKUP(Q197,{0,3.8,4,4.6,4.8,5,5.6,5.65,5.7,5.75,5.8,5.85,5.9,5.95,6,6.45,6.5,6.58,6.65,6.7,6.75},{0,10,20,30,40,50,60,62,64,66,68,70,72,74,76,78,80,85,90,95,100})</f>
        <v>85</v>
      </c>
      <c r="U197" s="4">
        <f t="shared" si="25"/>
        <v>85</v>
      </c>
      <c r="W197" s="5">
        <f t="shared" si="26"/>
        <v>63.3</v>
      </c>
      <c r="X197" s="20">
        <f t="shared" si="27"/>
        <v>90.4285714285714</v>
      </c>
    </row>
    <row r="198" ht="15.6" hidden="1" spans="1:24">
      <c r="A198" s="4">
        <v>207</v>
      </c>
      <c r="B198" s="24" t="s">
        <v>350</v>
      </c>
      <c r="C198" s="25" t="s">
        <v>11</v>
      </c>
      <c r="D198" s="4">
        <v>14.8</v>
      </c>
      <c r="E198" s="32">
        <f>LOOKUP(D198,{0,-2.9,-1.9,-0.9,0.1,1.1,2.1,3.5,4.9,6.3,7.7,9.1,10.5,11.9,13.3,14.7,16.1,18.3,20.5,22.4,24.3},{0,10,20,30,40,50,60,62,64,66,68,70,72,74,76,78,80,85,90,95,100})</f>
        <v>78</v>
      </c>
      <c r="F198" s="4">
        <v>245</v>
      </c>
      <c r="G198" s="32">
        <f>LOOKUP(F198,{0,175,180,185,190,195,200,204,208,212,216,220,224,228,232,236,240,248,255,260,265},{0,10,20,30,40,50,60,62,64,66,68,70,72,74,76,78,80,85,90,95,100})</f>
        <v>80</v>
      </c>
      <c r="H198" s="4">
        <v>14</v>
      </c>
      <c r="I198" s="32">
        <f>LOOKUP(H198,{0,3,4,5,6,7,8,9,10,11,12,13,14,15,16,17},{0,10,20,30,40,50,60,64,68,72,76,80,85,90,95,100})</f>
        <v>85</v>
      </c>
      <c r="L198" s="4">
        <f t="shared" si="23"/>
        <v>85</v>
      </c>
      <c r="M198" s="4">
        <v>7</v>
      </c>
      <c r="N198" s="4">
        <f t="shared" si="22"/>
        <v>5</v>
      </c>
      <c r="O198" s="32">
        <f>LOOKUP(N198,{0,1.6,1.8,2,2.2,2.4,2.6,2.8,3,3.2,3.4,3.6,3.8,4,4.2,4.4,4.6,4.7,4.8,4.9,5},{0,10,20,30,40,50,60,62,64,66,68,70,72,74,76,78,80,85,90,95,100})</f>
        <v>100</v>
      </c>
      <c r="P198" s="4">
        <v>3.39</v>
      </c>
      <c r="Q198" s="4">
        <f t="shared" si="24"/>
        <v>6.61</v>
      </c>
      <c r="R198" s="32">
        <f>LOOKUP(Q198,{0,3.8,4,4.6,4.8,5,5.6,5.65,5.7,5.75,5.8,5.85,5.9,5.95,6,6.45,6.5,6.58,6.65,6.7,6.75},{0,10,20,30,40,50,60,62,64,66,68,70,72,74,76,78,80,85,90,95,100})</f>
        <v>85</v>
      </c>
      <c r="U198" s="4">
        <f t="shared" si="25"/>
        <v>85</v>
      </c>
      <c r="W198" s="5">
        <f t="shared" si="26"/>
        <v>61.3</v>
      </c>
      <c r="X198" s="20">
        <f t="shared" si="27"/>
        <v>87.5714285714286</v>
      </c>
    </row>
    <row r="199" ht="15.6" hidden="1" spans="1:24">
      <c r="A199" s="4">
        <v>206</v>
      </c>
      <c r="B199" s="24" t="s">
        <v>278</v>
      </c>
      <c r="C199" s="25" t="s">
        <v>11</v>
      </c>
      <c r="D199" s="4">
        <v>13</v>
      </c>
      <c r="E199" s="32">
        <f>LOOKUP(D199,{0,-2.9,-1.9,-0.9,0.1,1.1,2.1,3.5,4.9,6.3,7.7,9.1,10.5,11.9,13.3,14.7,16.1,18.3,20.5,22.4,24.3},{0,10,20,30,40,50,60,62,64,66,68,70,72,74,76,78,80,85,90,95,100})</f>
        <v>74</v>
      </c>
      <c r="F199" s="4">
        <v>230</v>
      </c>
      <c r="G199" s="32">
        <f>LOOKUP(F199,{0,175,180,185,190,195,200,204,208,212,216,220,224,228,232,236,240,248,255,260,265},{0,10,20,30,40,50,60,62,64,66,68,70,72,74,76,78,80,85,90,95,100})</f>
        <v>74</v>
      </c>
      <c r="H199" s="4">
        <v>3</v>
      </c>
      <c r="I199" s="32">
        <f>LOOKUP(H199,{0,3,4,5,6,7,8,9,10,11,12,13,14,15,16,17},{0,10,20,30,40,50,60,64,68,72,76,80,85,90,95,100})</f>
        <v>10</v>
      </c>
      <c r="K199" s="35"/>
      <c r="L199" s="4">
        <f t="shared" si="23"/>
        <v>10</v>
      </c>
      <c r="M199" s="4">
        <v>7.1</v>
      </c>
      <c r="N199" s="4">
        <f t="shared" si="22"/>
        <v>4.9</v>
      </c>
      <c r="O199" s="32">
        <f>LOOKUP(N199,{0,1.6,1.8,2,2.2,2.4,2.6,2.8,3,3.2,3.4,3.6,3.8,4,4.2,4.4,4.6,4.7,4.8,4.9,5},{0,10,20,30,40,50,60,62,64,66,68,70,72,74,76,78,80,85,90,95,100})</f>
        <v>95</v>
      </c>
      <c r="P199" s="4">
        <v>3.39</v>
      </c>
      <c r="Q199" s="4">
        <f t="shared" si="24"/>
        <v>6.61</v>
      </c>
      <c r="R199" s="32">
        <f>LOOKUP(Q199,{0,3.8,4,4.6,4.8,5,5.6,5.65,5.7,5.75,5.8,5.85,5.9,5.95,6,6.45,6.5,6.58,6.65,6.7,6.75},{0,10,20,30,40,50,60,62,64,66,68,70,72,74,76,78,80,85,90,95,100})</f>
        <v>85</v>
      </c>
      <c r="U199" s="4">
        <f t="shared" si="25"/>
        <v>85</v>
      </c>
      <c r="W199" s="5">
        <f t="shared" si="26"/>
        <v>51.8</v>
      </c>
      <c r="X199" s="20">
        <f t="shared" si="27"/>
        <v>74</v>
      </c>
    </row>
    <row r="200" ht="15.6" spans="1:24">
      <c r="A200" s="4">
        <v>211</v>
      </c>
      <c r="B200" s="24" t="s">
        <v>551</v>
      </c>
      <c r="C200" s="25" t="s">
        <v>11</v>
      </c>
      <c r="D200" s="4">
        <v>6.5</v>
      </c>
      <c r="E200" s="32">
        <f>LOOKUP(D200,{0,-2.9,-1.9,-0.9,0.1,1.1,2.1,3.5,4.9,6.3,7.7,9.1,10.5,11.9,13.3,14.7,16.1,18.3,20.5,22.4,24.3},{0,10,20,30,40,50,60,62,64,66,68,70,72,74,76,78,80,85,90,95,100})</f>
        <v>66</v>
      </c>
      <c r="F200" s="4">
        <v>250</v>
      </c>
      <c r="G200" s="32">
        <f>LOOKUP(F200,{0,175,180,185,190,195,200,204,208,212,216,220,224,228,232,236,240,248,255,260,265},{0,10,20,30,40,50,60,62,64,66,68,70,72,74,76,78,80,85,90,95,100})</f>
        <v>85</v>
      </c>
      <c r="H200" s="4">
        <v>0</v>
      </c>
      <c r="I200" s="32">
        <f>LOOKUP(H200,{0,3,4,5,6,7,8,9,10,11,12,13,14,15,16,17},{0,10,20,30,40,50,60,64,68,72,76,80,85,90,95,100})</f>
        <v>0</v>
      </c>
      <c r="L200" s="4">
        <f t="shared" si="23"/>
        <v>0</v>
      </c>
      <c r="M200" s="4">
        <v>7.3</v>
      </c>
      <c r="N200" s="4">
        <f t="shared" si="22"/>
        <v>4.7</v>
      </c>
      <c r="O200" s="32">
        <f>LOOKUP(N200,{0,1.6,1.8,2,2.2,2.4,2.6,2.8,3,3.2,3.4,3.6,3.8,4,4.2,4.4,4.6,4.7,4.8,4.9,5},{0,10,20,30,40,50,60,62,64,66,68,70,72,74,76,78,80,85,90,95,100})</f>
        <v>85</v>
      </c>
      <c r="P200" s="4">
        <v>3.39</v>
      </c>
      <c r="Q200" s="4">
        <f t="shared" si="24"/>
        <v>6.61</v>
      </c>
      <c r="R200" s="32">
        <f>LOOKUP(Q200,{0,3.8,4,4.6,4.8,5,5.6,5.65,5.7,5.75,5.8,5.85,5.9,5.95,6,6.45,6.5,6.58,6.65,6.7,6.75},{0,10,20,30,40,50,60,62,64,66,68,70,72,74,76,78,80,85,90,95,100})</f>
        <v>85</v>
      </c>
      <c r="U200" s="4">
        <f t="shared" si="25"/>
        <v>85</v>
      </c>
      <c r="W200" s="5">
        <f t="shared" si="26"/>
        <v>49.1</v>
      </c>
      <c r="X200" s="20">
        <f t="shared" si="27"/>
        <v>70.1428571428572</v>
      </c>
    </row>
    <row r="201" ht="15.6" hidden="1" spans="1:24">
      <c r="A201" s="4">
        <v>204</v>
      </c>
      <c r="B201" s="24" t="s">
        <v>164</v>
      </c>
      <c r="C201" s="25" t="s">
        <v>11</v>
      </c>
      <c r="D201" s="4">
        <v>26</v>
      </c>
      <c r="E201" s="32">
        <f>LOOKUP(D201,{0,-2.9,-1.9,-0.9,0.1,1.1,2.1,3.5,4.9,6.3,7.7,9.1,10.5,11.9,13.3,14.7,16.1,18.3,20.5,22.4,24.3},{0,10,20,30,40,50,60,62,64,66,68,70,72,74,76,78,80,85,90,95,100})</f>
        <v>100</v>
      </c>
      <c r="F201" s="4">
        <v>251</v>
      </c>
      <c r="G201" s="32">
        <f>LOOKUP(F201,{0,175,180,185,190,195,200,204,208,212,216,220,224,228,232,236,240,248,255,260,265},{0,10,20,30,40,50,60,62,64,66,68,70,72,74,76,78,80,85,90,95,100})</f>
        <v>85</v>
      </c>
      <c r="H201" s="4">
        <v>19</v>
      </c>
      <c r="I201" s="32">
        <f>LOOKUP(H201,{0,3,4,5,6,7,8,9,10,11,12,13,14,15,16,17},{0,10,20,30,40,50,60,64,68,72,76,80,85,90,95,100})</f>
        <v>100</v>
      </c>
      <c r="J201" s="4">
        <f>H201-17</f>
        <v>2</v>
      </c>
      <c r="K201" s="32">
        <f>LOOKUP(J201,{0,1,2,3,4,5,6,7,8,9,10},{0,1,2,3,4,5,6,7,8,9,10})</f>
        <v>2</v>
      </c>
      <c r="L201" s="4">
        <f t="shared" si="23"/>
        <v>102</v>
      </c>
      <c r="M201" s="4">
        <v>7.4</v>
      </c>
      <c r="N201" s="4">
        <f t="shared" si="22"/>
        <v>4.6</v>
      </c>
      <c r="O201" s="32">
        <f>LOOKUP(N201,{0,1.6,1.8,2,2.2,2.4,2.6,2.8,3,3.2,3.4,3.6,3.8,4,4.2,4.4,4.6,4.7,4.8,4.9,5},{0,10,20,30,40,50,60,62,64,66,68,70,72,74,76,78,80,85,90,95,100})</f>
        <v>80</v>
      </c>
      <c r="P201" s="4">
        <v>3.39</v>
      </c>
      <c r="Q201" s="4">
        <f t="shared" si="24"/>
        <v>6.61</v>
      </c>
      <c r="R201" s="32">
        <f>LOOKUP(Q201,{0,3.8,4,4.6,4.8,5,5.6,5.65,5.7,5.75,5.8,5.85,5.9,5.95,6,6.45,6.5,6.58,6.65,6.7,6.75},{0,10,20,30,40,50,60,62,64,66,68,70,72,74,76,78,80,85,90,95,100})</f>
        <v>85</v>
      </c>
      <c r="U201" s="4">
        <f t="shared" si="25"/>
        <v>85</v>
      </c>
      <c r="W201" s="5">
        <f t="shared" si="26"/>
        <v>61.5</v>
      </c>
      <c r="X201" s="20">
        <f t="shared" si="27"/>
        <v>89.8571428571429</v>
      </c>
    </row>
    <row r="202" s="1" customFormat="1" ht="15.6" hidden="1" spans="1:24">
      <c r="A202" s="4">
        <v>208</v>
      </c>
      <c r="B202" s="24" t="s">
        <v>407</v>
      </c>
      <c r="C202" s="25" t="s">
        <v>11</v>
      </c>
      <c r="D202" s="4">
        <v>27</v>
      </c>
      <c r="E202" s="32">
        <f>LOOKUP(D202,{0,-2.9,-1.9,-0.9,0.1,1.1,2.1,3.5,4.9,6.3,7.7,9.1,10.5,11.9,13.3,14.7,16.1,18.3,20.5,22.4,24.3},{0,10,20,30,40,50,60,62,64,66,68,70,72,74,76,78,80,85,90,95,100})</f>
        <v>100</v>
      </c>
      <c r="F202" s="4">
        <v>220</v>
      </c>
      <c r="G202" s="32">
        <f>LOOKUP(F202,{0,175,180,185,190,195,200,204,208,212,216,220,224,228,232,236,240,248,255,260,265},{0,10,20,30,40,50,60,62,64,66,68,70,72,74,76,78,80,85,90,95,100})</f>
        <v>70</v>
      </c>
      <c r="H202" s="4">
        <v>7</v>
      </c>
      <c r="I202" s="32">
        <f>LOOKUP(H202,{0,3,4,5,6,7,8,9,10,11,12,13,14,15,16,17},{0,10,20,30,40,50,60,64,68,72,76,80,85,90,95,100})</f>
        <v>50</v>
      </c>
      <c r="J202" s="4"/>
      <c r="K202" s="35"/>
      <c r="L202" s="4">
        <f t="shared" si="23"/>
        <v>50</v>
      </c>
      <c r="M202" s="4">
        <v>7.4</v>
      </c>
      <c r="N202" s="4">
        <f t="shared" si="22"/>
        <v>4.6</v>
      </c>
      <c r="O202" s="32">
        <f>LOOKUP(N202,{0,1.6,1.8,2,2.2,2.4,2.6,2.8,3,3.2,3.4,3.6,3.8,4,4.2,4.4,4.6,4.7,4.8,4.9,5},{0,10,20,30,40,50,60,62,64,66,68,70,72,74,76,78,80,85,90,95,100})</f>
        <v>80</v>
      </c>
      <c r="P202" s="4">
        <v>3.39</v>
      </c>
      <c r="Q202" s="4">
        <f t="shared" si="24"/>
        <v>6.61</v>
      </c>
      <c r="R202" s="32">
        <f>LOOKUP(Q202,{0,3.8,4,4.6,4.8,5,5.6,5.65,5.7,5.75,5.8,5.85,5.9,5.95,6,6.45,6.5,6.58,6.65,6.7,6.75},{0,10,20,30,40,50,60,62,64,66,68,70,72,74,76,78,80,85,90,95,100})</f>
        <v>85</v>
      </c>
      <c r="S202" s="4"/>
      <c r="T202" s="4"/>
      <c r="U202" s="4">
        <f t="shared" si="25"/>
        <v>85</v>
      </c>
      <c r="V202" s="4"/>
      <c r="W202" s="5">
        <f t="shared" si="26"/>
        <v>55</v>
      </c>
      <c r="X202" s="20">
        <f t="shared" si="27"/>
        <v>78.5714285714286</v>
      </c>
    </row>
    <row r="203" ht="15.6" hidden="1" spans="1:24">
      <c r="A203" s="4">
        <v>210</v>
      </c>
      <c r="B203" s="24" t="s">
        <v>510</v>
      </c>
      <c r="C203" s="25" t="s">
        <v>11</v>
      </c>
      <c r="D203" s="4">
        <v>13.2</v>
      </c>
      <c r="E203" s="32">
        <f>LOOKUP(D203,{0,-2.9,-1.9,-0.9,0.1,1.1,2.1,3.5,4.9,6.3,7.7,9.1,10.5,11.9,13.3,14.7,16.1,18.3,20.5,22.4,24.3},{0,10,20,30,40,50,60,62,64,66,68,70,72,74,76,78,80,85,90,95,100})</f>
        <v>74</v>
      </c>
      <c r="F203" s="4">
        <v>273</v>
      </c>
      <c r="G203" s="32">
        <f>LOOKUP(F203,{0,175,180,185,190,195,200,204,208,212,216,220,224,228,232,236,240,248,255,260,265},{0,10,20,30,40,50,60,62,64,66,68,70,72,74,76,78,80,85,90,95,100})</f>
        <v>100</v>
      </c>
      <c r="H203" s="4">
        <v>2</v>
      </c>
      <c r="I203" s="32">
        <f>LOOKUP(H203,{0,3,4,5,6,7,8,9,10,11,12,13,14,15,16,17},{0,10,20,30,40,50,60,64,68,72,76,80,85,90,95,100})</f>
        <v>0</v>
      </c>
      <c r="K203" s="35"/>
      <c r="L203" s="4">
        <f t="shared" si="23"/>
        <v>0</v>
      </c>
      <c r="M203" s="4">
        <v>7.4</v>
      </c>
      <c r="N203" s="4">
        <f t="shared" si="22"/>
        <v>4.6</v>
      </c>
      <c r="O203" s="32">
        <f>LOOKUP(N203,{0,1.6,1.8,2,2.2,2.4,2.6,2.8,3,3.2,3.4,3.6,3.8,4,4.2,4.4,4.6,4.7,4.8,4.9,5},{0,10,20,30,40,50,60,62,64,66,68,70,72,74,76,78,80,85,90,95,100})</f>
        <v>80</v>
      </c>
      <c r="P203" s="4">
        <v>3.39</v>
      </c>
      <c r="Q203" s="4">
        <f t="shared" si="24"/>
        <v>6.61</v>
      </c>
      <c r="R203" s="32">
        <f>LOOKUP(Q203,{0,3.8,4,4.6,4.8,5,5.6,5.65,5.7,5.75,5.8,5.85,5.9,5.95,6,6.45,6.5,6.58,6.65,6.7,6.75},{0,10,20,30,40,50,60,62,64,66,68,70,72,74,76,78,80,85,90,95,100})</f>
        <v>85</v>
      </c>
      <c r="U203" s="4">
        <f t="shared" si="25"/>
        <v>85</v>
      </c>
      <c r="W203" s="5">
        <f t="shared" si="26"/>
        <v>50.4</v>
      </c>
      <c r="X203" s="20">
        <f t="shared" si="27"/>
        <v>72</v>
      </c>
    </row>
    <row r="204" ht="15.6" hidden="1" spans="1:24">
      <c r="A204" s="4">
        <v>203</v>
      </c>
      <c r="B204" s="24" t="s">
        <v>145</v>
      </c>
      <c r="C204" s="25" t="s">
        <v>11</v>
      </c>
      <c r="D204" s="4">
        <v>16</v>
      </c>
      <c r="E204" s="32">
        <f>LOOKUP(D204,{0,-2.9,-1.9,-0.9,0.1,1.1,2.1,3.5,4.9,6.3,7.7,9.1,10.5,11.9,13.3,14.7,16.1,18.3,20.5,22.4,24.3},{0,10,20,30,40,50,60,62,64,66,68,70,72,74,76,78,80,85,90,95,100})</f>
        <v>78</v>
      </c>
      <c r="F204" s="4">
        <v>195</v>
      </c>
      <c r="G204" s="32">
        <f>LOOKUP(F204,{0,175,180,185,190,195,200,204,208,212,216,220,224,228,232,236,240,248,255,260,265},{0,10,20,30,40,50,60,62,64,66,68,70,72,74,76,78,80,85,90,95,100})</f>
        <v>50</v>
      </c>
      <c r="H204" s="4">
        <v>2</v>
      </c>
      <c r="I204" s="32">
        <f>LOOKUP(H204,{0,3,4,5,6,7,8,9,10,11,12,13,14,15,16,17},{0,10,20,30,40,50,60,64,68,72,76,80,85,90,95,100})</f>
        <v>0</v>
      </c>
      <c r="K204" s="35"/>
      <c r="L204" s="4">
        <f t="shared" si="23"/>
        <v>0</v>
      </c>
      <c r="M204" s="4" t="s">
        <v>146</v>
      </c>
      <c r="N204" s="4" t="e">
        <f t="shared" si="22"/>
        <v>#VALUE!</v>
      </c>
      <c r="O204" s="32"/>
      <c r="P204" s="4">
        <v>3.39</v>
      </c>
      <c r="Q204" s="4">
        <f t="shared" si="24"/>
        <v>6.61</v>
      </c>
      <c r="R204" s="32">
        <f>LOOKUP(Q204,{0,3.8,4,4.6,4.8,5,5.6,5.65,5.7,5.75,5.8,5.85,5.9,5.95,6,6.45,6.5,6.58,6.65,6.7,6.75},{0,10,20,30,40,50,60,62,64,66,68,70,72,74,76,78,80,85,90,95,100})</f>
        <v>85</v>
      </c>
      <c r="U204" s="4">
        <f t="shared" si="25"/>
        <v>85</v>
      </c>
      <c r="W204" s="5">
        <f t="shared" si="26"/>
        <v>29.8</v>
      </c>
      <c r="X204" s="23">
        <v>50</v>
      </c>
    </row>
    <row r="205" ht="15.6" hidden="1" spans="1:24">
      <c r="A205" s="4">
        <v>203</v>
      </c>
      <c r="B205" s="24" t="s">
        <v>122</v>
      </c>
      <c r="C205" s="25" t="s">
        <v>11</v>
      </c>
      <c r="D205" s="4">
        <v>17</v>
      </c>
      <c r="E205" s="32">
        <f>LOOKUP(D205,{0,-2.9,-1.9,-0.9,0.1,1.1,2.1,3.5,4.9,6.3,7.7,9.1,10.5,11.9,13.3,14.7,16.1,18.3,20.5,22.4,24.3},{0,10,20,30,40,50,60,62,64,66,68,70,72,74,76,78,80,85,90,95,100})</f>
        <v>80</v>
      </c>
      <c r="F205" s="4">
        <v>262</v>
      </c>
      <c r="G205" s="32">
        <f>LOOKUP(F205,{0,175,180,185,190,195,200,204,208,212,216,220,224,228,232,236,240,248,255,260,265},{0,10,20,30,40,50,60,62,64,66,68,70,72,74,76,78,80,85,90,95,100})</f>
        <v>95</v>
      </c>
      <c r="H205" s="4">
        <v>25</v>
      </c>
      <c r="I205" s="32">
        <f>LOOKUP(H205,{0,3,4,5,6,7,8,9,10,11,12,13,14,15,16,17},{0,10,20,30,40,50,60,64,68,72,76,80,85,90,95,100})</f>
        <v>100</v>
      </c>
      <c r="J205" s="4">
        <f>H205-17</f>
        <v>8</v>
      </c>
      <c r="K205" s="34">
        <f>LOOKUP(J205,{0,1,2,3,4,5,6,7,8,9,10},{0,1,2,3,4,5,6,7,8,9,10})</f>
        <v>8</v>
      </c>
      <c r="L205" s="4">
        <f t="shared" si="23"/>
        <v>108</v>
      </c>
      <c r="O205" s="32"/>
      <c r="P205" s="4">
        <v>3.39</v>
      </c>
      <c r="Q205" s="4">
        <f t="shared" si="24"/>
        <v>6.61</v>
      </c>
      <c r="R205" s="32">
        <f>LOOKUP(Q205,{0,3.8,4,4.6,4.8,5,5.6,5.65,5.7,5.75,5.8,5.85,5.9,5.95,6,6.45,6.5,6.58,6.65,6.7,6.75},{0,10,20,30,40,50,60,62,64,66,68,70,72,74,76,78,80,85,90,95,100})</f>
        <v>85</v>
      </c>
      <c r="U205" s="4">
        <f t="shared" si="25"/>
        <v>85</v>
      </c>
      <c r="W205" s="5">
        <f t="shared" si="26"/>
        <v>44.5</v>
      </c>
      <c r="X205" s="20">
        <f t="shared" ref="X205:X268" si="28">W205/0.7+K205+T205</f>
        <v>71.5714285714286</v>
      </c>
    </row>
    <row r="206" ht="15.6" hidden="1" spans="1:24">
      <c r="A206" s="4">
        <v>214</v>
      </c>
      <c r="B206" s="24" t="s">
        <v>735</v>
      </c>
      <c r="C206" s="25" t="s">
        <v>11</v>
      </c>
      <c r="D206" s="4">
        <v>17.4</v>
      </c>
      <c r="E206" s="32">
        <f>LOOKUP(D206,{0,-2.9,-1.9,-0.9,0.1,1.1,2.1,3.5,4.9,6.3,7.7,9.1,10.5,11.9,13.3,14.7,16.1,18.3,20.5,22.4,24.3},{0,10,20,30,40,50,60,62,64,66,68,70,72,74,76,78,80,85,90,95,100})</f>
        <v>80</v>
      </c>
      <c r="F206" s="4">
        <v>254</v>
      </c>
      <c r="G206" s="32">
        <f>LOOKUP(F206,{0,175,180,185,190,195,200,204,208,212,216,220,224,228,232,236,240,248,255,260,265},{0,10,20,30,40,50,60,62,64,66,68,70,72,74,76,78,80,85,90,95,100})</f>
        <v>85</v>
      </c>
      <c r="H206" s="4">
        <v>8</v>
      </c>
      <c r="I206" s="32">
        <f>LOOKUP(H206,{0,3,4,5,6,7,8,9,10,11,12,13,14,15,16,17},{0,10,20,30,40,50,60,64,68,72,76,80,85,90,95,100})</f>
        <v>60</v>
      </c>
      <c r="L206" s="4">
        <f t="shared" si="23"/>
        <v>60</v>
      </c>
      <c r="M206" s="4">
        <v>6.3</v>
      </c>
      <c r="N206" s="4">
        <f t="shared" ref="N206:N241" si="29">12-M206</f>
        <v>5.7</v>
      </c>
      <c r="O206" s="32">
        <f>LOOKUP(N206,{0,1.6,1.8,2,2.2,2.4,2.6,2.8,3,3.2,3.4,3.6,3.8,4,4.2,4.4,4.6,4.7,4.8,4.9,5},{0,10,20,30,40,50,60,62,64,66,68,70,72,74,76,78,80,85,90,95,100})</f>
        <v>100</v>
      </c>
      <c r="P206" s="4">
        <v>3.4</v>
      </c>
      <c r="Q206" s="4">
        <f t="shared" si="24"/>
        <v>6.6</v>
      </c>
      <c r="R206" s="32">
        <f>LOOKUP(Q206,{0,3.8,4,4.6,4.8,5,5.6,5.65,5.7,5.75,5.8,5.85,5.9,5.95,6,6.45,6.5,6.58,6.65,6.7,6.75},{0,10,20,30,40,50,60,62,64,66,68,70,72,74,76,78,80,85,90,95,100})</f>
        <v>85</v>
      </c>
      <c r="U206" s="4">
        <f t="shared" si="25"/>
        <v>85</v>
      </c>
      <c r="W206" s="5">
        <f t="shared" si="26"/>
        <v>59.5</v>
      </c>
      <c r="X206" s="20">
        <f t="shared" si="28"/>
        <v>85</v>
      </c>
    </row>
    <row r="207" ht="15.6" hidden="1" spans="1:24">
      <c r="A207" s="4">
        <v>210</v>
      </c>
      <c r="B207" s="33" t="s">
        <v>494</v>
      </c>
      <c r="C207" s="25" t="s">
        <v>11</v>
      </c>
      <c r="D207" s="4">
        <v>6.1</v>
      </c>
      <c r="E207" s="32">
        <f>LOOKUP(D207,{0,-2.9,-1.9,-0.9,0.1,1.1,2.1,3.5,4.9,6.3,7.7,9.1,10.5,11.9,13.3,14.7,16.1,18.3,20.5,22.4,24.3},{0,10,20,30,40,50,60,62,64,66,68,70,72,74,76,78,80,85,90,95,100})</f>
        <v>64</v>
      </c>
      <c r="F207" s="4">
        <v>243</v>
      </c>
      <c r="G207" s="32">
        <f>LOOKUP(F207,{0,175,180,185,190,195,200,204,208,212,216,220,224,228,232,236,240,248,255,260,265},{0,10,20,30,40,50,60,62,64,66,68,70,72,74,76,78,80,85,90,95,100})</f>
        <v>80</v>
      </c>
      <c r="H207" s="4">
        <v>17</v>
      </c>
      <c r="I207" s="32">
        <f>LOOKUP(H207,{0,3,4,5,6,7,8,9,10,11,12,13,14,15,16,17},{0,10,20,30,40,50,60,64,68,72,76,80,85,90,95,100})</f>
        <v>100</v>
      </c>
      <c r="J207" s="4">
        <f>H207-17</f>
        <v>0</v>
      </c>
      <c r="K207" s="32">
        <f>LOOKUP(J207,{0,1,2,3,4,5,6,7,8,9,10},{0,1,2,3,4,5,6,7,8,9,10})</f>
        <v>0</v>
      </c>
      <c r="L207" s="4">
        <f t="shared" si="23"/>
        <v>100</v>
      </c>
      <c r="M207" s="4">
        <v>6.7</v>
      </c>
      <c r="N207" s="4">
        <f t="shared" si="29"/>
        <v>5.3</v>
      </c>
      <c r="O207" s="32">
        <f>LOOKUP(N207,{0,1.6,1.8,2,2.2,2.4,2.6,2.8,3,3.2,3.4,3.6,3.8,4,4.2,4.4,4.6,4.7,4.8,4.9,5},{0,10,20,30,40,50,60,62,64,66,68,70,72,74,76,78,80,85,90,95,100})</f>
        <v>100</v>
      </c>
      <c r="P207" s="4">
        <v>3.4</v>
      </c>
      <c r="Q207" s="4">
        <f t="shared" si="24"/>
        <v>6.6</v>
      </c>
      <c r="R207" s="32">
        <f>LOOKUP(Q207,{0,3.8,4,4.6,4.8,5,5.6,5.65,5.7,5.75,5.8,5.85,5.9,5.95,6,6.45,6.5,6.58,6.65,6.7,6.75},{0,10,20,30,40,50,60,62,64,66,68,70,72,74,76,78,80,85,90,95,100})</f>
        <v>85</v>
      </c>
      <c r="U207" s="4">
        <f t="shared" si="25"/>
        <v>85</v>
      </c>
      <c r="W207" s="5">
        <f t="shared" si="26"/>
        <v>61.4</v>
      </c>
      <c r="X207" s="20">
        <f t="shared" si="28"/>
        <v>87.7142857142857</v>
      </c>
    </row>
    <row r="208" ht="15.6" spans="1:24">
      <c r="A208" s="4">
        <v>211</v>
      </c>
      <c r="B208" s="24" t="s">
        <v>569</v>
      </c>
      <c r="C208" s="25" t="s">
        <v>11</v>
      </c>
      <c r="D208" s="4">
        <v>4</v>
      </c>
      <c r="E208" s="32">
        <f>LOOKUP(D208,{0,-2.9,-1.9,-0.9,0.1,1.1,2.1,3.5,4.9,6.3,7.7,9.1,10.5,11.9,13.3,14.7,16.1,18.3,20.5,22.4,24.3},{0,10,20,30,40,50,60,62,64,66,68,70,72,74,76,78,80,85,90,95,100})</f>
        <v>62</v>
      </c>
      <c r="F208" s="4">
        <v>248</v>
      </c>
      <c r="G208" s="32">
        <f>LOOKUP(F208,{0,175,180,185,190,195,200,204,208,212,216,220,224,228,232,236,240,248,255,260,265},{0,10,20,30,40,50,60,62,64,66,68,70,72,74,76,78,80,85,90,95,100})</f>
        <v>85</v>
      </c>
      <c r="H208" s="4">
        <v>27</v>
      </c>
      <c r="I208" s="32">
        <f>LOOKUP(H208,{0,3,4,5,6,7,8,9,10,11,12,13,14,15,16,17},{0,10,20,30,40,50,60,64,68,72,76,80,85,90,95,100})</f>
        <v>100</v>
      </c>
      <c r="J208" s="4">
        <f>H208-17</f>
        <v>10</v>
      </c>
      <c r="K208" s="32">
        <f>LOOKUP(J208,{0,1,2,3,4,5,6,7,8,9,10},{0,1,2,3,4,5,6,7,8,9,10})</f>
        <v>10</v>
      </c>
      <c r="L208" s="4">
        <f t="shared" si="23"/>
        <v>110</v>
      </c>
      <c r="M208" s="4">
        <v>7.1</v>
      </c>
      <c r="N208" s="4">
        <f t="shared" si="29"/>
        <v>4.9</v>
      </c>
      <c r="O208" s="32">
        <f>LOOKUP(N208,{0,1.6,1.8,2,2.2,2.4,2.6,2.8,3,3.2,3.4,3.6,3.8,4,4.2,4.4,4.6,4.7,4.8,4.9,5},{0,10,20,30,40,50,60,62,64,66,68,70,72,74,76,78,80,85,90,95,100})</f>
        <v>95</v>
      </c>
      <c r="P208" s="4">
        <v>3.4</v>
      </c>
      <c r="Q208" s="4">
        <f t="shared" si="24"/>
        <v>6.6</v>
      </c>
      <c r="R208" s="32">
        <f>LOOKUP(Q208,{0,3.8,4,4.6,4.8,5,5.6,5.65,5.7,5.75,5.8,5.85,5.9,5.95,6,6.45,6.5,6.58,6.65,6.7,6.75},{0,10,20,30,40,50,60,62,64,66,68,70,72,74,76,78,80,85,90,95,100})</f>
        <v>85</v>
      </c>
      <c r="U208" s="4">
        <f t="shared" si="25"/>
        <v>85</v>
      </c>
      <c r="W208" s="5">
        <f t="shared" si="26"/>
        <v>60.7</v>
      </c>
      <c r="X208" s="20">
        <f t="shared" si="28"/>
        <v>96.7142857142857</v>
      </c>
    </row>
    <row r="209" ht="15.6" hidden="1" spans="1:24">
      <c r="A209" s="4">
        <v>206</v>
      </c>
      <c r="B209" s="24" t="s">
        <v>273</v>
      </c>
      <c r="C209" s="25" t="s">
        <v>11</v>
      </c>
      <c r="D209" s="4">
        <v>25</v>
      </c>
      <c r="E209" s="32">
        <f>LOOKUP(D209,{0,-2.9,-1.9,-0.9,0.1,1.1,2.1,3.5,4.9,6.3,7.7,9.1,10.5,11.9,13.3,14.7,16.1,18.3,20.5,22.4,24.3},{0,10,20,30,40,50,60,62,64,66,68,70,72,74,76,78,80,85,90,95,100})</f>
        <v>100</v>
      </c>
      <c r="F209" s="4">
        <v>240</v>
      </c>
      <c r="G209" s="32">
        <f>LOOKUP(F209,{0,175,180,185,190,195,200,204,208,212,216,220,224,228,232,236,240,248,255,260,265},{0,10,20,30,40,50,60,62,64,66,68,70,72,74,76,78,80,85,90,95,100})</f>
        <v>80</v>
      </c>
      <c r="H209" s="4">
        <v>19</v>
      </c>
      <c r="I209" s="32">
        <f>LOOKUP(H209,{0,3,4,5,6,7,8,9,10,11,12,13,14,15,16,17},{0,10,20,30,40,50,60,64,68,72,76,80,85,90,95,100})</f>
        <v>100</v>
      </c>
      <c r="J209" s="4">
        <f>H209-17</f>
        <v>2</v>
      </c>
      <c r="K209" s="34">
        <f>LOOKUP(J209,{0,1,2,3,4,5,6,7,8,9,10},{0,1,2,3,4,5,6,7,8,9,10})</f>
        <v>2</v>
      </c>
      <c r="L209" s="4">
        <f t="shared" si="23"/>
        <v>102</v>
      </c>
      <c r="M209" s="4">
        <v>7.2</v>
      </c>
      <c r="N209" s="4">
        <f t="shared" si="29"/>
        <v>4.8</v>
      </c>
      <c r="O209" s="32">
        <f>LOOKUP(N209,{0,1.6,1.8,2,2.2,2.4,2.6,2.8,3,3.2,3.4,3.6,3.8,4,4.2,4.4,4.6,4.7,4.8,4.9,5},{0,10,20,30,40,50,60,62,64,66,68,70,72,74,76,78,80,85,90,95,100})</f>
        <v>90</v>
      </c>
      <c r="P209" s="4">
        <v>3.4</v>
      </c>
      <c r="Q209" s="4">
        <f t="shared" si="24"/>
        <v>6.6</v>
      </c>
      <c r="R209" s="32">
        <f>LOOKUP(Q209,{0,3.8,4,4.6,4.8,5,5.6,5.65,5.7,5.75,5.8,5.85,5.9,5.95,6,6.45,6.5,6.58,6.65,6.7,6.75},{0,10,20,30,40,50,60,62,64,66,68,70,72,74,76,78,80,85,90,95,100})</f>
        <v>85</v>
      </c>
      <c r="U209" s="4">
        <f t="shared" si="25"/>
        <v>85</v>
      </c>
      <c r="W209" s="5">
        <f t="shared" si="26"/>
        <v>63</v>
      </c>
      <c r="X209" s="20">
        <f t="shared" si="28"/>
        <v>92</v>
      </c>
    </row>
    <row r="210" ht="15.6" hidden="1" spans="1:24">
      <c r="A210" s="4">
        <v>208</v>
      </c>
      <c r="B210" s="24" t="s">
        <v>389</v>
      </c>
      <c r="C210" s="25" t="s">
        <v>11</v>
      </c>
      <c r="D210" s="4">
        <v>19.5</v>
      </c>
      <c r="E210" s="32">
        <f>LOOKUP(D210,{0,-2.9,-1.9,-0.9,0.1,1.1,2.1,3.5,4.9,6.3,7.7,9.1,10.5,11.9,13.3,14.7,16.1,18.3,20.5,22.4,24.3},{0,10,20,30,40,50,60,62,64,66,68,70,72,74,76,78,80,85,90,95,100})</f>
        <v>85</v>
      </c>
      <c r="F210" s="4">
        <v>228</v>
      </c>
      <c r="G210" s="32">
        <f>LOOKUP(F210,{0,175,180,185,190,195,200,204,208,212,216,220,224,228,232,236,240,248,255,260,265},{0,10,20,30,40,50,60,62,64,66,68,70,72,74,76,78,80,85,90,95,100})</f>
        <v>74</v>
      </c>
      <c r="H210" s="4">
        <v>13</v>
      </c>
      <c r="I210" s="32">
        <f>LOOKUP(H210,{0,3,4,5,6,7,8,9,10,11,12,13,14,15,16,17},{0,10,20,30,40,50,60,64,68,72,76,80,85,90,95,100})</f>
        <v>80</v>
      </c>
      <c r="L210" s="4">
        <f t="shared" si="23"/>
        <v>80</v>
      </c>
      <c r="M210" s="4">
        <v>7.2</v>
      </c>
      <c r="N210" s="4">
        <f t="shared" si="29"/>
        <v>4.8</v>
      </c>
      <c r="O210" s="32">
        <f>LOOKUP(N210,{0,1.6,1.8,2,2.2,2.4,2.6,2.8,3,3.2,3.4,3.6,3.8,4,4.2,4.4,4.6,4.7,4.8,4.9,5},{0,10,20,30,40,50,60,62,64,66,68,70,72,74,76,78,80,85,90,95,100})</f>
        <v>90</v>
      </c>
      <c r="P210" s="4">
        <v>3.4</v>
      </c>
      <c r="Q210" s="4">
        <f t="shared" si="24"/>
        <v>6.6</v>
      </c>
      <c r="R210" s="32">
        <f>LOOKUP(Q210,{0,3.8,4,4.6,4.8,5,5.6,5.65,5.7,5.75,5.8,5.85,5.9,5.95,6,6.45,6.5,6.58,6.65,6.7,6.75},{0,10,20,30,40,50,60,62,64,66,68,70,72,74,76,78,80,85,90,95,100})</f>
        <v>85</v>
      </c>
      <c r="U210" s="4">
        <f t="shared" si="25"/>
        <v>85</v>
      </c>
      <c r="W210" s="5">
        <f t="shared" si="26"/>
        <v>58.9</v>
      </c>
      <c r="X210" s="20">
        <f t="shared" si="28"/>
        <v>84.1428571428572</v>
      </c>
    </row>
    <row r="211" s="1" customFormat="1" ht="15.6" hidden="1" spans="1:24">
      <c r="A211" s="4">
        <v>203</v>
      </c>
      <c r="B211" s="24" t="s">
        <v>127</v>
      </c>
      <c r="C211" s="25" t="s">
        <v>11</v>
      </c>
      <c r="D211" s="4">
        <v>17</v>
      </c>
      <c r="E211" s="32">
        <f>LOOKUP(D211,{0,-2.9,-1.9,-0.9,0.1,1.1,2.1,3.5,4.9,6.3,7.7,9.1,10.5,11.9,13.3,14.7,16.1,18.3,20.5,22.4,24.3},{0,10,20,30,40,50,60,62,64,66,68,70,72,74,76,78,80,85,90,95,100})</f>
        <v>80</v>
      </c>
      <c r="F211" s="4">
        <v>236</v>
      </c>
      <c r="G211" s="32">
        <f>LOOKUP(F211,{0,175,180,185,190,195,200,204,208,212,216,220,224,228,232,236,240,248,255,260,265},{0,10,20,30,40,50,60,62,64,66,68,70,72,74,76,78,80,85,90,95,100})</f>
        <v>78</v>
      </c>
      <c r="H211" s="4">
        <v>12</v>
      </c>
      <c r="I211" s="32">
        <f>LOOKUP(H211,{0,3,4,5,6,7,8,9,10,11,12,13,14,15,16,17},{0,10,20,30,40,50,60,64,68,72,76,80,85,90,95,100})</f>
        <v>76</v>
      </c>
      <c r="J211" s="4"/>
      <c r="K211" s="4"/>
      <c r="L211" s="4">
        <f t="shared" si="23"/>
        <v>76</v>
      </c>
      <c r="M211" s="4">
        <v>7.2</v>
      </c>
      <c r="N211" s="4">
        <f t="shared" si="29"/>
        <v>4.8</v>
      </c>
      <c r="O211" s="32">
        <f>LOOKUP(N211,{0,1.6,1.8,2,2.2,2.4,2.6,2.8,3,3.2,3.4,3.6,3.8,4,4.2,4.4,4.6,4.7,4.8,4.9,5},{0,10,20,30,40,50,60,62,64,66,68,70,72,74,76,78,80,85,90,95,100})</f>
        <v>90</v>
      </c>
      <c r="P211" s="4">
        <v>3.4</v>
      </c>
      <c r="Q211" s="4">
        <f t="shared" si="24"/>
        <v>6.6</v>
      </c>
      <c r="R211" s="32">
        <f>LOOKUP(Q211,{0,3.8,4,4.6,4.8,5,5.6,5.65,5.7,5.75,5.8,5.85,5.9,5.95,6,6.45,6.5,6.58,6.65,6.7,6.75},{0,10,20,30,40,50,60,62,64,66,68,70,72,74,76,78,80,85,90,95,100})</f>
        <v>85</v>
      </c>
      <c r="S211" s="4"/>
      <c r="T211" s="4"/>
      <c r="U211" s="4">
        <f t="shared" si="25"/>
        <v>85</v>
      </c>
      <c r="V211" s="4"/>
      <c r="W211" s="5">
        <f t="shared" si="26"/>
        <v>58.4</v>
      </c>
      <c r="X211" s="20">
        <f t="shared" si="28"/>
        <v>83.4285714285714</v>
      </c>
    </row>
    <row r="212" ht="15.6" hidden="1" spans="1:24">
      <c r="A212" s="4">
        <v>209</v>
      </c>
      <c r="B212" s="33" t="s">
        <v>470</v>
      </c>
      <c r="C212" s="25" t="s">
        <v>11</v>
      </c>
      <c r="D212" s="4">
        <v>20.1</v>
      </c>
      <c r="E212" s="32">
        <f>LOOKUP(D212,{0,-2.9,-1.9,-0.9,0.1,1.1,2.1,3.5,4.9,6.3,7.7,9.1,10.5,11.9,13.3,14.7,16.1,18.3,20.5,22.4,24.3},{0,10,20,30,40,50,60,62,64,66,68,70,72,74,76,78,80,85,90,95,100})</f>
        <v>85</v>
      </c>
      <c r="F212" s="4">
        <v>214</v>
      </c>
      <c r="G212" s="32">
        <f>LOOKUP(F212,{0,175,180,185,190,195,200,204,208,212,216,220,224,228,232,236,240,248,255,260,265},{0,10,20,30,40,50,60,62,64,66,68,70,72,74,76,78,80,85,90,95,100})</f>
        <v>66</v>
      </c>
      <c r="H212" s="4">
        <v>4</v>
      </c>
      <c r="I212" s="32">
        <f>LOOKUP(H212,{0,3,4,5,6,7,8,9,10,11,12,13,14,15,16,17},{0,10,20,30,40,50,60,64,68,72,76,80,85,90,95,100})</f>
        <v>20</v>
      </c>
      <c r="L212" s="4">
        <f t="shared" si="23"/>
        <v>20</v>
      </c>
      <c r="M212" s="4">
        <v>7.6</v>
      </c>
      <c r="N212" s="4">
        <f t="shared" si="29"/>
        <v>4.4</v>
      </c>
      <c r="O212" s="32">
        <f>LOOKUP(N212,{0,1.6,1.8,2,2.2,2.4,2.6,2.8,3,3.2,3.4,3.6,3.8,4,4.2,4.4,4.6,4.7,4.8,4.9,5},{0,10,20,30,40,50,60,62,64,66,68,70,72,74,76,78,80,85,90,95,100})</f>
        <v>78</v>
      </c>
      <c r="P212" s="4">
        <v>3.4</v>
      </c>
      <c r="Q212" s="4">
        <f t="shared" si="24"/>
        <v>6.6</v>
      </c>
      <c r="R212" s="32">
        <f>LOOKUP(Q212,{0,3.8,4,4.6,4.8,5,5.6,5.65,5.7,5.75,5.8,5.85,5.9,5.95,6,6.45,6.5,6.58,6.65,6.7,6.75},{0,10,20,30,40,50,60,62,64,66,68,70,72,74,76,78,80,85,90,95,100})</f>
        <v>85</v>
      </c>
      <c r="U212" s="4">
        <f t="shared" si="25"/>
        <v>85</v>
      </c>
      <c r="W212" s="5">
        <f t="shared" si="26"/>
        <v>49.7</v>
      </c>
      <c r="X212" s="20">
        <f t="shared" si="28"/>
        <v>71</v>
      </c>
    </row>
    <row r="213" ht="15.6" hidden="1" spans="1:24">
      <c r="A213" s="4">
        <v>202</v>
      </c>
      <c r="B213" s="24" t="s">
        <v>95</v>
      </c>
      <c r="C213" s="25" t="s">
        <v>11</v>
      </c>
      <c r="D213" s="4">
        <v>12</v>
      </c>
      <c r="E213" s="32">
        <f>LOOKUP(D213,{0,-2.9,-1.9,-0.9,0.1,1.1,2.1,3.5,4.9,6.3,7.7,9.1,10.5,11.9,13.3,14.7,16.1,18.3,20.5,22.4,24.3},{0,10,20,30,40,50,60,62,64,66,68,70,72,74,76,78,80,85,90,95,100})</f>
        <v>74</v>
      </c>
      <c r="F213" s="4">
        <v>251</v>
      </c>
      <c r="G213" s="32">
        <f>LOOKUP(F213,{0,175,180,185,190,195,200,204,208,212,216,220,224,228,232,236,240,248,255,260,265},{0,10,20,30,40,50,60,62,64,66,68,70,72,74,76,78,80,85,90,95,100})</f>
        <v>85</v>
      </c>
      <c r="H213" s="4">
        <v>14</v>
      </c>
      <c r="I213" s="32">
        <f>LOOKUP(H213,{0,3,4,5,6,7,8,9,10,11,12,13,14,15,16,17},{0,10,20,30,40,50,60,64,68,72,76,80,85,90,95,100})</f>
        <v>85</v>
      </c>
      <c r="L213" s="4">
        <f t="shared" si="23"/>
        <v>85</v>
      </c>
      <c r="M213" s="4">
        <v>6.9</v>
      </c>
      <c r="N213" s="4">
        <f t="shared" si="29"/>
        <v>5.1</v>
      </c>
      <c r="O213" s="32">
        <f>LOOKUP(N213,{0,1.6,1.8,2,2.2,2.4,2.6,2.8,3,3.2,3.4,3.6,3.8,4,4.2,4.4,4.6,4.7,4.8,4.9,5},{0,10,20,30,40,50,60,62,64,66,68,70,72,74,76,78,80,85,90,95,100})</f>
        <v>100</v>
      </c>
      <c r="P213" s="4">
        <v>3.41</v>
      </c>
      <c r="Q213" s="4">
        <f t="shared" si="24"/>
        <v>6.59</v>
      </c>
      <c r="R213" s="32">
        <f>LOOKUP(Q213,{0,3.8,4,4.6,4.8,5,5.6,5.65,5.7,5.75,5.8,5.85,5.9,5.95,6,6.45,6.5,6.58,6.65,6.7,6.75},{0,10,20,30,40,50,60,62,64,66,68,70,72,74,76,78,80,85,90,95,100})</f>
        <v>85</v>
      </c>
      <c r="U213" s="4">
        <f t="shared" si="25"/>
        <v>85</v>
      </c>
      <c r="W213" s="5">
        <f t="shared" si="26"/>
        <v>61.4</v>
      </c>
      <c r="X213" s="20">
        <f t="shared" si="28"/>
        <v>87.7142857142857</v>
      </c>
    </row>
    <row r="214" ht="15.6" hidden="1" spans="1:24">
      <c r="A214" s="4">
        <v>206</v>
      </c>
      <c r="B214" s="24" t="s">
        <v>292</v>
      </c>
      <c r="C214" s="25" t="s">
        <v>11</v>
      </c>
      <c r="D214" s="4">
        <v>31</v>
      </c>
      <c r="E214" s="32">
        <f>LOOKUP(D214,{0,-2.9,-1.9,-0.9,0.1,1.1,2.1,3.5,4.9,6.3,7.7,9.1,10.5,11.9,13.3,14.7,16.1,18.3,20.5,22.4,24.3},{0,10,20,30,40,50,60,62,64,66,68,70,72,74,76,78,80,85,90,95,100})</f>
        <v>100</v>
      </c>
      <c r="F214" s="4">
        <v>264</v>
      </c>
      <c r="G214" s="32">
        <f>LOOKUP(F214,{0,175,180,185,190,195,200,204,208,212,216,220,224,228,232,236,240,248,255,260,265},{0,10,20,30,40,50,60,62,64,66,68,70,72,74,76,78,80,85,90,95,100})</f>
        <v>95</v>
      </c>
      <c r="H214" s="4">
        <v>20</v>
      </c>
      <c r="I214" s="32">
        <f>LOOKUP(H214,{0,3,4,5,6,7,8,9,10,11,12,13,14,15,16,17},{0,10,20,30,40,50,60,64,68,72,76,80,85,90,95,100})</f>
        <v>100</v>
      </c>
      <c r="J214" s="4">
        <f>H214-17</f>
        <v>3</v>
      </c>
      <c r="K214" s="32">
        <f>LOOKUP(J214,{0,1,2,3,4,5,6,7,8,9,10},{0,1,2,3,4,5,6,7,8,9,10})</f>
        <v>3</v>
      </c>
      <c r="L214" s="4">
        <f t="shared" si="23"/>
        <v>103</v>
      </c>
      <c r="M214" s="4">
        <v>7</v>
      </c>
      <c r="N214" s="4">
        <f t="shared" si="29"/>
        <v>5</v>
      </c>
      <c r="O214" s="32">
        <f>LOOKUP(N214,{0,1.6,1.8,2,2.2,2.4,2.6,2.8,3,3.2,3.4,3.6,3.8,4,4.2,4.4,4.6,4.7,4.8,4.9,5},{0,10,20,30,40,50,60,62,64,66,68,70,72,74,76,78,80,85,90,95,100})</f>
        <v>100</v>
      </c>
      <c r="P214" s="4">
        <v>3.41</v>
      </c>
      <c r="Q214" s="4">
        <f t="shared" si="24"/>
        <v>6.59</v>
      </c>
      <c r="R214" s="32">
        <f>LOOKUP(Q214,{0,3.8,4,4.6,4.8,5,5.6,5.65,5.7,5.75,5.8,5.85,5.9,5.95,6,6.45,6.5,6.58,6.65,6.7,6.75},{0,10,20,30,40,50,60,62,64,66,68,70,72,74,76,78,80,85,90,95,100})</f>
        <v>85</v>
      </c>
      <c r="U214" s="4">
        <f t="shared" si="25"/>
        <v>85</v>
      </c>
      <c r="W214" s="5">
        <f t="shared" si="26"/>
        <v>66.5</v>
      </c>
      <c r="X214" s="20">
        <f t="shared" si="28"/>
        <v>98</v>
      </c>
    </row>
    <row r="215" s="30" customFormat="1" ht="15.6" spans="1:24">
      <c r="A215" s="40">
        <v>211</v>
      </c>
      <c r="B215" s="41" t="s">
        <v>556</v>
      </c>
      <c r="C215" s="42" t="s">
        <v>11</v>
      </c>
      <c r="D215" s="40">
        <v>10</v>
      </c>
      <c r="E215" s="43">
        <f>LOOKUP(D215,{0,-2.9,-1.9,-0.9,0.1,1.1,2.1,3.5,4.9,6.3,7.7,9.1,10.5,11.9,13.3,14.7,16.1,18.3,20.5,22.4,24.3},{0,10,20,30,40,50,60,62,64,66,68,70,72,74,76,78,80,85,90,95,100})</f>
        <v>70</v>
      </c>
      <c r="F215" s="40">
        <v>247</v>
      </c>
      <c r="G215" s="43">
        <f>LOOKUP(F215,{0,175,180,185,190,195,200,204,208,212,216,220,224,228,232,236,240,248,255,260,265},{0,10,20,30,40,50,60,62,64,66,68,70,72,74,76,78,80,85,90,95,100})</f>
        <v>80</v>
      </c>
      <c r="H215" s="40">
        <v>12</v>
      </c>
      <c r="I215" s="43">
        <f>LOOKUP(H215,{0,3,4,5,6,7,8,9,10,11,12,13,14,15,16,17},{0,10,20,30,40,50,60,64,68,72,76,80,85,90,95,100})</f>
        <v>76</v>
      </c>
      <c r="J215" s="40"/>
      <c r="K215" s="44"/>
      <c r="L215" s="40">
        <f t="shared" si="23"/>
        <v>76</v>
      </c>
      <c r="M215" s="40">
        <v>9.2</v>
      </c>
      <c r="N215" s="40">
        <f t="shared" si="29"/>
        <v>2.8</v>
      </c>
      <c r="O215" s="43">
        <f>LOOKUP(N215,{0,1.6,1.8,2,2.2,2.4,2.6,2.8,3,3.2,3.4,3.6,3.8,4,4.2,4.4,4.6,4.7,4.8,4.9,5},{0,10,20,30,40,50,60,62,64,66,68,70,72,74,76,78,80,85,90,95,100})</f>
        <v>62</v>
      </c>
      <c r="P215" s="40">
        <v>4.24</v>
      </c>
      <c r="Q215" s="40">
        <f t="shared" si="24"/>
        <v>5.76</v>
      </c>
      <c r="R215" s="43">
        <f>LOOKUP(Q215,{0,3.8,4,4.6,4.8,5,5.6,5.65,5.7,5.75,5.8,5.85,5.9,5.95,6,6.45,6.5,6.58,6.65,6.7,6.75},{0,10,20,30,40,50,60,62,64,66,68,70,72,74,76,78,80,85,90,95,100})</f>
        <v>66</v>
      </c>
      <c r="S215" s="40"/>
      <c r="T215" s="40"/>
      <c r="U215" s="40">
        <f t="shared" si="25"/>
        <v>66</v>
      </c>
      <c r="V215" s="40"/>
      <c r="W215" s="30">
        <f t="shared" si="26"/>
        <v>48.2</v>
      </c>
      <c r="X215" s="23">
        <f t="shared" si="28"/>
        <v>68.8571428571429</v>
      </c>
    </row>
    <row r="216" ht="15.6" hidden="1" spans="1:24">
      <c r="A216" s="4">
        <v>202</v>
      </c>
      <c r="B216" s="24" t="s">
        <v>68</v>
      </c>
      <c r="C216" s="25" t="s">
        <v>11</v>
      </c>
      <c r="D216" s="4">
        <v>5</v>
      </c>
      <c r="E216" s="32">
        <f>LOOKUP(D216,{0,-2.9,-1.9,-0.9,0.1,1.1,2.1,3.5,4.9,6.3,7.7,9.1,10.5,11.9,13.3,14.7,16.1,18.3,20.5,22.4,24.3},{0,10,20,30,40,50,60,62,64,66,68,70,72,74,76,78,80,85,90,95,100})</f>
        <v>64</v>
      </c>
      <c r="F216" s="4">
        <v>310</v>
      </c>
      <c r="G216" s="32">
        <f>LOOKUP(F216,{0,175,180,185,190,195,200,204,208,212,216,220,224,228,232,236,240,248,255,260,265},{0,10,20,30,40,50,60,62,64,66,68,70,72,74,76,78,80,85,90,95,100})</f>
        <v>100</v>
      </c>
      <c r="H216" s="4">
        <v>21</v>
      </c>
      <c r="I216" s="32">
        <f>LOOKUP(H216,{0,3,4,5,6,7,8,9,10,11,12,13,14,15,16,17},{0,10,20,30,40,50,60,64,68,72,76,80,85,90,95,100})</f>
        <v>100</v>
      </c>
      <c r="J216" s="4">
        <f>H216-17</f>
        <v>4</v>
      </c>
      <c r="K216" s="32">
        <f>LOOKUP(J216,{0,1,2,3,4,5,6,7,8,9,10},{0,1,2,3,4,5,6,7,8,9,10})</f>
        <v>4</v>
      </c>
      <c r="L216" s="4">
        <f t="shared" si="23"/>
        <v>104</v>
      </c>
      <c r="M216" s="4">
        <v>6.4</v>
      </c>
      <c r="N216" s="4">
        <f t="shared" si="29"/>
        <v>5.6</v>
      </c>
      <c r="O216" s="32">
        <f>LOOKUP(N216,{0,1.6,1.8,2,2.2,2.4,2.6,2.8,3,3.2,3.4,3.6,3.8,4,4.2,4.4,4.6,4.7,4.8,4.9,5},{0,10,20,30,40,50,60,62,64,66,68,70,72,74,76,78,80,85,90,95,100})</f>
        <v>100</v>
      </c>
      <c r="P216" s="4">
        <v>3.42</v>
      </c>
      <c r="Q216" s="4">
        <f t="shared" si="24"/>
        <v>6.58</v>
      </c>
      <c r="R216" s="32">
        <f>LOOKUP(Q216,{0,3.8,4,4.6,4.8,5,5.6,5.65,5.7,5.75,5.8,5.85,5.9,5.95,6,6.45,6.5,6.58,6.65,6.7,6.75},{0,10,20,30,40,50,60,62,64,66,68,70,72,74,76,78,80,85,90,95,100})</f>
        <v>85</v>
      </c>
      <c r="U216" s="4">
        <f t="shared" si="25"/>
        <v>85</v>
      </c>
      <c r="W216" s="5">
        <f t="shared" si="26"/>
        <v>63.4</v>
      </c>
      <c r="X216" s="20">
        <f t="shared" si="28"/>
        <v>94.5714285714286</v>
      </c>
    </row>
    <row r="217" ht="15.6" hidden="1" spans="1:24">
      <c r="A217" s="4">
        <v>202</v>
      </c>
      <c r="B217" s="24" t="s">
        <v>83</v>
      </c>
      <c r="C217" s="25" t="s">
        <v>11</v>
      </c>
      <c r="D217" s="4">
        <v>17</v>
      </c>
      <c r="E217" s="32">
        <f>LOOKUP(D217,{0,-2.9,-1.9,-0.9,0.1,1.1,2.1,3.5,4.9,6.3,7.7,9.1,10.5,11.9,13.3,14.7,16.1,18.3,20.5,22.4,24.3},{0,10,20,30,40,50,60,62,64,66,68,70,72,74,76,78,80,85,90,95,100})</f>
        <v>80</v>
      </c>
      <c r="F217" s="4">
        <v>260</v>
      </c>
      <c r="G217" s="32">
        <f>LOOKUP(F217,{0,175,180,185,190,195,200,204,208,212,216,220,224,228,232,236,240,248,255,260,265},{0,10,20,30,40,50,60,62,64,66,68,70,72,74,76,78,80,85,90,95,100})</f>
        <v>95</v>
      </c>
      <c r="H217" s="4">
        <v>27</v>
      </c>
      <c r="I217" s="32">
        <f>LOOKUP(H217,{0,3,4,5,6,7,8,9,10,11,12,13,14,15,16,17},{0,10,20,30,40,50,60,64,68,72,76,80,85,90,95,100})</f>
        <v>100</v>
      </c>
      <c r="J217" s="4">
        <f>H217-17</f>
        <v>10</v>
      </c>
      <c r="K217" s="32">
        <f>LOOKUP(J217,{0,1,2,3,4,5,6,7,8,9,10},{0,1,2,3,4,5,6,7,8,9,10})</f>
        <v>10</v>
      </c>
      <c r="L217" s="4">
        <f t="shared" si="23"/>
        <v>110</v>
      </c>
      <c r="M217" s="4">
        <v>7.2</v>
      </c>
      <c r="N217" s="4">
        <f t="shared" si="29"/>
        <v>4.8</v>
      </c>
      <c r="O217" s="32">
        <f>LOOKUP(N217,{0,1.6,1.8,2,2.2,2.4,2.6,2.8,3,3.2,3.4,3.6,3.8,4,4.2,4.4,4.6,4.7,4.8,4.9,5},{0,10,20,30,40,50,60,62,64,66,68,70,72,74,76,78,80,85,90,95,100})</f>
        <v>90</v>
      </c>
      <c r="P217" s="4">
        <v>3.42</v>
      </c>
      <c r="Q217" s="4">
        <f t="shared" si="24"/>
        <v>6.58</v>
      </c>
      <c r="R217" s="32">
        <f>LOOKUP(Q217,{0,3.8,4,4.6,4.8,5,5.6,5.65,5.7,5.75,5.8,5.85,5.9,5.95,6,6.45,6.5,6.58,6.65,6.7,6.75},{0,10,20,30,40,50,60,62,64,66,68,70,72,74,76,78,80,85,90,95,100})</f>
        <v>85</v>
      </c>
      <c r="U217" s="4">
        <f t="shared" si="25"/>
        <v>85</v>
      </c>
      <c r="W217" s="5">
        <f t="shared" si="26"/>
        <v>62.5</v>
      </c>
      <c r="X217" s="20">
        <f t="shared" si="28"/>
        <v>99.2857142857143</v>
      </c>
    </row>
    <row r="218" ht="15.6" hidden="1" spans="1:24">
      <c r="A218" s="4">
        <v>204</v>
      </c>
      <c r="B218" s="24" t="s">
        <v>162</v>
      </c>
      <c r="C218" s="25" t="s">
        <v>11</v>
      </c>
      <c r="D218" s="4">
        <v>7.6</v>
      </c>
      <c r="E218" s="32">
        <f>LOOKUP(D218,{0,-2.9,-1.9,-0.9,0.1,1.1,2.1,3.5,4.9,6.3,7.7,9.1,10.5,11.9,13.3,14.7,16.1,18.3,20.5,22.4,24.3},{0,10,20,30,40,50,60,62,64,66,68,70,72,74,76,78,80,85,90,95,100})</f>
        <v>66</v>
      </c>
      <c r="F218" s="4">
        <v>242</v>
      </c>
      <c r="G218" s="32">
        <f>LOOKUP(F218,{0,175,180,185,190,195,200,204,208,212,216,220,224,228,232,236,240,248,255,260,265},{0,10,20,30,40,50,60,62,64,66,68,70,72,74,76,78,80,85,90,95,100})</f>
        <v>80</v>
      </c>
      <c r="H218" s="4">
        <v>3</v>
      </c>
      <c r="I218" s="32">
        <f>LOOKUP(H218,{0,3,4,5,6,7,8,9,10,11,12,13,14,15,16,17},{0,10,20,30,40,50,60,64,68,72,76,80,85,90,95,100})</f>
        <v>10</v>
      </c>
      <c r="L218" s="4">
        <f t="shared" si="23"/>
        <v>10</v>
      </c>
      <c r="M218" s="4">
        <v>7.3</v>
      </c>
      <c r="N218" s="4">
        <f t="shared" si="29"/>
        <v>4.7</v>
      </c>
      <c r="O218" s="32">
        <f>LOOKUP(N218,{0,1.6,1.8,2,2.2,2.4,2.6,2.8,3,3.2,3.4,3.6,3.8,4,4.2,4.4,4.6,4.7,4.8,4.9,5},{0,10,20,30,40,50,60,62,64,66,68,70,72,74,76,78,80,85,90,95,100})</f>
        <v>85</v>
      </c>
      <c r="P218" s="4">
        <v>3.42</v>
      </c>
      <c r="Q218" s="4">
        <f t="shared" si="24"/>
        <v>6.58</v>
      </c>
      <c r="R218" s="32">
        <f>LOOKUP(Q218,{0,3.8,4,4.6,4.8,5,5.6,5.65,5.7,5.75,5.8,5.85,5.9,5.95,6,6.45,6.5,6.58,6.65,6.7,6.75},{0,10,20,30,40,50,60,62,64,66,68,70,72,74,76,78,80,85,90,95,100})</f>
        <v>85</v>
      </c>
      <c r="U218" s="4">
        <f t="shared" si="25"/>
        <v>85</v>
      </c>
      <c r="W218" s="5">
        <f t="shared" si="26"/>
        <v>49.6</v>
      </c>
      <c r="X218" s="20">
        <f t="shared" si="28"/>
        <v>70.8571428571429</v>
      </c>
    </row>
    <row r="219" ht="15.6" hidden="1" spans="1:24">
      <c r="A219" s="4">
        <v>207</v>
      </c>
      <c r="B219" s="24" t="s">
        <v>357</v>
      </c>
      <c r="C219" s="25" t="s">
        <v>11</v>
      </c>
      <c r="D219" s="4">
        <v>13.6</v>
      </c>
      <c r="E219" s="32">
        <f>LOOKUP(D219,{0,-2.9,-1.9,-0.9,0.1,1.1,2.1,3.5,4.9,6.3,7.7,9.1,10.5,11.9,13.3,14.7,16.1,18.3,20.5,22.4,24.3},{0,10,20,30,40,50,60,62,64,66,68,70,72,74,76,78,80,85,90,95,100})</f>
        <v>76</v>
      </c>
      <c r="F219" s="4">
        <v>226</v>
      </c>
      <c r="G219" s="32">
        <f>LOOKUP(F219,{0,175,180,185,190,195,200,204,208,212,216,220,224,228,232,236,240,248,255,260,265},{0,10,20,30,40,50,60,62,64,66,68,70,72,74,76,78,80,85,90,95,100})</f>
        <v>72</v>
      </c>
      <c r="H219" s="4">
        <v>3</v>
      </c>
      <c r="I219" s="32">
        <f>LOOKUP(H219,{0,3,4,5,6,7,8,9,10,11,12,13,14,15,16,17},{0,10,20,30,40,50,60,64,68,72,76,80,85,90,95,100})</f>
        <v>10</v>
      </c>
      <c r="L219" s="4">
        <f t="shared" si="23"/>
        <v>10</v>
      </c>
      <c r="M219" s="4">
        <v>7.3</v>
      </c>
      <c r="N219" s="4">
        <f t="shared" si="29"/>
        <v>4.7</v>
      </c>
      <c r="O219" s="32">
        <f>LOOKUP(N219,{0,1.6,1.8,2,2.2,2.4,2.6,2.8,3,3.2,3.4,3.6,3.8,4,4.2,4.4,4.6,4.7,4.8,4.9,5},{0,10,20,30,40,50,60,62,64,66,68,70,72,74,76,78,80,85,90,95,100})</f>
        <v>85</v>
      </c>
      <c r="P219" s="4">
        <v>3.42</v>
      </c>
      <c r="Q219" s="4">
        <f t="shared" si="24"/>
        <v>6.58</v>
      </c>
      <c r="R219" s="32">
        <f>LOOKUP(Q219,{0,3.8,4,4.6,4.8,5,5.6,5.65,5.7,5.75,5.8,5.85,5.9,5.95,6,6.45,6.5,6.58,6.65,6.7,6.75},{0,10,20,30,40,50,60,62,64,66,68,70,72,74,76,78,80,85,90,95,100})</f>
        <v>85</v>
      </c>
      <c r="U219" s="4">
        <f t="shared" si="25"/>
        <v>85</v>
      </c>
      <c r="W219" s="5">
        <f t="shared" si="26"/>
        <v>49.8</v>
      </c>
      <c r="X219" s="20">
        <f t="shared" si="28"/>
        <v>71.1428571428571</v>
      </c>
    </row>
    <row r="220" ht="15.6" hidden="1" spans="1:24">
      <c r="A220" s="4">
        <v>213</v>
      </c>
      <c r="B220" s="24" t="s">
        <v>720</v>
      </c>
      <c r="C220" s="25" t="s">
        <v>53</v>
      </c>
      <c r="D220" s="4">
        <v>26.5</v>
      </c>
      <c r="E220" s="32">
        <f>LOOKUP(D220,{0,1,1.8,2.6,3.4,4.2,5,6.3,7.6,8.9,10.2,11.5,12.8,14.1,15.4,16.7,18,19.7,21.4,23.1,24.8},{0,10,20,30,40,50,60,62,64,66,68,70,72,74,76,78,80,85,90,95,100})</f>
        <v>100</v>
      </c>
      <c r="F220" s="4">
        <v>180</v>
      </c>
      <c r="G220" s="32">
        <f>LOOKUP(F220,{0,124,129,134,139,144,149,152,155,158,161,164,167,170,173,176,179,186,193,199,205},{0,10,20,30,40,50,60,62,64,66,68,70,72,74,76,78,80,85,90,95,100})</f>
        <v>80</v>
      </c>
      <c r="H220" s="4">
        <v>48</v>
      </c>
      <c r="I220" s="32">
        <f>LOOKUP(H220,{0,14,16,18,20,22,24,26,28,30,32,34,36,38,40,42,44,47,50,52,54},{0,10,20,30,40,50,60,62,64,66,68,70,72,74,76,78,80,85,90,95,100})</f>
        <v>85</v>
      </c>
      <c r="L220" s="4">
        <f t="shared" si="23"/>
        <v>85</v>
      </c>
      <c r="M220" s="4">
        <v>8.8</v>
      </c>
      <c r="N220" s="4">
        <f t="shared" si="29"/>
        <v>3.2</v>
      </c>
      <c r="O220" s="32">
        <f>LOOKUP(N220,{0,0.5,0.7,0.9,1.1,1.3,1.5,1.7,1.9,2.1,2.3,2.5,2.7,2.9,3.1,3.3,3.5,3.8,4.1,4.2,4.3},{0,10,20,30,40,50,60,62,64,66,68,70,72,74,76,78,80,85,90,95,100})</f>
        <v>76</v>
      </c>
      <c r="P220" s="4">
        <v>3.24</v>
      </c>
      <c r="Q220" s="4">
        <f t="shared" si="24"/>
        <v>6.76</v>
      </c>
      <c r="R220" s="32">
        <f>LOOKUP(Q220,{0,4.72,4.82,4.92,5.42,5.52,5.62,5.67,5.72,5.77,5.82,5.87,5.92,5.97,6.42,6.47,6.52,6.59,6.66,6.72,6.78},{0,10,20,30,40,50,60,62,64,66,68,70,72,74,76,78,80,85,90,95,100})</f>
        <v>95</v>
      </c>
      <c r="U220" s="4">
        <f t="shared" si="25"/>
        <v>95</v>
      </c>
      <c r="W220" s="5">
        <f t="shared" si="26"/>
        <v>60.7</v>
      </c>
      <c r="X220" s="20">
        <f t="shared" si="28"/>
        <v>86.7142857142857</v>
      </c>
    </row>
    <row r="221" ht="15.6" hidden="1" spans="1:24">
      <c r="A221" s="4">
        <v>205</v>
      </c>
      <c r="B221" s="24" t="s">
        <v>262</v>
      </c>
      <c r="C221" s="25" t="s">
        <v>53</v>
      </c>
      <c r="D221" s="4">
        <v>23</v>
      </c>
      <c r="E221" s="32">
        <f>LOOKUP(D221,{0,1,1.8,2.6,3.4,4.2,5,6.3,7.6,8.9,10.2,11.5,12.8,14.1,15.4,16.7,18,19.7,21.4,23.1,24.8},{0,10,20,30,40,50,60,62,64,66,68,70,72,74,76,78,80,85,90,95,100})</f>
        <v>90</v>
      </c>
      <c r="F221" s="4">
        <v>183</v>
      </c>
      <c r="G221" s="32">
        <f>LOOKUP(F221,{0,124,129,134,139,144,149,152,155,158,161,164,167,170,173,176,179,186,193,199,205},{0,10,20,30,40,50,60,62,64,66,68,70,72,74,76,78,80,85,90,95,100})</f>
        <v>80</v>
      </c>
      <c r="H221" s="4">
        <v>59</v>
      </c>
      <c r="I221" s="32">
        <f>LOOKUP(H221,{0,14,16,18,20,22,24,26,28,30,32,34,36,38,40,42,44,47,50,52,54},{0,10,20,30,40,50,60,62,64,66,68,70,72,74,76,78,80,85,90,95,100})</f>
        <v>100</v>
      </c>
      <c r="J221" s="4">
        <f>H221-54</f>
        <v>5</v>
      </c>
      <c r="K221" s="34">
        <f>LOOKUP(J221,{0,2,4,6,7,8,9,10,11,12,13},{0,1,2,3,4,5,6,7,8,9,10})</f>
        <v>2</v>
      </c>
      <c r="L221" s="4">
        <f t="shared" si="23"/>
        <v>102</v>
      </c>
      <c r="M221" s="4">
        <v>8.9</v>
      </c>
      <c r="N221" s="4">
        <f t="shared" si="29"/>
        <v>3.1</v>
      </c>
      <c r="O221" s="32">
        <f>LOOKUP(N221,{0,0.5,0.7,0.9,1.1,1.3,1.5,1.7,1.9,2.1,2.3,2.5,2.7,2.9,3.1,3.3,3.5,3.8,4.1,4.2,4.3},{0,10,20,30,40,50,60,62,64,66,68,70,72,74,76,78,80,85,90,95,100})</f>
        <v>76</v>
      </c>
      <c r="P221" s="4">
        <v>3.36</v>
      </c>
      <c r="Q221" s="4">
        <f t="shared" si="24"/>
        <v>6.64</v>
      </c>
      <c r="R221" s="32">
        <f>LOOKUP(Q221,{0,4.72,4.82,4.92,5.42,5.52,5.62,5.67,5.72,5.77,5.82,5.87,5.92,5.97,6.42,6.47,6.52,6.59,6.66,6.72,6.78},{0,10,20,30,40,50,60,62,64,66,68,70,72,74,76,78,80,85,90,95,100})</f>
        <v>85</v>
      </c>
      <c r="U221" s="4">
        <f t="shared" si="25"/>
        <v>85</v>
      </c>
      <c r="W221" s="5">
        <f t="shared" si="26"/>
        <v>59.2</v>
      </c>
      <c r="X221" s="20">
        <f t="shared" si="28"/>
        <v>86.5714285714286</v>
      </c>
    </row>
    <row r="222" ht="15.6" hidden="1" spans="1:24">
      <c r="A222" s="4">
        <v>214</v>
      </c>
      <c r="B222" s="24" t="s">
        <v>771</v>
      </c>
      <c r="C222" s="25" t="s">
        <v>53</v>
      </c>
      <c r="D222" s="4">
        <v>22.4</v>
      </c>
      <c r="E222" s="32">
        <f>LOOKUP(D222,{0,1,1.8,2.6,3.4,4.2,5,6.3,7.6,8.9,10.2,11.5,12.8,14.1,15.4,16.7,18,19.7,21.4,23.1,24.8},{0,10,20,30,40,50,60,62,64,66,68,70,72,74,76,78,80,85,90,95,100})</f>
        <v>90</v>
      </c>
      <c r="F222" s="4">
        <v>203</v>
      </c>
      <c r="G222" s="32">
        <f>LOOKUP(F222,{0,124,129,134,139,144,149,152,155,158,161,164,167,170,173,176,179,186,193,199,205},{0,10,20,30,40,50,60,62,64,66,68,70,72,74,76,78,80,85,90,95,100})</f>
        <v>95</v>
      </c>
      <c r="H222" s="4">
        <v>53</v>
      </c>
      <c r="I222" s="32">
        <f>LOOKUP(H222,{0,14,16,18,20,22,24,26,28,30,32,34,36,38,40,42,44,47,50,52,54},{0,10,20,30,40,50,60,62,64,66,68,70,72,74,76,78,80,85,90,95,100})</f>
        <v>95</v>
      </c>
      <c r="L222" s="4">
        <f t="shared" si="23"/>
        <v>95</v>
      </c>
      <c r="M222" s="4">
        <v>8.6</v>
      </c>
      <c r="N222" s="4">
        <f t="shared" si="29"/>
        <v>3.4</v>
      </c>
      <c r="O222" s="32">
        <f>LOOKUP(N222,{0,0.5,0.7,0.9,1.1,1.3,1.5,1.7,1.9,2.1,2.3,2.5,2.7,2.9,3.1,3.3,3.5,3.8,4.1,4.2,4.3},{0,10,20,30,40,50,60,62,64,66,68,70,72,74,76,78,80,85,90,95,100})</f>
        <v>78</v>
      </c>
      <c r="P222" s="4">
        <v>3.37</v>
      </c>
      <c r="Q222" s="4">
        <f t="shared" si="24"/>
        <v>6.63</v>
      </c>
      <c r="R222" s="32">
        <f>LOOKUP(Q222,{0,4.72,4.82,4.92,5.42,5.52,5.62,5.67,5.72,5.77,5.82,5.87,5.92,5.97,6.42,6.47,6.52,6.59,6.66,6.72,6.78},{0,10,20,30,40,50,60,62,64,66,68,70,72,74,76,78,80,85,90,95,100})</f>
        <v>85</v>
      </c>
      <c r="U222" s="4">
        <f t="shared" si="25"/>
        <v>85</v>
      </c>
      <c r="W222" s="5">
        <f t="shared" si="26"/>
        <v>60.6</v>
      </c>
      <c r="X222" s="20">
        <f t="shared" si="28"/>
        <v>86.5714285714286</v>
      </c>
    </row>
    <row r="223" s="1" customFormat="1" ht="15.6" hidden="1" spans="1:24">
      <c r="A223" s="4">
        <v>214</v>
      </c>
      <c r="B223" s="24" t="s">
        <v>754</v>
      </c>
      <c r="C223" s="25" t="s">
        <v>53</v>
      </c>
      <c r="D223" s="4">
        <v>23</v>
      </c>
      <c r="E223" s="32">
        <f>LOOKUP(D223,{0,1,1.8,2.6,3.4,4.2,5,6.3,7.6,8.9,10.2,11.5,12.8,14.1,15.4,16.7,18,19.7,21.4,23.1,24.8},{0,10,20,30,40,50,60,62,64,66,68,70,72,74,76,78,80,85,90,95,100})</f>
        <v>90</v>
      </c>
      <c r="F223" s="4">
        <v>195</v>
      </c>
      <c r="G223" s="32">
        <f>LOOKUP(F223,{0,124,129,134,139,144,149,152,155,158,161,164,167,170,173,176,179,186,193,199,205},{0,10,20,30,40,50,60,62,64,66,68,70,72,74,76,78,80,85,90,95,100})</f>
        <v>90</v>
      </c>
      <c r="H223" s="4">
        <v>48</v>
      </c>
      <c r="I223" s="32">
        <f>LOOKUP(H223,{0,14,16,18,20,22,24,26,28,30,32,34,36,38,40,42,44,47,50,52,54},{0,10,20,30,40,50,60,62,64,66,68,70,72,74,76,78,80,85,90,95,100})</f>
        <v>85</v>
      </c>
      <c r="J223" s="4"/>
      <c r="K223" s="4"/>
      <c r="L223" s="4">
        <f t="shared" si="23"/>
        <v>85</v>
      </c>
      <c r="M223" s="4">
        <v>8.1</v>
      </c>
      <c r="N223" s="4">
        <f t="shared" si="29"/>
        <v>3.9</v>
      </c>
      <c r="O223" s="32">
        <f>LOOKUP(N223,{0,0.5,0.7,0.9,1.1,1.3,1.5,1.7,1.9,2.1,2.3,2.5,2.7,2.9,3.1,3.3,3.5,3.8,4.1,4.2,4.3},{0,10,20,30,40,50,60,62,64,66,68,70,72,74,76,78,80,85,90,95,100})</f>
        <v>85</v>
      </c>
      <c r="P223" s="4">
        <v>3.39</v>
      </c>
      <c r="Q223" s="4">
        <f t="shared" si="24"/>
        <v>6.61</v>
      </c>
      <c r="R223" s="32">
        <f>LOOKUP(Q223,{0,4.72,4.82,4.92,5.42,5.52,5.62,5.67,5.72,5.77,5.82,5.87,5.92,5.97,6.42,6.47,6.52,6.59,6.66,6.72,6.78},{0,10,20,30,40,50,60,62,64,66,68,70,72,74,76,78,80,85,90,95,100})</f>
        <v>85</v>
      </c>
      <c r="S223" s="4"/>
      <c r="T223" s="4"/>
      <c r="U223" s="4">
        <f t="shared" si="25"/>
        <v>85</v>
      </c>
      <c r="V223" s="4"/>
      <c r="W223" s="5">
        <f t="shared" si="26"/>
        <v>60.5</v>
      </c>
      <c r="X223" s="20">
        <f t="shared" si="28"/>
        <v>86.4285714285714</v>
      </c>
    </row>
    <row r="224" ht="15.6" hidden="1" spans="1:24">
      <c r="A224" s="4">
        <v>215</v>
      </c>
      <c r="B224" s="33" t="s">
        <v>803</v>
      </c>
      <c r="C224" s="25" t="s">
        <v>53</v>
      </c>
      <c r="D224" s="4">
        <v>21.7</v>
      </c>
      <c r="E224" s="32">
        <f>LOOKUP(D224,{0,1,1.8,2.6,3.4,4.2,5,6.3,7.6,8.9,10.2,11.5,12.8,14.1,15.4,16.7,18,19.7,21.4,23.1,24.8},{0,10,20,30,40,50,60,62,64,66,68,70,72,74,76,78,80,85,90,95,100})</f>
        <v>90</v>
      </c>
      <c r="F224" s="4">
        <v>206</v>
      </c>
      <c r="G224" s="32">
        <f>LOOKUP(F224,{0,124,129,134,139,144,149,152,155,158,161,164,167,170,173,176,179,186,193,199,205},{0,10,20,30,40,50,60,62,64,66,68,70,72,74,76,78,80,85,90,95,100})</f>
        <v>100</v>
      </c>
      <c r="H224" s="4">
        <v>49</v>
      </c>
      <c r="I224" s="32">
        <f>LOOKUP(H224,{0,14,16,18,20,22,24,26,28,30,32,34,36,38,40,42,44,47,50,52,54},{0,10,20,30,40,50,60,62,64,66,68,70,72,74,76,78,80,85,90,95,100})</f>
        <v>85</v>
      </c>
      <c r="L224" s="4">
        <f t="shared" si="23"/>
        <v>85</v>
      </c>
      <c r="M224" s="4">
        <v>8</v>
      </c>
      <c r="N224" s="4">
        <f t="shared" si="29"/>
        <v>4</v>
      </c>
      <c r="O224" s="32">
        <f>LOOKUP(N224,{0,0.5,0.7,0.9,1.1,1.3,1.5,1.7,1.9,2.1,2.3,2.5,2.7,2.9,3.1,3.3,3.5,3.8,4.1,4.2,4.3},{0,10,20,30,40,50,60,62,64,66,68,70,72,74,76,78,80,85,90,95,100})</f>
        <v>85</v>
      </c>
      <c r="P224" s="4">
        <v>3.46</v>
      </c>
      <c r="Q224" s="4">
        <f t="shared" si="24"/>
        <v>6.54</v>
      </c>
      <c r="R224" s="32">
        <f>LOOKUP(Q224,{0,4.72,4.82,4.92,5.42,5.52,5.62,5.67,5.72,5.77,5.82,5.87,5.92,5.97,6.42,6.47,6.52,6.59,6.66,6.72,6.78},{0,10,20,30,40,50,60,62,64,66,68,70,72,74,76,78,80,85,90,95,100})</f>
        <v>80</v>
      </c>
      <c r="U224" s="4">
        <f t="shared" si="25"/>
        <v>80</v>
      </c>
      <c r="W224" s="5">
        <f t="shared" si="26"/>
        <v>60.5</v>
      </c>
      <c r="X224" s="20">
        <f t="shared" si="28"/>
        <v>86.4285714285714</v>
      </c>
    </row>
    <row r="225" ht="15.6" hidden="1" spans="1:24">
      <c r="A225" s="4">
        <v>211</v>
      </c>
      <c r="B225" s="24" t="s">
        <v>590</v>
      </c>
      <c r="C225" s="25" t="s">
        <v>53</v>
      </c>
      <c r="D225" s="4">
        <v>29</v>
      </c>
      <c r="E225" s="32">
        <f>LOOKUP(D225,{0,1,1.8,2.6,3.4,4.2,5,6.3,7.6,8.9,10.2,11.5,12.8,14.1,15.4,16.7,18,19.7,21.4,23.1,24.8},{0,10,20,30,40,50,60,62,64,66,68,70,72,74,76,78,80,85,90,95,100})</f>
        <v>100</v>
      </c>
      <c r="F225" s="4">
        <v>225</v>
      </c>
      <c r="G225" s="32">
        <f>LOOKUP(F225,{0,124,129,134,139,144,149,152,155,158,161,164,167,170,173,176,179,186,193,199,205},{0,10,20,30,40,50,60,62,64,66,68,70,72,74,76,78,80,85,90,95,100})</f>
        <v>100</v>
      </c>
      <c r="H225" s="4">
        <v>42</v>
      </c>
      <c r="I225" s="32">
        <f>LOOKUP(H225,{0,14,16,18,20,22,24,26,28,30,32,34,36,38,40,42,44,47,50,52,54},{0,10,20,30,40,50,60,62,64,66,68,70,72,74,76,78,80,85,90,95,100})</f>
        <v>78</v>
      </c>
      <c r="L225" s="4">
        <f t="shared" si="23"/>
        <v>78</v>
      </c>
      <c r="M225" s="4">
        <v>8.6</v>
      </c>
      <c r="N225" s="4">
        <f t="shared" si="29"/>
        <v>3.4</v>
      </c>
      <c r="O225" s="32">
        <f>LOOKUP(N225,{0,0.5,0.7,0.9,1.1,1.3,1.5,1.7,1.9,2.1,2.3,2.5,2.7,2.9,3.1,3.3,3.5,3.8,4.1,4.2,4.3},{0,10,20,30,40,50,60,62,64,66,68,70,72,74,76,78,80,85,90,95,100})</f>
        <v>78</v>
      </c>
      <c r="P225" s="4">
        <v>3.35</v>
      </c>
      <c r="Q225" s="4">
        <f t="shared" si="24"/>
        <v>6.65</v>
      </c>
      <c r="R225" s="32">
        <f>LOOKUP(Q225,{0,4.72,4.82,4.92,5.42,5.52,5.62,5.67,5.72,5.77,5.82,5.87,5.92,5.97,6.42,6.47,6.52,6.59,6.66,6.72,6.78},{0,10,20,30,40,50,60,62,64,66,68,70,72,74,76,78,80,85,90,95,100})</f>
        <v>85</v>
      </c>
      <c r="U225" s="4">
        <f t="shared" si="25"/>
        <v>85</v>
      </c>
      <c r="W225" s="5">
        <f t="shared" si="26"/>
        <v>60.4</v>
      </c>
      <c r="X225" s="20">
        <f t="shared" si="28"/>
        <v>86.2857142857143</v>
      </c>
    </row>
    <row r="226" ht="15.6" hidden="1" spans="1:24">
      <c r="A226" s="4">
        <v>210</v>
      </c>
      <c r="B226" s="24" t="s">
        <v>545</v>
      </c>
      <c r="C226" s="25" t="s">
        <v>53</v>
      </c>
      <c r="D226" s="4">
        <v>15</v>
      </c>
      <c r="E226" s="32">
        <f>LOOKUP(D226,{0,1,1.8,2.6,3.4,4.2,5,6.3,7.6,8.9,10.2,11.5,12.8,14.1,15.4,16.7,18,19.7,21.4,23.1,24.8},{0,10,20,30,40,50,60,62,64,66,68,70,72,74,76,78,80,85,90,95,100})</f>
        <v>74</v>
      </c>
      <c r="F226" s="4">
        <v>210</v>
      </c>
      <c r="G226" s="32">
        <f>LOOKUP(F226,{0,124,129,134,139,144,149,152,155,158,161,164,167,170,173,176,179,186,193,199,205},{0,10,20,30,40,50,60,62,64,66,68,70,72,74,76,78,80,85,90,95,100})</f>
        <v>100</v>
      </c>
      <c r="H226" s="4">
        <v>55</v>
      </c>
      <c r="I226" s="32">
        <f>LOOKUP(H226,{0,14,16,18,20,22,24,26,28,30,32,34,36,38,40,42,44,47,50,52,54},{0,10,20,30,40,50,60,62,64,66,68,70,72,74,76,78,80,85,90,95,100})</f>
        <v>100</v>
      </c>
      <c r="J226" s="4">
        <f>H226-54</f>
        <v>1</v>
      </c>
      <c r="K226" s="32">
        <f>LOOKUP(J226,{0,2,4,6,7,8,9,10,11,12,13},{0,1,2,3,4,5,6,7,8,9,10})</f>
        <v>0</v>
      </c>
      <c r="L226" s="4">
        <f t="shared" si="23"/>
        <v>100</v>
      </c>
      <c r="M226" s="4">
        <v>8.3</v>
      </c>
      <c r="N226" s="4">
        <f t="shared" si="29"/>
        <v>3.7</v>
      </c>
      <c r="O226" s="32">
        <f>LOOKUP(N226,{0,0.5,0.7,0.9,1.1,1.3,1.5,1.7,1.9,2.1,2.3,2.5,2.7,2.9,3.1,3.3,3.5,3.8,4.1,4.2,4.3},{0,10,20,30,40,50,60,62,64,66,68,70,72,74,76,78,80,85,90,95,100})</f>
        <v>80</v>
      </c>
      <c r="P226" s="4">
        <v>3.35</v>
      </c>
      <c r="Q226" s="4">
        <f t="shared" si="24"/>
        <v>6.65</v>
      </c>
      <c r="R226" s="32">
        <f>LOOKUP(Q226,{0,4.72,4.82,4.92,5.42,5.52,5.62,5.67,5.72,5.77,5.82,5.87,5.92,5.97,6.42,6.47,6.52,6.59,6.66,6.72,6.78},{0,10,20,30,40,50,60,62,64,66,68,70,72,74,76,78,80,85,90,95,100})</f>
        <v>85</v>
      </c>
      <c r="U226" s="4">
        <f t="shared" si="25"/>
        <v>85</v>
      </c>
      <c r="W226" s="5">
        <f t="shared" si="26"/>
        <v>60.4</v>
      </c>
      <c r="X226" s="20">
        <f t="shared" si="28"/>
        <v>86.2857142857143</v>
      </c>
    </row>
    <row r="227" ht="15.6" hidden="1" spans="1:24">
      <c r="A227" s="4">
        <v>204</v>
      </c>
      <c r="B227" s="24" t="s">
        <v>188</v>
      </c>
      <c r="C227" s="25" t="s">
        <v>53</v>
      </c>
      <c r="D227" s="4">
        <v>17.9</v>
      </c>
      <c r="E227" s="32">
        <f>LOOKUP(D227,{0,1,1.8,2.6,3.4,4.2,5,6.3,7.6,8.9,10.2,11.5,12.8,14.1,15.4,16.7,18,19.7,21.4,23.1,24.8},{0,10,20,30,40,50,60,62,64,66,68,70,72,74,76,78,80,85,90,95,100})</f>
        <v>78</v>
      </c>
      <c r="F227" s="4">
        <v>215</v>
      </c>
      <c r="G227" s="32">
        <f>LOOKUP(F227,{0,124,129,134,139,144,149,152,155,158,161,164,167,170,173,176,179,186,193,199,205},{0,10,20,30,40,50,60,62,64,66,68,70,72,74,76,78,80,85,90,95,100})</f>
        <v>100</v>
      </c>
      <c r="H227" s="4">
        <v>47</v>
      </c>
      <c r="I227" s="32">
        <f>LOOKUP(H227,{0,14,16,18,20,22,24,26,28,30,32,34,36,38,40,42,44,47,50,52,54},{0,10,20,30,40,50,60,62,64,66,68,70,72,74,76,78,80,85,90,95,100})</f>
        <v>85</v>
      </c>
      <c r="L227" s="4">
        <f t="shared" si="23"/>
        <v>85</v>
      </c>
      <c r="M227" s="4">
        <v>8.3</v>
      </c>
      <c r="N227" s="4">
        <f t="shared" si="29"/>
        <v>3.7</v>
      </c>
      <c r="O227" s="32">
        <f>LOOKUP(N227,{0,0.5,0.7,0.9,1.1,1.3,1.5,1.7,1.9,2.1,2.3,2.5,2.7,2.9,3.1,3.3,3.5,3.8,4.1,4.2,4.3},{0,10,20,30,40,50,60,62,64,66,68,70,72,74,76,78,80,85,90,95,100})</f>
        <v>80</v>
      </c>
      <c r="P227" s="4">
        <v>3.33</v>
      </c>
      <c r="Q227" s="4">
        <f t="shared" si="24"/>
        <v>6.67</v>
      </c>
      <c r="R227" s="32">
        <f>LOOKUP(Q227,{0,4.72,4.82,4.92,5.42,5.52,5.62,5.67,5.72,5.77,5.82,5.87,5.92,5.97,6.42,6.47,6.52,6.59,6.66,6.72,6.78},{0,10,20,30,40,50,60,62,64,66,68,70,72,74,76,78,80,85,90,95,100})</f>
        <v>90</v>
      </c>
      <c r="U227" s="4">
        <f t="shared" si="25"/>
        <v>90</v>
      </c>
      <c r="W227" s="5">
        <f t="shared" si="26"/>
        <v>60.3</v>
      </c>
      <c r="X227" s="20">
        <f t="shared" si="28"/>
        <v>86.1428571428571</v>
      </c>
    </row>
    <row r="228" ht="15.6" hidden="1" spans="1:24">
      <c r="A228" s="4">
        <v>201</v>
      </c>
      <c r="B228" s="24" t="s">
        <v>58</v>
      </c>
      <c r="C228" s="25" t="s">
        <v>53</v>
      </c>
      <c r="D228" s="4">
        <v>17.7</v>
      </c>
      <c r="E228" s="32">
        <f>LOOKUP(D228,{0,1,1.8,2.6,3.4,4.2,5,6.3,7.6,8.9,10.2,11.5,12.8,14.1,15.4,16.7,18,19.7,21.4,23.1,24.8},{0,10,20,30,40,50,60,62,64,66,68,70,72,74,76,78,80,85,90,95,100})</f>
        <v>78</v>
      </c>
      <c r="F228" s="4">
        <v>208</v>
      </c>
      <c r="G228" s="32">
        <f>LOOKUP(F228,{0,124,129,134,139,144,149,152,155,158,161,164,167,170,173,176,179,186,193,199,205},{0,10,20,30,40,50,60,62,64,66,68,70,72,74,76,78,80,85,90,95,100})</f>
        <v>100</v>
      </c>
      <c r="H228" s="4">
        <v>53</v>
      </c>
      <c r="I228" s="32">
        <f>LOOKUP(H228,{0,14,16,18,20,22,24,26,28,30,32,34,36,38,40,42,44,47,50,52,54},{0,10,20,30,40,50,60,62,64,66,68,70,72,74,76,78,80,85,90,95,100})</f>
        <v>95</v>
      </c>
      <c r="L228" s="4">
        <f t="shared" si="23"/>
        <v>95</v>
      </c>
      <c r="M228" s="4">
        <v>8.2</v>
      </c>
      <c r="N228" s="4">
        <f t="shared" si="29"/>
        <v>3.8</v>
      </c>
      <c r="O228" s="32">
        <f>LOOKUP(N228,{0,0.5,0.7,0.9,1.1,1.3,1.5,1.7,1.9,2.1,2.3,2.5,2.7,2.9,3.1,3.3,3.5,3.8,4.1,4.2,4.3},{0,10,20,30,40,50,60,62,64,66,68,70,72,74,76,78,80,85,90,95,100})</f>
        <v>85</v>
      </c>
      <c r="P228" s="4">
        <v>3.45</v>
      </c>
      <c r="Q228" s="4">
        <f t="shared" si="24"/>
        <v>6.55</v>
      </c>
      <c r="R228" s="32">
        <f>LOOKUP(Q228,{0,4.72,4.82,4.92,5.42,5.52,5.62,5.67,5.72,5.77,5.82,5.87,5.92,5.97,6.42,6.47,6.52,6.59,6.66,6.72,6.78},{0,10,20,30,40,50,60,62,64,66,68,70,72,74,76,78,80,85,90,95,100})</f>
        <v>80</v>
      </c>
      <c r="U228" s="4">
        <f t="shared" si="25"/>
        <v>80</v>
      </c>
      <c r="W228" s="5">
        <f t="shared" si="26"/>
        <v>60.3</v>
      </c>
      <c r="X228" s="20">
        <f t="shared" si="28"/>
        <v>86.1428571428571</v>
      </c>
    </row>
    <row r="229" ht="15.6" hidden="1" spans="1:24">
      <c r="A229" s="4">
        <v>201</v>
      </c>
      <c r="B229" s="24" t="s">
        <v>63</v>
      </c>
      <c r="C229" s="25" t="s">
        <v>53</v>
      </c>
      <c r="D229" s="4">
        <v>32.2</v>
      </c>
      <c r="E229" s="32">
        <f>LOOKUP(D229,{0,1,1.8,2.6,3.4,4.2,5,6.3,7.6,8.9,10.2,11.5,12.8,14.1,15.4,16.7,18,19.7,21.4,23.1,24.8},{0,10,20,30,40,50,60,62,64,66,68,70,72,74,76,78,80,85,90,95,100})</f>
        <v>100</v>
      </c>
      <c r="F229" s="4">
        <v>205</v>
      </c>
      <c r="G229" s="32">
        <f>LOOKUP(F229,{0,124,129,134,139,144,149,152,155,158,161,164,167,170,173,176,179,186,193,199,205},{0,10,20,30,40,50,60,62,64,66,68,70,72,74,76,78,80,85,90,95,100})</f>
        <v>100</v>
      </c>
      <c r="H229" s="4">
        <v>37</v>
      </c>
      <c r="I229" s="32">
        <f>LOOKUP(H229,{0,14,16,18,20,22,24,26,28,30,32,34,36,38,40,42,44,47,50,52,54},{0,10,20,30,40,50,60,62,64,66,68,70,72,74,76,78,80,85,90,95,100})</f>
        <v>72</v>
      </c>
      <c r="K229" s="35"/>
      <c r="L229" s="4">
        <f t="shared" si="23"/>
        <v>72</v>
      </c>
      <c r="M229" s="4">
        <v>8.3</v>
      </c>
      <c r="N229" s="4">
        <f t="shared" si="29"/>
        <v>3.7</v>
      </c>
      <c r="O229" s="32">
        <f>LOOKUP(N229,{0,0.5,0.7,0.9,1.1,1.3,1.5,1.7,1.9,2.1,2.3,2.5,2.7,2.9,3.1,3.3,3.5,3.8,4.1,4.2,4.3},{0,10,20,30,40,50,60,62,64,66,68,70,72,74,76,78,80,85,90,95,100})</f>
        <v>80</v>
      </c>
      <c r="P229" s="4">
        <v>3.39</v>
      </c>
      <c r="Q229" s="4">
        <f t="shared" si="24"/>
        <v>6.61</v>
      </c>
      <c r="R229" s="32">
        <f>LOOKUP(Q229,{0,4.72,4.82,4.92,5.42,5.52,5.62,5.67,5.72,5.77,5.82,5.87,5.92,5.97,6.42,6.47,6.52,6.59,6.66,6.72,6.78},{0,10,20,30,40,50,60,62,64,66,68,70,72,74,76,78,80,85,90,95,100})</f>
        <v>85</v>
      </c>
      <c r="U229" s="4">
        <f t="shared" si="25"/>
        <v>85</v>
      </c>
      <c r="W229" s="5">
        <f t="shared" si="26"/>
        <v>60.2</v>
      </c>
      <c r="X229" s="20">
        <f t="shared" si="28"/>
        <v>86</v>
      </c>
    </row>
    <row r="230" ht="15.6" hidden="1" spans="1:24">
      <c r="A230" s="4">
        <v>206</v>
      </c>
      <c r="B230" s="24" t="s">
        <v>318</v>
      </c>
      <c r="C230" s="25" t="s">
        <v>53</v>
      </c>
      <c r="D230" s="4">
        <v>16</v>
      </c>
      <c r="E230" s="32">
        <f>LOOKUP(D230,{0,1,1.8,2.6,3.4,4.2,5,6.3,7.6,8.9,10.2,11.5,12.8,14.1,15.4,16.7,18,19.7,21.4,23.1,24.8},{0,10,20,30,40,50,60,62,64,66,68,70,72,74,76,78,80,85,90,95,100})</f>
        <v>76</v>
      </c>
      <c r="F230" s="4">
        <v>200</v>
      </c>
      <c r="G230" s="32">
        <f>LOOKUP(F230,{0,124,129,134,139,144,149,152,155,158,161,164,167,170,173,176,179,186,193,199,205},{0,10,20,30,40,50,60,62,64,66,68,70,72,74,76,78,80,85,90,95,100})</f>
        <v>95</v>
      </c>
      <c r="H230" s="4">
        <v>45</v>
      </c>
      <c r="I230" s="32">
        <f>LOOKUP(H230,{0,14,16,18,20,22,24,26,28,30,32,34,36,38,40,42,44,47,50,52,54},{0,10,20,30,40,50,60,62,64,66,68,70,72,74,76,78,80,85,90,95,100})</f>
        <v>80</v>
      </c>
      <c r="L230" s="4">
        <f t="shared" si="23"/>
        <v>80</v>
      </c>
      <c r="M230" s="4">
        <v>8.1</v>
      </c>
      <c r="N230" s="4">
        <f t="shared" si="29"/>
        <v>3.9</v>
      </c>
      <c r="O230" s="32">
        <f>LOOKUP(N230,{0,0.5,0.7,0.9,1.1,1.3,1.5,1.7,1.9,2.1,2.3,2.5,2.7,2.9,3.1,3.3,3.5,3.8,4.1,4.2,4.3},{0,10,20,30,40,50,60,62,64,66,68,70,72,74,76,78,80,85,90,95,100})</f>
        <v>85</v>
      </c>
      <c r="P230" s="4">
        <v>3.29</v>
      </c>
      <c r="Q230" s="4">
        <f t="shared" si="24"/>
        <v>6.71</v>
      </c>
      <c r="R230" s="32">
        <f>LOOKUP(Q230,{0,4.72,4.82,4.92,5.42,5.52,5.62,5.67,5.72,5.77,5.82,5.87,5.92,5.97,6.42,6.47,6.52,6.59,6.66,6.72,6.78},{0,10,20,30,40,50,60,62,64,66,68,70,72,74,76,78,80,85,90,95,100})</f>
        <v>90</v>
      </c>
      <c r="U230" s="4">
        <f t="shared" si="25"/>
        <v>90</v>
      </c>
      <c r="W230" s="5">
        <f t="shared" si="26"/>
        <v>60.1</v>
      </c>
      <c r="X230" s="20">
        <f t="shared" si="28"/>
        <v>85.8571428571429</v>
      </c>
    </row>
    <row r="231" ht="15.6" hidden="1" spans="1:24">
      <c r="A231" s="4">
        <v>215</v>
      </c>
      <c r="B231" s="24" t="s">
        <v>838</v>
      </c>
      <c r="C231" s="25" t="s">
        <v>53</v>
      </c>
      <c r="D231" s="4">
        <v>20.4</v>
      </c>
      <c r="E231" s="32">
        <f>LOOKUP(D231,{0,1,1.8,2.6,3.4,4.2,5,6.3,7.6,8.9,10.2,11.5,12.8,14.1,15.4,16.7,18,19.7,21.4,23.1,24.8},{0,10,20,30,40,50,60,62,64,66,68,70,72,74,76,78,80,85,90,95,100})</f>
        <v>85</v>
      </c>
      <c r="F231" s="4">
        <v>205</v>
      </c>
      <c r="G231" s="32">
        <f>LOOKUP(F231,{0,124,129,134,139,144,149,152,155,158,161,164,167,170,173,176,179,186,193,199,205},{0,10,20,30,40,50,60,62,64,66,68,70,72,74,76,78,80,85,90,95,100})</f>
        <v>100</v>
      </c>
      <c r="H231" s="4">
        <v>53</v>
      </c>
      <c r="I231" s="32">
        <f>LOOKUP(H231,{0,14,16,18,20,22,24,26,28,30,32,34,36,38,40,42,44,47,50,52,54},{0,10,20,30,40,50,60,62,64,66,68,70,72,74,76,78,80,85,90,95,100})</f>
        <v>95</v>
      </c>
      <c r="L231" s="4">
        <f t="shared" si="23"/>
        <v>95</v>
      </c>
      <c r="M231" s="4">
        <v>8.3</v>
      </c>
      <c r="N231" s="4">
        <f t="shared" si="29"/>
        <v>3.7</v>
      </c>
      <c r="O231" s="32">
        <f>LOOKUP(N231,{0,0.5,0.7,0.9,1.1,1.3,1.5,1.7,1.9,2.1,2.3,2.5,2.7,2.9,3.1,3.3,3.5,3.8,4.1,4.2,4.3},{0,10,20,30,40,50,60,62,64,66,68,70,72,74,76,78,80,85,90,95,100})</f>
        <v>80</v>
      </c>
      <c r="P231" s="4">
        <v>3.44</v>
      </c>
      <c r="Q231" s="4">
        <f t="shared" si="24"/>
        <v>6.56</v>
      </c>
      <c r="R231" s="32">
        <f>LOOKUP(Q231,{0,4.72,4.82,4.92,5.42,5.52,5.62,5.67,5.72,5.77,5.82,5.87,5.92,5.97,6.42,6.47,6.52,6.59,6.66,6.72,6.78},{0,10,20,30,40,50,60,62,64,66,68,70,72,74,76,78,80,85,90,95,100})</f>
        <v>80</v>
      </c>
      <c r="U231" s="4">
        <f t="shared" si="25"/>
        <v>80</v>
      </c>
      <c r="W231" s="5">
        <f t="shared" si="26"/>
        <v>60</v>
      </c>
      <c r="X231" s="20">
        <f t="shared" si="28"/>
        <v>85.7142857142857</v>
      </c>
    </row>
    <row r="232" ht="15.6" hidden="1" spans="1:24">
      <c r="A232" s="4">
        <v>206</v>
      </c>
      <c r="B232" s="24" t="s">
        <v>287</v>
      </c>
      <c r="C232" s="25" t="s">
        <v>11</v>
      </c>
      <c r="D232" s="4">
        <v>16.2</v>
      </c>
      <c r="E232" s="32">
        <f>LOOKUP(D232,{0,-2.9,-1.9,-0.9,0.1,1.1,2.1,3.5,4.9,6.3,7.7,9.1,10.5,11.9,13.3,14.7,16.1,18.3,20.5,22.4,24.3},{0,10,20,30,40,50,60,62,64,66,68,70,72,74,76,78,80,85,90,95,100})</f>
        <v>80</v>
      </c>
      <c r="F232" s="4">
        <v>262</v>
      </c>
      <c r="G232" s="32">
        <f>LOOKUP(F232,{0,175,180,185,190,195,200,204,208,212,216,220,224,228,232,236,240,248,255,260,265},{0,10,20,30,40,50,60,62,64,66,68,70,72,74,76,78,80,85,90,95,100})</f>
        <v>95</v>
      </c>
      <c r="H232" s="4">
        <v>19</v>
      </c>
      <c r="I232" s="32">
        <f>LOOKUP(H232,{0,3,4,5,6,7,8,9,10,11,12,13,14,15,16,17},{0,10,20,30,40,50,60,64,68,72,76,80,85,90,95,100})</f>
        <v>100</v>
      </c>
      <c r="J232" s="4">
        <f>H232-17</f>
        <v>2</v>
      </c>
      <c r="K232" s="32">
        <f>LOOKUP(J232,{0,1,2,3,4,5,6,7,8,9,10},{0,1,2,3,4,5,6,7,8,9,10})</f>
        <v>2</v>
      </c>
      <c r="L232" s="4">
        <f t="shared" si="23"/>
        <v>102</v>
      </c>
      <c r="M232" s="4">
        <v>7.5</v>
      </c>
      <c r="N232" s="4">
        <f t="shared" si="29"/>
        <v>4.5</v>
      </c>
      <c r="O232" s="32">
        <f>LOOKUP(N232,{0,1.6,1.8,2,2.2,2.4,2.6,2.8,3,3.2,3.4,3.6,3.8,4,4.2,4.4,4.6,4.7,4.8,4.9,5},{0,10,20,30,40,50,60,62,64,66,68,70,72,74,76,78,80,85,90,95,100})</f>
        <v>78</v>
      </c>
      <c r="P232" s="4">
        <v>3.42</v>
      </c>
      <c r="Q232" s="4">
        <f t="shared" si="24"/>
        <v>6.58</v>
      </c>
      <c r="R232" s="32">
        <f>LOOKUP(Q232,{0,3.8,4,4.6,4.8,5,5.6,5.65,5.7,5.75,5.8,5.85,5.9,5.95,6,6.45,6.5,6.58,6.65,6.7,6.75},{0,10,20,30,40,50,60,62,64,66,68,70,72,74,76,78,80,85,90,95,100})</f>
        <v>85</v>
      </c>
      <c r="U232" s="4">
        <f t="shared" si="25"/>
        <v>85</v>
      </c>
      <c r="W232" s="5">
        <f t="shared" si="26"/>
        <v>60.1</v>
      </c>
      <c r="X232" s="20">
        <f t="shared" si="28"/>
        <v>87.8571428571429</v>
      </c>
    </row>
    <row r="233" ht="15.6" hidden="1" spans="1:24">
      <c r="A233" s="4">
        <v>208</v>
      </c>
      <c r="B233" s="24" t="s">
        <v>403</v>
      </c>
      <c r="C233" s="25" t="s">
        <v>11</v>
      </c>
      <c r="D233" s="4">
        <v>9</v>
      </c>
      <c r="E233" s="32">
        <f>LOOKUP(D233,{0,-2.9,-1.9,-0.9,0.1,1.1,2.1,3.5,4.9,6.3,7.7,9.1,10.5,11.9,13.3,14.7,16.1,18.3,20.5,22.4,24.3},{0,10,20,30,40,50,60,62,64,66,68,70,72,74,76,78,80,85,90,95,100})</f>
        <v>68</v>
      </c>
      <c r="F233" s="4">
        <v>241</v>
      </c>
      <c r="G233" s="32">
        <f>LOOKUP(F233,{0,175,180,185,190,195,200,204,208,212,216,220,224,228,232,236,240,248,255,260,265},{0,10,20,30,40,50,60,62,64,66,68,70,72,74,76,78,80,85,90,95,100})</f>
        <v>80</v>
      </c>
      <c r="H233" s="4">
        <v>17</v>
      </c>
      <c r="I233" s="32">
        <f>LOOKUP(H233,{0,3,4,5,6,7,8,9,10,11,12,13,14,15,16,17},{0,10,20,30,40,50,60,64,68,72,76,80,85,90,95,100})</f>
        <v>100</v>
      </c>
      <c r="J233" s="4">
        <f>H233-17</f>
        <v>0</v>
      </c>
      <c r="K233" s="32">
        <f>LOOKUP(J233,{0,1,2,3,4,5,6,7,8,9,10},{0,1,2,3,4,5,6,7,8,9,10})</f>
        <v>0</v>
      </c>
      <c r="L233" s="4">
        <f t="shared" si="23"/>
        <v>100</v>
      </c>
      <c r="M233" s="4">
        <v>7.3</v>
      </c>
      <c r="N233" s="4">
        <f t="shared" si="29"/>
        <v>4.7</v>
      </c>
      <c r="O233" s="32">
        <f>LOOKUP(N233,{0,1.6,1.8,2,2.2,2.4,2.6,2.8,3,3.2,3.4,3.6,3.8,4,4.2,4.4,4.6,4.7,4.8,4.9,5},{0,10,20,30,40,50,60,62,64,66,68,70,72,74,76,78,80,85,90,95,100})</f>
        <v>85</v>
      </c>
      <c r="P233" s="4">
        <v>3.43</v>
      </c>
      <c r="Q233" s="4">
        <f t="shared" si="24"/>
        <v>6.57</v>
      </c>
      <c r="R233" s="32">
        <f>LOOKUP(Q233,{0,3.8,4,4.6,4.8,5,5.6,5.65,5.7,5.75,5.8,5.85,5.9,5.95,6,6.45,6.5,6.58,6.65,6.7,6.75},{0,10,20,30,40,50,60,62,64,66,68,70,72,74,76,78,80,85,90,95,100})</f>
        <v>80</v>
      </c>
      <c r="U233" s="4">
        <f t="shared" si="25"/>
        <v>80</v>
      </c>
      <c r="W233" s="5">
        <f t="shared" si="26"/>
        <v>57.8</v>
      </c>
      <c r="X233" s="20">
        <f t="shared" si="28"/>
        <v>82.5714285714286</v>
      </c>
    </row>
    <row r="234" ht="15.6" hidden="1" spans="1:24">
      <c r="A234" s="4">
        <v>203</v>
      </c>
      <c r="B234" s="24" t="s">
        <v>130</v>
      </c>
      <c r="C234" s="25" t="s">
        <v>11</v>
      </c>
      <c r="D234" s="4">
        <v>7.5</v>
      </c>
      <c r="E234" s="32">
        <f>LOOKUP(D234,{0,-2.9,-1.9,-0.9,0.1,1.1,2.1,3.5,4.9,6.3,7.7,9.1,10.5,11.9,13.3,14.7,16.1,18.3,20.5,22.4,24.3},{0,10,20,30,40,50,60,62,64,66,68,70,72,74,76,78,80,85,90,95,100})</f>
        <v>66</v>
      </c>
      <c r="F234" s="4">
        <v>251</v>
      </c>
      <c r="G234" s="32">
        <f>LOOKUP(F234,{0,175,180,185,190,195,200,204,208,212,216,220,224,228,232,236,240,248,255,260,265},{0,10,20,30,40,50,60,62,64,66,68,70,72,74,76,78,80,85,90,95,100})</f>
        <v>85</v>
      </c>
      <c r="H234" s="4">
        <v>8</v>
      </c>
      <c r="I234" s="32">
        <f>LOOKUP(H234,{0,3,4,5,6,7,8,9,10,11,12,13,14,15,16,17},{0,10,20,30,40,50,60,64,68,72,76,80,85,90,95,100})</f>
        <v>60</v>
      </c>
      <c r="L234" s="4">
        <f t="shared" si="23"/>
        <v>60</v>
      </c>
      <c r="M234" s="4">
        <v>7.4</v>
      </c>
      <c r="N234" s="4">
        <f t="shared" si="29"/>
        <v>4.6</v>
      </c>
      <c r="O234" s="32">
        <f>LOOKUP(N234,{0,1.6,1.8,2,2.2,2.4,2.6,2.8,3,3.2,3.4,3.6,3.8,4,4.2,4.4,4.6,4.7,4.8,4.9,5},{0,10,20,30,40,50,60,62,64,66,68,70,72,74,76,78,80,85,90,95,100})</f>
        <v>80</v>
      </c>
      <c r="P234" s="4">
        <v>3.43</v>
      </c>
      <c r="Q234" s="4">
        <f t="shared" si="24"/>
        <v>6.57</v>
      </c>
      <c r="R234" s="32">
        <f>LOOKUP(Q234,{0,3.8,4,4.6,4.8,5,5.6,5.65,5.7,5.75,5.8,5.85,5.9,5.95,6,6.45,6.5,6.58,6.65,6.7,6.75},{0,10,20,30,40,50,60,62,64,66,68,70,72,74,76,78,80,85,90,95,100})</f>
        <v>80</v>
      </c>
      <c r="U234" s="4">
        <f t="shared" si="25"/>
        <v>80</v>
      </c>
      <c r="W234" s="5">
        <f t="shared" si="26"/>
        <v>53.1</v>
      </c>
      <c r="X234" s="20">
        <f t="shared" si="28"/>
        <v>75.8571428571429</v>
      </c>
    </row>
    <row r="235" s="1" customFormat="1" ht="15.6" hidden="1" spans="1:24">
      <c r="A235" s="4">
        <v>202</v>
      </c>
      <c r="B235" s="24" t="s">
        <v>82</v>
      </c>
      <c r="C235" s="25" t="s">
        <v>11</v>
      </c>
      <c r="D235" s="4">
        <v>20.9</v>
      </c>
      <c r="E235" s="32">
        <f>LOOKUP(D235,{0,-2.9,-1.9,-0.9,0.1,1.1,2.1,3.5,4.9,6.3,7.7,9.1,10.5,11.9,13.3,14.7,16.1,18.3,20.5,22.4,24.3},{0,10,20,30,40,50,60,62,64,66,68,70,72,74,76,78,80,85,90,95,100})</f>
        <v>90</v>
      </c>
      <c r="F235" s="4">
        <v>227</v>
      </c>
      <c r="G235" s="32">
        <f>LOOKUP(F235,{0,175,180,185,190,195,200,204,208,212,216,220,224,228,232,236,240,248,255,260,265},{0,10,20,30,40,50,60,62,64,66,68,70,72,74,76,78,80,85,90,95,100})</f>
        <v>72</v>
      </c>
      <c r="H235" s="4">
        <v>27</v>
      </c>
      <c r="I235" s="32">
        <f>LOOKUP(H235,{0,3,4,5,6,7,8,9,10,11,12,13,14,15,16,17},{0,10,20,30,40,50,60,64,68,72,76,80,85,90,95,100})</f>
        <v>100</v>
      </c>
      <c r="J235" s="4">
        <f>H235-17</f>
        <v>10</v>
      </c>
      <c r="K235" s="32">
        <f>LOOKUP(J235,{0,1,2,3,4,5,6,7,8,9,10},{0,1,2,3,4,5,6,7,8,9,10})</f>
        <v>10</v>
      </c>
      <c r="L235" s="4">
        <f t="shared" si="23"/>
        <v>110</v>
      </c>
      <c r="M235" s="4">
        <v>7.6</v>
      </c>
      <c r="N235" s="4">
        <f t="shared" si="29"/>
        <v>4.4</v>
      </c>
      <c r="O235" s="32">
        <f>LOOKUP(N235,{0,1.6,1.8,2,2.2,2.4,2.6,2.8,3,3.2,3.4,3.6,3.8,4,4.2,4.4,4.6,4.7,4.8,4.9,5},{0,10,20,30,40,50,60,62,64,66,68,70,72,74,76,78,80,85,90,95,100})</f>
        <v>78</v>
      </c>
      <c r="P235" s="4">
        <v>3.43</v>
      </c>
      <c r="Q235" s="4">
        <f t="shared" si="24"/>
        <v>6.57</v>
      </c>
      <c r="R235" s="32">
        <f>LOOKUP(Q235,{0,3.8,4,4.6,4.8,5,5.6,5.65,5.7,5.75,5.8,5.85,5.9,5.95,6,6.45,6.5,6.58,6.65,6.7,6.75},{0,10,20,30,40,50,60,62,64,66,68,70,72,74,76,78,80,85,90,95,100})</f>
        <v>80</v>
      </c>
      <c r="S235" s="4"/>
      <c r="T235" s="4"/>
      <c r="U235" s="4">
        <f t="shared" si="25"/>
        <v>80</v>
      </c>
      <c r="V235" s="4"/>
      <c r="W235" s="5">
        <f t="shared" si="26"/>
        <v>57.8</v>
      </c>
      <c r="X235" s="20">
        <f t="shared" si="28"/>
        <v>92.5714285714286</v>
      </c>
    </row>
    <row r="236" ht="15.6" hidden="1" spans="1:24">
      <c r="A236" s="4">
        <v>209</v>
      </c>
      <c r="B236" s="24" t="s">
        <v>462</v>
      </c>
      <c r="C236" s="25" t="s">
        <v>11</v>
      </c>
      <c r="D236" s="4">
        <v>22.2</v>
      </c>
      <c r="E236" s="32">
        <f>LOOKUP(D236,{0,-2.9,-1.9,-0.9,0.1,1.1,2.1,3.5,4.9,6.3,7.7,9.1,10.5,11.9,13.3,14.7,16.1,18.3,20.5,22.4,24.3},{0,10,20,30,40,50,60,62,64,66,68,70,72,74,76,78,80,85,90,95,100})</f>
        <v>90</v>
      </c>
      <c r="F236" s="4">
        <v>260</v>
      </c>
      <c r="G236" s="32">
        <f>LOOKUP(F236,{0,175,180,185,190,195,200,204,208,212,216,220,224,228,232,236,240,248,255,260,265},{0,10,20,30,40,50,60,62,64,66,68,70,72,74,76,78,80,85,90,95,100})</f>
        <v>95</v>
      </c>
      <c r="H236" s="4">
        <v>0</v>
      </c>
      <c r="I236" s="32">
        <f>LOOKUP(H236,{0,3,4,5,6,7,8,9,10,11,12,13,14,15,16,17},{0,10,20,30,40,50,60,64,68,72,76,80,85,90,95,100})</f>
        <v>0</v>
      </c>
      <c r="K236" s="35"/>
      <c r="L236" s="4">
        <f t="shared" si="23"/>
        <v>0</v>
      </c>
      <c r="M236" s="4">
        <v>6.7</v>
      </c>
      <c r="N236" s="4">
        <f t="shared" si="29"/>
        <v>5.3</v>
      </c>
      <c r="O236" s="32">
        <f>LOOKUP(N236,{0,1.6,1.8,2,2.2,2.4,2.6,2.8,3,3.2,3.4,3.6,3.8,4,4.2,4.4,4.6,4.7,4.8,4.9,5},{0,10,20,30,40,50,60,62,64,66,68,70,72,74,76,78,80,85,90,95,100})</f>
        <v>100</v>
      </c>
      <c r="P236" s="4">
        <v>3.44</v>
      </c>
      <c r="Q236" s="4">
        <f t="shared" si="24"/>
        <v>6.56</v>
      </c>
      <c r="R236" s="32">
        <f>LOOKUP(Q236,{0,3.8,4,4.6,4.8,5,5.6,5.65,5.7,5.75,5.8,5.85,5.9,5.95,6,6.45,6.5,6.58,6.65,6.7,6.75},{0,10,20,30,40,50,60,62,64,66,68,70,72,74,76,78,80,85,90,95,100})</f>
        <v>80</v>
      </c>
      <c r="U236" s="4">
        <f t="shared" si="25"/>
        <v>80</v>
      </c>
      <c r="W236" s="5">
        <f t="shared" si="26"/>
        <v>54.5</v>
      </c>
      <c r="X236" s="20">
        <f t="shared" si="28"/>
        <v>77.8571428571429</v>
      </c>
    </row>
    <row r="237" ht="15.6" hidden="1" spans="1:24">
      <c r="A237" s="4">
        <v>214</v>
      </c>
      <c r="B237" s="24" t="s">
        <v>731</v>
      </c>
      <c r="C237" s="25" t="s">
        <v>11</v>
      </c>
      <c r="D237" s="4">
        <v>18.3</v>
      </c>
      <c r="E237" s="32">
        <f>LOOKUP(D237,{0,-2.9,-1.9,-0.9,0.1,1.1,2.1,3.5,4.9,6.3,7.7,9.1,10.5,11.9,13.3,14.7,16.1,18.3,20.5,22.4,24.3},{0,10,20,30,40,50,60,62,64,66,68,70,72,74,76,78,80,85,90,95,100})</f>
        <v>85</v>
      </c>
      <c r="F237" s="4">
        <v>205</v>
      </c>
      <c r="G237" s="32">
        <f>LOOKUP(F237,{0,175,180,185,190,195,200,204,208,212,216,220,224,228,232,236,240,248,255,260,265},{0,10,20,30,40,50,60,62,64,66,68,70,72,74,76,78,80,85,90,95,100})</f>
        <v>62</v>
      </c>
      <c r="H237" s="4">
        <v>1</v>
      </c>
      <c r="I237" s="32">
        <f>LOOKUP(H237,{0,3,4,5,6,7,8,9,10,11,12,13,14,15,16,17},{0,10,20,30,40,50,60,64,68,72,76,80,85,90,95,100})</f>
        <v>0</v>
      </c>
      <c r="L237" s="4">
        <f t="shared" si="23"/>
        <v>0</v>
      </c>
      <c r="M237" s="4">
        <v>6.8</v>
      </c>
      <c r="N237" s="4">
        <f t="shared" si="29"/>
        <v>5.2</v>
      </c>
      <c r="O237" s="32">
        <f>LOOKUP(N237,{0,1.6,1.8,2,2.2,2.4,2.6,2.8,3,3.2,3.4,3.6,3.8,4,4.2,4.4,4.6,4.7,4.8,4.9,5},{0,10,20,30,40,50,60,62,64,66,68,70,72,74,76,78,80,85,90,95,100})</f>
        <v>100</v>
      </c>
      <c r="P237" s="4">
        <v>3.44</v>
      </c>
      <c r="Q237" s="4">
        <f t="shared" si="24"/>
        <v>6.56</v>
      </c>
      <c r="R237" s="32">
        <f>LOOKUP(Q237,{0,3.8,4,4.6,4.8,5,5.6,5.65,5.7,5.75,5.8,5.85,5.9,5.95,6,6.45,6.5,6.58,6.65,6.7,6.75},{0,10,20,30,40,50,60,62,64,66,68,70,72,74,76,78,80,85,90,95,100})</f>
        <v>80</v>
      </c>
      <c r="U237" s="4">
        <f t="shared" si="25"/>
        <v>80</v>
      </c>
      <c r="W237" s="5">
        <f t="shared" si="26"/>
        <v>50.7</v>
      </c>
      <c r="X237" s="20">
        <f t="shared" si="28"/>
        <v>72.4285714285714</v>
      </c>
    </row>
    <row r="238" ht="15.6" hidden="1" spans="1:24">
      <c r="A238" s="4">
        <v>207</v>
      </c>
      <c r="B238" s="24" t="s">
        <v>342</v>
      </c>
      <c r="C238" s="25" t="s">
        <v>11</v>
      </c>
      <c r="D238" s="4">
        <v>12.5</v>
      </c>
      <c r="E238" s="32">
        <f>LOOKUP(D238,{0,-2.9,-1.9,-0.9,0.1,1.1,2.1,3.5,4.9,6.3,7.7,9.1,10.5,11.9,13.3,14.7,16.1,18.3,20.5,22.4,24.3},{0,10,20,30,40,50,60,62,64,66,68,70,72,74,76,78,80,85,90,95,100})</f>
        <v>74</v>
      </c>
      <c r="F238" s="4">
        <v>260</v>
      </c>
      <c r="G238" s="32">
        <f>LOOKUP(F238,{0,175,180,185,190,195,200,204,208,212,216,220,224,228,232,236,240,248,255,260,265},{0,10,20,30,40,50,60,62,64,66,68,70,72,74,76,78,80,85,90,95,100})</f>
        <v>95</v>
      </c>
      <c r="H238" s="4">
        <v>19</v>
      </c>
      <c r="I238" s="32">
        <f>LOOKUP(H238,{0,3,4,5,6,7,8,9,10,11,12,13,14,15,16,17},{0,10,20,30,40,50,60,64,68,72,76,80,85,90,95,100})</f>
        <v>100</v>
      </c>
      <c r="J238" s="4">
        <f>H238-17</f>
        <v>2</v>
      </c>
      <c r="K238" s="32">
        <f>LOOKUP(J238,{0,1,2,3,4,5,6,7,8,9,10},{0,1,2,3,4,5,6,7,8,9,10})</f>
        <v>2</v>
      </c>
      <c r="L238" s="4">
        <f t="shared" si="23"/>
        <v>102</v>
      </c>
      <c r="M238" s="4">
        <v>6.9</v>
      </c>
      <c r="N238" s="4">
        <f t="shared" si="29"/>
        <v>5.1</v>
      </c>
      <c r="O238" s="32">
        <f>LOOKUP(N238,{0,1.6,1.8,2,2.2,2.4,2.6,2.8,3,3.2,3.4,3.6,3.8,4,4.2,4.4,4.6,4.7,4.8,4.9,5},{0,10,20,30,40,50,60,62,64,66,68,70,72,74,76,78,80,85,90,95,100})</f>
        <v>100</v>
      </c>
      <c r="P238" s="4">
        <v>3.44</v>
      </c>
      <c r="Q238" s="4">
        <f t="shared" si="24"/>
        <v>6.56</v>
      </c>
      <c r="R238" s="32">
        <f>LOOKUP(Q238,{0,3.8,4,4.6,4.8,5,5.6,5.65,5.7,5.75,5.8,5.85,5.9,5.95,6,6.45,6.5,6.58,6.65,6.7,6.75},{0,10,20,30,40,50,60,62,64,66,68,70,72,74,76,78,80,85,90,95,100})</f>
        <v>80</v>
      </c>
      <c r="U238" s="4">
        <f t="shared" si="25"/>
        <v>80</v>
      </c>
      <c r="W238" s="5">
        <f t="shared" si="26"/>
        <v>62.9</v>
      </c>
      <c r="X238" s="20">
        <f t="shared" si="28"/>
        <v>91.8571428571429</v>
      </c>
    </row>
    <row r="239" ht="15.6" hidden="1" spans="1:24">
      <c r="A239" s="4">
        <v>206</v>
      </c>
      <c r="B239" s="24" t="s">
        <v>308</v>
      </c>
      <c r="C239" s="25" t="s">
        <v>11</v>
      </c>
      <c r="D239" s="4">
        <v>3</v>
      </c>
      <c r="E239" s="32">
        <f>LOOKUP(D239,{0,-2.9,-1.9,-0.9,0.1,1.1,2.1,3.5,4.9,6.3,7.7,9.1,10.5,11.9,13.3,14.7,16.1,18.3,20.5,22.4,24.3},{0,10,20,30,40,50,60,62,64,66,68,70,72,74,76,78,80,85,90,95,100})</f>
        <v>60</v>
      </c>
      <c r="F239" s="4">
        <v>255</v>
      </c>
      <c r="G239" s="32">
        <f>LOOKUP(F239,{0,175,180,185,190,195,200,204,208,212,216,220,224,228,232,236,240,248,255,260,265},{0,10,20,30,40,50,60,62,64,66,68,70,72,74,76,78,80,85,90,95,100})</f>
        <v>90</v>
      </c>
      <c r="H239" s="4">
        <v>13</v>
      </c>
      <c r="I239" s="32">
        <f>LOOKUP(H239,{0,3,4,5,6,7,8,9,10,11,12,13,14,15,16,17},{0,10,20,30,40,50,60,64,68,72,76,80,85,90,95,100})</f>
        <v>80</v>
      </c>
      <c r="K239" s="35"/>
      <c r="L239" s="4">
        <f t="shared" si="23"/>
        <v>80</v>
      </c>
      <c r="M239" s="4">
        <v>6.9</v>
      </c>
      <c r="N239" s="4">
        <f t="shared" si="29"/>
        <v>5.1</v>
      </c>
      <c r="O239" s="32">
        <f>LOOKUP(N239,{0,1.6,1.8,2,2.2,2.4,2.6,2.8,3,3.2,3.4,3.6,3.8,4,4.2,4.4,4.6,4.7,4.8,4.9,5},{0,10,20,30,40,50,60,62,64,66,68,70,72,74,76,78,80,85,90,95,100})</f>
        <v>100</v>
      </c>
      <c r="P239" s="4">
        <v>3.44</v>
      </c>
      <c r="Q239" s="4">
        <f t="shared" si="24"/>
        <v>6.56</v>
      </c>
      <c r="R239" s="32">
        <f>LOOKUP(Q239,{0,3.8,4,4.6,4.8,5,5.6,5.65,5.7,5.75,5.8,5.85,5.9,5.95,6,6.45,6.5,6.58,6.65,6.7,6.75},{0,10,20,30,40,50,60,62,64,66,68,70,72,74,76,78,80,85,90,95,100})</f>
        <v>80</v>
      </c>
      <c r="U239" s="4">
        <f t="shared" si="25"/>
        <v>80</v>
      </c>
      <c r="W239" s="5">
        <f t="shared" si="26"/>
        <v>59</v>
      </c>
      <c r="X239" s="20">
        <f t="shared" si="28"/>
        <v>84.2857142857143</v>
      </c>
    </row>
    <row r="240" ht="15.6" hidden="1" spans="1:24">
      <c r="A240" s="4">
        <v>208</v>
      </c>
      <c r="B240" s="24" t="s">
        <v>409</v>
      </c>
      <c r="C240" s="25" t="s">
        <v>11</v>
      </c>
      <c r="D240" s="4">
        <v>14</v>
      </c>
      <c r="E240" s="32">
        <f>LOOKUP(D240,{0,-2.9,-1.9,-0.9,0.1,1.1,2.1,3.5,4.9,6.3,7.7,9.1,10.5,11.9,13.3,14.7,16.1,18.3,20.5,22.4,24.3},{0,10,20,30,40,50,60,62,64,66,68,70,72,74,76,78,80,85,90,95,100})</f>
        <v>76</v>
      </c>
      <c r="F240" s="4">
        <v>231</v>
      </c>
      <c r="G240" s="32">
        <f>LOOKUP(F240,{0,175,180,185,190,195,200,204,208,212,216,220,224,228,232,236,240,248,255,260,265},{0,10,20,30,40,50,60,62,64,66,68,70,72,74,76,78,80,85,90,95,100})</f>
        <v>74</v>
      </c>
      <c r="H240" s="4">
        <v>12</v>
      </c>
      <c r="I240" s="32">
        <f>LOOKUP(H240,{0,3,4,5,6,7,8,9,10,11,12,13,14,15,16,17},{0,10,20,30,40,50,60,64,68,72,76,80,85,90,95,100})</f>
        <v>76</v>
      </c>
      <c r="L240" s="4">
        <f t="shared" si="23"/>
        <v>76</v>
      </c>
      <c r="M240" s="4">
        <v>7.1</v>
      </c>
      <c r="N240" s="4">
        <f t="shared" si="29"/>
        <v>4.9</v>
      </c>
      <c r="O240" s="32">
        <f>LOOKUP(N240,{0,1.6,1.8,2,2.2,2.4,2.6,2.8,3,3.2,3.4,3.6,3.8,4,4.2,4.4,4.6,4.7,4.8,4.9,5},{0,10,20,30,40,50,60,62,64,66,68,70,72,74,76,78,80,85,90,95,100})</f>
        <v>95</v>
      </c>
      <c r="P240" s="4">
        <v>3.44</v>
      </c>
      <c r="Q240" s="4">
        <f t="shared" si="24"/>
        <v>6.56</v>
      </c>
      <c r="R240" s="32">
        <f>LOOKUP(Q240,{0,3.8,4,4.6,4.8,5,5.6,5.65,5.7,5.75,5.8,5.85,5.9,5.95,6,6.45,6.5,6.58,6.65,6.7,6.75},{0,10,20,30,40,50,60,62,64,66,68,70,72,74,76,78,80,85,90,95,100})</f>
        <v>80</v>
      </c>
      <c r="U240" s="4">
        <f t="shared" si="25"/>
        <v>80</v>
      </c>
      <c r="W240" s="5">
        <f t="shared" si="26"/>
        <v>57.6</v>
      </c>
      <c r="X240" s="20">
        <f t="shared" si="28"/>
        <v>82.2857142857143</v>
      </c>
    </row>
    <row r="241" ht="15.6" hidden="1" spans="1:24">
      <c r="A241" s="4">
        <v>201</v>
      </c>
      <c r="B241" s="33" t="s">
        <v>10</v>
      </c>
      <c r="C241" s="25" t="s">
        <v>11</v>
      </c>
      <c r="D241" s="4">
        <v>12</v>
      </c>
      <c r="E241" s="32">
        <f>LOOKUP(D241,{0,-2.9,-1.9,-0.9,0.1,1.1,2.1,3.5,4.9,6.3,7.7,9.1,10.5,11.9,13.3,14.7,16.1,18.3,20.5,22.4,24.3},{0,10,20,30,40,50,60,62,64,66,68,70,72,74,76,78,80,85,90,95,100})</f>
        <v>74</v>
      </c>
      <c r="F241" s="4">
        <v>260</v>
      </c>
      <c r="G241" s="32">
        <f>LOOKUP(F241,{0,175,180,185,190,195,200,204,208,212,216,220,224,228,232,236,240,248,255,260,265},{0,10,20,30,40,50,60,62,64,66,68,70,72,74,76,78,80,85,90,95,100})</f>
        <v>95</v>
      </c>
      <c r="H241" s="4">
        <v>12</v>
      </c>
      <c r="I241" s="32">
        <f>LOOKUP(H241,{0,3,4,5,6,7,8,9,10,11,12,13,14,15,16,17},{0,10,20,30,40,50,60,64,68,72,76,80,85,90,95,100})</f>
        <v>76</v>
      </c>
      <c r="K241" s="35"/>
      <c r="L241" s="4">
        <f t="shared" si="23"/>
        <v>76</v>
      </c>
      <c r="M241" s="4">
        <v>7.3</v>
      </c>
      <c r="N241" s="4">
        <f t="shared" si="29"/>
        <v>4.7</v>
      </c>
      <c r="O241" s="32">
        <f>LOOKUP(N241,{0,1.6,1.8,2,2.2,2.4,2.6,2.8,3,3.2,3.4,3.6,3.8,4,4.2,4.4,4.6,4.7,4.8,4.9,5},{0,10,20,30,40,50,60,62,64,66,68,70,72,74,76,78,80,85,90,95,100})</f>
        <v>85</v>
      </c>
      <c r="P241" s="4">
        <v>3.44</v>
      </c>
      <c r="Q241" s="4">
        <f t="shared" si="24"/>
        <v>6.56</v>
      </c>
      <c r="R241" s="32">
        <f>LOOKUP(Q241,{0,3.8,4,4.6,4.8,5,5.6,5.65,5.7,5.75,5.8,5.85,5.9,5.95,6,6.45,6.5,6.58,6.65,6.7,6.75},{0,10,20,30,40,50,60,62,64,66,68,70,72,74,76,78,80,85,90,95,100})</f>
        <v>80</v>
      </c>
      <c r="U241" s="4">
        <f t="shared" si="25"/>
        <v>80</v>
      </c>
      <c r="W241" s="5">
        <f t="shared" si="26"/>
        <v>57.5</v>
      </c>
      <c r="X241" s="20">
        <f t="shared" si="28"/>
        <v>82.1428571428572</v>
      </c>
    </row>
    <row r="242" ht="15.6" hidden="1" spans="1:24">
      <c r="A242" s="4">
        <v>206</v>
      </c>
      <c r="B242" s="24" t="s">
        <v>304</v>
      </c>
      <c r="C242" s="25" t="s">
        <v>11</v>
      </c>
      <c r="D242" s="4">
        <v>0</v>
      </c>
      <c r="E242" s="32">
        <f>LOOKUP(D242,{0,-2.9,-1.9,-0.9,0.1,1.1,2.1,3.5,4.9,6.3,7.7,9.1,10.5,11.9,13.3,14.7,16.1,18.3,20.5,22.4,24.3},{0,10,20,30,40,50,60,62,64,66,68,70,72,74,76,78,80,85,90,95,100})</f>
        <v>30</v>
      </c>
      <c r="F242" s="4">
        <v>225</v>
      </c>
      <c r="G242" s="32">
        <f>LOOKUP(F242,{0,175,180,185,190,195,200,204,208,212,216,220,224,228,232,236,240,248,255,260,265},{0,10,20,30,40,50,60,62,64,66,68,70,72,74,76,78,80,85,90,95,100})</f>
        <v>72</v>
      </c>
      <c r="H242" s="4">
        <v>21</v>
      </c>
      <c r="I242" s="32">
        <f>LOOKUP(H242,{0,3,4,5,6,7,8,9,10,11,12,13,14,15,16,17},{0,10,20,30,40,50,60,64,68,72,76,80,85,90,95,100})</f>
        <v>100</v>
      </c>
      <c r="J242" s="4">
        <f>H242-17</f>
        <v>4</v>
      </c>
      <c r="K242" s="34">
        <f>LOOKUP(J242,{0,1,2,3,4,5,6,7,8,9,10},{0,1,2,3,4,5,6,7,8,9,10})</f>
        <v>4</v>
      </c>
      <c r="L242" s="4">
        <f t="shared" si="23"/>
        <v>104</v>
      </c>
      <c r="O242" s="32"/>
      <c r="P242" s="4">
        <v>3.44</v>
      </c>
      <c r="Q242" s="4">
        <f t="shared" si="24"/>
        <v>6.56</v>
      </c>
      <c r="R242" s="32">
        <f>LOOKUP(Q242,{0,3.8,4,4.6,4.8,5,5.6,5.65,5.7,5.75,5.8,5.85,5.9,5.95,6,6.45,6.5,6.58,6.65,6.7,6.75},{0,10,20,30,40,50,60,62,64,66,68,70,72,74,76,78,80,85,90,95,100})</f>
        <v>80</v>
      </c>
      <c r="U242" s="4">
        <f t="shared" si="25"/>
        <v>80</v>
      </c>
      <c r="W242" s="5">
        <f t="shared" si="26"/>
        <v>36.2</v>
      </c>
      <c r="X242" s="20">
        <f t="shared" si="28"/>
        <v>55.7142857142857</v>
      </c>
    </row>
    <row r="243" ht="15.6" hidden="1" spans="1:24">
      <c r="A243" s="4">
        <v>207</v>
      </c>
      <c r="B243" s="33" t="s">
        <v>339</v>
      </c>
      <c r="C243" s="25" t="s">
        <v>11</v>
      </c>
      <c r="D243" s="4">
        <v>21</v>
      </c>
      <c r="E243" s="32">
        <f>LOOKUP(D243,{0,-2.9,-1.9,-0.9,0.1,1.1,2.1,3.5,4.9,6.3,7.7,9.1,10.5,11.9,13.3,14.7,16.1,18.3,20.5,22.4,24.3},{0,10,20,30,40,50,60,62,64,66,68,70,72,74,76,78,80,85,90,95,100})</f>
        <v>90</v>
      </c>
      <c r="F243" s="4">
        <v>258</v>
      </c>
      <c r="G243" s="32">
        <f>LOOKUP(F243,{0,175,180,185,190,195,200,204,208,212,216,220,224,228,232,236,240,248,255,260,265},{0,10,20,30,40,50,60,62,64,66,68,70,72,74,76,78,80,85,90,95,100})</f>
        <v>90</v>
      </c>
      <c r="H243" s="4">
        <v>17</v>
      </c>
      <c r="I243" s="32">
        <f>LOOKUP(H243,{0,3,4,5,6,7,8,9,10,11,12,13,14,15,16,17},{0,10,20,30,40,50,60,64,68,72,76,80,85,90,95,100})</f>
        <v>100</v>
      </c>
      <c r="J243" s="4">
        <f>H243-17</f>
        <v>0</v>
      </c>
      <c r="K243" s="34">
        <f>LOOKUP(J243,{0,1,2,3,4,5,6,7,8,9,10},{0,1,2,3,4,5,6,7,8,9,10})</f>
        <v>0</v>
      </c>
      <c r="L243" s="4">
        <f t="shared" si="23"/>
        <v>100</v>
      </c>
      <c r="M243" s="4">
        <v>6.7</v>
      </c>
      <c r="N243" s="4">
        <f t="shared" ref="N243:N283" si="30">12-M243</f>
        <v>5.3</v>
      </c>
      <c r="O243" s="32">
        <f>LOOKUP(N243,{0,1.6,1.8,2,2.2,2.4,2.6,2.8,3,3.2,3.4,3.6,3.8,4,4.2,4.4,4.6,4.7,4.8,4.9,5},{0,10,20,30,40,50,60,62,64,66,68,70,72,74,76,78,80,85,90,95,100})</f>
        <v>100</v>
      </c>
      <c r="P243" s="4">
        <v>3.45</v>
      </c>
      <c r="Q243" s="4">
        <f t="shared" si="24"/>
        <v>6.55</v>
      </c>
      <c r="R243" s="32">
        <f>LOOKUP(Q243,{0,3.8,4,4.6,4.8,5,5.6,5.65,5.7,5.75,5.8,5.85,5.9,5.95,6,6.45,6.5,6.58,6.65,6.7,6.75},{0,10,20,30,40,50,60,62,64,66,68,70,72,74,76,78,80,85,90,95,100})</f>
        <v>80</v>
      </c>
      <c r="U243" s="4">
        <f t="shared" si="25"/>
        <v>80</v>
      </c>
      <c r="W243" s="5">
        <f t="shared" si="26"/>
        <v>64</v>
      </c>
      <c r="X243" s="20">
        <f t="shared" si="28"/>
        <v>91.4285714285714</v>
      </c>
    </row>
    <row r="244" ht="15.6" hidden="1" spans="1:24">
      <c r="A244" s="4">
        <v>201</v>
      </c>
      <c r="B244" s="24" t="s">
        <v>46</v>
      </c>
      <c r="C244" s="25" t="s">
        <v>11</v>
      </c>
      <c r="D244" s="4">
        <v>8</v>
      </c>
      <c r="E244" s="32">
        <f>LOOKUP(D244,{0,-2.9,-1.9,-0.9,0.1,1.1,2.1,3.5,4.9,6.3,7.7,9.1,10.5,11.9,13.3,14.7,16.1,18.3,20.5,22.4,24.3},{0,10,20,30,40,50,60,62,64,66,68,70,72,74,76,78,80,85,90,95,100})</f>
        <v>68</v>
      </c>
      <c r="F244" s="4">
        <v>255</v>
      </c>
      <c r="G244" s="32">
        <f>LOOKUP(F244,{0,175,180,185,190,195,200,204,208,212,216,220,224,228,232,236,240,248,255,260,265},{0,10,20,30,40,50,60,62,64,66,68,70,72,74,76,78,80,85,90,95,100})</f>
        <v>90</v>
      </c>
      <c r="H244" s="4">
        <v>10</v>
      </c>
      <c r="I244" s="32">
        <f>LOOKUP(H244,{0,3,4,5,6,7,8,9,10,11,12,13,14,15,16,17},{0,10,20,30,40,50,60,64,68,72,76,80,85,90,95,100})</f>
        <v>68</v>
      </c>
      <c r="L244" s="4">
        <f t="shared" si="23"/>
        <v>68</v>
      </c>
      <c r="M244" s="4">
        <v>7</v>
      </c>
      <c r="N244" s="4">
        <f t="shared" si="30"/>
        <v>5</v>
      </c>
      <c r="O244" s="32">
        <f>LOOKUP(N244,{0,1.6,1.8,2,2.2,2.4,2.6,2.8,3,3.2,3.4,3.6,3.8,4,4.2,4.4,4.6,4.7,4.8,4.9,5},{0,10,20,30,40,50,60,62,64,66,68,70,72,74,76,78,80,85,90,95,100})</f>
        <v>100</v>
      </c>
      <c r="P244" s="4">
        <v>3.45</v>
      </c>
      <c r="Q244" s="4">
        <f t="shared" si="24"/>
        <v>6.55</v>
      </c>
      <c r="R244" s="32">
        <f>LOOKUP(Q244,{0,3.8,4,4.6,4.8,5,5.6,5.65,5.7,5.75,5.8,5.85,5.9,5.95,6,6.45,6.5,6.58,6.65,6.7,6.75},{0,10,20,30,40,50,60,62,64,66,68,70,72,74,76,78,80,85,90,95,100})</f>
        <v>80</v>
      </c>
      <c r="U244" s="4">
        <f t="shared" si="25"/>
        <v>80</v>
      </c>
      <c r="W244" s="5">
        <f t="shared" si="26"/>
        <v>58.6</v>
      </c>
      <c r="X244" s="20">
        <f t="shared" si="28"/>
        <v>83.7142857142857</v>
      </c>
    </row>
    <row r="245" ht="15.6" hidden="1" spans="1:24">
      <c r="A245" s="4">
        <v>208</v>
      </c>
      <c r="B245" s="24" t="s">
        <v>411</v>
      </c>
      <c r="C245" s="25" t="s">
        <v>11</v>
      </c>
      <c r="D245" s="4">
        <v>15.9</v>
      </c>
      <c r="E245" s="32">
        <f>LOOKUP(D245,{0,-2.9,-1.9,-0.9,0.1,1.1,2.1,3.5,4.9,6.3,7.7,9.1,10.5,11.9,13.3,14.7,16.1,18.3,20.5,22.4,24.3},{0,10,20,30,40,50,60,62,64,66,68,70,72,74,76,78,80,85,90,95,100})</f>
        <v>78</v>
      </c>
      <c r="F245" s="4">
        <v>265</v>
      </c>
      <c r="G245" s="32">
        <f>LOOKUP(F245,{0,175,180,185,190,195,200,204,208,212,216,220,224,228,232,236,240,248,255,260,265},{0,10,20,30,40,50,60,62,64,66,68,70,72,74,76,78,80,85,90,95,100})</f>
        <v>100</v>
      </c>
      <c r="H245" s="4">
        <v>4</v>
      </c>
      <c r="I245" s="32">
        <f>LOOKUP(H245,{0,3,4,5,6,7,8,9,10,11,12,13,14,15,16,17},{0,10,20,30,40,50,60,64,68,72,76,80,85,90,95,100})</f>
        <v>20</v>
      </c>
      <c r="K245" s="35"/>
      <c r="L245" s="4">
        <f t="shared" si="23"/>
        <v>20</v>
      </c>
      <c r="M245" s="4">
        <v>7</v>
      </c>
      <c r="N245" s="4">
        <f t="shared" si="30"/>
        <v>5</v>
      </c>
      <c r="O245" s="32">
        <f>LOOKUP(N245,{0,1.6,1.8,2,2.2,2.4,2.6,2.8,3,3.2,3.4,3.6,3.8,4,4.2,4.4,4.6,4.7,4.8,4.9,5},{0,10,20,30,40,50,60,62,64,66,68,70,72,74,76,78,80,85,90,95,100})</f>
        <v>100</v>
      </c>
      <c r="P245" s="4">
        <v>3.45</v>
      </c>
      <c r="Q245" s="4">
        <f t="shared" si="24"/>
        <v>6.55</v>
      </c>
      <c r="R245" s="32">
        <f>LOOKUP(Q245,{0,3.8,4,4.6,4.8,5,5.6,5.65,5.7,5.75,5.8,5.85,5.9,5.95,6,6.45,6.5,6.58,6.65,6.7,6.75},{0,10,20,30,40,50,60,62,64,66,68,70,72,74,76,78,80,85,90,95,100})</f>
        <v>80</v>
      </c>
      <c r="U245" s="4">
        <f t="shared" si="25"/>
        <v>80</v>
      </c>
      <c r="W245" s="5">
        <f t="shared" si="26"/>
        <v>55.8</v>
      </c>
      <c r="X245" s="20">
        <f t="shared" si="28"/>
        <v>79.7142857142857</v>
      </c>
    </row>
    <row r="246" s="1" customFormat="1" ht="15.6" spans="1:24">
      <c r="A246" s="4">
        <v>211</v>
      </c>
      <c r="B246" s="24" t="s">
        <v>572</v>
      </c>
      <c r="C246" s="25" t="s">
        <v>11</v>
      </c>
      <c r="D246" s="4">
        <v>21</v>
      </c>
      <c r="E246" s="32">
        <f>LOOKUP(D246,{0,-2.9,-1.9,-0.9,0.1,1.1,2.1,3.5,4.9,6.3,7.7,9.1,10.5,11.9,13.3,14.7,16.1,18.3,20.5,22.4,24.3},{0,10,20,30,40,50,60,62,64,66,68,70,72,74,76,78,80,85,90,95,100})</f>
        <v>90</v>
      </c>
      <c r="F246" s="4">
        <v>238</v>
      </c>
      <c r="G246" s="32">
        <f>LOOKUP(F246,{0,175,180,185,190,195,200,204,208,212,216,220,224,228,232,236,240,248,255,260,265},{0,10,20,30,40,50,60,62,64,66,68,70,72,74,76,78,80,85,90,95,100})</f>
        <v>78</v>
      </c>
      <c r="H246" s="4">
        <v>21</v>
      </c>
      <c r="I246" s="32">
        <f>LOOKUP(H246,{0,3,4,5,6,7,8,9,10,11,12,13,14,15,16,17},{0,10,20,30,40,50,60,64,68,72,76,80,85,90,95,100})</f>
        <v>100</v>
      </c>
      <c r="J246" s="4">
        <f>H246-17</f>
        <v>4</v>
      </c>
      <c r="K246" s="32">
        <f>LOOKUP(J246,{0,1,2,3,4,5,6,7,8,9,10},{0,1,2,3,4,5,6,7,8,9,10})</f>
        <v>4</v>
      </c>
      <c r="L246" s="4">
        <f t="shared" si="23"/>
        <v>104</v>
      </c>
      <c r="M246" s="4">
        <v>7.1</v>
      </c>
      <c r="N246" s="4">
        <f t="shared" si="30"/>
        <v>4.9</v>
      </c>
      <c r="O246" s="32">
        <f>LOOKUP(N246,{0,1.6,1.8,2,2.2,2.4,2.6,2.8,3,3.2,3.4,3.6,3.8,4,4.2,4.4,4.6,4.7,4.8,4.9,5},{0,10,20,30,40,50,60,62,64,66,68,70,72,74,76,78,80,85,90,95,100})</f>
        <v>95</v>
      </c>
      <c r="P246" s="4">
        <v>3.45</v>
      </c>
      <c r="Q246" s="4">
        <f t="shared" si="24"/>
        <v>6.55</v>
      </c>
      <c r="R246" s="32">
        <f>LOOKUP(Q246,{0,3.8,4,4.6,4.8,5,5.6,5.65,5.7,5.75,5.8,5.85,5.9,5.95,6,6.45,6.5,6.58,6.65,6.7,6.75},{0,10,20,30,40,50,60,62,64,66,68,70,72,74,76,78,80,85,90,95,100})</f>
        <v>80</v>
      </c>
      <c r="S246" s="4"/>
      <c r="T246" s="4"/>
      <c r="U246" s="4">
        <f t="shared" si="25"/>
        <v>80</v>
      </c>
      <c r="V246" s="4"/>
      <c r="W246" s="5">
        <f t="shared" si="26"/>
        <v>61.8</v>
      </c>
      <c r="X246" s="20">
        <f t="shared" si="28"/>
        <v>92.2857142857143</v>
      </c>
    </row>
    <row r="247" ht="15.6" hidden="1" spans="1:24">
      <c r="A247" s="4">
        <v>206</v>
      </c>
      <c r="B247" s="24" t="s">
        <v>297</v>
      </c>
      <c r="C247" s="25" t="s">
        <v>11</v>
      </c>
      <c r="D247" s="4">
        <v>8.3</v>
      </c>
      <c r="E247" s="32">
        <f>LOOKUP(D247,{0,-2.9,-1.9,-0.9,0.1,1.1,2.1,3.5,4.9,6.3,7.7,9.1,10.5,11.9,13.3,14.7,16.1,18.3,20.5,22.4,24.3},{0,10,20,30,40,50,60,62,64,66,68,70,72,74,76,78,80,85,90,95,100})</f>
        <v>68</v>
      </c>
      <c r="F247" s="4">
        <v>234</v>
      </c>
      <c r="G247" s="32">
        <f>LOOKUP(F247,{0,175,180,185,190,195,200,204,208,212,216,220,224,228,232,236,240,248,255,260,265},{0,10,20,30,40,50,60,62,64,66,68,70,72,74,76,78,80,85,90,95,100})</f>
        <v>76</v>
      </c>
      <c r="H247" s="4">
        <v>3</v>
      </c>
      <c r="I247" s="32">
        <f>LOOKUP(H247,{0,3,4,5,6,7,8,9,10,11,12,13,14,15,16,17},{0,10,20,30,40,50,60,64,68,72,76,80,85,90,95,100})</f>
        <v>10</v>
      </c>
      <c r="L247" s="4">
        <f t="shared" si="23"/>
        <v>10</v>
      </c>
      <c r="M247" s="4">
        <v>7.2</v>
      </c>
      <c r="N247" s="4">
        <f t="shared" si="30"/>
        <v>4.8</v>
      </c>
      <c r="O247" s="32">
        <f>LOOKUP(N247,{0,1.6,1.8,2,2.2,2.4,2.6,2.8,3,3.2,3.4,3.6,3.8,4,4.2,4.4,4.6,4.7,4.8,4.9,5},{0,10,20,30,40,50,60,62,64,66,68,70,72,74,76,78,80,85,90,95,100})</f>
        <v>90</v>
      </c>
      <c r="P247" s="4">
        <v>3.45</v>
      </c>
      <c r="Q247" s="4">
        <f t="shared" si="24"/>
        <v>6.55</v>
      </c>
      <c r="R247" s="32">
        <f>LOOKUP(Q247,{0,3.8,4,4.6,4.8,5,5.6,5.65,5.7,5.75,5.8,5.85,5.9,5.95,6,6.45,6.5,6.58,6.65,6.7,6.75},{0,10,20,30,40,50,60,62,64,66,68,70,72,74,76,78,80,85,90,95,100})</f>
        <v>80</v>
      </c>
      <c r="U247" s="4">
        <f t="shared" si="25"/>
        <v>80</v>
      </c>
      <c r="W247" s="5">
        <f t="shared" si="26"/>
        <v>49.4</v>
      </c>
      <c r="X247" s="20">
        <f t="shared" si="28"/>
        <v>70.5714285714286</v>
      </c>
    </row>
    <row r="248" ht="15.6" hidden="1" spans="1:24">
      <c r="A248" s="4">
        <v>202</v>
      </c>
      <c r="B248" s="24" t="s">
        <v>73</v>
      </c>
      <c r="C248" s="25" t="s">
        <v>11</v>
      </c>
      <c r="D248" s="4">
        <v>13</v>
      </c>
      <c r="E248" s="32">
        <f>LOOKUP(D248,{0,-2.9,-1.9,-0.9,0.1,1.1,2.1,3.5,4.9,6.3,7.7,9.1,10.5,11.9,13.3,14.7,16.1,18.3,20.5,22.4,24.3},{0,10,20,30,40,50,60,62,64,66,68,70,72,74,76,78,80,85,90,95,100})</f>
        <v>74</v>
      </c>
      <c r="F248" s="4">
        <v>251</v>
      </c>
      <c r="G248" s="32">
        <f>LOOKUP(F248,{0,175,180,185,190,195,200,204,208,212,216,220,224,228,232,236,240,248,255,260,265},{0,10,20,30,40,50,60,62,64,66,68,70,72,74,76,78,80,85,90,95,100})</f>
        <v>85</v>
      </c>
      <c r="H248" s="4">
        <v>8</v>
      </c>
      <c r="I248" s="32">
        <f>LOOKUP(H248,{0,3,4,5,6,7,8,9,10,11,12,13,14,15,16,17},{0,10,20,30,40,50,60,64,68,72,76,80,85,90,95,100})</f>
        <v>60</v>
      </c>
      <c r="L248" s="4">
        <f t="shared" si="23"/>
        <v>60</v>
      </c>
      <c r="M248" s="4">
        <v>7.4</v>
      </c>
      <c r="N248" s="4">
        <f t="shared" si="30"/>
        <v>4.6</v>
      </c>
      <c r="O248" s="32">
        <f>LOOKUP(N248,{0,1.6,1.8,2,2.2,2.4,2.6,2.8,3,3.2,3.4,3.6,3.8,4,4.2,4.4,4.6,4.7,4.8,4.9,5},{0,10,20,30,40,50,60,62,64,66,68,70,72,74,76,78,80,85,90,95,100})</f>
        <v>80</v>
      </c>
      <c r="P248" s="4">
        <v>3.45</v>
      </c>
      <c r="Q248" s="4">
        <f t="shared" si="24"/>
        <v>6.55</v>
      </c>
      <c r="R248" s="32">
        <f>LOOKUP(Q248,{0,3.8,4,4.6,4.8,5,5.6,5.65,5.7,5.75,5.8,5.85,5.9,5.95,6,6.45,6.5,6.58,6.65,6.7,6.75},{0,10,20,30,40,50,60,62,64,66,68,70,72,74,76,78,80,85,90,95,100})</f>
        <v>80</v>
      </c>
      <c r="U248" s="4">
        <f t="shared" si="25"/>
        <v>80</v>
      </c>
      <c r="W248" s="5">
        <f t="shared" si="26"/>
        <v>53.9</v>
      </c>
      <c r="X248" s="20">
        <f t="shared" si="28"/>
        <v>77</v>
      </c>
    </row>
    <row r="249" ht="15.6" hidden="1" spans="1:24">
      <c r="A249" s="4">
        <v>210</v>
      </c>
      <c r="B249" s="24" t="s">
        <v>522</v>
      </c>
      <c r="C249" s="25" t="s">
        <v>11</v>
      </c>
      <c r="D249" s="4">
        <v>22</v>
      </c>
      <c r="E249" s="32">
        <f>LOOKUP(D249,{0,-2.9,-1.9,-0.9,0.1,1.1,2.1,3.5,4.9,6.3,7.7,9.1,10.5,11.9,13.3,14.7,16.1,18.3,20.5,22.4,24.3},{0,10,20,30,40,50,60,62,64,66,68,70,72,74,76,78,80,85,90,95,100})</f>
        <v>90</v>
      </c>
      <c r="F249" s="4">
        <v>251</v>
      </c>
      <c r="G249" s="32">
        <f>LOOKUP(F249,{0,175,180,185,190,195,200,204,208,212,216,220,224,228,232,236,240,248,255,260,265},{0,10,20,30,40,50,60,62,64,66,68,70,72,74,76,78,80,85,90,95,100})</f>
        <v>85</v>
      </c>
      <c r="H249" s="4">
        <v>18</v>
      </c>
      <c r="I249" s="32">
        <f>LOOKUP(H249,{0,3,4,5,6,7,8,9,10,11,12,13,14,15,16,17},{0,10,20,30,40,50,60,64,68,72,76,80,85,90,95,100})</f>
        <v>100</v>
      </c>
      <c r="J249" s="4">
        <f>H249-17</f>
        <v>1</v>
      </c>
      <c r="K249" s="32">
        <f>LOOKUP(J249,{0,1,2,3,4,5,6,7,8,9,10},{0,1,2,3,4,5,6,7,8,9,10})</f>
        <v>1</v>
      </c>
      <c r="L249" s="4">
        <f t="shared" si="23"/>
        <v>101</v>
      </c>
      <c r="M249" s="4">
        <v>7.5</v>
      </c>
      <c r="N249" s="4">
        <f t="shared" si="30"/>
        <v>4.5</v>
      </c>
      <c r="O249" s="32">
        <f>LOOKUP(N249,{0,1.6,1.8,2,2.2,2.4,2.6,2.8,3,3.2,3.4,3.6,3.8,4,4.2,4.4,4.6,4.7,4.8,4.9,5},{0,10,20,30,40,50,60,62,64,66,68,70,72,74,76,78,80,85,90,95,100})</f>
        <v>78</v>
      </c>
      <c r="P249" s="4">
        <v>3.45</v>
      </c>
      <c r="Q249" s="4">
        <f t="shared" si="24"/>
        <v>6.55</v>
      </c>
      <c r="R249" s="32">
        <f>LOOKUP(Q249,{0,3.8,4,4.6,4.8,5,5.6,5.65,5.7,5.75,5.8,5.85,5.9,5.95,6,6.45,6.5,6.58,6.65,6.7,6.75},{0,10,20,30,40,50,60,62,64,66,68,70,72,74,76,78,80,85,90,95,100})</f>
        <v>80</v>
      </c>
      <c r="U249" s="4">
        <f t="shared" si="25"/>
        <v>80</v>
      </c>
      <c r="W249" s="5">
        <f t="shared" si="26"/>
        <v>59.1</v>
      </c>
      <c r="X249" s="20">
        <f t="shared" si="28"/>
        <v>85.4285714285714</v>
      </c>
    </row>
    <row r="250" ht="15.6" hidden="1" spans="1:24">
      <c r="A250" s="4">
        <v>201</v>
      </c>
      <c r="B250" s="24" t="s">
        <v>41</v>
      </c>
      <c r="C250" s="25" t="s">
        <v>11</v>
      </c>
      <c r="D250" s="4">
        <v>14.1</v>
      </c>
      <c r="E250" s="32">
        <f>LOOKUP(D250,{0,-2.9,-1.9,-0.9,0.1,1.1,2.1,3.5,4.9,6.3,7.7,9.1,10.5,11.9,13.3,14.7,16.1,18.3,20.5,22.4,24.3},{0,10,20,30,40,50,60,62,64,66,68,70,72,74,76,78,80,85,90,95,100})</f>
        <v>76</v>
      </c>
      <c r="F250" s="4">
        <v>232</v>
      </c>
      <c r="G250" s="32">
        <f>LOOKUP(F250,{0,175,180,185,190,195,200,204,208,212,216,220,224,228,232,236,240,248,255,260,265},{0,10,20,30,40,50,60,62,64,66,68,70,72,74,76,78,80,85,90,95,100})</f>
        <v>76</v>
      </c>
      <c r="H250" s="4">
        <v>3</v>
      </c>
      <c r="I250" s="32">
        <f>LOOKUP(H250,{0,3,4,5,6,7,8,9,10,11,12,13,14,15,16,17},{0,10,20,30,40,50,60,64,68,72,76,80,85,90,95,100})</f>
        <v>10</v>
      </c>
      <c r="L250" s="4">
        <f t="shared" si="23"/>
        <v>10</v>
      </c>
      <c r="M250" s="4">
        <v>7.5</v>
      </c>
      <c r="N250" s="4">
        <f t="shared" si="30"/>
        <v>4.5</v>
      </c>
      <c r="O250" s="32">
        <f>LOOKUP(N250,{0,1.6,1.8,2,2.2,2.4,2.6,2.8,3,3.2,3.4,3.6,3.8,4,4.2,4.4,4.6,4.7,4.8,4.9,5},{0,10,20,30,40,50,60,62,64,66,68,70,72,74,76,78,80,85,90,95,100})</f>
        <v>78</v>
      </c>
      <c r="P250" s="4">
        <v>3.45</v>
      </c>
      <c r="Q250" s="4">
        <f t="shared" si="24"/>
        <v>6.55</v>
      </c>
      <c r="R250" s="32">
        <f>LOOKUP(Q250,{0,3.8,4,4.6,4.8,5,5.6,5.65,5.7,5.75,5.8,5.85,5.9,5.95,6,6.45,6.5,6.58,6.65,6.7,6.75},{0,10,20,30,40,50,60,62,64,66,68,70,72,74,76,78,80,85,90,95,100})</f>
        <v>80</v>
      </c>
      <c r="U250" s="4">
        <f t="shared" si="25"/>
        <v>80</v>
      </c>
      <c r="W250" s="5">
        <f t="shared" si="26"/>
        <v>47.8</v>
      </c>
      <c r="X250" s="20">
        <f t="shared" si="28"/>
        <v>68.2857142857143</v>
      </c>
    </row>
    <row r="251" ht="15.6" hidden="1" spans="1:24">
      <c r="A251" s="4">
        <v>202</v>
      </c>
      <c r="B251" s="24" t="s">
        <v>85</v>
      </c>
      <c r="C251" s="25" t="s">
        <v>11</v>
      </c>
      <c r="D251" s="4">
        <v>12</v>
      </c>
      <c r="E251" s="32">
        <f>LOOKUP(D251,{0,-2.9,-1.9,-0.9,0.1,1.1,2.1,3.5,4.9,6.3,7.7,9.1,10.5,11.9,13.3,14.7,16.1,18.3,20.5,22.4,24.3},{0,10,20,30,40,50,60,62,64,66,68,70,72,74,76,78,80,85,90,95,100})</f>
        <v>74</v>
      </c>
      <c r="F251" s="4">
        <v>265</v>
      </c>
      <c r="G251" s="32">
        <f>LOOKUP(F251,{0,175,180,185,190,195,200,204,208,212,216,220,224,228,232,236,240,248,255,260,265},{0,10,20,30,40,50,60,62,64,66,68,70,72,74,76,78,80,85,90,95,100})</f>
        <v>100</v>
      </c>
      <c r="H251" s="4">
        <v>8</v>
      </c>
      <c r="I251" s="32">
        <f>LOOKUP(H251,{0,3,4,5,6,7,8,9,10,11,12,13,14,15,16,17},{0,10,20,30,40,50,60,64,68,72,76,80,85,90,95,100})</f>
        <v>60</v>
      </c>
      <c r="L251" s="4">
        <f t="shared" si="23"/>
        <v>60</v>
      </c>
      <c r="M251" s="4">
        <v>6.8</v>
      </c>
      <c r="N251" s="4">
        <f t="shared" si="30"/>
        <v>5.2</v>
      </c>
      <c r="O251" s="32">
        <f>LOOKUP(N251,{0,1.6,1.8,2,2.2,2.4,2.6,2.8,3,3.2,3.4,3.6,3.8,4,4.2,4.4,4.6,4.7,4.8,4.9,5},{0,10,20,30,40,50,60,62,64,66,68,70,72,74,76,78,80,85,90,95,100})</f>
        <v>100</v>
      </c>
      <c r="P251" s="4">
        <v>3.46</v>
      </c>
      <c r="Q251" s="4">
        <f t="shared" si="24"/>
        <v>6.54</v>
      </c>
      <c r="R251" s="32">
        <f>LOOKUP(Q251,{0,3.8,4,4.6,4.8,5,5.6,5.65,5.7,5.75,5.8,5.85,5.9,5.95,6,6.45,6.5,6.58,6.65,6.7,6.75},{0,10,20,30,40,50,60,62,64,66,68,70,72,74,76,78,80,85,90,95,100})</f>
        <v>80</v>
      </c>
      <c r="U251" s="4">
        <f t="shared" si="25"/>
        <v>80</v>
      </c>
      <c r="W251" s="5">
        <f t="shared" si="26"/>
        <v>59.4</v>
      </c>
      <c r="X251" s="20">
        <f t="shared" si="28"/>
        <v>84.8571428571429</v>
      </c>
    </row>
    <row r="252" ht="15.6" hidden="1" spans="1:24">
      <c r="A252" s="4">
        <v>213</v>
      </c>
      <c r="B252" s="24" t="s">
        <v>674</v>
      </c>
      <c r="C252" s="25" t="s">
        <v>11</v>
      </c>
      <c r="D252" s="4">
        <v>9.7</v>
      </c>
      <c r="E252" s="32">
        <f>LOOKUP(D252,{0,-2.9,-1.9,-0.9,0.1,1.1,2.1,3.5,4.9,6.3,7.7,9.1,10.5,11.9,13.3,14.7,16.1,18.3,20.5,22.4,24.3},{0,10,20,30,40,50,60,62,64,66,68,70,72,74,76,78,80,85,90,95,100})</f>
        <v>70</v>
      </c>
      <c r="F252" s="4">
        <v>258</v>
      </c>
      <c r="G252" s="32">
        <f>LOOKUP(F252,{0,175,180,185,190,195,200,204,208,212,216,220,224,228,232,236,240,248,255,260,265},{0,10,20,30,40,50,60,62,64,66,68,70,72,74,76,78,80,85,90,95,100})</f>
        <v>90</v>
      </c>
      <c r="H252" s="4">
        <v>29</v>
      </c>
      <c r="I252" s="32">
        <f>LOOKUP(H252,{0,3,4,5,6,7,8,9,10,11,12,13,14,15,16,17},{0,10,20,30,40,50,60,64,68,72,76,80,85,90,95,100})</f>
        <v>100</v>
      </c>
      <c r="J252" s="4">
        <f>H252-17</f>
        <v>12</v>
      </c>
      <c r="K252" s="32">
        <f>LOOKUP(J252,{0,1,2,3,4,5,6,7,8,9,10},{0,1,2,3,4,5,6,7,8,9,10})</f>
        <v>10</v>
      </c>
      <c r="L252" s="4">
        <f t="shared" si="23"/>
        <v>110</v>
      </c>
      <c r="M252" s="4">
        <v>7</v>
      </c>
      <c r="N252" s="4">
        <f t="shared" si="30"/>
        <v>5</v>
      </c>
      <c r="O252" s="32">
        <f>LOOKUP(N252,{0,1.6,1.8,2,2.2,2.4,2.6,2.8,3,3.2,3.4,3.6,3.8,4,4.2,4.4,4.6,4.7,4.8,4.9,5},{0,10,20,30,40,50,60,62,64,66,68,70,72,74,76,78,80,85,90,95,100})</f>
        <v>100</v>
      </c>
      <c r="P252" s="4">
        <v>3.46</v>
      </c>
      <c r="Q252" s="4">
        <f t="shared" si="24"/>
        <v>6.54</v>
      </c>
      <c r="R252" s="32">
        <f>LOOKUP(Q252,{0,3.8,4,4.6,4.8,5,5.6,5.65,5.7,5.75,5.8,5.85,5.9,5.95,6,6.45,6.5,6.58,6.65,6.7,6.75},{0,10,20,30,40,50,60,62,64,66,68,70,72,74,76,78,80,85,90,95,100})</f>
        <v>80</v>
      </c>
      <c r="U252" s="4">
        <f t="shared" si="25"/>
        <v>80</v>
      </c>
      <c r="W252" s="5">
        <f t="shared" si="26"/>
        <v>62</v>
      </c>
      <c r="X252" s="20">
        <f t="shared" si="28"/>
        <v>98.5714285714286</v>
      </c>
    </row>
    <row r="253" ht="15.6" hidden="1" spans="1:24">
      <c r="A253" s="4">
        <v>207</v>
      </c>
      <c r="B253" s="24" t="s">
        <v>344</v>
      </c>
      <c r="C253" s="25" t="s">
        <v>11</v>
      </c>
      <c r="D253" s="4">
        <v>19.5</v>
      </c>
      <c r="E253" s="32">
        <f>LOOKUP(D253,{0,-2.9,-1.9,-0.9,0.1,1.1,2.1,3.5,4.9,6.3,7.7,9.1,10.5,11.9,13.3,14.7,16.1,18.3,20.5,22.4,24.3},{0,10,20,30,40,50,60,62,64,66,68,70,72,74,76,78,80,85,90,95,100})</f>
        <v>85</v>
      </c>
      <c r="F253" s="4">
        <v>243</v>
      </c>
      <c r="G253" s="32">
        <f>LOOKUP(F253,{0,175,180,185,190,195,200,204,208,212,216,220,224,228,232,236,240,248,255,260,265},{0,10,20,30,40,50,60,62,64,66,68,70,72,74,76,78,80,85,90,95,100})</f>
        <v>80</v>
      </c>
      <c r="H253" s="4">
        <v>21</v>
      </c>
      <c r="I253" s="32">
        <f>LOOKUP(H253,{0,3,4,5,6,7,8,9,10,11,12,13,14,15,16,17},{0,10,20,30,40,50,60,64,68,72,76,80,85,90,95,100})</f>
        <v>100</v>
      </c>
      <c r="J253" s="4">
        <f>H253-17</f>
        <v>4</v>
      </c>
      <c r="K253" s="32">
        <f>LOOKUP(J253,{0,1,2,3,4,5,6,7,8,9,10},{0,1,2,3,4,5,6,7,8,9,10})</f>
        <v>4</v>
      </c>
      <c r="L253" s="4">
        <f t="shared" si="23"/>
        <v>104</v>
      </c>
      <c r="M253" s="4">
        <v>7.2</v>
      </c>
      <c r="N253" s="4">
        <f t="shared" si="30"/>
        <v>4.8</v>
      </c>
      <c r="O253" s="32">
        <f>LOOKUP(N253,{0,1.6,1.8,2,2.2,2.4,2.6,2.8,3,3.2,3.4,3.6,3.8,4,4.2,4.4,4.6,4.7,4.8,4.9,5},{0,10,20,30,40,50,60,62,64,66,68,70,72,74,76,78,80,85,90,95,100})</f>
        <v>90</v>
      </c>
      <c r="P253" s="4">
        <v>3.46</v>
      </c>
      <c r="Q253" s="4">
        <f t="shared" si="24"/>
        <v>6.54</v>
      </c>
      <c r="R253" s="32">
        <f>LOOKUP(Q253,{0,3.8,4,4.6,4.8,5,5.6,5.65,5.7,5.75,5.8,5.85,5.9,5.95,6,6.45,6.5,6.58,6.65,6.7,6.75},{0,10,20,30,40,50,60,62,64,66,68,70,72,74,76,78,80,85,90,95,100})</f>
        <v>80</v>
      </c>
      <c r="U253" s="4">
        <f t="shared" si="25"/>
        <v>80</v>
      </c>
      <c r="W253" s="5">
        <f t="shared" si="26"/>
        <v>60.5</v>
      </c>
      <c r="X253" s="20">
        <f t="shared" si="28"/>
        <v>90.4285714285714</v>
      </c>
    </row>
    <row r="254" ht="15.6" hidden="1" spans="1:24">
      <c r="A254" s="4">
        <v>203</v>
      </c>
      <c r="B254" s="24" t="s">
        <v>132</v>
      </c>
      <c r="C254" s="25" t="s">
        <v>11</v>
      </c>
      <c r="D254" s="4">
        <v>5.4</v>
      </c>
      <c r="E254" s="32">
        <f>LOOKUP(D254,{0,-2.9,-1.9,-0.9,0.1,1.1,2.1,3.5,4.9,6.3,7.7,9.1,10.5,11.9,13.3,14.7,16.1,18.3,20.5,22.4,24.3},{0,10,20,30,40,50,60,62,64,66,68,70,72,74,76,78,80,85,90,95,100})</f>
        <v>64</v>
      </c>
      <c r="F254" s="4">
        <v>246</v>
      </c>
      <c r="G254" s="32">
        <f>LOOKUP(F254,{0,175,180,185,190,195,200,204,208,212,216,220,224,228,232,236,240,248,255,260,265},{0,10,20,30,40,50,60,62,64,66,68,70,72,74,76,78,80,85,90,95,100})</f>
        <v>80</v>
      </c>
      <c r="H254" s="4">
        <v>16</v>
      </c>
      <c r="I254" s="32">
        <f>LOOKUP(H254,{0,3,4,5,6,7,8,9,10,11,12,13,14,15,16,17},{0,10,20,30,40,50,60,64,68,72,76,80,85,90,95,100})</f>
        <v>95</v>
      </c>
      <c r="K254" s="35"/>
      <c r="L254" s="4">
        <f t="shared" si="23"/>
        <v>95</v>
      </c>
      <c r="M254" s="4">
        <v>7.3</v>
      </c>
      <c r="N254" s="4">
        <f t="shared" si="30"/>
        <v>4.7</v>
      </c>
      <c r="O254" s="32">
        <f>LOOKUP(N254,{0,1.6,1.8,2,2.2,2.4,2.6,2.8,3,3.2,3.4,3.6,3.8,4,4.2,4.4,4.6,4.7,4.8,4.9,5},{0,10,20,30,40,50,60,62,64,66,68,70,72,74,76,78,80,85,90,95,100})</f>
        <v>85</v>
      </c>
      <c r="P254" s="4">
        <v>3.46</v>
      </c>
      <c r="Q254" s="4">
        <f t="shared" si="24"/>
        <v>6.54</v>
      </c>
      <c r="R254" s="32">
        <f>LOOKUP(Q254,{0,3.8,4,4.6,4.8,5,5.6,5.65,5.7,5.75,5.8,5.85,5.9,5.95,6,6.45,6.5,6.58,6.65,6.7,6.75},{0,10,20,30,40,50,60,62,64,66,68,70,72,74,76,78,80,85,90,95,100})</f>
        <v>80</v>
      </c>
      <c r="U254" s="4">
        <f t="shared" si="25"/>
        <v>80</v>
      </c>
      <c r="W254" s="5">
        <f t="shared" si="26"/>
        <v>56.9</v>
      </c>
      <c r="X254" s="20">
        <f t="shared" si="28"/>
        <v>81.2857142857143</v>
      </c>
    </row>
    <row r="255" ht="15.6" hidden="1" spans="1:24">
      <c r="A255" s="4">
        <v>208</v>
      </c>
      <c r="B255" s="24" t="s">
        <v>382</v>
      </c>
      <c r="C255" s="25" t="s">
        <v>11</v>
      </c>
      <c r="D255" s="4">
        <v>14.5</v>
      </c>
      <c r="E255" s="32">
        <f>LOOKUP(D255,{0,-2.9,-1.9,-0.9,0.1,1.1,2.1,3.5,4.9,6.3,7.7,9.1,10.5,11.9,13.3,14.7,16.1,18.3,20.5,22.4,24.3},{0,10,20,30,40,50,60,62,64,66,68,70,72,74,76,78,80,85,90,95,100})</f>
        <v>76</v>
      </c>
      <c r="F255" s="4">
        <v>229</v>
      </c>
      <c r="G255" s="32">
        <f>LOOKUP(F255,{0,175,180,185,190,195,200,204,208,212,216,220,224,228,232,236,240,248,255,260,265},{0,10,20,30,40,50,60,62,64,66,68,70,72,74,76,78,80,85,90,95,100})</f>
        <v>74</v>
      </c>
      <c r="H255" s="4">
        <v>14</v>
      </c>
      <c r="I255" s="32">
        <f>LOOKUP(H255,{0,3,4,5,6,7,8,9,10,11,12,13,14,15,16,17},{0,10,20,30,40,50,60,64,68,72,76,80,85,90,95,100})</f>
        <v>85</v>
      </c>
      <c r="L255" s="4">
        <f t="shared" si="23"/>
        <v>85</v>
      </c>
      <c r="M255" s="4">
        <v>7.5</v>
      </c>
      <c r="N255" s="4">
        <f t="shared" si="30"/>
        <v>4.5</v>
      </c>
      <c r="O255" s="32">
        <f>LOOKUP(N255,{0,1.6,1.8,2,2.2,2.4,2.6,2.8,3,3.2,3.4,3.6,3.8,4,4.2,4.4,4.6,4.7,4.8,4.9,5},{0,10,20,30,40,50,60,62,64,66,68,70,72,74,76,78,80,85,90,95,100})</f>
        <v>78</v>
      </c>
      <c r="P255" s="4">
        <v>3.46</v>
      </c>
      <c r="Q255" s="4">
        <f t="shared" si="24"/>
        <v>6.54</v>
      </c>
      <c r="R255" s="32">
        <f>LOOKUP(Q255,{0,3.8,4,4.6,4.8,5,5.6,5.65,5.7,5.75,5.8,5.85,5.9,5.95,6,6.45,6.5,6.58,6.65,6.7,6.75},{0,10,20,30,40,50,60,62,64,66,68,70,72,74,76,78,80,85,90,95,100})</f>
        <v>80</v>
      </c>
      <c r="U255" s="4">
        <f t="shared" si="25"/>
        <v>80</v>
      </c>
      <c r="W255" s="5">
        <f t="shared" si="26"/>
        <v>55.1</v>
      </c>
      <c r="X255" s="20">
        <f t="shared" si="28"/>
        <v>78.7142857142857</v>
      </c>
    </row>
    <row r="256" s="30" customFormat="1" ht="15.6" spans="1:24">
      <c r="A256" s="40">
        <v>211</v>
      </c>
      <c r="B256" s="41" t="s">
        <v>557</v>
      </c>
      <c r="C256" s="42" t="s">
        <v>11</v>
      </c>
      <c r="D256" s="40">
        <v>13.8</v>
      </c>
      <c r="E256" s="43">
        <f>LOOKUP(D256,{0,-2.9,-1.9,-0.9,0.1,1.1,2.1,3.5,4.9,6.3,7.7,9.1,10.5,11.9,13.3,14.7,16.1,18.3,20.5,22.4,24.3},{0,10,20,30,40,50,60,62,64,66,68,70,72,74,76,78,80,85,90,95,100})</f>
        <v>76</v>
      </c>
      <c r="F256" s="40">
        <v>257</v>
      </c>
      <c r="G256" s="43">
        <f>LOOKUP(F256,{0,175,180,185,190,195,200,204,208,212,216,220,224,228,232,236,240,248,255,260,265},{0,10,20,30,40,50,60,62,64,66,68,70,72,74,76,78,80,85,90,95,100})</f>
        <v>90</v>
      </c>
      <c r="H256" s="40">
        <v>40</v>
      </c>
      <c r="I256" s="43">
        <f>LOOKUP(H256,{0,3,4,5,6,7,8,9,10,11,12,13,14,15,16,17},{0,10,20,30,40,50,60,64,68,72,76,80,85,90,95,100})</f>
        <v>100</v>
      </c>
      <c r="J256" s="40">
        <f>H256-17</f>
        <v>23</v>
      </c>
      <c r="K256" s="43">
        <f>LOOKUP(J256,{0,1,2,3,4,5,6,7,8,9,10},{0,1,2,3,4,5,6,7,8,9,10})</f>
        <v>10</v>
      </c>
      <c r="L256" s="40">
        <f t="shared" si="23"/>
        <v>110</v>
      </c>
      <c r="M256" s="40">
        <v>7.2</v>
      </c>
      <c r="N256" s="40">
        <f t="shared" si="30"/>
        <v>4.8</v>
      </c>
      <c r="O256" s="43">
        <f>LOOKUP(N256,{0,1.6,1.8,2,2.2,2.4,2.6,2.8,3,3.2,3.4,3.6,3.8,4,4.2,4.4,4.6,4.7,4.8,4.9,5},{0,10,20,30,40,50,60,62,64,66,68,70,72,74,76,78,80,85,90,95,100})</f>
        <v>90</v>
      </c>
      <c r="P256" s="40">
        <v>3.41</v>
      </c>
      <c r="Q256" s="40">
        <f t="shared" si="24"/>
        <v>6.59</v>
      </c>
      <c r="R256" s="43">
        <f>LOOKUP(Q256,{0,3.8,4,4.6,4.8,5,5.6,5.65,5.7,5.75,5.8,5.85,5.9,5.95,6,6.45,6.5,6.58,6.65,6.7,6.75},{0,10,20,30,40,50,60,62,64,66,68,70,72,74,76,78,80,85,90,95,100})</f>
        <v>85</v>
      </c>
      <c r="S256" s="40"/>
      <c r="T256" s="40"/>
      <c r="U256" s="40">
        <f t="shared" si="25"/>
        <v>85</v>
      </c>
      <c r="V256" s="40"/>
      <c r="W256" s="30">
        <f t="shared" si="26"/>
        <v>61.6</v>
      </c>
      <c r="X256" s="23">
        <f t="shared" si="28"/>
        <v>98</v>
      </c>
    </row>
    <row r="257" s="29" customFormat="1" ht="15.6" hidden="1" spans="1:24">
      <c r="A257" s="4">
        <v>201</v>
      </c>
      <c r="B257" s="24" t="s">
        <v>12</v>
      </c>
      <c r="C257" s="25" t="s">
        <v>11</v>
      </c>
      <c r="D257" s="4">
        <v>13</v>
      </c>
      <c r="E257" s="32">
        <f>LOOKUP(D257,{0,-2.9,-1.9,-0.9,0.1,1.1,2.1,3.5,4.9,6.3,7.7,9.1,10.5,11.9,13.3,14.7,16.1,18.3,20.5,22.4,24.3},{0,10,20,30,40,50,60,62,64,66,68,70,72,74,76,78,80,85,90,95,100})</f>
        <v>74</v>
      </c>
      <c r="F257" s="4">
        <v>257</v>
      </c>
      <c r="G257" s="32">
        <f>LOOKUP(F257,{0,175,180,185,190,195,200,204,208,212,216,220,224,228,232,236,240,248,255,260,265},{0,10,20,30,40,50,60,62,64,66,68,70,72,74,76,78,80,85,90,95,100})</f>
        <v>90</v>
      </c>
      <c r="H257" s="4">
        <v>27</v>
      </c>
      <c r="I257" s="32">
        <f>LOOKUP(H257,{0,3,4,5,6,7,8,9,10,11,12,13,14,15,16,17},{0,10,20,30,40,50,60,64,68,72,76,80,85,90,95,100})</f>
        <v>100</v>
      </c>
      <c r="J257" s="4">
        <f>H257-17</f>
        <v>10</v>
      </c>
      <c r="K257" s="32">
        <f>LOOKUP(J257,{0,1,2,3,4,5,6,7,8,9,10},{0,1,2,3,4,5,6,7,8,9,10})</f>
        <v>10</v>
      </c>
      <c r="L257" s="4">
        <f t="shared" si="23"/>
        <v>110</v>
      </c>
      <c r="M257" s="4">
        <v>7.3</v>
      </c>
      <c r="N257" s="4">
        <f t="shared" si="30"/>
        <v>4.7</v>
      </c>
      <c r="O257" s="32">
        <f>LOOKUP(N257,{0,1.6,1.8,2,2.2,2.4,2.6,2.8,3,3.2,3.4,3.6,3.8,4,4.2,4.4,4.6,4.7,4.8,4.9,5},{0,10,20,30,40,50,60,62,64,66,68,70,72,74,76,78,80,85,90,95,100})</f>
        <v>85</v>
      </c>
      <c r="P257" s="4">
        <v>3.47</v>
      </c>
      <c r="Q257" s="4">
        <f t="shared" si="24"/>
        <v>6.53</v>
      </c>
      <c r="R257" s="32">
        <f>LOOKUP(Q257,{0,3.8,4,4.6,4.8,5,5.6,5.65,5.7,5.75,5.8,5.85,5.9,5.95,6,6.45,6.5,6.58,6.65,6.7,6.75},{0,10,20,30,40,50,60,62,64,66,68,70,72,74,76,78,80,85,90,95,100})</f>
        <v>80</v>
      </c>
      <c r="S257" s="4"/>
      <c r="T257" s="4"/>
      <c r="U257" s="4">
        <f t="shared" si="25"/>
        <v>80</v>
      </c>
      <c r="V257" s="4"/>
      <c r="W257" s="5">
        <f t="shared" si="26"/>
        <v>59.4</v>
      </c>
      <c r="X257" s="20">
        <f t="shared" si="28"/>
        <v>94.8571428571429</v>
      </c>
    </row>
    <row r="258" s="1" customFormat="1" ht="15.6" hidden="1" spans="1:24">
      <c r="A258" s="4">
        <v>208</v>
      </c>
      <c r="B258" s="24" t="s">
        <v>404</v>
      </c>
      <c r="C258" s="25" t="s">
        <v>11</v>
      </c>
      <c r="D258" s="4">
        <v>30</v>
      </c>
      <c r="E258" s="32">
        <f>LOOKUP(D258,{0,-2.9,-1.9,-0.9,0.1,1.1,2.1,3.5,4.9,6.3,7.7,9.1,10.5,11.9,13.3,14.7,16.1,18.3,20.5,22.4,24.3},{0,10,20,30,40,50,60,62,64,66,68,70,72,74,76,78,80,85,90,95,100})</f>
        <v>100</v>
      </c>
      <c r="F258" s="4">
        <v>240</v>
      </c>
      <c r="G258" s="32">
        <f>LOOKUP(F258,{0,175,180,185,190,195,200,204,208,212,216,220,224,228,232,236,240,248,255,260,265},{0,10,20,30,40,50,60,62,64,66,68,70,72,74,76,78,80,85,90,95,100})</f>
        <v>80</v>
      </c>
      <c r="H258" s="4">
        <v>1</v>
      </c>
      <c r="I258" s="32">
        <f>LOOKUP(H258,{0,3,4,5,6,7,8,9,10,11,12,13,14,15,16,17},{0,10,20,30,40,50,60,64,68,72,76,80,85,90,95,100})</f>
        <v>0</v>
      </c>
      <c r="J258" s="4"/>
      <c r="K258" s="4"/>
      <c r="L258" s="4">
        <f t="shared" ref="L258:L321" si="31">I258+K258</f>
        <v>0</v>
      </c>
      <c r="M258" s="4">
        <v>7.3</v>
      </c>
      <c r="N258" s="4">
        <f t="shared" si="30"/>
        <v>4.7</v>
      </c>
      <c r="O258" s="32">
        <f>LOOKUP(N258,{0,1.6,1.8,2,2.2,2.4,2.6,2.8,3,3.2,3.4,3.6,3.8,4,4.2,4.4,4.6,4.7,4.8,4.9,5},{0,10,20,30,40,50,60,62,64,66,68,70,72,74,76,78,80,85,90,95,100})</f>
        <v>85</v>
      </c>
      <c r="P258" s="4">
        <v>3.47</v>
      </c>
      <c r="Q258" s="4">
        <f t="shared" ref="Q258:Q321" si="32">10-P258</f>
        <v>6.53</v>
      </c>
      <c r="R258" s="32">
        <f>LOOKUP(Q258,{0,3.8,4,4.6,4.8,5,5.6,5.65,5.7,5.75,5.8,5.85,5.9,5.95,6,6.45,6.5,6.58,6.65,6.7,6.75},{0,10,20,30,40,50,60,62,64,66,68,70,72,74,76,78,80,85,90,95,100})</f>
        <v>80</v>
      </c>
      <c r="S258" s="4"/>
      <c r="T258" s="4"/>
      <c r="U258" s="4">
        <f t="shared" ref="U258:U321" si="33">R258+T258</f>
        <v>80</v>
      </c>
      <c r="V258" s="4"/>
      <c r="W258" s="5">
        <f t="shared" ref="W258:W321" si="34">E258*0.1+G258*0.1+I258*0.1+O258*0.2+R258*0.2</f>
        <v>51</v>
      </c>
      <c r="X258" s="20">
        <f t="shared" si="28"/>
        <v>72.8571428571429</v>
      </c>
    </row>
    <row r="259" ht="15.6" hidden="1" spans="1:24">
      <c r="A259" s="4">
        <v>210</v>
      </c>
      <c r="B259" s="24" t="s">
        <v>509</v>
      </c>
      <c r="C259" s="25" t="s">
        <v>11</v>
      </c>
      <c r="D259" s="4">
        <v>15.5</v>
      </c>
      <c r="E259" s="32">
        <f>LOOKUP(D259,{0,-2.9,-1.9,-0.9,0.1,1.1,2.1,3.5,4.9,6.3,7.7,9.1,10.5,11.9,13.3,14.7,16.1,18.3,20.5,22.4,24.3},{0,10,20,30,40,50,60,62,64,66,68,70,72,74,76,78,80,85,90,95,100})</f>
        <v>78</v>
      </c>
      <c r="F259" s="4">
        <v>245</v>
      </c>
      <c r="G259" s="32">
        <f>LOOKUP(F259,{0,175,180,185,190,195,200,204,208,212,216,220,224,228,232,236,240,248,255,260,265},{0,10,20,30,40,50,60,62,64,66,68,70,72,74,76,78,80,85,90,95,100})</f>
        <v>80</v>
      </c>
      <c r="H259" s="4">
        <v>1</v>
      </c>
      <c r="I259" s="32">
        <f>LOOKUP(H259,{0,3,4,5,6,7,8,9,10,11,12,13,14,15,16,17},{0,10,20,30,40,50,60,64,68,72,76,80,85,90,95,100})</f>
        <v>0</v>
      </c>
      <c r="L259" s="4">
        <f t="shared" si="31"/>
        <v>0</v>
      </c>
      <c r="M259" s="4">
        <v>7.4</v>
      </c>
      <c r="N259" s="4">
        <f t="shared" si="30"/>
        <v>4.6</v>
      </c>
      <c r="O259" s="32">
        <f>LOOKUP(N259,{0,1.6,1.8,2,2.2,2.4,2.6,2.8,3,3.2,3.4,3.6,3.8,4,4.2,4.4,4.6,4.7,4.8,4.9,5},{0,10,20,30,40,50,60,62,64,66,68,70,72,74,76,78,80,85,90,95,100})</f>
        <v>80</v>
      </c>
      <c r="P259" s="4">
        <v>3.47</v>
      </c>
      <c r="Q259" s="4">
        <f t="shared" si="32"/>
        <v>6.53</v>
      </c>
      <c r="R259" s="32">
        <f>LOOKUP(Q259,{0,3.8,4,4.6,4.8,5,5.6,5.65,5.7,5.75,5.8,5.85,5.9,5.95,6,6.45,6.5,6.58,6.65,6.7,6.75},{0,10,20,30,40,50,60,62,64,66,68,70,72,74,76,78,80,85,90,95,100})</f>
        <v>80</v>
      </c>
      <c r="U259" s="4">
        <f t="shared" si="33"/>
        <v>80</v>
      </c>
      <c r="W259" s="5">
        <f t="shared" si="34"/>
        <v>47.8</v>
      </c>
      <c r="X259" s="20">
        <f t="shared" si="28"/>
        <v>68.2857142857143</v>
      </c>
    </row>
    <row r="260" ht="15.6" hidden="1" spans="1:24">
      <c r="A260" s="4">
        <v>202</v>
      </c>
      <c r="B260" s="24" t="s">
        <v>71</v>
      </c>
      <c r="C260" s="25" t="s">
        <v>11</v>
      </c>
      <c r="D260" s="4">
        <v>4</v>
      </c>
      <c r="E260" s="32">
        <f>LOOKUP(D260,{0,-2.9,-1.9,-0.9,0.1,1.1,2.1,3.5,4.9,6.3,7.7,9.1,10.5,11.9,13.3,14.7,16.1,18.3,20.5,22.4,24.3},{0,10,20,30,40,50,60,62,64,66,68,70,72,74,76,78,80,85,90,95,100})</f>
        <v>62</v>
      </c>
      <c r="F260" s="4">
        <v>255</v>
      </c>
      <c r="G260" s="32">
        <f>LOOKUP(F260,{0,175,180,185,190,195,200,204,208,212,216,220,224,228,232,236,240,248,255,260,265},{0,10,20,30,40,50,60,62,64,66,68,70,72,74,76,78,80,85,90,95,100})</f>
        <v>90</v>
      </c>
      <c r="H260" s="4">
        <v>11</v>
      </c>
      <c r="I260" s="32">
        <f>LOOKUP(H260,{0,3,4,5,6,7,8,9,10,11,12,13,14,15,16,17},{0,10,20,30,40,50,60,64,68,72,76,80,85,90,95,100})</f>
        <v>72</v>
      </c>
      <c r="L260" s="4">
        <f t="shared" si="31"/>
        <v>72</v>
      </c>
      <c r="M260" s="4">
        <v>7.6</v>
      </c>
      <c r="N260" s="4">
        <f t="shared" si="30"/>
        <v>4.4</v>
      </c>
      <c r="O260" s="32">
        <f>LOOKUP(N260,{0,1.6,1.8,2,2.2,2.4,2.6,2.8,3,3.2,3.4,3.6,3.8,4,4.2,4.4,4.6,4.7,4.8,4.9,5},{0,10,20,30,40,50,60,62,64,66,68,70,72,74,76,78,80,85,90,95,100})</f>
        <v>78</v>
      </c>
      <c r="P260" s="4">
        <v>3.47</v>
      </c>
      <c r="Q260" s="4">
        <f t="shared" si="32"/>
        <v>6.53</v>
      </c>
      <c r="R260" s="32">
        <f>LOOKUP(Q260,{0,3.8,4,4.6,4.8,5,5.6,5.65,5.7,5.75,5.8,5.85,5.9,5.95,6,6.45,6.5,6.58,6.65,6.7,6.75},{0,10,20,30,40,50,60,62,64,66,68,70,72,74,76,78,80,85,90,95,100})</f>
        <v>80</v>
      </c>
      <c r="U260" s="4">
        <f t="shared" si="33"/>
        <v>80</v>
      </c>
      <c r="W260" s="5">
        <f t="shared" si="34"/>
        <v>54</v>
      </c>
      <c r="X260" s="20">
        <f t="shared" si="28"/>
        <v>77.1428571428572</v>
      </c>
    </row>
    <row r="261" ht="15.6" hidden="1" spans="1:24">
      <c r="A261" s="4">
        <v>208</v>
      </c>
      <c r="B261" s="24" t="s">
        <v>383</v>
      </c>
      <c r="C261" s="25" t="s">
        <v>11</v>
      </c>
      <c r="D261" s="4">
        <v>13</v>
      </c>
      <c r="E261" s="32">
        <f>LOOKUP(D261,{0,-2.9,-1.9,-0.9,0.1,1.1,2.1,3.5,4.9,6.3,7.7,9.1,10.5,11.9,13.3,14.7,16.1,18.3,20.5,22.4,24.3},{0,10,20,30,40,50,60,62,64,66,68,70,72,74,76,78,80,85,90,95,100})</f>
        <v>74</v>
      </c>
      <c r="F261" s="4">
        <v>281</v>
      </c>
      <c r="G261" s="32">
        <f>LOOKUP(F261,{0,175,180,185,190,195,200,204,208,212,216,220,224,228,232,236,240,248,255,260,265},{0,10,20,30,40,50,60,62,64,66,68,70,72,74,76,78,80,85,90,95,100})</f>
        <v>100</v>
      </c>
      <c r="H261" s="4">
        <v>15</v>
      </c>
      <c r="I261" s="32">
        <f>LOOKUP(H261,{0,3,4,5,6,7,8,9,10,11,12,13,14,15,16,17},{0,10,20,30,40,50,60,64,68,72,76,80,85,90,95,100})</f>
        <v>90</v>
      </c>
      <c r="L261" s="4">
        <f t="shared" si="31"/>
        <v>90</v>
      </c>
      <c r="M261" s="4">
        <v>6.8</v>
      </c>
      <c r="N261" s="4">
        <f t="shared" si="30"/>
        <v>5.2</v>
      </c>
      <c r="O261" s="32">
        <f>LOOKUP(N261,{0,1.6,1.8,2,2.2,2.4,2.6,2.8,3,3.2,3.4,3.6,3.8,4,4.2,4.4,4.6,4.7,4.8,4.9,5},{0,10,20,30,40,50,60,62,64,66,68,70,72,74,76,78,80,85,90,95,100})</f>
        <v>100</v>
      </c>
      <c r="P261" s="4">
        <v>3.48</v>
      </c>
      <c r="Q261" s="4">
        <f t="shared" si="32"/>
        <v>6.52</v>
      </c>
      <c r="R261" s="32">
        <f>LOOKUP(Q261,{0,3.8,4,4.6,4.8,5,5.6,5.65,5.7,5.75,5.8,5.85,5.9,5.95,6,6.45,6.5,6.58,6.65,6.7,6.75},{0,10,20,30,40,50,60,62,64,66,68,70,72,74,76,78,80,85,90,95,100})</f>
        <v>80</v>
      </c>
      <c r="U261" s="4">
        <f t="shared" si="33"/>
        <v>80</v>
      </c>
      <c r="W261" s="5">
        <f t="shared" si="34"/>
        <v>62.4</v>
      </c>
      <c r="X261" s="20">
        <f t="shared" si="28"/>
        <v>89.1428571428572</v>
      </c>
    </row>
    <row r="262" ht="15.6" hidden="1" spans="1:24">
      <c r="A262" s="4">
        <v>209</v>
      </c>
      <c r="B262" s="24" t="s">
        <v>441</v>
      </c>
      <c r="C262" s="25" t="s">
        <v>11</v>
      </c>
      <c r="D262" s="4">
        <v>5.4</v>
      </c>
      <c r="E262" s="32">
        <f>LOOKUP(D262,{0,-2.9,-1.9,-0.9,0.1,1.1,2.1,3.5,4.9,6.3,7.7,9.1,10.5,11.9,13.3,14.7,16.1,18.3,20.5,22.4,24.3},{0,10,20,30,40,50,60,62,64,66,68,70,72,74,76,78,80,85,90,95,100})</f>
        <v>64</v>
      </c>
      <c r="F262" s="4">
        <v>253</v>
      </c>
      <c r="G262" s="32">
        <f>LOOKUP(F262,{0,175,180,185,190,195,200,204,208,212,216,220,224,228,232,236,240,248,255,260,265},{0,10,20,30,40,50,60,62,64,66,68,70,72,74,76,78,80,85,90,95,100})</f>
        <v>85</v>
      </c>
      <c r="H262" s="4">
        <v>15</v>
      </c>
      <c r="I262" s="32">
        <f>LOOKUP(H262,{0,3,4,5,6,7,8,9,10,11,12,13,14,15,16,17},{0,10,20,30,40,50,60,64,68,72,76,80,85,90,95,100})</f>
        <v>90</v>
      </c>
      <c r="K262" s="35"/>
      <c r="L262" s="4">
        <f t="shared" si="31"/>
        <v>90</v>
      </c>
      <c r="M262" s="4">
        <v>7</v>
      </c>
      <c r="N262" s="4">
        <f t="shared" si="30"/>
        <v>5</v>
      </c>
      <c r="O262" s="32">
        <f>LOOKUP(N262,{0,1.6,1.8,2,2.2,2.4,2.6,2.8,3,3.2,3.4,3.6,3.8,4,4.2,4.4,4.6,4.7,4.8,4.9,5},{0,10,20,30,40,50,60,62,64,66,68,70,72,74,76,78,80,85,90,95,100})</f>
        <v>100</v>
      </c>
      <c r="P262" s="4">
        <v>3.48</v>
      </c>
      <c r="Q262" s="4">
        <f t="shared" si="32"/>
        <v>6.52</v>
      </c>
      <c r="R262" s="32">
        <f>LOOKUP(Q262,{0,3.8,4,4.6,4.8,5,5.6,5.65,5.7,5.75,5.8,5.85,5.9,5.95,6,6.45,6.5,6.58,6.65,6.7,6.75},{0,10,20,30,40,50,60,62,64,66,68,70,72,74,76,78,80,85,90,95,100})</f>
        <v>80</v>
      </c>
      <c r="U262" s="4">
        <f t="shared" si="33"/>
        <v>80</v>
      </c>
      <c r="W262" s="5">
        <f t="shared" si="34"/>
        <v>59.9</v>
      </c>
      <c r="X262" s="20">
        <f t="shared" si="28"/>
        <v>85.5714285714286</v>
      </c>
    </row>
    <row r="263" ht="15.6" hidden="1" spans="1:24">
      <c r="A263" s="4">
        <v>212</v>
      </c>
      <c r="B263" s="24" t="s">
        <v>623</v>
      </c>
      <c r="C263" s="25" t="s">
        <v>11</v>
      </c>
      <c r="D263" s="4">
        <v>6.5</v>
      </c>
      <c r="E263" s="32">
        <f>LOOKUP(D263,{0,-2.9,-1.9,-0.9,0.1,1.1,2.1,3.5,4.9,6.3,7.7,9.1,10.5,11.9,13.3,14.7,16.1,18.3,20.5,22.4,24.3},{0,10,20,30,40,50,60,62,64,66,68,70,72,74,76,78,80,85,90,95,100})</f>
        <v>66</v>
      </c>
      <c r="F263" s="4">
        <v>214</v>
      </c>
      <c r="G263" s="32">
        <f>LOOKUP(F263,{0,175,180,185,190,195,200,204,208,212,216,220,224,228,232,236,240,248,255,260,265},{0,10,20,30,40,50,60,62,64,66,68,70,72,74,76,78,80,85,90,95,100})</f>
        <v>66</v>
      </c>
      <c r="H263" s="4">
        <v>16</v>
      </c>
      <c r="I263" s="32">
        <f>LOOKUP(H263,{0,3,4,5,6,7,8,9,10,11,12,13,14,15,16,17},{0,10,20,30,40,50,60,64,68,72,76,80,85,90,95,100})</f>
        <v>95</v>
      </c>
      <c r="K263" s="35"/>
      <c r="L263" s="4">
        <f t="shared" si="31"/>
        <v>95</v>
      </c>
      <c r="M263" s="4">
        <v>7.1</v>
      </c>
      <c r="N263" s="4">
        <f t="shared" si="30"/>
        <v>4.9</v>
      </c>
      <c r="O263" s="32">
        <f>LOOKUP(N263,{0,1.6,1.8,2,2.2,2.4,2.6,2.8,3,3.2,3.4,3.6,3.8,4,4.2,4.4,4.6,4.7,4.8,4.9,5},{0,10,20,30,40,50,60,62,64,66,68,70,72,74,76,78,80,85,90,95,100})</f>
        <v>95</v>
      </c>
      <c r="P263" s="4">
        <v>3.48</v>
      </c>
      <c r="Q263" s="4">
        <f t="shared" si="32"/>
        <v>6.52</v>
      </c>
      <c r="R263" s="32">
        <f>LOOKUP(Q263,{0,3.8,4,4.6,4.8,5,5.6,5.65,5.7,5.75,5.8,5.85,5.9,5.95,6,6.45,6.5,6.58,6.65,6.7,6.75},{0,10,20,30,40,50,60,62,64,66,68,70,72,74,76,78,80,85,90,95,100})</f>
        <v>80</v>
      </c>
      <c r="U263" s="4">
        <f t="shared" si="33"/>
        <v>80</v>
      </c>
      <c r="W263" s="5">
        <f t="shared" si="34"/>
        <v>57.7</v>
      </c>
      <c r="X263" s="20">
        <f t="shared" si="28"/>
        <v>82.4285714285714</v>
      </c>
    </row>
    <row r="264" ht="15.6" hidden="1" spans="1:24">
      <c r="A264" s="4">
        <v>209</v>
      </c>
      <c r="B264" s="24" t="s">
        <v>478</v>
      </c>
      <c r="C264" s="25" t="s">
        <v>11</v>
      </c>
      <c r="D264" s="4">
        <v>17.4</v>
      </c>
      <c r="E264" s="32">
        <f>LOOKUP(D264,{0,-2.9,-1.9,-0.9,0.1,1.1,2.1,3.5,4.9,6.3,7.7,9.1,10.5,11.9,13.3,14.7,16.1,18.3,20.5,22.4,24.3},{0,10,20,30,40,50,60,62,64,66,68,70,72,74,76,78,80,85,90,95,100})</f>
        <v>80</v>
      </c>
      <c r="F264" s="4">
        <v>230</v>
      </c>
      <c r="G264" s="32">
        <f>LOOKUP(F264,{0,175,180,185,190,195,200,204,208,212,216,220,224,228,232,236,240,248,255,260,265},{0,10,20,30,40,50,60,62,64,66,68,70,72,74,76,78,80,85,90,95,100})</f>
        <v>74</v>
      </c>
      <c r="H264" s="4">
        <v>10</v>
      </c>
      <c r="I264" s="32">
        <f>LOOKUP(H264,{0,3,4,5,6,7,8,9,10,11,12,13,14,15,16,17},{0,10,20,30,40,50,60,64,68,72,76,80,85,90,95,100})</f>
        <v>68</v>
      </c>
      <c r="L264" s="4">
        <f t="shared" si="31"/>
        <v>68</v>
      </c>
      <c r="M264" s="4">
        <v>7.3</v>
      </c>
      <c r="N264" s="4">
        <f t="shared" si="30"/>
        <v>4.7</v>
      </c>
      <c r="O264" s="32">
        <f>LOOKUP(N264,{0,1.6,1.8,2,2.2,2.4,2.6,2.8,3,3.2,3.4,3.6,3.8,4,4.2,4.4,4.6,4.7,4.8,4.9,5},{0,10,20,30,40,50,60,62,64,66,68,70,72,74,76,78,80,85,90,95,100})</f>
        <v>85</v>
      </c>
      <c r="P264" s="4">
        <v>3.48</v>
      </c>
      <c r="Q264" s="4">
        <f t="shared" si="32"/>
        <v>6.52</v>
      </c>
      <c r="R264" s="32">
        <f>LOOKUP(Q264,{0,3.8,4,4.6,4.8,5,5.6,5.65,5.7,5.75,5.8,5.85,5.9,5.95,6,6.45,6.5,6.58,6.65,6.7,6.75},{0,10,20,30,40,50,60,62,64,66,68,70,72,74,76,78,80,85,90,95,100})</f>
        <v>80</v>
      </c>
      <c r="U264" s="4">
        <f t="shared" si="33"/>
        <v>80</v>
      </c>
      <c r="W264" s="5">
        <f t="shared" si="34"/>
        <v>55.2</v>
      </c>
      <c r="X264" s="20">
        <f t="shared" si="28"/>
        <v>78.8571428571429</v>
      </c>
    </row>
    <row r="265" ht="15.6" hidden="1" spans="1:24">
      <c r="A265" s="4">
        <v>208</v>
      </c>
      <c r="B265" s="24" t="s">
        <v>396</v>
      </c>
      <c r="C265" s="25" t="s">
        <v>11</v>
      </c>
      <c r="D265" s="4">
        <v>7.7</v>
      </c>
      <c r="E265" s="32">
        <f>LOOKUP(D265,{0,-2.9,-1.9,-0.9,0.1,1.1,2.1,3.5,4.9,6.3,7.7,9.1,10.5,11.9,13.3,14.7,16.1,18.3,20.5,22.4,24.3},{0,10,20,30,40,50,60,62,64,66,68,70,72,74,76,78,80,85,90,95,100})</f>
        <v>68</v>
      </c>
      <c r="F265" s="4">
        <v>223</v>
      </c>
      <c r="G265" s="32">
        <f>LOOKUP(F265,{0,175,180,185,190,195,200,204,208,212,216,220,224,228,232,236,240,248,255,260,265},{0,10,20,30,40,50,60,62,64,66,68,70,72,74,76,78,80,85,90,95,100})</f>
        <v>70</v>
      </c>
      <c r="H265" s="4">
        <v>3</v>
      </c>
      <c r="I265" s="32">
        <f>LOOKUP(H265,{0,3,4,5,6,7,8,9,10,11,12,13,14,15,16,17},{0,10,20,30,40,50,60,64,68,72,76,80,85,90,95,100})</f>
        <v>10</v>
      </c>
      <c r="L265" s="4">
        <f t="shared" si="31"/>
        <v>10</v>
      </c>
      <c r="M265" s="4">
        <v>7.3</v>
      </c>
      <c r="N265" s="4">
        <f t="shared" si="30"/>
        <v>4.7</v>
      </c>
      <c r="O265" s="32">
        <f>LOOKUP(N265,{0,1.6,1.8,2,2.2,2.4,2.6,2.8,3,3.2,3.4,3.6,3.8,4,4.2,4.4,4.6,4.7,4.8,4.9,5},{0,10,20,30,40,50,60,62,64,66,68,70,72,74,76,78,80,85,90,95,100})</f>
        <v>85</v>
      </c>
      <c r="P265" s="4">
        <v>3.48</v>
      </c>
      <c r="Q265" s="4">
        <f t="shared" si="32"/>
        <v>6.52</v>
      </c>
      <c r="R265" s="32">
        <f>LOOKUP(Q265,{0,3.8,4,4.6,4.8,5,5.6,5.65,5.7,5.75,5.8,5.85,5.9,5.95,6,6.45,6.5,6.58,6.65,6.7,6.75},{0,10,20,30,40,50,60,62,64,66,68,70,72,74,76,78,80,85,90,95,100})</f>
        <v>80</v>
      </c>
      <c r="U265" s="4">
        <f t="shared" si="33"/>
        <v>80</v>
      </c>
      <c r="W265" s="5">
        <f t="shared" si="34"/>
        <v>47.8</v>
      </c>
      <c r="X265" s="20">
        <f t="shared" si="28"/>
        <v>68.2857142857143</v>
      </c>
    </row>
    <row r="266" ht="15.6" hidden="1" spans="1:24">
      <c r="A266" s="4">
        <v>202</v>
      </c>
      <c r="B266" s="24" t="s">
        <v>93</v>
      </c>
      <c r="C266" s="25" t="s">
        <v>11</v>
      </c>
      <c r="D266" s="4">
        <v>13</v>
      </c>
      <c r="E266" s="32">
        <f>LOOKUP(D266,{0,-2.9,-1.9,-0.9,0.1,1.1,2.1,3.5,4.9,6.3,7.7,9.1,10.5,11.9,13.3,14.7,16.1,18.3,20.5,22.4,24.3},{0,10,20,30,40,50,60,62,64,66,68,70,72,74,76,78,80,85,90,95,100})</f>
        <v>74</v>
      </c>
      <c r="F266" s="4">
        <v>221</v>
      </c>
      <c r="G266" s="32">
        <f>LOOKUP(F266,{0,175,180,185,190,195,200,204,208,212,216,220,224,228,232,236,240,248,255,260,265},{0,10,20,30,40,50,60,62,64,66,68,70,72,74,76,78,80,85,90,95,100})</f>
        <v>70</v>
      </c>
      <c r="H266" s="4">
        <v>20</v>
      </c>
      <c r="I266" s="32">
        <f>LOOKUP(H266,{0,3,4,5,6,7,8,9,10,11,12,13,14,15,16,17},{0,10,20,30,40,50,60,64,68,72,76,80,85,90,95,100})</f>
        <v>100</v>
      </c>
      <c r="J266" s="4">
        <f>H266-17</f>
        <v>3</v>
      </c>
      <c r="K266" s="32">
        <f>LOOKUP(J266,{0,1,2,3,4,5,6,7,8,9,10},{0,1,2,3,4,5,6,7,8,9,10})</f>
        <v>3</v>
      </c>
      <c r="L266" s="4">
        <f t="shared" si="31"/>
        <v>103</v>
      </c>
      <c r="M266" s="4">
        <v>7.4</v>
      </c>
      <c r="N266" s="4">
        <f t="shared" si="30"/>
        <v>4.6</v>
      </c>
      <c r="O266" s="32">
        <f>LOOKUP(N266,{0,1.6,1.8,2,2.2,2.4,2.6,2.8,3,3.2,3.4,3.6,3.8,4,4.2,4.4,4.6,4.7,4.8,4.9,5},{0,10,20,30,40,50,60,62,64,66,68,70,72,74,76,78,80,85,90,95,100})</f>
        <v>80</v>
      </c>
      <c r="P266" s="4">
        <v>3.48</v>
      </c>
      <c r="Q266" s="4">
        <f t="shared" si="32"/>
        <v>6.52</v>
      </c>
      <c r="R266" s="32">
        <f>LOOKUP(Q266,{0,3.8,4,4.6,4.8,5,5.6,5.65,5.7,5.75,5.8,5.85,5.9,5.95,6,6.45,6.5,6.58,6.65,6.7,6.75},{0,10,20,30,40,50,60,62,64,66,68,70,72,74,76,78,80,85,90,95,100})</f>
        <v>80</v>
      </c>
      <c r="U266" s="4">
        <f t="shared" si="33"/>
        <v>80</v>
      </c>
      <c r="W266" s="5">
        <f t="shared" si="34"/>
        <v>56.4</v>
      </c>
      <c r="X266" s="20">
        <f t="shared" si="28"/>
        <v>83.5714285714286</v>
      </c>
    </row>
    <row r="267" ht="15.6" hidden="1" spans="1:24">
      <c r="A267" s="4">
        <v>202</v>
      </c>
      <c r="B267" s="24" t="s">
        <v>77</v>
      </c>
      <c r="C267" s="25" t="s">
        <v>11</v>
      </c>
      <c r="D267" s="4">
        <v>14</v>
      </c>
      <c r="E267" s="32">
        <f>LOOKUP(D267,{0,-2.9,-1.9,-0.9,0.1,1.1,2.1,3.5,4.9,6.3,7.7,9.1,10.5,11.9,13.3,14.7,16.1,18.3,20.5,22.4,24.3},{0,10,20,30,40,50,60,62,64,66,68,70,72,74,76,78,80,85,90,95,100})</f>
        <v>76</v>
      </c>
      <c r="F267" s="4">
        <v>225</v>
      </c>
      <c r="G267" s="32">
        <f>LOOKUP(F267,{0,175,180,185,190,195,200,204,208,212,216,220,224,228,232,236,240,248,255,260,265},{0,10,20,30,40,50,60,62,64,66,68,70,72,74,76,78,80,85,90,95,100})</f>
        <v>72</v>
      </c>
      <c r="H267" s="4">
        <v>11</v>
      </c>
      <c r="I267" s="32">
        <f>LOOKUP(H267,{0,3,4,5,6,7,8,9,10,11,12,13,14,15,16,17},{0,10,20,30,40,50,60,64,68,72,76,80,85,90,95,100})</f>
        <v>72</v>
      </c>
      <c r="L267" s="4">
        <f t="shared" si="31"/>
        <v>72</v>
      </c>
      <c r="M267" s="4">
        <v>7.4</v>
      </c>
      <c r="N267" s="4">
        <f t="shared" si="30"/>
        <v>4.6</v>
      </c>
      <c r="O267" s="32">
        <f>LOOKUP(N267,{0,1.6,1.8,2,2.2,2.4,2.6,2.8,3,3.2,3.4,3.6,3.8,4,4.2,4.4,4.6,4.7,4.8,4.9,5},{0,10,20,30,40,50,60,62,64,66,68,70,72,74,76,78,80,85,90,95,100})</f>
        <v>80</v>
      </c>
      <c r="P267" s="4">
        <v>3.48</v>
      </c>
      <c r="Q267" s="4">
        <f t="shared" si="32"/>
        <v>6.52</v>
      </c>
      <c r="R267" s="32">
        <f>LOOKUP(Q267,{0,3.8,4,4.6,4.8,5,5.6,5.65,5.7,5.75,5.8,5.85,5.9,5.95,6,6.45,6.5,6.58,6.65,6.7,6.75},{0,10,20,30,40,50,60,62,64,66,68,70,72,74,76,78,80,85,90,95,100})</f>
        <v>80</v>
      </c>
      <c r="U267" s="4">
        <f t="shared" si="33"/>
        <v>80</v>
      </c>
      <c r="W267" s="5">
        <f t="shared" si="34"/>
        <v>54</v>
      </c>
      <c r="X267" s="20">
        <f t="shared" si="28"/>
        <v>77.1428571428572</v>
      </c>
    </row>
    <row r="268" ht="15.6" hidden="1" spans="1:24">
      <c r="A268" s="4">
        <v>201</v>
      </c>
      <c r="B268" s="24" t="s">
        <v>30</v>
      </c>
      <c r="C268" s="25" t="s">
        <v>11</v>
      </c>
      <c r="D268" s="4">
        <v>8.8</v>
      </c>
      <c r="E268" s="32">
        <f>LOOKUP(D268,{0,-2.9,-1.9,-0.9,0.1,1.1,2.1,3.5,4.9,6.3,7.7,9.1,10.5,11.9,13.3,14.7,16.1,18.3,20.5,22.4,24.3},{0,10,20,30,40,50,60,62,64,66,68,70,72,74,76,78,80,85,90,95,100})</f>
        <v>68</v>
      </c>
      <c r="F268" s="4">
        <v>236</v>
      </c>
      <c r="G268" s="32">
        <f>LOOKUP(F268,{0,175,180,185,190,195,200,204,208,212,216,220,224,228,232,236,240,248,255,260,265},{0,10,20,30,40,50,60,62,64,66,68,70,72,74,76,78,80,85,90,95,100})</f>
        <v>78</v>
      </c>
      <c r="H268" s="4">
        <v>0</v>
      </c>
      <c r="I268" s="32">
        <f>LOOKUP(H268,{0,3,4,5,6,7,8,9,10,11,12,13,14,15,16,17},{0,10,20,30,40,50,60,64,68,72,76,80,85,90,95,100})</f>
        <v>0</v>
      </c>
      <c r="L268" s="4">
        <f t="shared" si="31"/>
        <v>0</v>
      </c>
      <c r="M268" s="4">
        <v>7.4</v>
      </c>
      <c r="N268" s="4">
        <f t="shared" si="30"/>
        <v>4.6</v>
      </c>
      <c r="O268" s="32">
        <f>LOOKUP(N268,{0,1.6,1.8,2,2.2,2.4,2.6,2.8,3,3.2,3.4,3.6,3.8,4,4.2,4.4,4.6,4.7,4.8,4.9,5},{0,10,20,30,40,50,60,62,64,66,68,70,72,74,76,78,80,85,90,95,100})</f>
        <v>80</v>
      </c>
      <c r="P268" s="4">
        <v>3.48</v>
      </c>
      <c r="Q268" s="4">
        <f t="shared" si="32"/>
        <v>6.52</v>
      </c>
      <c r="R268" s="32">
        <f>LOOKUP(Q268,{0,3.8,4,4.6,4.8,5,5.6,5.65,5.7,5.75,5.8,5.85,5.9,5.95,6,6.45,6.5,6.58,6.65,6.7,6.75},{0,10,20,30,40,50,60,62,64,66,68,70,72,74,76,78,80,85,90,95,100})</f>
        <v>80</v>
      </c>
      <c r="U268" s="4">
        <f t="shared" si="33"/>
        <v>80</v>
      </c>
      <c r="W268" s="5">
        <f t="shared" si="34"/>
        <v>46.6</v>
      </c>
      <c r="X268" s="20">
        <f t="shared" si="28"/>
        <v>66.5714285714286</v>
      </c>
    </row>
    <row r="269" ht="15.6" hidden="1" spans="1:24">
      <c r="A269" s="4">
        <v>207</v>
      </c>
      <c r="B269" s="24" t="s">
        <v>337</v>
      </c>
      <c r="C269" s="25" t="s">
        <v>11</v>
      </c>
      <c r="D269" s="4">
        <v>13</v>
      </c>
      <c r="E269" s="32">
        <f>LOOKUP(D269,{0,-2.9,-1.9,-0.9,0.1,1.1,2.1,3.5,4.9,6.3,7.7,9.1,10.5,11.9,13.3,14.7,16.1,18.3,20.5,22.4,24.3},{0,10,20,30,40,50,60,62,64,66,68,70,72,74,76,78,80,85,90,95,100})</f>
        <v>74</v>
      </c>
      <c r="F269" s="4">
        <v>237</v>
      </c>
      <c r="G269" s="32">
        <f>LOOKUP(F269,{0,175,180,185,190,195,200,204,208,212,216,220,224,228,232,236,240,248,255,260,265},{0,10,20,30,40,50,60,62,64,66,68,70,72,74,76,78,80,85,90,95,100})</f>
        <v>78</v>
      </c>
      <c r="H269" s="4">
        <v>2</v>
      </c>
      <c r="I269" s="32">
        <f>LOOKUP(H269,{0,3,4,5,6,7,8,9,10,11,12,13,14,15,16,17},{0,10,20,30,40,50,60,64,68,72,76,80,85,90,95,100})</f>
        <v>0</v>
      </c>
      <c r="L269" s="4">
        <f t="shared" si="31"/>
        <v>0</v>
      </c>
      <c r="M269" s="4">
        <v>7.5</v>
      </c>
      <c r="N269" s="4">
        <f t="shared" si="30"/>
        <v>4.5</v>
      </c>
      <c r="O269" s="32">
        <f>LOOKUP(N269,{0,1.6,1.8,2,2.2,2.4,2.6,2.8,3,3.2,3.4,3.6,3.8,4,4.2,4.4,4.6,4.7,4.8,4.9,5},{0,10,20,30,40,50,60,62,64,66,68,70,72,74,76,78,80,85,90,95,100})</f>
        <v>78</v>
      </c>
      <c r="P269" s="4">
        <v>3.48</v>
      </c>
      <c r="Q269" s="4">
        <f t="shared" si="32"/>
        <v>6.52</v>
      </c>
      <c r="R269" s="32">
        <f>LOOKUP(Q269,{0,3.8,4,4.6,4.8,5,5.6,5.65,5.7,5.75,5.8,5.85,5.9,5.95,6,6.45,6.5,6.58,6.65,6.7,6.75},{0,10,20,30,40,50,60,62,64,66,68,70,72,74,76,78,80,85,90,95,100})</f>
        <v>80</v>
      </c>
      <c r="U269" s="4">
        <f t="shared" si="33"/>
        <v>80</v>
      </c>
      <c r="W269" s="5">
        <f t="shared" si="34"/>
        <v>46.8</v>
      </c>
      <c r="X269" s="20">
        <f t="shared" ref="X269:X283" si="35">W269/0.7+K269+T269</f>
        <v>66.8571428571429</v>
      </c>
    </row>
    <row r="270" s="1" customFormat="1" ht="15.6" hidden="1" spans="1:24">
      <c r="A270" s="4">
        <v>204</v>
      </c>
      <c r="B270" s="24" t="s">
        <v>182</v>
      </c>
      <c r="C270" s="25" t="s">
        <v>53</v>
      </c>
      <c r="D270" s="4">
        <v>21</v>
      </c>
      <c r="E270" s="32">
        <f>LOOKUP(D270,{0,1,1.8,2.6,3.4,4.2,5,6.3,7.6,8.9,10.2,11.5,12.8,14.1,15.4,16.7,18,19.7,21.4,23.1,24.8},{0,10,20,30,40,50,60,62,64,66,68,70,72,74,76,78,80,85,90,95,100})</f>
        <v>85</v>
      </c>
      <c r="F270" s="4">
        <v>182</v>
      </c>
      <c r="G270" s="32">
        <f>LOOKUP(F270,{0,124,129,134,139,144,149,152,155,158,161,164,167,170,173,176,179,186,193,199,205},{0,10,20,30,40,50,60,62,64,66,68,70,72,74,76,78,80,85,90,95,100})</f>
        <v>80</v>
      </c>
      <c r="H270" s="4">
        <v>39</v>
      </c>
      <c r="I270" s="32">
        <f>LOOKUP(H270,{0,14,16,18,20,22,24,26,28,30,32,34,36,38,40,42,44,47,50,52,54},{0,10,20,30,40,50,60,62,64,66,68,70,72,74,76,78,80,85,90,95,100})</f>
        <v>74</v>
      </c>
      <c r="J270" s="4"/>
      <c r="K270" s="4"/>
      <c r="L270" s="4">
        <f t="shared" si="31"/>
        <v>74</v>
      </c>
      <c r="M270" s="4">
        <v>8.2</v>
      </c>
      <c r="N270" s="4">
        <f t="shared" si="30"/>
        <v>3.8</v>
      </c>
      <c r="O270" s="32">
        <f>LOOKUP(N270,{0,0.5,0.7,0.9,1.1,1.3,1.5,1.7,1.9,2.1,2.3,2.5,2.7,2.9,3.1,3.3,3.5,3.8,4.1,4.2,4.3},{0,10,20,30,40,50,60,62,64,66,68,70,72,74,76,78,80,85,90,95,100})</f>
        <v>85</v>
      </c>
      <c r="P270" s="4">
        <v>3.25</v>
      </c>
      <c r="Q270" s="4">
        <f t="shared" si="32"/>
        <v>6.75</v>
      </c>
      <c r="R270" s="32">
        <f>LOOKUP(Q270,{0,4.72,4.82,4.92,5.42,5.52,5.62,5.67,5.72,5.77,5.82,5.87,5.92,5.97,6.42,6.47,6.52,6.59,6.66,6.72,6.78},{0,10,20,30,40,50,60,62,64,66,68,70,72,74,76,78,80,85,90,95,100})</f>
        <v>95</v>
      </c>
      <c r="S270" s="4"/>
      <c r="T270" s="4"/>
      <c r="U270" s="4">
        <f t="shared" si="33"/>
        <v>95</v>
      </c>
      <c r="V270" s="4"/>
      <c r="W270" s="5">
        <f t="shared" si="34"/>
        <v>59.9</v>
      </c>
      <c r="X270" s="20">
        <f t="shared" si="35"/>
        <v>85.5714285714286</v>
      </c>
    </row>
    <row r="271" ht="15.6" hidden="1" spans="1:24">
      <c r="A271" s="4">
        <v>201</v>
      </c>
      <c r="B271" s="24" t="s">
        <v>57</v>
      </c>
      <c r="C271" s="25" t="s">
        <v>53</v>
      </c>
      <c r="D271" s="4">
        <v>14.7</v>
      </c>
      <c r="E271" s="32">
        <f>LOOKUP(D271,{0,1,1.8,2.6,3.4,4.2,5,6.3,7.6,8.9,10.2,11.5,12.8,14.1,15.4,16.7,18,19.7,21.4,23.1,24.8},{0,10,20,30,40,50,60,62,64,66,68,70,72,74,76,78,80,85,90,95,100})</f>
        <v>74</v>
      </c>
      <c r="F271" s="4">
        <v>191</v>
      </c>
      <c r="G271" s="32">
        <f>LOOKUP(F271,{0,124,129,134,139,144,149,152,155,158,161,164,167,170,173,176,179,186,193,199,205},{0,10,20,30,40,50,60,62,64,66,68,70,72,74,76,78,80,85,90,95,100})</f>
        <v>85</v>
      </c>
      <c r="H271" s="4">
        <v>54</v>
      </c>
      <c r="I271" s="32">
        <f>LOOKUP(H271,{0,14,16,18,20,22,24,26,28,30,32,34,36,38,40,42,44,47,50,52,54},{0,10,20,30,40,50,60,62,64,66,68,70,72,74,76,78,80,85,90,95,100})</f>
        <v>100</v>
      </c>
      <c r="J271" s="4">
        <f>H271-54</f>
        <v>0</v>
      </c>
      <c r="K271" s="32">
        <f>LOOKUP(J271,{0,2,4,6,7,8,9,10,11,12,13},{0,1,2,3,4,5,6,7,8,9,10})</f>
        <v>0</v>
      </c>
      <c r="L271" s="4">
        <f t="shared" si="31"/>
        <v>100</v>
      </c>
      <c r="M271" s="4">
        <v>8.2</v>
      </c>
      <c r="N271" s="4">
        <f t="shared" si="30"/>
        <v>3.8</v>
      </c>
      <c r="O271" s="32">
        <f>LOOKUP(N271,{0,0.5,0.7,0.9,1.1,1.3,1.5,1.7,1.9,2.1,2.3,2.5,2.7,2.9,3.1,3.3,3.5,3.8,4.1,4.2,4.3},{0,10,20,30,40,50,60,62,64,66,68,70,72,74,76,78,80,85,90,95,100})</f>
        <v>85</v>
      </c>
      <c r="P271" s="4">
        <v>3.39</v>
      </c>
      <c r="Q271" s="4">
        <f t="shared" si="32"/>
        <v>6.61</v>
      </c>
      <c r="R271" s="32">
        <f>LOOKUP(Q271,{0,4.72,4.82,4.92,5.42,5.52,5.62,5.67,5.72,5.77,5.82,5.87,5.92,5.97,6.42,6.47,6.52,6.59,6.66,6.72,6.78},{0,10,20,30,40,50,60,62,64,66,68,70,72,74,76,78,80,85,90,95,100})</f>
        <v>85</v>
      </c>
      <c r="U271" s="4">
        <f t="shared" si="33"/>
        <v>85</v>
      </c>
      <c r="W271" s="5">
        <f t="shared" si="34"/>
        <v>59.9</v>
      </c>
      <c r="X271" s="20">
        <f t="shared" si="35"/>
        <v>85.5714285714286</v>
      </c>
    </row>
    <row r="272" ht="15.6" hidden="1" spans="1:24">
      <c r="A272" s="4">
        <v>211</v>
      </c>
      <c r="B272" s="24" t="s">
        <v>603</v>
      </c>
      <c r="C272" s="25" t="s">
        <v>53</v>
      </c>
      <c r="D272" s="4">
        <v>22</v>
      </c>
      <c r="E272" s="32">
        <f>LOOKUP(D272,{0,1,1.8,2.6,3.4,4.2,5,6.3,7.6,8.9,10.2,11.5,12.8,14.1,15.4,16.7,18,19.7,21.4,23.1,24.8},{0,10,20,30,40,50,60,62,64,66,68,70,72,74,76,78,80,85,90,95,100})</f>
        <v>90</v>
      </c>
      <c r="F272" s="4">
        <v>190</v>
      </c>
      <c r="G272" s="32">
        <f>LOOKUP(F272,{0,124,129,134,139,144,149,152,155,158,161,164,167,170,173,176,179,186,193,199,205},{0,10,20,30,40,50,60,62,64,66,68,70,72,74,76,78,80,85,90,95,100})</f>
        <v>85</v>
      </c>
      <c r="H272" s="4">
        <v>41</v>
      </c>
      <c r="I272" s="32">
        <f>LOOKUP(H272,{0,14,16,18,20,22,24,26,28,30,32,34,36,38,40,42,44,47,50,52,54},{0,10,20,30,40,50,60,62,64,66,68,70,72,74,76,78,80,85,90,95,100})</f>
        <v>76</v>
      </c>
      <c r="K272" s="35"/>
      <c r="L272" s="4">
        <f t="shared" si="31"/>
        <v>76</v>
      </c>
      <c r="M272" s="4">
        <v>8.7</v>
      </c>
      <c r="N272" s="4">
        <f t="shared" si="30"/>
        <v>3.3</v>
      </c>
      <c r="O272" s="32">
        <f>LOOKUP(N272,{0,0.5,0.7,0.9,1.1,1.3,1.5,1.7,1.9,2.1,2.3,2.5,2.7,2.9,3.1,3.3,3.5,3.8,4.1,4.2,4.3},{0,10,20,30,40,50,60,62,64,66,68,70,72,74,76,78,80,85,90,95,100})</f>
        <v>78</v>
      </c>
      <c r="P272" s="4">
        <v>3.27</v>
      </c>
      <c r="Q272" s="4">
        <f t="shared" si="32"/>
        <v>6.73</v>
      </c>
      <c r="R272" s="32">
        <f>LOOKUP(Q272,{0,4.72,4.82,4.92,5.42,5.52,5.62,5.67,5.72,5.77,5.82,5.87,5.92,5.97,6.42,6.47,6.52,6.59,6.66,6.72,6.78},{0,10,20,30,40,50,60,62,64,66,68,70,72,74,76,78,80,85,90,95,100})</f>
        <v>95</v>
      </c>
      <c r="U272" s="4">
        <f t="shared" si="33"/>
        <v>95</v>
      </c>
      <c r="W272" s="5">
        <f t="shared" si="34"/>
        <v>59.7</v>
      </c>
      <c r="X272" s="20">
        <f t="shared" si="35"/>
        <v>85.2857142857143</v>
      </c>
    </row>
    <row r="273" ht="15.6" hidden="1" spans="1:24">
      <c r="A273" s="4">
        <v>204</v>
      </c>
      <c r="B273" s="24" t="s">
        <v>171</v>
      </c>
      <c r="C273" s="25" t="s">
        <v>53</v>
      </c>
      <c r="D273" s="4">
        <v>21</v>
      </c>
      <c r="E273" s="32">
        <f>LOOKUP(D273,{0,1,1.8,2.6,3.4,4.2,5,6.3,7.6,8.9,10.2,11.5,12.8,14.1,15.4,16.7,18,19.7,21.4,23.1,24.8},{0,10,20,30,40,50,60,62,64,66,68,70,72,74,76,78,80,85,90,95,100})</f>
        <v>85</v>
      </c>
      <c r="F273" s="4">
        <v>184</v>
      </c>
      <c r="G273" s="32">
        <f>LOOKUP(F273,{0,124,129,134,139,144,149,152,155,158,161,164,167,170,173,176,179,186,193,199,205},{0,10,20,30,40,50,60,62,64,66,68,70,72,74,76,78,80,85,90,95,100})</f>
        <v>80</v>
      </c>
      <c r="H273" s="4">
        <v>55</v>
      </c>
      <c r="I273" s="32">
        <f>LOOKUP(H273,{0,14,16,18,20,22,24,26,28,30,32,34,36,38,40,42,44,47,50,52,54},{0,10,20,30,40,50,60,62,64,66,68,70,72,74,76,78,80,85,90,95,100})</f>
        <v>100</v>
      </c>
      <c r="J273" s="4">
        <f>H273-54</f>
        <v>1</v>
      </c>
      <c r="K273" s="32">
        <f>LOOKUP(J273,{0,2,4,6,7,8,9,10,11,12,13},{0,1,2,3,4,5,6,7,8,9,10})</f>
        <v>0</v>
      </c>
      <c r="L273" s="4">
        <f t="shared" si="31"/>
        <v>100</v>
      </c>
      <c r="M273" s="4">
        <v>8.9</v>
      </c>
      <c r="N273" s="4">
        <f t="shared" si="30"/>
        <v>3.1</v>
      </c>
      <c r="O273" s="32">
        <f>LOOKUP(N273,{0,0.5,0.7,0.9,1.1,1.3,1.5,1.7,1.9,2.1,2.3,2.5,2.7,2.9,3.1,3.3,3.5,3.8,4.1,4.2,4.3},{0,10,20,30,40,50,60,62,64,66,68,70,72,74,76,78,80,85,90,95,100})</f>
        <v>76</v>
      </c>
      <c r="P273" s="4">
        <v>3.31</v>
      </c>
      <c r="Q273" s="4">
        <f t="shared" si="32"/>
        <v>6.69</v>
      </c>
      <c r="R273" s="32">
        <f>LOOKUP(Q273,{0,4.72,4.82,4.92,5.42,5.52,5.62,5.67,5.72,5.77,5.82,5.87,5.92,5.97,6.42,6.47,6.52,6.59,6.66,6.72,6.78},{0,10,20,30,40,50,60,62,64,66,68,70,72,74,76,78,80,85,90,95,100})</f>
        <v>90</v>
      </c>
      <c r="U273" s="4">
        <f t="shared" si="33"/>
        <v>90</v>
      </c>
      <c r="W273" s="5">
        <f t="shared" si="34"/>
        <v>59.7</v>
      </c>
      <c r="X273" s="20">
        <f t="shared" si="35"/>
        <v>85.2857142857143</v>
      </c>
    </row>
    <row r="274" ht="15.6" hidden="1" spans="1:24">
      <c r="A274" s="4">
        <v>212</v>
      </c>
      <c r="B274" s="24" t="s">
        <v>643</v>
      </c>
      <c r="C274" s="25" t="s">
        <v>53</v>
      </c>
      <c r="D274" s="4">
        <v>21.4</v>
      </c>
      <c r="E274" s="32">
        <f>LOOKUP(D274,{0,1,1.8,2.6,3.4,4.2,5,6.3,7.6,8.9,10.2,11.5,12.8,14.1,15.4,16.7,18,19.7,21.4,23.1,24.8},{0,10,20,30,40,50,60,62,64,66,68,70,72,74,76,78,80,85,90,95,100})</f>
        <v>90</v>
      </c>
      <c r="F274" s="4">
        <v>175</v>
      </c>
      <c r="G274" s="32">
        <f>LOOKUP(F274,{0,124,129,134,139,144,149,152,155,158,161,164,167,170,173,176,179,186,193,199,205},{0,10,20,30,40,50,60,62,64,66,68,70,72,74,76,78,80,85,90,95,100})</f>
        <v>76</v>
      </c>
      <c r="H274" s="4">
        <v>51</v>
      </c>
      <c r="I274" s="32">
        <f>LOOKUP(H274,{0,14,16,18,20,22,24,26,28,30,32,34,36,38,40,42,44,47,50,52,54},{0,10,20,30,40,50,60,62,64,66,68,70,72,74,76,78,80,85,90,95,100})</f>
        <v>90</v>
      </c>
      <c r="L274" s="4">
        <f t="shared" si="31"/>
        <v>90</v>
      </c>
      <c r="M274" s="4">
        <v>8.5</v>
      </c>
      <c r="N274" s="4">
        <f t="shared" si="30"/>
        <v>3.5</v>
      </c>
      <c r="O274" s="32">
        <f>LOOKUP(N274,{0,0.5,0.7,0.9,1.1,1.3,1.5,1.7,1.9,2.1,2.3,2.5,2.7,2.9,3.1,3.3,3.5,3.8,4.1,4.2,4.3},{0,10,20,30,40,50,60,62,64,66,68,70,72,74,76,78,80,85,90,95,100})</f>
        <v>80</v>
      </c>
      <c r="P274" s="4">
        <v>3.29</v>
      </c>
      <c r="Q274" s="4">
        <f t="shared" si="32"/>
        <v>6.71</v>
      </c>
      <c r="R274" s="32">
        <f>LOOKUP(Q274,{0,4.72,4.82,4.92,5.42,5.52,5.62,5.67,5.72,5.77,5.82,5.87,5.92,5.97,6.42,6.47,6.52,6.59,6.66,6.72,6.78},{0,10,20,30,40,50,60,62,64,66,68,70,72,74,76,78,80,85,90,95,100})</f>
        <v>90</v>
      </c>
      <c r="U274" s="4">
        <f t="shared" si="33"/>
        <v>90</v>
      </c>
      <c r="W274" s="5">
        <f t="shared" si="34"/>
        <v>59.6</v>
      </c>
      <c r="X274" s="20">
        <f t="shared" si="35"/>
        <v>85.1428571428572</v>
      </c>
    </row>
    <row r="275" ht="15.6" hidden="1" spans="1:24">
      <c r="A275" s="4">
        <v>202</v>
      </c>
      <c r="B275" s="24" t="s">
        <v>102</v>
      </c>
      <c r="C275" s="25" t="s">
        <v>53</v>
      </c>
      <c r="D275" s="4">
        <v>27</v>
      </c>
      <c r="E275" s="32">
        <f>LOOKUP(D275,{0,1,1.8,2.6,3.4,4.2,5,6.3,7.6,8.9,10.2,11.5,12.8,14.1,15.4,16.7,18,19.7,21.4,23.1,24.8},{0,10,20,30,40,50,60,62,64,66,68,70,72,74,76,78,80,85,90,95,100})</f>
        <v>100</v>
      </c>
      <c r="F275" s="4">
        <v>181</v>
      </c>
      <c r="G275" s="32">
        <f>LOOKUP(F275,{0,124,129,134,139,144,149,152,155,158,161,164,167,170,173,176,179,186,193,199,205},{0,10,20,30,40,50,60,62,64,66,68,70,72,74,76,78,80,85,90,95,100})</f>
        <v>80</v>
      </c>
      <c r="H275" s="4">
        <v>46</v>
      </c>
      <c r="I275" s="32">
        <f>LOOKUP(H275,{0,14,16,18,20,22,24,26,28,30,32,34,36,38,40,42,44,47,50,52,54},{0,10,20,30,40,50,60,62,64,66,68,70,72,74,76,78,80,85,90,95,100})</f>
        <v>80</v>
      </c>
      <c r="L275" s="4">
        <f t="shared" si="31"/>
        <v>80</v>
      </c>
      <c r="M275" s="4">
        <v>8.7</v>
      </c>
      <c r="N275" s="4">
        <f t="shared" si="30"/>
        <v>3.3</v>
      </c>
      <c r="O275" s="32">
        <f>LOOKUP(N275,{0,0.5,0.7,0.9,1.1,1.3,1.5,1.7,1.9,2.1,2.3,2.5,2.7,2.9,3.1,3.3,3.5,3.8,4.1,4.2,4.3},{0,10,20,30,40,50,60,62,64,66,68,70,72,74,76,78,80,85,90,95,100})</f>
        <v>78</v>
      </c>
      <c r="P275" s="4">
        <v>3.34</v>
      </c>
      <c r="Q275" s="4">
        <f t="shared" si="32"/>
        <v>6.66</v>
      </c>
      <c r="R275" s="32">
        <f>LOOKUP(Q275,{0,4.72,4.82,4.92,5.42,5.52,5.62,5.67,5.72,5.77,5.82,5.87,5.92,5.97,6.42,6.47,6.52,6.59,6.66,6.72,6.78},{0,10,20,30,40,50,60,62,64,66,68,70,72,74,76,78,80,85,90,95,100})</f>
        <v>90</v>
      </c>
      <c r="U275" s="4">
        <f t="shared" si="33"/>
        <v>90</v>
      </c>
      <c r="W275" s="5">
        <f t="shared" si="34"/>
        <v>59.6</v>
      </c>
      <c r="X275" s="20">
        <f t="shared" si="35"/>
        <v>85.1428571428572</v>
      </c>
    </row>
    <row r="276" ht="15.6" hidden="1" spans="1:24">
      <c r="A276" s="4">
        <v>213</v>
      </c>
      <c r="B276" s="24" t="s">
        <v>682</v>
      </c>
      <c r="C276" s="25" t="s">
        <v>53</v>
      </c>
      <c r="D276" s="4">
        <v>26</v>
      </c>
      <c r="E276" s="32">
        <f>LOOKUP(D276,{0,1,1.8,2.6,3.4,4.2,5,6.3,7.6,8.9,10.2,11.5,12.8,14.1,15.4,16.7,18,19.7,21.4,23.1,24.8},{0,10,20,30,40,50,60,62,64,66,68,70,72,74,76,78,80,85,90,95,100})</f>
        <v>100</v>
      </c>
      <c r="F276" s="4">
        <v>164</v>
      </c>
      <c r="G276" s="32">
        <f>LOOKUP(F276,{0,124,129,134,139,144,149,152,155,158,161,164,167,170,173,176,179,186,193,199,205},{0,10,20,30,40,50,60,62,64,66,68,70,72,74,76,78,80,85,90,95,100})</f>
        <v>70</v>
      </c>
      <c r="H276" s="4">
        <v>54</v>
      </c>
      <c r="I276" s="32">
        <f>LOOKUP(H276,{0,14,16,18,20,22,24,26,28,30,32,34,36,38,40,42,44,47,50,52,54},{0,10,20,30,40,50,60,62,64,66,68,70,72,74,76,78,80,85,90,95,100})</f>
        <v>100</v>
      </c>
      <c r="J276" s="4">
        <f>H276-54</f>
        <v>0</v>
      </c>
      <c r="K276" s="32">
        <f>LOOKUP(J276,{0,2,4,6,7,8,9,10,11,12,13},{0,1,2,3,4,5,6,7,8,9,10})</f>
        <v>0</v>
      </c>
      <c r="L276" s="4">
        <f t="shared" si="31"/>
        <v>100</v>
      </c>
      <c r="M276" s="4">
        <v>8.6</v>
      </c>
      <c r="N276" s="4">
        <f t="shared" si="30"/>
        <v>3.4</v>
      </c>
      <c r="O276" s="32">
        <f>LOOKUP(N276,{0,0.5,0.7,0.9,1.1,1.3,1.5,1.7,1.9,2.1,2.3,2.5,2.7,2.9,3.1,3.3,3.5,3.8,4.1,4.2,4.3},{0,10,20,30,40,50,60,62,64,66,68,70,72,74,76,78,80,85,90,95,100})</f>
        <v>78</v>
      </c>
      <c r="P276" s="4">
        <v>3.37</v>
      </c>
      <c r="Q276" s="4">
        <f t="shared" si="32"/>
        <v>6.63</v>
      </c>
      <c r="R276" s="32">
        <f>LOOKUP(Q276,{0,4.72,4.82,4.92,5.42,5.52,5.62,5.67,5.72,5.77,5.82,5.87,5.92,5.97,6.42,6.47,6.52,6.59,6.66,6.72,6.78},{0,10,20,30,40,50,60,62,64,66,68,70,72,74,76,78,80,85,90,95,100})</f>
        <v>85</v>
      </c>
      <c r="U276" s="4">
        <f t="shared" si="33"/>
        <v>85</v>
      </c>
      <c r="W276" s="5">
        <f t="shared" si="34"/>
        <v>59.6</v>
      </c>
      <c r="X276" s="20">
        <f t="shared" si="35"/>
        <v>85.1428571428572</v>
      </c>
    </row>
    <row r="277" ht="15.6" hidden="1" spans="1:24">
      <c r="A277" s="4">
        <v>202</v>
      </c>
      <c r="B277" s="24" t="s">
        <v>109</v>
      </c>
      <c r="C277" s="25" t="s">
        <v>53</v>
      </c>
      <c r="D277" s="4">
        <v>25</v>
      </c>
      <c r="E277" s="32">
        <f>LOOKUP(D277,{0,1,1.8,2.6,3.4,4.2,5,6.3,7.6,8.9,10.2,11.5,12.8,14.1,15.4,16.7,18,19.7,21.4,23.1,24.8},{0,10,20,30,40,50,60,62,64,66,68,70,72,74,76,78,80,85,90,95,100})</f>
        <v>100</v>
      </c>
      <c r="F277" s="4">
        <v>195</v>
      </c>
      <c r="G277" s="32">
        <f>LOOKUP(F277,{0,124,129,134,139,144,149,152,155,158,161,164,167,170,173,176,179,186,193,199,205},{0,10,20,30,40,50,60,62,64,66,68,70,72,74,76,78,80,85,90,95,100})</f>
        <v>90</v>
      </c>
      <c r="H277" s="4">
        <v>45</v>
      </c>
      <c r="I277" s="32">
        <f>LOOKUP(H277,{0,14,16,18,20,22,24,26,28,30,32,34,36,38,40,42,44,47,50,52,54},{0,10,20,30,40,50,60,62,64,66,68,70,72,74,76,78,80,85,90,95,100})</f>
        <v>80</v>
      </c>
      <c r="L277" s="4">
        <f t="shared" si="31"/>
        <v>80</v>
      </c>
      <c r="M277" s="4">
        <v>8.2</v>
      </c>
      <c r="N277" s="4">
        <f t="shared" si="30"/>
        <v>3.8</v>
      </c>
      <c r="O277" s="32">
        <f>LOOKUP(N277,{0,0.5,0.7,0.9,1.1,1.3,1.5,1.7,1.9,2.1,2.3,2.5,2.7,2.9,3.1,3.3,3.5,3.8,4.1,4.2,4.3},{0,10,20,30,40,50,60,62,64,66,68,70,72,74,76,78,80,85,90,95,100})</f>
        <v>85</v>
      </c>
      <c r="P277" s="4">
        <v>3.49</v>
      </c>
      <c r="Q277" s="4">
        <f t="shared" si="32"/>
        <v>6.51</v>
      </c>
      <c r="R277" s="32">
        <f>LOOKUP(Q277,{0,4.72,4.82,4.92,5.42,5.52,5.62,5.67,5.72,5.77,5.82,5.87,5.92,5.97,6.42,6.47,6.52,6.59,6.66,6.72,6.78},{0,10,20,30,40,50,60,62,64,66,68,70,72,74,76,78,80,85,90,95,100})</f>
        <v>78</v>
      </c>
      <c r="U277" s="4">
        <f t="shared" si="33"/>
        <v>78</v>
      </c>
      <c r="W277" s="5">
        <f t="shared" si="34"/>
        <v>59.6</v>
      </c>
      <c r="X277" s="20">
        <f t="shared" si="35"/>
        <v>85.1428571428572</v>
      </c>
    </row>
    <row r="278" ht="15.6" hidden="1" spans="1:24">
      <c r="A278" s="4">
        <v>204</v>
      </c>
      <c r="B278" s="24" t="s">
        <v>209</v>
      </c>
      <c r="C278" s="25" t="s">
        <v>53</v>
      </c>
      <c r="D278" s="4">
        <v>19.1</v>
      </c>
      <c r="E278" s="32">
        <f>LOOKUP(D278,{0,1,1.8,2.6,3.4,4.2,5,6.3,7.6,8.9,10.2,11.5,12.8,14.1,15.4,16.7,18,19.7,21.4,23.1,24.8},{0,10,20,30,40,50,60,62,64,66,68,70,72,74,76,78,80,85,90,95,100})</f>
        <v>80</v>
      </c>
      <c r="F278" s="4">
        <v>210</v>
      </c>
      <c r="G278" s="32">
        <f>LOOKUP(F278,{0,124,129,134,139,144,149,152,155,158,161,164,167,170,173,176,179,186,193,199,205},{0,10,20,30,40,50,60,62,64,66,68,70,72,74,76,78,80,85,90,95,100})</f>
        <v>100</v>
      </c>
      <c r="H278" s="4">
        <v>49</v>
      </c>
      <c r="I278" s="32">
        <f>LOOKUP(H278,{0,14,16,18,20,22,24,26,28,30,32,34,36,38,40,42,44,47,50,52,54},{0,10,20,30,40,50,60,62,64,66,68,70,72,74,76,78,80,85,90,95,100})</f>
        <v>85</v>
      </c>
      <c r="L278" s="4">
        <f t="shared" si="31"/>
        <v>85</v>
      </c>
      <c r="M278" s="4">
        <v>8.4</v>
      </c>
      <c r="N278" s="4">
        <f t="shared" si="30"/>
        <v>3.6</v>
      </c>
      <c r="O278" s="32">
        <f>LOOKUP(N278,{0,0.5,0.7,0.9,1.1,1.3,1.5,1.7,1.9,2.1,2.3,2.5,2.7,2.9,3.1,3.3,3.5,3.8,4.1,4.2,4.3},{0,10,20,30,40,50,60,62,64,66,68,70,72,74,76,78,80,85,90,95,100})</f>
        <v>80</v>
      </c>
      <c r="P278" s="4">
        <v>3.39</v>
      </c>
      <c r="Q278" s="4">
        <f t="shared" si="32"/>
        <v>6.61</v>
      </c>
      <c r="R278" s="32">
        <f>LOOKUP(Q278,{0,4.72,4.82,4.92,5.42,5.52,5.62,5.67,5.72,5.77,5.82,5.87,5.92,5.97,6.42,6.47,6.52,6.59,6.66,6.72,6.78},{0,10,20,30,40,50,60,62,64,66,68,70,72,74,76,78,80,85,90,95,100})</f>
        <v>85</v>
      </c>
      <c r="U278" s="4">
        <f t="shared" si="33"/>
        <v>85</v>
      </c>
      <c r="W278" s="5">
        <f t="shared" si="34"/>
        <v>59.5</v>
      </c>
      <c r="X278" s="20">
        <f t="shared" si="35"/>
        <v>85</v>
      </c>
    </row>
    <row r="279" ht="15.6" hidden="1" spans="1:24">
      <c r="A279" s="4">
        <v>203</v>
      </c>
      <c r="B279" s="24" t="s">
        <v>155</v>
      </c>
      <c r="C279" s="25" t="s">
        <v>53</v>
      </c>
      <c r="D279" s="4">
        <v>31</v>
      </c>
      <c r="E279" s="32">
        <f>LOOKUP(D279,{0,1,1.8,2.6,3.4,4.2,5,6.3,7.6,8.9,10.2,11.5,12.8,14.1,15.4,16.7,18,19.7,21.4,23.1,24.8},{0,10,20,30,40,50,60,62,64,66,68,70,72,74,76,78,80,85,90,95,100})</f>
        <v>100</v>
      </c>
      <c r="F279" s="4">
        <v>188</v>
      </c>
      <c r="G279" s="32">
        <f>LOOKUP(F279,{0,124,129,134,139,144,149,152,155,158,161,164,167,170,173,176,179,186,193,199,205},{0,10,20,30,40,50,60,62,64,66,68,70,72,74,76,78,80,85,90,95,100})</f>
        <v>85</v>
      </c>
      <c r="H279" s="4">
        <v>45</v>
      </c>
      <c r="I279" s="32">
        <f>LOOKUP(H279,{0,14,16,18,20,22,24,26,28,30,32,34,36,38,40,42,44,47,50,52,54},{0,10,20,30,40,50,60,62,64,66,68,70,72,74,76,78,80,85,90,95,100})</f>
        <v>80</v>
      </c>
      <c r="K279" s="35"/>
      <c r="L279" s="4">
        <f t="shared" si="31"/>
        <v>80</v>
      </c>
      <c r="M279" s="4">
        <v>8.4</v>
      </c>
      <c r="N279" s="4">
        <f t="shared" si="30"/>
        <v>3.6</v>
      </c>
      <c r="O279" s="32">
        <f>LOOKUP(N279,{0,0.5,0.7,0.9,1.1,1.3,1.5,1.7,1.9,2.1,2.3,2.5,2.7,2.9,3.1,3.3,3.5,3.8,4.1,4.2,4.3},{0,10,20,30,40,50,60,62,64,66,68,70,72,74,76,78,80,85,90,95,100})</f>
        <v>80</v>
      </c>
      <c r="P279" s="4">
        <v>3.41</v>
      </c>
      <c r="Q279" s="4">
        <f t="shared" si="32"/>
        <v>6.59</v>
      </c>
      <c r="R279" s="32">
        <f>LOOKUP(Q279,{0,4.72,4.82,4.92,5.42,5.52,5.62,5.67,5.72,5.77,5.82,5.87,5.92,5.97,6.42,6.47,6.52,6.59,6.66,6.72,6.78},{0,10,20,30,40,50,60,62,64,66,68,70,72,74,76,78,80,85,90,95,100})</f>
        <v>85</v>
      </c>
      <c r="U279" s="4">
        <f t="shared" si="33"/>
        <v>85</v>
      </c>
      <c r="W279" s="5">
        <f t="shared" si="34"/>
        <v>59.5</v>
      </c>
      <c r="X279" s="20">
        <f t="shared" si="35"/>
        <v>85</v>
      </c>
    </row>
    <row r="280" ht="15.6" hidden="1" spans="1:24">
      <c r="A280" s="4">
        <v>206</v>
      </c>
      <c r="B280" s="24" t="s">
        <v>323</v>
      </c>
      <c r="C280" s="25" t="s">
        <v>53</v>
      </c>
      <c r="D280" s="4">
        <v>23</v>
      </c>
      <c r="E280" s="32">
        <f>LOOKUP(D280,{0,1,1.8,2.6,3.4,4.2,5,6.3,7.6,8.9,10.2,11.5,12.8,14.1,15.4,16.7,18,19.7,21.4,23.1,24.8},{0,10,20,30,40,50,60,62,64,66,68,70,72,74,76,78,80,85,90,95,100})</f>
        <v>90</v>
      </c>
      <c r="F280" s="4">
        <v>175</v>
      </c>
      <c r="G280" s="32">
        <f>LOOKUP(F280,{0,124,129,134,139,144,149,152,155,158,161,164,167,170,173,176,179,186,193,199,205},{0,10,20,30,40,50,60,62,64,66,68,70,72,74,76,78,80,85,90,95,100})</f>
        <v>76</v>
      </c>
      <c r="H280" s="4">
        <v>54</v>
      </c>
      <c r="I280" s="32">
        <f>LOOKUP(H280,{0,14,16,18,20,22,24,26,28,30,32,34,36,38,40,42,44,47,50,52,54},{0,10,20,30,40,50,60,62,64,66,68,70,72,74,76,78,80,85,90,95,100})</f>
        <v>100</v>
      </c>
      <c r="J280" s="4">
        <f>H280-54</f>
        <v>0</v>
      </c>
      <c r="K280" s="32">
        <f>LOOKUP(J280,{0,2,4,6,7,8,9,10,11,12,13},{0,1,2,3,4,5,6,7,8,9,10})</f>
        <v>0</v>
      </c>
      <c r="L280" s="4">
        <f t="shared" si="31"/>
        <v>100</v>
      </c>
      <c r="M280" s="4">
        <v>9</v>
      </c>
      <c r="N280" s="4">
        <f t="shared" si="30"/>
        <v>3</v>
      </c>
      <c r="O280" s="32">
        <f>LOOKUP(N280,{0,0.5,0.7,0.9,1.1,1.3,1.5,1.7,1.9,2.1,2.3,2.5,2.7,2.9,3.1,3.3,3.5,3.8,4.1,4.2,4.3},{0,10,20,30,40,50,60,62,64,66,68,70,72,74,76,78,80,85,90,95,100})</f>
        <v>74</v>
      </c>
      <c r="P280" s="4">
        <v>3.33</v>
      </c>
      <c r="Q280" s="4">
        <f t="shared" si="32"/>
        <v>6.67</v>
      </c>
      <c r="R280" s="32">
        <f>LOOKUP(Q280,{0,4.72,4.82,4.92,5.42,5.52,5.62,5.67,5.72,5.77,5.82,5.87,5.92,5.97,6.42,6.47,6.52,6.59,6.66,6.72,6.78},{0,10,20,30,40,50,60,62,64,66,68,70,72,74,76,78,80,85,90,95,100})</f>
        <v>90</v>
      </c>
      <c r="U280" s="4">
        <f t="shared" si="33"/>
        <v>90</v>
      </c>
      <c r="W280" s="5">
        <f t="shared" si="34"/>
        <v>59.4</v>
      </c>
      <c r="X280" s="20">
        <f t="shared" si="35"/>
        <v>84.8571428571429</v>
      </c>
    </row>
    <row r="281" ht="15.6" hidden="1" spans="1:24">
      <c r="A281" s="4">
        <v>211</v>
      </c>
      <c r="B281" s="24" t="s">
        <v>591</v>
      </c>
      <c r="C281" s="25" t="s">
        <v>53</v>
      </c>
      <c r="D281" s="4">
        <v>30</v>
      </c>
      <c r="E281" s="32">
        <f>LOOKUP(D281,{0,1,1.8,2.6,3.4,4.2,5,6.3,7.6,8.9,10.2,11.5,12.8,14.1,15.4,16.7,18,19.7,21.4,23.1,24.8},{0,10,20,30,40,50,60,62,64,66,68,70,72,74,76,78,80,85,90,95,100})</f>
        <v>100</v>
      </c>
      <c r="F281" s="4">
        <v>178</v>
      </c>
      <c r="G281" s="32">
        <f>LOOKUP(F281,{0,124,129,134,139,144,149,152,155,158,161,164,167,170,173,176,179,186,193,199,205},{0,10,20,30,40,50,60,62,64,66,68,70,72,74,76,78,80,85,90,95,100})</f>
        <v>78</v>
      </c>
      <c r="H281" s="4">
        <v>50</v>
      </c>
      <c r="I281" s="32">
        <f>LOOKUP(H281,{0,14,16,18,20,22,24,26,28,30,32,34,36,38,40,42,44,47,50,52,54},{0,10,20,30,40,50,60,62,64,66,68,70,72,74,76,78,80,85,90,95,100})</f>
        <v>90</v>
      </c>
      <c r="L281" s="4">
        <f t="shared" si="31"/>
        <v>90</v>
      </c>
      <c r="M281" s="4">
        <v>8.6</v>
      </c>
      <c r="N281" s="4">
        <f t="shared" si="30"/>
        <v>3.4</v>
      </c>
      <c r="O281" s="32">
        <f>LOOKUP(N281,{0,0.5,0.7,0.9,1.1,1.3,1.5,1.7,1.9,2.1,2.3,2.5,2.7,2.9,3.1,3.3,3.5,3.8,4.1,4.2,4.3},{0,10,20,30,40,50,60,62,64,66,68,70,72,74,76,78,80,85,90,95,100})</f>
        <v>78</v>
      </c>
      <c r="P281" s="4">
        <v>3.4</v>
      </c>
      <c r="Q281" s="4">
        <f t="shared" si="32"/>
        <v>6.6</v>
      </c>
      <c r="R281" s="32">
        <f>LOOKUP(Q281,{0,4.72,4.82,4.92,5.42,5.52,5.62,5.67,5.72,5.77,5.82,5.87,5.92,5.97,6.42,6.47,6.52,6.59,6.66,6.72,6.78},{0,10,20,30,40,50,60,62,64,66,68,70,72,74,76,78,80,85,90,95,100})</f>
        <v>85</v>
      </c>
      <c r="U281" s="4">
        <f t="shared" si="33"/>
        <v>85</v>
      </c>
      <c r="W281" s="5">
        <f t="shared" si="34"/>
        <v>59.4</v>
      </c>
      <c r="X281" s="20">
        <f t="shared" si="35"/>
        <v>84.8571428571429</v>
      </c>
    </row>
    <row r="282" s="1" customFormat="1" ht="15.6" hidden="1" spans="1:24">
      <c r="A282" s="4">
        <v>213</v>
      </c>
      <c r="B282" s="24" t="s">
        <v>723</v>
      </c>
      <c r="C282" s="25" t="s">
        <v>53</v>
      </c>
      <c r="D282" s="4">
        <v>8.6</v>
      </c>
      <c r="E282" s="32">
        <f>LOOKUP(D282,{0,1,1.8,2.6,3.4,4.2,5,6.3,7.6,8.9,10.2,11.5,12.8,14.1,15.4,16.7,18,19.7,21.4,23.1,24.8},{0,10,20,30,40,50,60,62,64,66,68,70,72,74,76,78,80,85,90,95,100})</f>
        <v>64</v>
      </c>
      <c r="F282" s="4">
        <v>190</v>
      </c>
      <c r="G282" s="32">
        <f>LOOKUP(F282,{0,124,129,134,139,144,149,152,155,158,161,164,167,170,173,176,179,186,193,199,205},{0,10,20,30,40,50,60,62,64,66,68,70,72,74,76,78,80,85,90,95,100})</f>
        <v>85</v>
      </c>
      <c r="H282" s="4">
        <v>49</v>
      </c>
      <c r="I282" s="32">
        <f>LOOKUP(H282,{0,14,16,18,20,22,24,26,28,30,32,34,36,38,40,42,44,47,50,52,54},{0,10,20,30,40,50,60,62,64,66,68,70,72,74,76,78,80,85,90,95,100})</f>
        <v>85</v>
      </c>
      <c r="J282" s="4"/>
      <c r="K282" s="4"/>
      <c r="L282" s="4">
        <f t="shared" si="31"/>
        <v>85</v>
      </c>
      <c r="M282" s="4">
        <v>7.9</v>
      </c>
      <c r="N282" s="4">
        <f t="shared" si="30"/>
        <v>4.1</v>
      </c>
      <c r="O282" s="32">
        <f>LOOKUP(N282,{0,0.5,0.7,0.9,1.1,1.3,1.5,1.7,1.9,2.1,2.3,2.5,2.7,2.9,3.1,3.3,3.5,3.8,4.1,4.2,4.3},{0,10,20,30,40,50,60,62,64,66,68,70,72,74,76,78,80,85,90,95,100})</f>
        <v>90</v>
      </c>
      <c r="P282" s="4">
        <v>3.29</v>
      </c>
      <c r="Q282" s="4">
        <f t="shared" si="32"/>
        <v>6.71</v>
      </c>
      <c r="R282" s="32">
        <f>LOOKUP(Q282,{0,4.72,4.82,4.92,5.42,5.52,5.62,5.67,5.72,5.77,5.82,5.87,5.92,5.97,6.42,6.47,6.52,6.59,6.66,6.72,6.78},{0,10,20,30,40,50,60,62,64,66,68,70,72,74,76,78,80,85,90,95,100})</f>
        <v>90</v>
      </c>
      <c r="S282" s="4"/>
      <c r="T282" s="4"/>
      <c r="U282" s="4">
        <f t="shared" si="33"/>
        <v>90</v>
      </c>
      <c r="V282" s="4"/>
      <c r="W282" s="5">
        <f t="shared" si="34"/>
        <v>59.4</v>
      </c>
      <c r="X282" s="20">
        <f t="shared" si="35"/>
        <v>84.8571428571429</v>
      </c>
    </row>
    <row r="283" ht="15.6" hidden="1" spans="1:24">
      <c r="A283" s="4">
        <v>201</v>
      </c>
      <c r="B283" s="24" t="s">
        <v>50</v>
      </c>
      <c r="C283" s="25" t="s">
        <v>11</v>
      </c>
      <c r="D283" s="4">
        <v>14.6</v>
      </c>
      <c r="E283" s="32">
        <f>LOOKUP(D283,{0,-2.9,-1.9,-0.9,0.1,1.1,2.1,3.5,4.9,6.3,7.7,9.1,10.5,11.9,13.3,14.7,16.1,18.3,20.5,22.4,24.3},{0,10,20,30,40,50,60,62,64,66,68,70,72,74,76,78,80,85,90,95,100})</f>
        <v>76</v>
      </c>
      <c r="F283" s="4">
        <v>225</v>
      </c>
      <c r="G283" s="32">
        <f>LOOKUP(F283,{0,175,180,185,190,195,200,204,208,212,216,220,224,228,232,236,240,248,255,260,265},{0,10,20,30,40,50,60,62,64,66,68,70,72,74,76,78,80,85,90,95,100})</f>
        <v>72</v>
      </c>
      <c r="H283" s="4">
        <v>6</v>
      </c>
      <c r="I283" s="32">
        <f>LOOKUP(H283,{0,3,4,5,6,7,8,9,10,11,12,13,14,15,16,17},{0,10,20,30,40,50,60,64,68,72,76,80,85,90,95,100})</f>
        <v>40</v>
      </c>
      <c r="L283" s="4">
        <f t="shared" si="31"/>
        <v>40</v>
      </c>
      <c r="M283" s="4">
        <v>7.6</v>
      </c>
      <c r="N283" s="4">
        <f t="shared" si="30"/>
        <v>4.4</v>
      </c>
      <c r="O283" s="32">
        <f>LOOKUP(N283,{0,1.6,1.8,2,2.2,2.4,2.6,2.8,3,3.2,3.4,3.6,3.8,4,4.2,4.4,4.6,4.7,4.8,4.9,5},{0,10,20,30,40,50,60,62,64,66,68,70,72,74,76,78,80,85,90,95,100})</f>
        <v>78</v>
      </c>
      <c r="P283" s="4">
        <v>3.48</v>
      </c>
      <c r="Q283" s="4">
        <f t="shared" si="32"/>
        <v>6.52</v>
      </c>
      <c r="R283" s="32">
        <f>LOOKUP(Q283,{0,3.8,4,4.6,4.8,5,5.6,5.65,5.7,5.75,5.8,5.85,5.9,5.95,6,6.45,6.5,6.58,6.65,6.7,6.75},{0,10,20,30,40,50,60,62,64,66,68,70,72,74,76,78,80,85,90,95,100})</f>
        <v>80</v>
      </c>
      <c r="U283" s="4">
        <f t="shared" si="33"/>
        <v>80</v>
      </c>
      <c r="W283" s="5">
        <f t="shared" si="34"/>
        <v>50.4</v>
      </c>
      <c r="X283" s="20">
        <f t="shared" si="35"/>
        <v>72</v>
      </c>
    </row>
    <row r="284" ht="15.6" hidden="1" spans="1:24">
      <c r="A284" s="4">
        <v>206</v>
      </c>
      <c r="B284" s="24" t="s">
        <v>291</v>
      </c>
      <c r="C284" s="25" t="s">
        <v>11</v>
      </c>
      <c r="D284" s="4">
        <v>7</v>
      </c>
      <c r="E284" s="32">
        <f>LOOKUP(D284,{0,-2.9,-1.9,-0.9,0.1,1.1,2.1,3.5,4.9,6.3,7.7,9.1,10.5,11.9,13.3,14.7,16.1,18.3,20.5,22.4,24.3},{0,10,20,30,40,50,60,62,64,66,68,70,72,74,76,78,80,85,90,95,100})</f>
        <v>66</v>
      </c>
      <c r="F284" s="4">
        <v>217</v>
      </c>
      <c r="G284" s="32">
        <f>LOOKUP(F284,{0,175,180,185,190,195,200,204,208,212,216,220,224,228,232,236,240,248,255,260,265},{0,10,20,30,40,50,60,62,64,66,68,70,72,74,76,78,80,85,90,95,100})</f>
        <v>68</v>
      </c>
      <c r="H284" s="4">
        <v>7</v>
      </c>
      <c r="I284" s="32">
        <f>LOOKUP(H284,{0,3,4,5,6,7,8,9,10,11,12,13,14,15,16,17},{0,10,20,30,40,50,60,64,68,72,76,80,85,90,95,100})</f>
        <v>50</v>
      </c>
      <c r="L284" s="4">
        <f t="shared" si="31"/>
        <v>50</v>
      </c>
      <c r="O284" s="32"/>
      <c r="P284" s="4">
        <v>3.48</v>
      </c>
      <c r="Q284" s="4">
        <f t="shared" si="32"/>
        <v>6.52</v>
      </c>
      <c r="R284" s="32">
        <f>LOOKUP(Q284,{0,3.8,4,4.6,4.8,5,5.6,5.65,5.7,5.75,5.8,5.85,5.9,5.95,6,6.45,6.5,6.58,6.65,6.7,6.75},{0,10,20,30,40,50,60,62,64,66,68,70,72,74,76,78,80,85,90,95,100})</f>
        <v>80</v>
      </c>
      <c r="U284" s="4">
        <f t="shared" si="33"/>
        <v>80</v>
      </c>
      <c r="W284" s="5">
        <f t="shared" si="34"/>
        <v>34.4</v>
      </c>
      <c r="X284" s="23">
        <v>50</v>
      </c>
    </row>
    <row r="285" ht="15.6" spans="1:24">
      <c r="A285" s="4">
        <v>211</v>
      </c>
      <c r="B285" s="24" t="s">
        <v>582</v>
      </c>
      <c r="C285" s="25" t="s">
        <v>11</v>
      </c>
      <c r="D285" s="4">
        <v>12</v>
      </c>
      <c r="E285" s="32">
        <f>LOOKUP(D285,{0,-2.9,-1.9,-0.9,0.1,1.1,2.1,3.5,4.9,6.3,7.7,9.1,10.5,11.9,13.3,14.7,16.1,18.3,20.5,22.4,24.3},{0,10,20,30,40,50,60,62,64,66,68,70,72,74,76,78,80,85,90,95,100})</f>
        <v>74</v>
      </c>
      <c r="F285" s="4">
        <v>221</v>
      </c>
      <c r="G285" s="32">
        <f>LOOKUP(F285,{0,175,180,185,190,195,200,204,208,212,216,220,224,228,232,236,240,248,255,260,265},{0,10,20,30,40,50,60,62,64,66,68,70,72,74,76,78,80,85,90,95,100})</f>
        <v>70</v>
      </c>
      <c r="H285" s="4">
        <v>22</v>
      </c>
      <c r="I285" s="32">
        <f>LOOKUP(H285,{0,3,4,5,6,7,8,9,10,11,12,13,14,15,16,17},{0,10,20,30,40,50,60,64,68,72,76,80,85,90,95,100})</f>
        <v>100</v>
      </c>
      <c r="J285" s="4">
        <f>H285-17</f>
        <v>5</v>
      </c>
      <c r="K285" s="32">
        <f>LOOKUP(J285,{0,1,2,3,4,5,6,7,8,9,10},{0,1,2,3,4,5,6,7,8,9,10})</f>
        <v>5</v>
      </c>
      <c r="L285" s="4">
        <f t="shared" si="31"/>
        <v>105</v>
      </c>
      <c r="M285" s="4">
        <v>6.9</v>
      </c>
      <c r="N285" s="4">
        <f t="shared" ref="N285:N309" si="36">12-M285</f>
        <v>5.1</v>
      </c>
      <c r="O285" s="32">
        <f>LOOKUP(N285,{0,1.6,1.8,2,2.2,2.4,2.6,2.8,3,3.2,3.4,3.6,3.8,4,4.2,4.4,4.6,4.7,4.8,4.9,5},{0,10,20,30,40,50,60,62,64,66,68,70,72,74,76,78,80,85,90,95,100})</f>
        <v>100</v>
      </c>
      <c r="P285" s="4">
        <v>3.49</v>
      </c>
      <c r="Q285" s="4">
        <f t="shared" si="32"/>
        <v>6.51</v>
      </c>
      <c r="R285" s="32">
        <f>LOOKUP(Q285,{0,3.8,4,4.6,4.8,5,5.6,5.65,5.7,5.75,5.8,5.85,5.9,5.95,6,6.45,6.5,6.58,6.65,6.7,6.75},{0,10,20,30,40,50,60,62,64,66,68,70,72,74,76,78,80,85,90,95,100})</f>
        <v>80</v>
      </c>
      <c r="U285" s="4">
        <f t="shared" si="33"/>
        <v>80</v>
      </c>
      <c r="W285" s="5">
        <f t="shared" si="34"/>
        <v>60.4</v>
      </c>
      <c r="X285" s="20">
        <f t="shared" ref="X285:X309" si="37">W285/0.7+K285+T285</f>
        <v>91.2857142857143</v>
      </c>
    </row>
    <row r="286" ht="15.6" spans="1:24">
      <c r="A286" s="4">
        <v>211</v>
      </c>
      <c r="B286" s="24" t="s">
        <v>565</v>
      </c>
      <c r="C286" s="25" t="s">
        <v>11</v>
      </c>
      <c r="D286" s="4">
        <v>19</v>
      </c>
      <c r="E286" s="32">
        <f>LOOKUP(D286,{0,-2.9,-1.9,-0.9,0.1,1.1,2.1,3.5,4.9,6.3,7.7,9.1,10.5,11.9,13.3,14.7,16.1,18.3,20.5,22.4,24.3},{0,10,20,30,40,50,60,62,64,66,68,70,72,74,76,78,80,85,90,95,100})</f>
        <v>85</v>
      </c>
      <c r="F286" s="4">
        <v>261</v>
      </c>
      <c r="G286" s="32">
        <f>LOOKUP(F286,{0,175,180,185,190,195,200,204,208,212,216,220,224,228,232,236,240,248,255,260,265},{0,10,20,30,40,50,60,62,64,66,68,70,72,74,76,78,80,85,90,95,100})</f>
        <v>95</v>
      </c>
      <c r="H286" s="4">
        <v>22</v>
      </c>
      <c r="I286" s="32">
        <f>LOOKUP(H286,{0,3,4,5,6,7,8,9,10,11,12,13,14,15,16,17},{0,10,20,30,40,50,60,64,68,72,76,80,85,90,95,100})</f>
        <v>100</v>
      </c>
      <c r="J286" s="4">
        <f>H286-17</f>
        <v>5</v>
      </c>
      <c r="K286" s="34">
        <f>LOOKUP(J286,{0,1,2,3,4,5,6,7,8,9,10},{0,1,2,3,4,5,6,7,8,9,10})</f>
        <v>5</v>
      </c>
      <c r="L286" s="4">
        <f t="shared" si="31"/>
        <v>105</v>
      </c>
      <c r="M286" s="4">
        <v>7.1</v>
      </c>
      <c r="N286" s="4">
        <f t="shared" si="36"/>
        <v>4.9</v>
      </c>
      <c r="O286" s="32">
        <f>LOOKUP(N286,{0,1.6,1.8,2,2.2,2.4,2.6,2.8,3,3.2,3.4,3.6,3.8,4,4.2,4.4,4.6,4.7,4.8,4.9,5},{0,10,20,30,40,50,60,62,64,66,68,70,72,74,76,78,80,85,90,95,100})</f>
        <v>95</v>
      </c>
      <c r="P286" s="4">
        <v>3.49</v>
      </c>
      <c r="Q286" s="4">
        <f t="shared" si="32"/>
        <v>6.51</v>
      </c>
      <c r="R286" s="32">
        <f>LOOKUP(Q286,{0,3.8,4,4.6,4.8,5,5.6,5.65,5.7,5.75,5.8,5.85,5.9,5.95,6,6.45,6.5,6.58,6.65,6.7,6.75},{0,10,20,30,40,50,60,62,64,66,68,70,72,74,76,78,80,85,90,95,100})</f>
        <v>80</v>
      </c>
      <c r="U286" s="4">
        <f t="shared" si="33"/>
        <v>80</v>
      </c>
      <c r="W286" s="5">
        <f t="shared" si="34"/>
        <v>63</v>
      </c>
      <c r="X286" s="20">
        <f t="shared" si="37"/>
        <v>95</v>
      </c>
    </row>
    <row r="287" ht="15.6" hidden="1" spans="1:24">
      <c r="A287" s="4">
        <v>208</v>
      </c>
      <c r="B287" s="24" t="s">
        <v>381</v>
      </c>
      <c r="C287" s="25" t="s">
        <v>11</v>
      </c>
      <c r="D287" s="4">
        <v>24</v>
      </c>
      <c r="E287" s="32">
        <f>LOOKUP(D287,{0,-2.9,-1.9,-0.9,0.1,1.1,2.1,3.5,4.9,6.3,7.7,9.1,10.5,11.9,13.3,14.7,16.1,18.3,20.5,22.4,24.3},{0,10,20,30,40,50,60,62,64,66,68,70,72,74,76,78,80,85,90,95,100})</f>
        <v>95</v>
      </c>
      <c r="F287" s="4">
        <v>250</v>
      </c>
      <c r="G287" s="32">
        <f>LOOKUP(F287,{0,175,180,185,190,195,200,204,208,212,216,220,224,228,232,236,240,248,255,260,265},{0,10,20,30,40,50,60,62,64,66,68,70,72,74,76,78,80,85,90,95,100})</f>
        <v>85</v>
      </c>
      <c r="H287" s="4">
        <v>12</v>
      </c>
      <c r="I287" s="32">
        <f>LOOKUP(H287,{0,3,4,5,6,7,8,9,10,11,12,13,14,15,16,17},{0,10,20,30,40,50,60,64,68,72,76,80,85,90,95,100})</f>
        <v>76</v>
      </c>
      <c r="K287" s="35"/>
      <c r="L287" s="4">
        <f t="shared" si="31"/>
        <v>76</v>
      </c>
      <c r="M287" s="4">
        <v>7.1</v>
      </c>
      <c r="N287" s="4">
        <f t="shared" si="36"/>
        <v>4.9</v>
      </c>
      <c r="O287" s="32">
        <f>LOOKUP(N287,{0,1.6,1.8,2,2.2,2.4,2.6,2.8,3,3.2,3.4,3.6,3.8,4,4.2,4.4,4.6,4.7,4.8,4.9,5},{0,10,20,30,40,50,60,62,64,66,68,70,72,74,76,78,80,85,90,95,100})</f>
        <v>95</v>
      </c>
      <c r="P287" s="4">
        <v>3.49</v>
      </c>
      <c r="Q287" s="4">
        <f t="shared" si="32"/>
        <v>6.51</v>
      </c>
      <c r="R287" s="32">
        <f>LOOKUP(Q287,{0,3.8,4,4.6,4.8,5,5.6,5.65,5.7,5.75,5.8,5.85,5.9,5.95,6,6.45,6.5,6.58,6.65,6.7,6.75},{0,10,20,30,40,50,60,62,64,66,68,70,72,74,76,78,80,85,90,95,100})</f>
        <v>80</v>
      </c>
      <c r="U287" s="4">
        <f t="shared" si="33"/>
        <v>80</v>
      </c>
      <c r="W287" s="5">
        <f t="shared" si="34"/>
        <v>60.6</v>
      </c>
      <c r="X287" s="20">
        <f t="shared" si="37"/>
        <v>86.5714285714286</v>
      </c>
    </row>
    <row r="288" ht="15.6" hidden="1" spans="1:24">
      <c r="A288" s="4">
        <v>206</v>
      </c>
      <c r="B288" s="24" t="s">
        <v>298</v>
      </c>
      <c r="C288" s="25" t="s">
        <v>11</v>
      </c>
      <c r="D288" s="4">
        <v>30.6</v>
      </c>
      <c r="E288" s="32">
        <f>LOOKUP(D288,{0,-2.9,-1.9,-0.9,0.1,1.1,2.1,3.5,4.9,6.3,7.7,9.1,10.5,11.9,13.3,14.7,16.1,18.3,20.5,22.4,24.3},{0,10,20,30,40,50,60,62,64,66,68,70,72,74,76,78,80,85,90,95,100})</f>
        <v>100</v>
      </c>
      <c r="F288" s="4">
        <v>243</v>
      </c>
      <c r="G288" s="32">
        <f>LOOKUP(F288,{0,175,180,185,190,195,200,204,208,212,216,220,224,228,232,236,240,248,255,260,265},{0,10,20,30,40,50,60,62,64,66,68,70,72,74,76,78,80,85,90,95,100})</f>
        <v>80</v>
      </c>
      <c r="H288" s="4">
        <v>10</v>
      </c>
      <c r="I288" s="32">
        <f>LOOKUP(H288,{0,3,4,5,6,7,8,9,10,11,12,13,14,15,16,17},{0,10,20,30,40,50,60,64,68,72,76,80,85,90,95,100})</f>
        <v>68</v>
      </c>
      <c r="K288" s="35"/>
      <c r="L288" s="4">
        <f t="shared" si="31"/>
        <v>68</v>
      </c>
      <c r="M288" s="4">
        <v>7.2</v>
      </c>
      <c r="N288" s="4">
        <f t="shared" si="36"/>
        <v>4.8</v>
      </c>
      <c r="O288" s="32">
        <f>LOOKUP(N288,{0,1.6,1.8,2,2.2,2.4,2.6,2.8,3,3.2,3.4,3.6,3.8,4,4.2,4.4,4.6,4.7,4.8,4.9,5},{0,10,20,30,40,50,60,62,64,66,68,70,72,74,76,78,80,85,90,95,100})</f>
        <v>90</v>
      </c>
      <c r="P288" s="4">
        <v>3.49</v>
      </c>
      <c r="Q288" s="4">
        <f t="shared" si="32"/>
        <v>6.51</v>
      </c>
      <c r="R288" s="32">
        <f>LOOKUP(Q288,{0,3.8,4,4.6,4.8,5,5.6,5.65,5.7,5.75,5.8,5.85,5.9,5.95,6,6.45,6.5,6.58,6.65,6.7,6.75},{0,10,20,30,40,50,60,62,64,66,68,70,72,74,76,78,80,85,90,95,100})</f>
        <v>80</v>
      </c>
      <c r="U288" s="4">
        <f t="shared" si="33"/>
        <v>80</v>
      </c>
      <c r="W288" s="5">
        <f t="shared" si="34"/>
        <v>58.8</v>
      </c>
      <c r="X288" s="20">
        <f t="shared" si="37"/>
        <v>84</v>
      </c>
    </row>
    <row r="289" ht="15.6" hidden="1" spans="1:24">
      <c r="A289" s="4">
        <v>212</v>
      </c>
      <c r="B289" s="24" t="s">
        <v>625</v>
      </c>
      <c r="C289" s="25" t="s">
        <v>11</v>
      </c>
      <c r="D289" s="4">
        <v>16.6</v>
      </c>
      <c r="E289" s="32">
        <f>LOOKUP(D289,{0,-2.9,-1.9,-0.9,0.1,1.1,2.1,3.5,4.9,6.3,7.7,9.1,10.5,11.9,13.3,14.7,16.1,18.3,20.5,22.4,24.3},{0,10,20,30,40,50,60,62,64,66,68,70,72,74,76,78,80,85,90,95,100})</f>
        <v>80</v>
      </c>
      <c r="F289" s="4">
        <v>215</v>
      </c>
      <c r="G289" s="32">
        <f>LOOKUP(F289,{0,175,180,185,190,195,200,204,208,212,216,220,224,228,232,236,240,248,255,260,265},{0,10,20,30,40,50,60,62,64,66,68,70,72,74,76,78,80,85,90,95,100})</f>
        <v>66</v>
      </c>
      <c r="H289" s="4">
        <v>11</v>
      </c>
      <c r="I289" s="32">
        <f>LOOKUP(H289,{0,3,4,5,6,7,8,9,10,11,12,13,14,15,16,17},{0,10,20,30,40,50,60,64,68,72,76,80,85,90,95,100})</f>
        <v>72</v>
      </c>
      <c r="L289" s="4">
        <f t="shared" si="31"/>
        <v>72</v>
      </c>
      <c r="M289" s="4">
        <v>7.3</v>
      </c>
      <c r="N289" s="4">
        <f t="shared" si="36"/>
        <v>4.7</v>
      </c>
      <c r="O289" s="32">
        <f>LOOKUP(N289,{0,1.6,1.8,2,2.2,2.4,2.6,2.8,3,3.2,3.4,3.6,3.8,4,4.2,4.4,4.6,4.7,4.8,4.9,5},{0,10,20,30,40,50,60,62,64,66,68,70,72,74,76,78,80,85,90,95,100})</f>
        <v>85</v>
      </c>
      <c r="P289" s="4">
        <v>3.49</v>
      </c>
      <c r="Q289" s="4">
        <f t="shared" si="32"/>
        <v>6.51</v>
      </c>
      <c r="R289" s="32">
        <f>LOOKUP(Q289,{0,3.8,4,4.6,4.8,5,5.6,5.65,5.7,5.75,5.8,5.85,5.9,5.95,6,6.45,6.5,6.58,6.65,6.7,6.75},{0,10,20,30,40,50,60,62,64,66,68,70,72,74,76,78,80,85,90,95,100})</f>
        <v>80</v>
      </c>
      <c r="U289" s="4">
        <f t="shared" si="33"/>
        <v>80</v>
      </c>
      <c r="W289" s="5">
        <f t="shared" si="34"/>
        <v>54.8</v>
      </c>
      <c r="X289" s="20">
        <f t="shared" si="37"/>
        <v>78.2857142857143</v>
      </c>
    </row>
    <row r="290" ht="15.6" hidden="1" spans="1:24">
      <c r="A290" s="4">
        <v>201</v>
      </c>
      <c r="B290" s="24" t="s">
        <v>36</v>
      </c>
      <c r="C290" s="25" t="s">
        <v>11</v>
      </c>
      <c r="D290" s="4">
        <v>15.3</v>
      </c>
      <c r="E290" s="32">
        <f>LOOKUP(D290,{0,-2.9,-1.9,-0.9,0.1,1.1,2.1,3.5,4.9,6.3,7.7,9.1,10.5,11.9,13.3,14.7,16.1,18.3,20.5,22.4,24.3},{0,10,20,30,40,50,60,62,64,66,68,70,72,74,76,78,80,85,90,95,100})</f>
        <v>78</v>
      </c>
      <c r="F290" s="4">
        <v>243</v>
      </c>
      <c r="G290" s="32">
        <f>LOOKUP(F290,{0,175,180,185,190,195,200,204,208,212,216,220,224,228,232,236,240,248,255,260,265},{0,10,20,30,40,50,60,62,64,66,68,70,72,74,76,78,80,85,90,95,100})</f>
        <v>80</v>
      </c>
      <c r="H290" s="4">
        <v>4</v>
      </c>
      <c r="I290" s="32">
        <f>LOOKUP(H290,{0,3,4,5,6,7,8,9,10,11,12,13,14,15,16,17},{0,10,20,30,40,50,60,64,68,72,76,80,85,90,95,100})</f>
        <v>20</v>
      </c>
      <c r="L290" s="4">
        <f t="shared" si="31"/>
        <v>20</v>
      </c>
      <c r="M290" s="4">
        <v>7.4</v>
      </c>
      <c r="N290" s="4">
        <f t="shared" si="36"/>
        <v>4.6</v>
      </c>
      <c r="O290" s="32">
        <f>LOOKUP(N290,{0,1.6,1.8,2,2.2,2.4,2.6,2.8,3,3.2,3.4,3.6,3.8,4,4.2,4.4,4.6,4.7,4.8,4.9,5},{0,10,20,30,40,50,60,62,64,66,68,70,72,74,76,78,80,85,90,95,100})</f>
        <v>80</v>
      </c>
      <c r="P290" s="4">
        <v>3.49</v>
      </c>
      <c r="Q290" s="4">
        <f t="shared" si="32"/>
        <v>6.51</v>
      </c>
      <c r="R290" s="32">
        <f>LOOKUP(Q290,{0,3.8,4,4.6,4.8,5,5.6,5.65,5.7,5.75,5.8,5.85,5.9,5.95,6,6.45,6.5,6.58,6.65,6.7,6.75},{0,10,20,30,40,50,60,62,64,66,68,70,72,74,76,78,80,85,90,95,100})</f>
        <v>80</v>
      </c>
      <c r="U290" s="4">
        <f t="shared" si="33"/>
        <v>80</v>
      </c>
      <c r="W290" s="5">
        <f t="shared" si="34"/>
        <v>49.8</v>
      </c>
      <c r="X290" s="20">
        <f t="shared" si="37"/>
        <v>71.1428571428571</v>
      </c>
    </row>
    <row r="291" ht="15.6" hidden="1" spans="1:24">
      <c r="A291" s="4">
        <v>202</v>
      </c>
      <c r="B291" s="24" t="s">
        <v>92</v>
      </c>
      <c r="C291" s="25" t="s">
        <v>11</v>
      </c>
      <c r="D291" s="4">
        <v>17</v>
      </c>
      <c r="E291" s="32">
        <f>LOOKUP(D291,{0,-2.9,-1.9,-0.9,0.1,1.1,2.1,3.5,4.9,6.3,7.7,9.1,10.5,11.9,13.3,14.7,16.1,18.3,20.5,22.4,24.3},{0,10,20,30,40,50,60,62,64,66,68,70,72,74,76,78,80,85,90,95,100})</f>
        <v>80</v>
      </c>
      <c r="F291" s="4">
        <v>227</v>
      </c>
      <c r="G291" s="32">
        <f>LOOKUP(F291,{0,175,180,185,190,195,200,204,208,212,216,220,224,228,232,236,240,248,255,260,265},{0,10,20,30,40,50,60,62,64,66,68,70,72,74,76,78,80,85,90,95,100})</f>
        <v>72</v>
      </c>
      <c r="H291" s="4">
        <v>9</v>
      </c>
      <c r="I291" s="32">
        <f>LOOKUP(H291,{0,3,4,5,6,7,8,9,10,11,12,13,14,15,16,17},{0,10,20,30,40,50,60,64,68,72,76,80,85,90,95,100})</f>
        <v>64</v>
      </c>
      <c r="L291" s="4">
        <f t="shared" si="31"/>
        <v>64</v>
      </c>
      <c r="M291" s="4">
        <v>7.5</v>
      </c>
      <c r="N291" s="4">
        <f t="shared" si="36"/>
        <v>4.5</v>
      </c>
      <c r="O291" s="32">
        <f>LOOKUP(N291,{0,1.6,1.8,2,2.2,2.4,2.6,2.8,3,3.2,3.4,3.6,3.8,4,4.2,4.4,4.6,4.7,4.8,4.9,5},{0,10,20,30,40,50,60,62,64,66,68,70,72,74,76,78,80,85,90,95,100})</f>
        <v>78</v>
      </c>
      <c r="P291" s="4">
        <v>3.49</v>
      </c>
      <c r="Q291" s="4">
        <f t="shared" si="32"/>
        <v>6.51</v>
      </c>
      <c r="R291" s="32">
        <f>LOOKUP(Q291,{0,3.8,4,4.6,4.8,5,5.6,5.65,5.7,5.75,5.8,5.85,5.9,5.95,6,6.45,6.5,6.58,6.65,6.7,6.75},{0,10,20,30,40,50,60,62,64,66,68,70,72,74,76,78,80,85,90,95,100})</f>
        <v>80</v>
      </c>
      <c r="U291" s="4">
        <f t="shared" si="33"/>
        <v>80</v>
      </c>
      <c r="W291" s="5">
        <f t="shared" si="34"/>
        <v>53.2</v>
      </c>
      <c r="X291" s="20">
        <f t="shared" si="37"/>
        <v>76</v>
      </c>
    </row>
    <row r="292" ht="15.6" hidden="1" spans="1:24">
      <c r="A292" s="4">
        <v>202</v>
      </c>
      <c r="B292" s="24" t="s">
        <v>69</v>
      </c>
      <c r="C292" s="25" t="s">
        <v>11</v>
      </c>
      <c r="D292" s="4">
        <v>16.5</v>
      </c>
      <c r="E292" s="32">
        <f>LOOKUP(D292,{0,-2.9,-1.9,-0.9,0.1,1.1,2.1,3.5,4.9,6.3,7.7,9.1,10.5,11.9,13.3,14.7,16.1,18.3,20.5,22.4,24.3},{0,10,20,30,40,50,60,62,64,66,68,70,72,74,76,78,80,85,90,95,100})</f>
        <v>80</v>
      </c>
      <c r="F292" s="4">
        <v>258</v>
      </c>
      <c r="G292" s="32">
        <f>LOOKUP(F292,{0,175,180,185,190,195,200,204,208,212,216,220,224,228,232,236,240,248,255,260,265},{0,10,20,30,40,50,60,62,64,66,68,70,72,74,76,78,80,85,90,95,100})</f>
        <v>90</v>
      </c>
      <c r="H292" s="4">
        <v>0</v>
      </c>
      <c r="I292" s="32">
        <f>LOOKUP(H292,{0,3,4,5,6,7,8,9,10,11,12,13,14,15,16,17},{0,10,20,30,40,50,60,64,68,72,76,80,85,90,95,100})</f>
        <v>0</v>
      </c>
      <c r="L292" s="4">
        <f t="shared" si="31"/>
        <v>0</v>
      </c>
      <c r="M292" s="4">
        <v>7.6</v>
      </c>
      <c r="N292" s="4">
        <f t="shared" si="36"/>
        <v>4.4</v>
      </c>
      <c r="O292" s="32">
        <f>LOOKUP(N292,{0,1.6,1.8,2,2.2,2.4,2.6,2.8,3,3.2,3.4,3.6,3.8,4,4.2,4.4,4.6,4.7,4.8,4.9,5},{0,10,20,30,40,50,60,62,64,66,68,70,72,74,76,78,80,85,90,95,100})</f>
        <v>78</v>
      </c>
      <c r="P292" s="4">
        <v>3.49</v>
      </c>
      <c r="Q292" s="4">
        <f t="shared" si="32"/>
        <v>6.51</v>
      </c>
      <c r="R292" s="32">
        <f>LOOKUP(Q292,{0,3.8,4,4.6,4.8,5,5.6,5.65,5.7,5.75,5.8,5.85,5.9,5.95,6,6.45,6.5,6.58,6.65,6.7,6.75},{0,10,20,30,40,50,60,62,64,66,68,70,72,74,76,78,80,85,90,95,100})</f>
        <v>80</v>
      </c>
      <c r="U292" s="4">
        <f t="shared" si="33"/>
        <v>80</v>
      </c>
      <c r="W292" s="5">
        <f t="shared" si="34"/>
        <v>48.6</v>
      </c>
      <c r="X292" s="20">
        <f t="shared" si="37"/>
        <v>69.4285714285714</v>
      </c>
    </row>
    <row r="293" customFormat="1" ht="15.6" hidden="1" spans="1:24">
      <c r="A293" s="4">
        <v>215</v>
      </c>
      <c r="B293" s="24" t="s">
        <v>796</v>
      </c>
      <c r="C293" s="25" t="s">
        <v>11</v>
      </c>
      <c r="D293" s="4">
        <v>6.1</v>
      </c>
      <c r="E293" s="32">
        <f>LOOKUP(D293,{0,-2.9,-1.9,-0.9,0.1,1.1,2.1,3.5,4.9,6.3,7.7,9.1,10.5,11.9,13.3,14.7,16.1,18.3,20.5,22.4,24.3},{0,10,20,30,40,50,60,62,64,66,68,70,72,74,76,78,80,85,90,95,100})</f>
        <v>64</v>
      </c>
      <c r="F293" s="4">
        <v>251</v>
      </c>
      <c r="G293" s="32">
        <f>LOOKUP(F293,{0,175,180,185,190,195,200,204,208,212,216,220,224,228,232,236,240,248,255,260,265},{0,10,20,30,40,50,60,62,64,66,68,70,72,74,76,78,80,85,90,95,100})</f>
        <v>85</v>
      </c>
      <c r="H293" s="4">
        <v>11</v>
      </c>
      <c r="I293" s="32">
        <f>LOOKUP(H293,{0,3,4,5,6,7,8,9,10,11,12,13,14,15,16,17},{0,10,20,30,40,50,60,64,68,72,76,80,85,90,95,100})</f>
        <v>72</v>
      </c>
      <c r="J293" s="4"/>
      <c r="K293" s="35"/>
      <c r="L293" s="4">
        <f t="shared" si="31"/>
        <v>72</v>
      </c>
      <c r="M293" s="4">
        <v>7.9</v>
      </c>
      <c r="N293" s="4">
        <f t="shared" si="36"/>
        <v>4.1</v>
      </c>
      <c r="O293" s="32">
        <f>LOOKUP(N293,{0,1.6,1.8,2,2.2,2.4,2.6,2.8,3,3.2,3.4,3.6,3.8,4,4.2,4.4,4.6,4.7,4.8,4.9,5},{0,10,20,30,40,50,60,62,64,66,68,70,72,74,76,78,80,85,90,95,100})</f>
        <v>74</v>
      </c>
      <c r="P293" s="4">
        <v>3.49</v>
      </c>
      <c r="Q293" s="4">
        <f t="shared" si="32"/>
        <v>6.51</v>
      </c>
      <c r="R293" s="32">
        <f>LOOKUP(Q293,{0,3.8,4,4.6,4.8,5,5.6,5.65,5.7,5.75,5.8,5.85,5.9,5.95,6,6.45,6.5,6.58,6.65,6.7,6.75},{0,10,20,30,40,50,60,62,64,66,68,70,72,74,76,78,80,85,90,95,100})</f>
        <v>80</v>
      </c>
      <c r="S293" s="4"/>
      <c r="T293" s="4"/>
      <c r="U293" s="4">
        <f t="shared" si="33"/>
        <v>80</v>
      </c>
      <c r="V293" s="4"/>
      <c r="W293" s="5">
        <f t="shared" si="34"/>
        <v>52.9</v>
      </c>
      <c r="X293" s="20">
        <f t="shared" si="37"/>
        <v>75.5714285714286</v>
      </c>
    </row>
    <row r="294" customFormat="1" ht="15.6" hidden="1" spans="1:24">
      <c r="A294" s="4">
        <v>210</v>
      </c>
      <c r="B294" s="24" t="s">
        <v>512</v>
      </c>
      <c r="C294" s="25" t="s">
        <v>11</v>
      </c>
      <c r="D294" s="4">
        <v>18.4</v>
      </c>
      <c r="E294" s="32">
        <f>LOOKUP(D294,{0,-2.9,-1.9,-0.9,0.1,1.1,2.1,3.5,4.9,6.3,7.7,9.1,10.5,11.9,13.3,14.7,16.1,18.3,20.5,22.4,24.3},{0,10,20,30,40,50,60,62,64,66,68,70,72,74,76,78,80,85,90,95,100})</f>
        <v>85</v>
      </c>
      <c r="F294" s="4">
        <v>278</v>
      </c>
      <c r="G294" s="32">
        <f>LOOKUP(F294,{0,175,180,185,190,195,200,204,208,212,216,220,224,228,232,236,240,248,255,260,265},{0,10,20,30,40,50,60,62,64,66,68,70,72,74,76,78,80,85,90,95,100})</f>
        <v>100</v>
      </c>
      <c r="H294" s="4">
        <v>13</v>
      </c>
      <c r="I294" s="32">
        <f>LOOKUP(H294,{0,3,4,5,6,7,8,9,10,11,12,13,14,15,16,17},{0,10,20,30,40,50,60,64,68,72,76,80,85,90,95,100})</f>
        <v>80</v>
      </c>
      <c r="J294" s="4"/>
      <c r="K294" s="4"/>
      <c r="L294" s="4">
        <f t="shared" si="31"/>
        <v>80</v>
      </c>
      <c r="M294" s="4">
        <v>7</v>
      </c>
      <c r="N294" s="4">
        <f t="shared" si="36"/>
        <v>5</v>
      </c>
      <c r="O294" s="32">
        <f>LOOKUP(N294,{0,1.6,1.8,2,2.2,2.4,2.6,2.8,3,3.2,3.4,3.6,3.8,4,4.2,4.4,4.6,4.7,4.8,4.9,5},{0,10,20,30,40,50,60,62,64,66,68,70,72,74,76,78,80,85,90,95,100})</f>
        <v>100</v>
      </c>
      <c r="P294" s="4">
        <v>3.5</v>
      </c>
      <c r="Q294" s="4">
        <f t="shared" si="32"/>
        <v>6.5</v>
      </c>
      <c r="R294" s="32">
        <f>LOOKUP(Q294,{0,3.8,4,4.6,4.8,5,5.6,5.65,5.7,5.75,5.8,5.85,5.9,5.95,6,6.45,6.5,6.58,6.65,6.7,6.75},{0,10,20,30,40,50,60,62,64,66,68,70,72,74,76,78,80,85,90,95,100})</f>
        <v>80</v>
      </c>
      <c r="S294" s="4"/>
      <c r="T294" s="4"/>
      <c r="U294" s="4">
        <f t="shared" si="33"/>
        <v>80</v>
      </c>
      <c r="V294" s="4"/>
      <c r="W294" s="5">
        <f t="shared" si="34"/>
        <v>62.5</v>
      </c>
      <c r="X294" s="20">
        <f t="shared" si="37"/>
        <v>89.2857142857143</v>
      </c>
    </row>
    <row r="295" customFormat="1" ht="15.6" hidden="1" spans="1:24">
      <c r="A295" s="4">
        <v>205</v>
      </c>
      <c r="B295" s="24" t="s">
        <v>216</v>
      </c>
      <c r="C295" s="25" t="s">
        <v>11</v>
      </c>
      <c r="D295" s="4">
        <v>7.5</v>
      </c>
      <c r="E295" s="32">
        <f>LOOKUP(D295,{0,-2.9,-1.9,-0.9,0.1,1.1,2.1,3.5,4.9,6.3,7.7,9.1,10.5,11.9,13.3,14.7,16.1,18.3,20.5,22.4,24.3},{0,10,20,30,40,50,60,62,64,66,68,70,72,74,76,78,80,85,90,95,100})</f>
        <v>66</v>
      </c>
      <c r="F295" s="4">
        <v>220</v>
      </c>
      <c r="G295" s="32">
        <f>LOOKUP(F295,{0,175,180,185,190,195,200,204,208,212,216,220,224,228,232,236,240,248,255,260,265},{0,10,20,30,40,50,60,62,64,66,68,70,72,74,76,78,80,85,90,95,100})</f>
        <v>70</v>
      </c>
      <c r="H295" s="4">
        <v>20</v>
      </c>
      <c r="I295" s="32">
        <f>LOOKUP(H295,{0,3,4,5,6,7,8,9,10,11,12,13,14,15,16,17},{0,10,20,30,40,50,60,64,68,72,76,80,85,90,95,100})</f>
        <v>100</v>
      </c>
      <c r="J295" s="4">
        <f>H295-17</f>
        <v>3</v>
      </c>
      <c r="K295" s="32">
        <f>LOOKUP(J295,{0,1,2,3,4,5,6,7,8,9,10},{0,1,2,3,4,5,6,7,8,9,10})</f>
        <v>3</v>
      </c>
      <c r="L295" s="4">
        <f t="shared" si="31"/>
        <v>103</v>
      </c>
      <c r="M295" s="4">
        <v>7.2</v>
      </c>
      <c r="N295" s="4">
        <f t="shared" si="36"/>
        <v>4.8</v>
      </c>
      <c r="O295" s="32">
        <f>LOOKUP(N295,{0,1.6,1.8,2,2.2,2.4,2.6,2.8,3,3.2,3.4,3.6,3.8,4,4.2,4.4,4.6,4.7,4.8,4.9,5},{0,10,20,30,40,50,60,62,64,66,68,70,72,74,76,78,80,85,90,95,100})</f>
        <v>90</v>
      </c>
      <c r="P295" s="4">
        <v>3.5</v>
      </c>
      <c r="Q295" s="4">
        <f t="shared" si="32"/>
        <v>6.5</v>
      </c>
      <c r="R295" s="32">
        <f>LOOKUP(Q295,{0,3.8,4,4.6,4.8,5,5.6,5.65,5.7,5.75,5.8,5.85,5.9,5.95,6,6.45,6.5,6.58,6.65,6.7,6.75},{0,10,20,30,40,50,60,62,64,66,68,70,72,74,76,78,80,85,90,95,100})</f>
        <v>80</v>
      </c>
      <c r="S295" s="4"/>
      <c r="T295" s="4"/>
      <c r="U295" s="4">
        <f t="shared" si="33"/>
        <v>80</v>
      </c>
      <c r="V295" s="4"/>
      <c r="W295" s="5">
        <f t="shared" si="34"/>
        <v>57.6</v>
      </c>
      <c r="X295" s="20">
        <f t="shared" si="37"/>
        <v>85.2857142857143</v>
      </c>
    </row>
    <row r="296" customFormat="1" ht="15.6" hidden="1" spans="1:24">
      <c r="A296" s="4">
        <v>208</v>
      </c>
      <c r="B296" s="24" t="s">
        <v>417</v>
      </c>
      <c r="C296" s="25" t="s">
        <v>11</v>
      </c>
      <c r="D296" s="4">
        <v>11.9</v>
      </c>
      <c r="E296" s="32">
        <f>LOOKUP(D296,{0,-2.9,-1.9,-0.9,0.1,1.1,2.1,3.5,4.9,6.3,7.7,9.1,10.5,11.9,13.3,14.7,16.1,18.3,20.5,22.4,24.3},{0,10,20,30,40,50,60,62,64,66,68,70,72,74,76,78,80,85,90,95,100})</f>
        <v>74</v>
      </c>
      <c r="F296" s="4">
        <v>251</v>
      </c>
      <c r="G296" s="32">
        <f>LOOKUP(F296,{0,175,180,185,190,195,200,204,208,212,216,220,224,228,232,236,240,248,255,260,265},{0,10,20,30,40,50,60,62,64,66,68,70,72,74,76,78,80,85,90,95,100})</f>
        <v>85</v>
      </c>
      <c r="H296" s="4">
        <v>5</v>
      </c>
      <c r="I296" s="32">
        <f>LOOKUP(H296,{0,3,4,5,6,7,8,9,10,11,12,13,14,15,16,17},{0,10,20,30,40,50,60,64,68,72,76,80,85,90,95,100})</f>
        <v>30</v>
      </c>
      <c r="J296" s="4"/>
      <c r="K296" s="4"/>
      <c r="L296" s="4">
        <f t="shared" si="31"/>
        <v>30</v>
      </c>
      <c r="M296" s="4">
        <v>7.2</v>
      </c>
      <c r="N296" s="4">
        <f t="shared" si="36"/>
        <v>4.8</v>
      </c>
      <c r="O296" s="32">
        <f>LOOKUP(N296,{0,1.6,1.8,2,2.2,2.4,2.6,2.8,3,3.2,3.4,3.6,3.8,4,4.2,4.4,4.6,4.7,4.8,4.9,5},{0,10,20,30,40,50,60,62,64,66,68,70,72,74,76,78,80,85,90,95,100})</f>
        <v>90</v>
      </c>
      <c r="P296" s="4">
        <v>3.5</v>
      </c>
      <c r="Q296" s="4">
        <f t="shared" si="32"/>
        <v>6.5</v>
      </c>
      <c r="R296" s="32">
        <f>LOOKUP(Q296,{0,3.8,4,4.6,4.8,5,5.6,5.65,5.7,5.75,5.8,5.85,5.9,5.95,6,6.45,6.5,6.58,6.65,6.7,6.75},{0,10,20,30,40,50,60,62,64,66,68,70,72,74,76,78,80,85,90,95,100})</f>
        <v>80</v>
      </c>
      <c r="S296" s="4"/>
      <c r="T296" s="4"/>
      <c r="U296" s="4">
        <f t="shared" si="33"/>
        <v>80</v>
      </c>
      <c r="V296" s="4"/>
      <c r="W296" s="5">
        <f t="shared" si="34"/>
        <v>52.9</v>
      </c>
      <c r="X296" s="20">
        <f t="shared" si="37"/>
        <v>75.5714285714286</v>
      </c>
    </row>
    <row r="297" customFormat="1" ht="15.6" hidden="1" spans="1:24">
      <c r="A297" s="4">
        <v>204</v>
      </c>
      <c r="B297" s="24" t="s">
        <v>167</v>
      </c>
      <c r="C297" s="25" t="s">
        <v>11</v>
      </c>
      <c r="D297" s="4">
        <v>11.3</v>
      </c>
      <c r="E297" s="32">
        <f>LOOKUP(D297,{0,-2.9,-1.9,-0.9,0.1,1.1,2.1,3.5,4.9,6.3,7.7,9.1,10.5,11.9,13.3,14.7,16.1,18.3,20.5,22.4,24.3},{0,10,20,30,40,50,60,62,64,66,68,70,72,74,76,78,80,85,90,95,100})</f>
        <v>72</v>
      </c>
      <c r="F297" s="4">
        <v>216</v>
      </c>
      <c r="G297" s="32">
        <f>LOOKUP(F297,{0,175,180,185,190,195,200,204,208,212,216,220,224,228,232,236,240,248,255,260,265},{0,10,20,30,40,50,60,62,64,66,68,70,72,74,76,78,80,85,90,95,100})</f>
        <v>68</v>
      </c>
      <c r="H297" s="4">
        <v>3</v>
      </c>
      <c r="I297" s="32">
        <f>LOOKUP(H297,{0,3,4,5,6,7,8,9,10,11,12,13,14,15,16,17},{0,10,20,30,40,50,60,64,68,72,76,80,85,90,95,100})</f>
        <v>10</v>
      </c>
      <c r="J297" s="4"/>
      <c r="K297" s="4"/>
      <c r="L297" s="4">
        <f t="shared" si="31"/>
        <v>10</v>
      </c>
      <c r="M297" s="4">
        <v>7.3</v>
      </c>
      <c r="N297" s="4">
        <f t="shared" si="36"/>
        <v>4.7</v>
      </c>
      <c r="O297" s="32">
        <f>LOOKUP(N297,{0,1.6,1.8,2,2.2,2.4,2.6,2.8,3,3.2,3.4,3.6,3.8,4,4.2,4.4,4.6,4.7,4.8,4.9,5},{0,10,20,30,40,50,60,62,64,66,68,70,72,74,76,78,80,85,90,95,100})</f>
        <v>85</v>
      </c>
      <c r="P297" s="4">
        <v>3.5</v>
      </c>
      <c r="Q297" s="4">
        <f t="shared" si="32"/>
        <v>6.5</v>
      </c>
      <c r="R297" s="32">
        <f>LOOKUP(Q297,{0,3.8,4,4.6,4.8,5,5.6,5.65,5.7,5.75,5.8,5.85,5.9,5.95,6,6.45,6.5,6.58,6.65,6.7,6.75},{0,10,20,30,40,50,60,62,64,66,68,70,72,74,76,78,80,85,90,95,100})</f>
        <v>80</v>
      </c>
      <c r="S297" s="4"/>
      <c r="T297" s="4"/>
      <c r="U297" s="4">
        <f t="shared" si="33"/>
        <v>80</v>
      </c>
      <c r="V297" s="4"/>
      <c r="W297" s="5">
        <f t="shared" si="34"/>
        <v>48</v>
      </c>
      <c r="X297" s="20">
        <f t="shared" si="37"/>
        <v>68.5714285714286</v>
      </c>
    </row>
    <row r="298" customFormat="1" ht="15.6" hidden="1" spans="1:24">
      <c r="A298" s="4">
        <v>210</v>
      </c>
      <c r="B298" s="24" t="s">
        <v>501</v>
      </c>
      <c r="C298" s="25" t="s">
        <v>11</v>
      </c>
      <c r="D298" s="4">
        <v>11.1</v>
      </c>
      <c r="E298" s="32">
        <f>LOOKUP(D298,{0,-2.9,-1.9,-0.9,0.1,1.1,2.1,3.5,4.9,6.3,7.7,9.1,10.5,11.9,13.3,14.7,16.1,18.3,20.5,22.4,24.3},{0,10,20,30,40,50,60,62,64,66,68,70,72,74,76,78,80,85,90,95,100})</f>
        <v>72</v>
      </c>
      <c r="F298" s="4">
        <v>225</v>
      </c>
      <c r="G298" s="32">
        <f>LOOKUP(F298,{0,175,180,185,190,195,200,204,208,212,216,220,224,228,232,236,240,248,255,260,265},{0,10,20,30,40,50,60,62,64,66,68,70,72,74,76,78,80,85,90,95,100})</f>
        <v>72</v>
      </c>
      <c r="H298" s="4">
        <v>22</v>
      </c>
      <c r="I298" s="32">
        <f>LOOKUP(H298,{0,3,4,5,6,7,8,9,10,11,12,13,14,15,16,17},{0,10,20,30,40,50,60,64,68,72,76,80,85,90,95,100})</f>
        <v>100</v>
      </c>
      <c r="J298" s="4">
        <f>H298-17</f>
        <v>5</v>
      </c>
      <c r="K298" s="34">
        <f>LOOKUP(J298,{0,1,2,3,4,5,6,7,8,9,10},{0,1,2,3,4,5,6,7,8,9,10})</f>
        <v>5</v>
      </c>
      <c r="L298" s="4">
        <f t="shared" si="31"/>
        <v>105</v>
      </c>
      <c r="M298" s="4">
        <v>7.4</v>
      </c>
      <c r="N298" s="4">
        <f t="shared" si="36"/>
        <v>4.6</v>
      </c>
      <c r="O298" s="32">
        <f>LOOKUP(N298,{0,1.6,1.8,2,2.2,2.4,2.6,2.8,3,3.2,3.4,3.6,3.8,4,4.2,4.4,4.6,4.7,4.8,4.9,5},{0,10,20,30,40,50,60,62,64,66,68,70,72,74,76,78,80,85,90,95,100})</f>
        <v>80</v>
      </c>
      <c r="P298" s="4">
        <v>3.5</v>
      </c>
      <c r="Q298" s="4">
        <f t="shared" si="32"/>
        <v>6.5</v>
      </c>
      <c r="R298" s="32">
        <f>LOOKUP(Q298,{0,3.8,4,4.6,4.8,5,5.6,5.65,5.7,5.75,5.8,5.85,5.9,5.95,6,6.45,6.5,6.58,6.65,6.7,6.75},{0,10,20,30,40,50,60,62,64,66,68,70,72,74,76,78,80,85,90,95,100})</f>
        <v>80</v>
      </c>
      <c r="S298" s="4"/>
      <c r="T298" s="4"/>
      <c r="U298" s="4">
        <f t="shared" si="33"/>
        <v>80</v>
      </c>
      <c r="V298" s="4"/>
      <c r="W298" s="5">
        <f t="shared" si="34"/>
        <v>56.4</v>
      </c>
      <c r="X298" s="20">
        <f t="shared" si="37"/>
        <v>85.5714285714286</v>
      </c>
    </row>
    <row r="299" customFormat="1" ht="15.6" hidden="1" spans="1:24">
      <c r="A299" s="4">
        <v>206</v>
      </c>
      <c r="B299" s="33" t="s">
        <v>290</v>
      </c>
      <c r="C299" s="25" t="s">
        <v>11</v>
      </c>
      <c r="D299" s="4">
        <v>12</v>
      </c>
      <c r="E299" s="32">
        <f>LOOKUP(D299,{0,-2.9,-1.9,-0.9,0.1,1.1,2.1,3.5,4.9,6.3,7.7,9.1,10.5,11.9,13.3,14.7,16.1,18.3,20.5,22.4,24.3},{0,10,20,30,40,50,60,62,64,66,68,70,72,74,76,78,80,85,90,95,100})</f>
        <v>74</v>
      </c>
      <c r="F299" s="4">
        <v>226</v>
      </c>
      <c r="G299" s="32">
        <f>LOOKUP(F299,{0,175,180,185,190,195,200,204,208,212,216,220,224,228,232,236,240,248,255,260,265},{0,10,20,30,40,50,60,62,64,66,68,70,72,74,76,78,80,85,90,95,100})</f>
        <v>72</v>
      </c>
      <c r="H299" s="4">
        <v>1</v>
      </c>
      <c r="I299" s="32">
        <f>LOOKUP(H299,{0,3,4,5,6,7,8,9,10,11,12,13,14,15,16,17},{0,10,20,30,40,50,60,64,68,72,76,80,85,90,95,100})</f>
        <v>0</v>
      </c>
      <c r="J299" s="4"/>
      <c r="K299" s="35"/>
      <c r="L299" s="4">
        <f t="shared" si="31"/>
        <v>0</v>
      </c>
      <c r="M299" s="4">
        <v>7.4</v>
      </c>
      <c r="N299" s="4">
        <f t="shared" si="36"/>
        <v>4.6</v>
      </c>
      <c r="O299" s="32">
        <f>LOOKUP(N299,{0,1.6,1.8,2,2.2,2.4,2.6,2.8,3,3.2,3.4,3.6,3.8,4,4.2,4.4,4.6,4.7,4.8,4.9,5},{0,10,20,30,40,50,60,62,64,66,68,70,72,74,76,78,80,85,90,95,100})</f>
        <v>80</v>
      </c>
      <c r="P299" s="4">
        <v>3.5</v>
      </c>
      <c r="Q299" s="4">
        <f t="shared" si="32"/>
        <v>6.5</v>
      </c>
      <c r="R299" s="32">
        <f>LOOKUP(Q299,{0,3.8,4,4.6,4.8,5,5.6,5.65,5.7,5.75,5.8,5.85,5.9,5.95,6,6.45,6.5,6.58,6.65,6.7,6.75},{0,10,20,30,40,50,60,62,64,66,68,70,72,74,76,78,80,85,90,95,100})</f>
        <v>80</v>
      </c>
      <c r="S299" s="4"/>
      <c r="T299" s="4"/>
      <c r="U299" s="4">
        <f t="shared" si="33"/>
        <v>80</v>
      </c>
      <c r="V299" s="4"/>
      <c r="W299" s="5">
        <f t="shared" si="34"/>
        <v>46.6</v>
      </c>
      <c r="X299" s="20">
        <f t="shared" si="37"/>
        <v>66.5714285714286</v>
      </c>
    </row>
    <row r="300" customFormat="1" ht="15.6" hidden="1" spans="1:24">
      <c r="A300" s="4">
        <v>212</v>
      </c>
      <c r="B300" s="24" t="s">
        <v>636</v>
      </c>
      <c r="C300" s="25" t="s">
        <v>11</v>
      </c>
      <c r="D300" s="4">
        <v>4.6</v>
      </c>
      <c r="E300" s="32">
        <f>LOOKUP(D300,{0,-2.9,-1.9,-0.9,0.1,1.1,2.1,3.5,4.9,6.3,7.7,9.1,10.5,11.9,13.3,14.7,16.1,18.3,20.5,22.4,24.3},{0,10,20,30,40,50,60,62,64,66,68,70,72,74,76,78,80,85,90,95,100})</f>
        <v>62</v>
      </c>
      <c r="F300" s="4">
        <v>235</v>
      </c>
      <c r="G300" s="32">
        <f>LOOKUP(F300,{0,175,180,185,190,195,200,204,208,212,216,220,224,228,232,236,240,248,255,260,265},{0,10,20,30,40,50,60,62,64,66,68,70,72,74,76,78,80,85,90,95,100})</f>
        <v>76</v>
      </c>
      <c r="H300" s="4">
        <v>0</v>
      </c>
      <c r="I300" s="32">
        <f>LOOKUP(H300,{0,3,4,5,6,7,8,9,10,11,12,13,14,15,16,17},{0,10,20,30,40,50,60,64,68,72,76,80,85,90,95,100})</f>
        <v>0</v>
      </c>
      <c r="J300" s="4"/>
      <c r="K300" s="35"/>
      <c r="L300" s="4">
        <f t="shared" si="31"/>
        <v>0</v>
      </c>
      <c r="M300" s="4">
        <v>7.5</v>
      </c>
      <c r="N300" s="4">
        <f t="shared" si="36"/>
        <v>4.5</v>
      </c>
      <c r="O300" s="32">
        <f>LOOKUP(N300,{0,1.6,1.8,2,2.2,2.4,2.6,2.8,3,3.2,3.4,3.6,3.8,4,4.2,4.4,4.6,4.7,4.8,4.9,5},{0,10,20,30,40,50,60,62,64,66,68,70,72,74,76,78,80,85,90,95,100})</f>
        <v>78</v>
      </c>
      <c r="P300" s="4">
        <v>3.5</v>
      </c>
      <c r="Q300" s="4">
        <f t="shared" si="32"/>
        <v>6.5</v>
      </c>
      <c r="R300" s="32">
        <f>LOOKUP(Q300,{0,3.8,4,4.6,4.8,5,5.6,5.65,5.7,5.75,5.8,5.85,5.9,5.95,6,6.45,6.5,6.58,6.65,6.7,6.75},{0,10,20,30,40,50,60,62,64,66,68,70,72,74,76,78,80,85,90,95,100})</f>
        <v>80</v>
      </c>
      <c r="S300" s="4"/>
      <c r="T300" s="4"/>
      <c r="U300" s="4">
        <f t="shared" si="33"/>
        <v>80</v>
      </c>
      <c r="V300" s="4"/>
      <c r="W300" s="5">
        <f t="shared" si="34"/>
        <v>45.4</v>
      </c>
      <c r="X300" s="20">
        <f t="shared" si="37"/>
        <v>64.8571428571429</v>
      </c>
    </row>
    <row r="301" customFormat="1" ht="15.6" hidden="1" spans="1:24">
      <c r="A301" s="4">
        <v>209</v>
      </c>
      <c r="B301" s="24" t="s">
        <v>448</v>
      </c>
      <c r="C301" s="25" t="s">
        <v>11</v>
      </c>
      <c r="D301" s="4">
        <v>8.5</v>
      </c>
      <c r="E301" s="32">
        <f>LOOKUP(D301,{0,-2.9,-1.9,-0.9,0.1,1.1,2.1,3.5,4.9,6.3,7.7,9.1,10.5,11.9,13.3,14.7,16.1,18.3,20.5,22.4,24.3},{0,10,20,30,40,50,60,62,64,66,68,70,72,74,76,78,80,85,90,95,100})</f>
        <v>68</v>
      </c>
      <c r="F301" s="4">
        <v>234</v>
      </c>
      <c r="G301" s="32">
        <f>LOOKUP(F301,{0,175,180,185,190,195,200,204,208,212,216,220,224,228,232,236,240,248,255,260,265},{0,10,20,30,40,50,60,62,64,66,68,70,72,74,76,78,80,85,90,95,100})</f>
        <v>76</v>
      </c>
      <c r="H301" s="4">
        <v>0</v>
      </c>
      <c r="I301" s="32">
        <f>LOOKUP(H301,{0,3,4,5,6,7,8,9,10,11,12,13,14,15,16,17},{0,10,20,30,40,50,60,64,68,72,76,80,85,90,95,100})</f>
        <v>0</v>
      </c>
      <c r="J301" s="4"/>
      <c r="K301" s="4"/>
      <c r="L301" s="4">
        <f t="shared" si="31"/>
        <v>0</v>
      </c>
      <c r="M301" s="4">
        <v>7.6</v>
      </c>
      <c r="N301" s="4">
        <f t="shared" si="36"/>
        <v>4.4</v>
      </c>
      <c r="O301" s="32">
        <f>LOOKUP(N301,{0,1.6,1.8,2,2.2,2.4,2.6,2.8,3,3.2,3.4,3.6,3.8,4,4.2,4.4,4.6,4.7,4.8,4.9,5},{0,10,20,30,40,50,60,62,64,66,68,70,72,74,76,78,80,85,90,95,100})</f>
        <v>78</v>
      </c>
      <c r="P301" s="4">
        <v>3.5</v>
      </c>
      <c r="Q301" s="4">
        <f t="shared" si="32"/>
        <v>6.5</v>
      </c>
      <c r="R301" s="32">
        <f>LOOKUP(Q301,{0,3.8,4,4.6,4.8,5,5.6,5.65,5.7,5.75,5.8,5.85,5.9,5.95,6,6.45,6.5,6.58,6.65,6.7,6.75},{0,10,20,30,40,50,60,62,64,66,68,70,72,74,76,78,80,85,90,95,100})</f>
        <v>80</v>
      </c>
      <c r="S301" s="4"/>
      <c r="T301" s="4"/>
      <c r="U301" s="4">
        <f t="shared" si="33"/>
        <v>80</v>
      </c>
      <c r="V301" s="4"/>
      <c r="W301" s="5">
        <f t="shared" si="34"/>
        <v>46</v>
      </c>
      <c r="X301" s="20">
        <f t="shared" si="37"/>
        <v>65.7142857142857</v>
      </c>
    </row>
    <row r="302" customFormat="1" ht="15.6" hidden="1" spans="1:24">
      <c r="A302" s="4">
        <v>212</v>
      </c>
      <c r="B302" s="24" t="s">
        <v>613</v>
      </c>
      <c r="C302" s="25" t="s">
        <v>11</v>
      </c>
      <c r="D302" s="4">
        <v>17.8</v>
      </c>
      <c r="E302" s="32">
        <f>LOOKUP(D302,{0,-2.9,-1.9,-0.9,0.1,1.1,2.1,3.5,4.9,6.3,7.7,9.1,10.5,11.9,13.3,14.7,16.1,18.3,20.5,22.4,24.3},{0,10,20,30,40,50,60,62,64,66,68,70,72,74,76,78,80,85,90,95,100})</f>
        <v>80</v>
      </c>
      <c r="F302" s="4">
        <v>226</v>
      </c>
      <c r="G302" s="32">
        <f>LOOKUP(F302,{0,175,180,185,190,195,200,204,208,212,216,220,224,228,232,236,240,248,255,260,265},{0,10,20,30,40,50,60,62,64,66,68,70,72,74,76,78,80,85,90,95,100})</f>
        <v>72</v>
      </c>
      <c r="H302" s="4">
        <v>0</v>
      </c>
      <c r="I302" s="32">
        <f>LOOKUP(H302,{0,3,4,5,6,7,8,9,10,11,12,13,14,15,16,17},{0,10,20,30,40,50,60,64,68,72,76,80,85,90,95,100})</f>
        <v>0</v>
      </c>
      <c r="J302" s="4"/>
      <c r="K302" s="4"/>
      <c r="L302" s="4">
        <f t="shared" si="31"/>
        <v>0</v>
      </c>
      <c r="M302" s="4">
        <v>7.7</v>
      </c>
      <c r="N302" s="4">
        <f t="shared" si="36"/>
        <v>4.3</v>
      </c>
      <c r="O302" s="32">
        <f>LOOKUP(N302,{0,1.6,1.8,2,2.2,2.4,2.6,2.8,3,3.2,3.4,3.6,3.8,4,4.2,4.4,4.6,4.7,4.8,4.9,5},{0,10,20,30,40,50,60,62,64,66,68,70,72,74,76,78,80,85,90,95,100})</f>
        <v>76</v>
      </c>
      <c r="P302" s="4">
        <v>3.5</v>
      </c>
      <c r="Q302" s="4">
        <f t="shared" si="32"/>
        <v>6.5</v>
      </c>
      <c r="R302" s="32">
        <f>LOOKUP(Q302,{0,3.8,4,4.6,4.8,5,5.6,5.65,5.7,5.75,5.8,5.85,5.9,5.95,6,6.45,6.5,6.58,6.65,6.7,6.75},{0,10,20,30,40,50,60,62,64,66,68,70,72,74,76,78,80,85,90,95,100})</f>
        <v>80</v>
      </c>
      <c r="S302" s="4"/>
      <c r="T302" s="4"/>
      <c r="U302" s="4">
        <f t="shared" si="33"/>
        <v>80</v>
      </c>
      <c r="V302" s="4"/>
      <c r="W302" s="5">
        <f t="shared" si="34"/>
        <v>46.4</v>
      </c>
      <c r="X302" s="20">
        <f t="shared" si="37"/>
        <v>66.2857142857143</v>
      </c>
    </row>
    <row r="303" customFormat="1" ht="15.6" hidden="1" spans="1:24">
      <c r="A303" s="4">
        <v>214</v>
      </c>
      <c r="B303" s="24" t="s">
        <v>730</v>
      </c>
      <c r="C303" s="25" t="s">
        <v>11</v>
      </c>
      <c r="D303" s="4">
        <v>6.1</v>
      </c>
      <c r="E303" s="32">
        <f>LOOKUP(D303,{0,-2.9,-1.9,-0.9,0.1,1.1,2.1,3.5,4.9,6.3,7.7,9.1,10.5,11.9,13.3,14.7,16.1,18.3,20.5,22.4,24.3},{0,10,20,30,40,50,60,62,64,66,68,70,72,74,76,78,80,85,90,95,100})</f>
        <v>64</v>
      </c>
      <c r="F303" s="4">
        <v>185</v>
      </c>
      <c r="G303" s="32">
        <f>LOOKUP(F303,{0,175,180,185,190,195,200,204,208,212,216,220,224,228,232,236,240,248,255,260,265},{0,10,20,30,40,50,60,62,64,66,68,70,72,74,76,78,80,85,90,95,100})</f>
        <v>30</v>
      </c>
      <c r="H303" s="4">
        <v>13</v>
      </c>
      <c r="I303" s="32">
        <f>LOOKUP(H303,{0,3,4,5,6,7,8,9,10,11,12,13,14,15,16,17},{0,10,20,30,40,50,60,64,68,72,76,80,85,90,95,100})</f>
        <v>80</v>
      </c>
      <c r="J303" s="4"/>
      <c r="K303" s="4"/>
      <c r="L303" s="4">
        <f t="shared" si="31"/>
        <v>80</v>
      </c>
      <c r="M303" s="4">
        <v>7.8</v>
      </c>
      <c r="N303" s="4">
        <f t="shared" si="36"/>
        <v>4.2</v>
      </c>
      <c r="O303" s="32">
        <f>LOOKUP(N303,{0,1.6,1.8,2,2.2,2.4,2.6,2.8,3,3.2,3.4,3.6,3.8,4,4.2,4.4,4.6,4.7,4.8,4.9,5},{0,10,20,30,40,50,60,62,64,66,68,70,72,74,76,78,80,85,90,95,100})</f>
        <v>76</v>
      </c>
      <c r="P303" s="4">
        <v>3.5</v>
      </c>
      <c r="Q303" s="4">
        <f t="shared" si="32"/>
        <v>6.5</v>
      </c>
      <c r="R303" s="32">
        <f>LOOKUP(Q303,{0,3.8,4,4.6,4.8,5,5.6,5.65,5.7,5.75,5.8,5.85,5.9,5.95,6,6.45,6.5,6.58,6.65,6.7,6.75},{0,10,20,30,40,50,60,62,64,66,68,70,72,74,76,78,80,85,90,95,100})</f>
        <v>80</v>
      </c>
      <c r="S303" s="4"/>
      <c r="T303" s="4"/>
      <c r="U303" s="4">
        <f t="shared" si="33"/>
        <v>80</v>
      </c>
      <c r="V303" s="4"/>
      <c r="W303" s="5">
        <f t="shared" si="34"/>
        <v>48.6</v>
      </c>
      <c r="X303" s="20">
        <f t="shared" si="37"/>
        <v>69.4285714285714</v>
      </c>
    </row>
    <row r="304" customFormat="1" ht="15.6" hidden="1" spans="1:24">
      <c r="A304" s="4">
        <v>201</v>
      </c>
      <c r="B304" s="24" t="s">
        <v>24</v>
      </c>
      <c r="C304" s="25" t="s">
        <v>11</v>
      </c>
      <c r="D304" s="4">
        <v>6.5</v>
      </c>
      <c r="E304" s="32">
        <f>LOOKUP(D304,{0,-2.9,-1.9,-0.9,0.1,1.1,2.1,3.5,4.9,6.3,7.7,9.1,10.5,11.9,13.3,14.7,16.1,18.3,20.5,22.4,24.3},{0,10,20,30,40,50,60,62,64,66,68,70,72,74,76,78,80,85,90,95,100})</f>
        <v>66</v>
      </c>
      <c r="F304" s="4">
        <v>207</v>
      </c>
      <c r="G304" s="32">
        <f>LOOKUP(F304,{0,175,180,185,190,195,200,204,208,212,216,220,224,228,232,236,240,248,255,260,265},{0,10,20,30,40,50,60,62,64,66,68,70,72,74,76,78,80,85,90,95,100})</f>
        <v>62</v>
      </c>
      <c r="H304" s="4">
        <v>8</v>
      </c>
      <c r="I304" s="32">
        <f>LOOKUP(H304,{0,3,4,5,6,7,8,9,10,11,12,13,14,15,16,17},{0,10,20,30,40,50,60,64,68,72,76,80,85,90,95,100})</f>
        <v>60</v>
      </c>
      <c r="J304" s="4"/>
      <c r="K304" s="35"/>
      <c r="L304" s="4">
        <f t="shared" si="31"/>
        <v>60</v>
      </c>
      <c r="M304" s="4">
        <v>6.9</v>
      </c>
      <c r="N304" s="4">
        <f t="shared" si="36"/>
        <v>5.1</v>
      </c>
      <c r="O304" s="32">
        <f>LOOKUP(N304,{0,1.6,1.8,2,2.2,2.4,2.6,2.8,3,3.2,3.4,3.6,3.8,4,4.2,4.4,4.6,4.7,4.8,4.9,5},{0,10,20,30,40,50,60,62,64,66,68,70,72,74,76,78,80,85,90,95,100})</f>
        <v>100</v>
      </c>
      <c r="P304" s="4">
        <v>3.51</v>
      </c>
      <c r="Q304" s="4">
        <f t="shared" si="32"/>
        <v>6.49</v>
      </c>
      <c r="R304" s="32">
        <f>LOOKUP(Q304,{0,3.8,4,4.6,4.8,5,5.6,5.65,5.7,5.75,5.8,5.85,5.9,5.95,6,6.45,6.5,6.58,6.65,6.7,6.75},{0,10,20,30,40,50,60,62,64,66,68,70,72,74,76,78,80,85,90,95,100})</f>
        <v>78</v>
      </c>
      <c r="S304" s="4"/>
      <c r="T304" s="4"/>
      <c r="U304" s="4">
        <f t="shared" si="33"/>
        <v>78</v>
      </c>
      <c r="V304" s="4"/>
      <c r="W304" s="5">
        <f t="shared" si="34"/>
        <v>54.4</v>
      </c>
      <c r="X304" s="20">
        <f t="shared" si="37"/>
        <v>77.7142857142857</v>
      </c>
    </row>
    <row r="305" s="1" customFormat="1" ht="15.6" hidden="1" spans="1:24">
      <c r="A305" s="4">
        <v>210</v>
      </c>
      <c r="B305" s="24" t="s">
        <v>517</v>
      </c>
      <c r="C305" s="25" t="s">
        <v>11</v>
      </c>
      <c r="D305" s="4">
        <v>15.3</v>
      </c>
      <c r="E305" s="32">
        <f>LOOKUP(D305,{0,-2.9,-1.9,-0.9,0.1,1.1,2.1,3.5,4.9,6.3,7.7,9.1,10.5,11.9,13.3,14.7,16.1,18.3,20.5,22.4,24.3},{0,10,20,30,40,50,60,62,64,66,68,70,72,74,76,78,80,85,90,95,100})</f>
        <v>78</v>
      </c>
      <c r="F305" s="4">
        <v>256</v>
      </c>
      <c r="G305" s="32">
        <f>LOOKUP(F305,{0,175,180,185,190,195,200,204,208,212,216,220,224,228,232,236,240,248,255,260,265},{0,10,20,30,40,50,60,62,64,66,68,70,72,74,76,78,80,85,90,95,100})</f>
        <v>90</v>
      </c>
      <c r="H305" s="4">
        <v>9</v>
      </c>
      <c r="I305" s="32">
        <f>LOOKUP(H305,{0,3,4,5,6,7,8,9,10,11,12,13,14,15,16,17},{0,10,20,30,40,50,60,64,68,72,76,80,85,90,95,100})</f>
        <v>64</v>
      </c>
      <c r="J305" s="4"/>
      <c r="K305" s="4"/>
      <c r="L305" s="4">
        <f t="shared" si="31"/>
        <v>64</v>
      </c>
      <c r="M305" s="4">
        <v>7</v>
      </c>
      <c r="N305" s="4">
        <f t="shared" si="36"/>
        <v>5</v>
      </c>
      <c r="O305" s="32">
        <f>LOOKUP(N305,{0,1.6,1.8,2,2.2,2.4,2.6,2.8,3,3.2,3.4,3.6,3.8,4,4.2,4.4,4.6,4.7,4.8,4.9,5},{0,10,20,30,40,50,60,62,64,66,68,70,72,74,76,78,80,85,90,95,100})</f>
        <v>100</v>
      </c>
      <c r="P305" s="4">
        <v>3.51</v>
      </c>
      <c r="Q305" s="4">
        <f t="shared" si="32"/>
        <v>6.49</v>
      </c>
      <c r="R305" s="32">
        <f>LOOKUP(Q305,{0,3.8,4,4.6,4.8,5,5.6,5.65,5.7,5.75,5.8,5.85,5.9,5.95,6,6.45,6.5,6.58,6.65,6.7,6.75},{0,10,20,30,40,50,60,62,64,66,68,70,72,74,76,78,80,85,90,95,100})</f>
        <v>78</v>
      </c>
      <c r="S305" s="4"/>
      <c r="T305" s="4"/>
      <c r="U305" s="4">
        <f t="shared" si="33"/>
        <v>78</v>
      </c>
      <c r="V305" s="4"/>
      <c r="W305" s="5">
        <f t="shared" si="34"/>
        <v>58.8</v>
      </c>
      <c r="X305" s="20">
        <f t="shared" si="37"/>
        <v>84</v>
      </c>
    </row>
    <row r="306" ht="15.6" hidden="1" spans="1:24">
      <c r="A306" s="4">
        <v>210</v>
      </c>
      <c r="B306" s="24" t="s">
        <v>508</v>
      </c>
      <c r="C306" s="25" t="s">
        <v>11</v>
      </c>
      <c r="D306" s="4">
        <v>12.7</v>
      </c>
      <c r="E306" s="32">
        <f>LOOKUP(D306,{0,-2.9,-1.9,-0.9,0.1,1.1,2.1,3.5,4.9,6.3,7.7,9.1,10.5,11.9,13.3,14.7,16.1,18.3,20.5,22.4,24.3},{0,10,20,30,40,50,60,62,64,66,68,70,72,74,76,78,80,85,90,95,100})</f>
        <v>74</v>
      </c>
      <c r="F306" s="4">
        <v>221</v>
      </c>
      <c r="G306" s="32">
        <f>LOOKUP(F306,{0,175,180,185,190,195,200,204,208,212,216,220,224,228,232,236,240,248,255,260,265},{0,10,20,30,40,50,60,62,64,66,68,70,72,74,76,78,80,85,90,95,100})</f>
        <v>70</v>
      </c>
      <c r="H306" s="4">
        <v>2</v>
      </c>
      <c r="I306" s="32">
        <f>LOOKUP(H306,{0,3,4,5,6,7,8,9,10,11,12,13,14,15,16,17},{0,10,20,30,40,50,60,64,68,72,76,80,85,90,95,100})</f>
        <v>0</v>
      </c>
      <c r="K306" s="35"/>
      <c r="L306" s="4">
        <f t="shared" si="31"/>
        <v>0</v>
      </c>
      <c r="M306" s="4">
        <v>7</v>
      </c>
      <c r="N306" s="4">
        <f t="shared" si="36"/>
        <v>5</v>
      </c>
      <c r="O306" s="32">
        <f>LOOKUP(N306,{0,1.6,1.8,2,2.2,2.4,2.6,2.8,3,3.2,3.4,3.6,3.8,4,4.2,4.4,4.6,4.7,4.8,4.9,5},{0,10,20,30,40,50,60,62,64,66,68,70,72,74,76,78,80,85,90,95,100})</f>
        <v>100</v>
      </c>
      <c r="P306" s="4">
        <v>3.51</v>
      </c>
      <c r="Q306" s="4">
        <f t="shared" si="32"/>
        <v>6.49</v>
      </c>
      <c r="R306" s="32">
        <f>LOOKUP(Q306,{0,3.8,4,4.6,4.8,5,5.6,5.65,5.7,5.75,5.8,5.85,5.9,5.95,6,6.45,6.5,6.58,6.65,6.7,6.75},{0,10,20,30,40,50,60,62,64,66,68,70,72,74,76,78,80,85,90,95,100})</f>
        <v>78</v>
      </c>
      <c r="U306" s="4">
        <f t="shared" si="33"/>
        <v>78</v>
      </c>
      <c r="W306" s="5">
        <f t="shared" si="34"/>
        <v>50</v>
      </c>
      <c r="X306" s="20">
        <f t="shared" si="37"/>
        <v>71.4285714285714</v>
      </c>
    </row>
    <row r="307" ht="15.6" hidden="1" spans="1:24">
      <c r="A307" s="4">
        <v>209</v>
      </c>
      <c r="B307" s="24" t="s">
        <v>456</v>
      </c>
      <c r="C307" s="25" t="s">
        <v>11</v>
      </c>
      <c r="D307" s="4">
        <v>5.5</v>
      </c>
      <c r="E307" s="32">
        <f>LOOKUP(D307,{0,-2.9,-1.9,-0.9,0.1,1.1,2.1,3.5,4.9,6.3,7.7,9.1,10.5,11.9,13.3,14.7,16.1,18.3,20.5,22.4,24.3},{0,10,20,30,40,50,60,62,64,66,68,70,72,74,76,78,80,85,90,95,100})</f>
        <v>64</v>
      </c>
      <c r="F307" s="4">
        <v>210</v>
      </c>
      <c r="G307" s="32">
        <f>LOOKUP(F307,{0,175,180,185,190,195,200,204,208,212,216,220,224,228,232,236,240,248,255,260,265},{0,10,20,30,40,50,60,62,64,66,68,70,72,74,76,78,80,85,90,95,100})</f>
        <v>64</v>
      </c>
      <c r="H307" s="4">
        <v>8</v>
      </c>
      <c r="I307" s="32">
        <f>LOOKUP(H307,{0,3,4,5,6,7,8,9,10,11,12,13,14,15,16,17},{0,10,20,30,40,50,60,64,68,72,76,80,85,90,95,100})</f>
        <v>60</v>
      </c>
      <c r="L307" s="4">
        <f t="shared" si="31"/>
        <v>60</v>
      </c>
      <c r="M307" s="4">
        <v>7.1</v>
      </c>
      <c r="N307" s="4">
        <f t="shared" si="36"/>
        <v>4.9</v>
      </c>
      <c r="O307" s="32">
        <f>LOOKUP(N307,{0,1.6,1.8,2,2.2,2.4,2.6,2.8,3,3.2,3.4,3.6,3.8,4,4.2,4.4,4.6,4.7,4.8,4.9,5},{0,10,20,30,40,50,60,62,64,66,68,70,72,74,76,78,80,85,90,95,100})</f>
        <v>95</v>
      </c>
      <c r="P307" s="4">
        <v>3.51</v>
      </c>
      <c r="Q307" s="4">
        <f t="shared" si="32"/>
        <v>6.49</v>
      </c>
      <c r="R307" s="32">
        <f>LOOKUP(Q307,{0,3.8,4,4.6,4.8,5,5.6,5.65,5.7,5.75,5.8,5.85,5.9,5.95,6,6.45,6.5,6.58,6.65,6.7,6.75},{0,10,20,30,40,50,60,62,64,66,68,70,72,74,76,78,80,85,90,95,100})</f>
        <v>78</v>
      </c>
      <c r="U307" s="4">
        <f t="shared" si="33"/>
        <v>78</v>
      </c>
      <c r="W307" s="5">
        <f t="shared" si="34"/>
        <v>53.4</v>
      </c>
      <c r="X307" s="20">
        <f t="shared" si="37"/>
        <v>76.2857142857143</v>
      </c>
    </row>
    <row r="308" ht="15.6" hidden="1" spans="1:24">
      <c r="A308" s="4">
        <v>208</v>
      </c>
      <c r="B308" s="24" t="s">
        <v>415</v>
      </c>
      <c r="C308" s="25" t="s">
        <v>11</v>
      </c>
      <c r="D308" s="4">
        <v>22.5</v>
      </c>
      <c r="E308" s="32">
        <f>LOOKUP(D308,{0,-2.9,-1.9,-0.9,0.1,1.1,2.1,3.5,4.9,6.3,7.7,9.1,10.5,11.9,13.3,14.7,16.1,18.3,20.5,22.4,24.3},{0,10,20,30,40,50,60,62,64,66,68,70,72,74,76,78,80,85,90,95,100})</f>
        <v>95</v>
      </c>
      <c r="F308" s="4">
        <v>248</v>
      </c>
      <c r="G308" s="32">
        <f>LOOKUP(F308,{0,175,180,185,190,195,200,204,208,212,216,220,224,228,232,236,240,248,255,260,265},{0,10,20,30,40,50,60,62,64,66,68,70,72,74,76,78,80,85,90,95,100})</f>
        <v>85</v>
      </c>
      <c r="H308" s="4">
        <v>10</v>
      </c>
      <c r="I308" s="32">
        <f>LOOKUP(H308,{0,3,4,5,6,7,8,9,10,11,12,13,14,15,16,17},{0,10,20,30,40,50,60,64,68,72,76,80,85,90,95,100})</f>
        <v>68</v>
      </c>
      <c r="L308" s="4">
        <f t="shared" si="31"/>
        <v>68</v>
      </c>
      <c r="M308" s="4">
        <v>7.4</v>
      </c>
      <c r="N308" s="4">
        <f t="shared" si="36"/>
        <v>4.6</v>
      </c>
      <c r="O308" s="32">
        <f>LOOKUP(N308,{0,1.6,1.8,2,2.2,2.4,2.6,2.8,3,3.2,3.4,3.6,3.8,4,4.2,4.4,4.6,4.7,4.8,4.9,5},{0,10,20,30,40,50,60,62,64,66,68,70,72,74,76,78,80,85,90,95,100})</f>
        <v>80</v>
      </c>
      <c r="P308" s="4">
        <v>3.51</v>
      </c>
      <c r="Q308" s="4">
        <f t="shared" si="32"/>
        <v>6.49</v>
      </c>
      <c r="R308" s="32">
        <f>LOOKUP(Q308,{0,3.8,4,4.6,4.8,5,5.6,5.65,5.7,5.75,5.8,5.85,5.9,5.95,6,6.45,6.5,6.58,6.65,6.7,6.75},{0,10,20,30,40,50,60,62,64,66,68,70,72,74,76,78,80,85,90,95,100})</f>
        <v>78</v>
      </c>
      <c r="U308" s="4">
        <f t="shared" si="33"/>
        <v>78</v>
      </c>
      <c r="W308" s="5">
        <f t="shared" si="34"/>
        <v>56.4</v>
      </c>
      <c r="X308" s="20">
        <f t="shared" si="37"/>
        <v>80.5714285714286</v>
      </c>
    </row>
    <row r="309" ht="15.6" hidden="1" spans="1:24">
      <c r="A309" s="4">
        <v>209</v>
      </c>
      <c r="B309" s="24" t="s">
        <v>442</v>
      </c>
      <c r="C309" s="25" t="s">
        <v>11</v>
      </c>
      <c r="D309" s="4">
        <v>7.3</v>
      </c>
      <c r="E309" s="32">
        <f>LOOKUP(D309,{0,-2.9,-1.9,-0.9,0.1,1.1,2.1,3.5,4.9,6.3,7.7,9.1,10.5,11.9,13.3,14.7,16.1,18.3,20.5,22.4,24.3},{0,10,20,30,40,50,60,62,64,66,68,70,72,74,76,78,80,85,90,95,100})</f>
        <v>66</v>
      </c>
      <c r="F309" s="4">
        <v>219</v>
      </c>
      <c r="G309" s="32">
        <f>LOOKUP(F309,{0,175,180,185,190,195,200,204,208,212,216,220,224,228,232,236,240,248,255,260,265},{0,10,20,30,40,50,60,62,64,66,68,70,72,74,76,78,80,85,90,95,100})</f>
        <v>68</v>
      </c>
      <c r="H309" s="4">
        <v>8</v>
      </c>
      <c r="I309" s="32">
        <f>LOOKUP(H309,{0,3,4,5,6,7,8,9,10,11,12,13,14,15,16,17},{0,10,20,30,40,50,60,64,68,72,76,80,85,90,95,100})</f>
        <v>60</v>
      </c>
      <c r="L309" s="4">
        <f t="shared" si="31"/>
        <v>60</v>
      </c>
      <c r="M309" s="4">
        <v>7.7</v>
      </c>
      <c r="N309" s="4">
        <f t="shared" si="36"/>
        <v>4.3</v>
      </c>
      <c r="O309" s="32">
        <f>LOOKUP(N309,{0,1.6,1.8,2,2.2,2.4,2.6,2.8,3,3.2,3.4,3.6,3.8,4,4.2,4.4,4.6,4.7,4.8,4.9,5},{0,10,20,30,40,50,60,62,64,66,68,70,72,74,76,78,80,85,90,95,100})</f>
        <v>76</v>
      </c>
      <c r="P309" s="4">
        <v>3.51</v>
      </c>
      <c r="Q309" s="4">
        <f t="shared" si="32"/>
        <v>6.49</v>
      </c>
      <c r="R309" s="32">
        <f>LOOKUP(Q309,{0,3.8,4,4.6,4.8,5,5.6,5.65,5.7,5.75,5.8,5.85,5.9,5.95,6,6.45,6.5,6.58,6.65,6.7,6.75},{0,10,20,30,40,50,60,62,64,66,68,70,72,74,76,78,80,85,90,95,100})</f>
        <v>78</v>
      </c>
      <c r="U309" s="4">
        <f t="shared" si="33"/>
        <v>78</v>
      </c>
      <c r="W309" s="5">
        <f t="shared" si="34"/>
        <v>50.2</v>
      </c>
      <c r="X309" s="20">
        <f t="shared" si="37"/>
        <v>71.7142857142857</v>
      </c>
    </row>
    <row r="310" ht="15.6" hidden="1" spans="1:24">
      <c r="A310" s="4">
        <v>205</v>
      </c>
      <c r="B310" s="33" t="s">
        <v>224</v>
      </c>
      <c r="C310" s="25" t="s">
        <v>11</v>
      </c>
      <c r="D310" s="4">
        <v>1</v>
      </c>
      <c r="E310" s="32">
        <f>LOOKUP(D310,{0,-2.9,-1.9,-0.9,0.1,1.1,2.1,3.5,4.9,6.3,7.7,9.1,10.5,11.9,13.3,14.7,16.1,18.3,20.5,22.4,24.3},{0,10,20,30,40,50,60,62,64,66,68,70,72,74,76,78,80,85,90,95,100})</f>
        <v>40</v>
      </c>
      <c r="F310" s="4">
        <v>243</v>
      </c>
      <c r="G310" s="32">
        <f>LOOKUP(F310,{0,175,180,185,190,195,200,204,208,212,216,220,224,228,232,236,240,248,255,260,265},{0,10,20,30,40,50,60,62,64,66,68,70,72,74,76,78,80,85,90,95,100})</f>
        <v>80</v>
      </c>
      <c r="H310" s="4">
        <v>6</v>
      </c>
      <c r="I310" s="32">
        <f>LOOKUP(H310,{0,3,4,5,6,7,8,9,10,11,12,13,14,15,16,17},{0,10,20,30,40,50,60,64,68,72,76,80,85,90,95,100})</f>
        <v>40</v>
      </c>
      <c r="L310" s="4">
        <f t="shared" si="31"/>
        <v>40</v>
      </c>
      <c r="O310" s="32"/>
      <c r="P310" s="4">
        <v>3.51</v>
      </c>
      <c r="Q310" s="4">
        <f t="shared" si="32"/>
        <v>6.49</v>
      </c>
      <c r="R310" s="32">
        <f>LOOKUP(Q310,{0,3.8,4,4.6,4.8,5,5.6,5.65,5.7,5.75,5.8,5.85,5.9,5.95,6,6.45,6.5,6.58,6.65,6.7,6.75},{0,10,20,30,40,50,60,62,64,66,68,70,72,74,76,78,80,85,90,95,100})</f>
        <v>78</v>
      </c>
      <c r="U310" s="4">
        <f t="shared" si="33"/>
        <v>78</v>
      </c>
      <c r="W310" s="5">
        <f t="shared" si="34"/>
        <v>31.6</v>
      </c>
      <c r="X310" s="23">
        <v>50</v>
      </c>
    </row>
    <row r="311" ht="15.6" hidden="1" spans="1:24">
      <c r="A311" s="4">
        <v>207</v>
      </c>
      <c r="B311" s="24" t="s">
        <v>334</v>
      </c>
      <c r="C311" s="25" t="s">
        <v>11</v>
      </c>
      <c r="D311" s="4">
        <v>14</v>
      </c>
      <c r="E311" s="32">
        <f>LOOKUP(D311,{0,-2.9,-1.9,-0.9,0.1,1.1,2.1,3.5,4.9,6.3,7.7,9.1,10.5,11.9,13.3,14.7,16.1,18.3,20.5,22.4,24.3},{0,10,20,30,40,50,60,62,64,66,68,70,72,74,76,78,80,85,90,95,100})</f>
        <v>76</v>
      </c>
      <c r="F311" s="4">
        <v>215</v>
      </c>
      <c r="G311" s="32">
        <f>LOOKUP(F311,{0,175,180,185,190,195,200,204,208,212,216,220,224,228,232,236,240,248,255,260,265},{0,10,20,30,40,50,60,62,64,66,68,70,72,74,76,78,80,85,90,95,100})</f>
        <v>66</v>
      </c>
      <c r="H311" s="4">
        <v>12</v>
      </c>
      <c r="I311" s="32">
        <f>LOOKUP(H311,{0,3,4,5,6,7,8,9,10,11,12,13,14,15,16,17},{0,10,20,30,40,50,60,64,68,72,76,80,85,90,95,100})</f>
        <v>76</v>
      </c>
      <c r="L311" s="4">
        <f t="shared" si="31"/>
        <v>76</v>
      </c>
      <c r="M311" s="4">
        <v>7.3</v>
      </c>
      <c r="N311" s="4">
        <f t="shared" ref="N311:N374" si="38">12-M311</f>
        <v>4.7</v>
      </c>
      <c r="O311" s="32">
        <f>LOOKUP(N311,{0,1.6,1.8,2,2.2,2.4,2.6,2.8,3,3.2,3.4,3.6,3.8,4,4.2,4.4,4.6,4.7,4.8,4.9,5},{0,10,20,30,40,50,60,62,64,66,68,70,72,74,76,78,80,85,90,95,100})</f>
        <v>85</v>
      </c>
      <c r="P311" s="4">
        <v>3.52</v>
      </c>
      <c r="Q311" s="4">
        <f t="shared" si="32"/>
        <v>6.48</v>
      </c>
      <c r="R311" s="32">
        <f>LOOKUP(Q311,{0,3.8,4,4.6,4.8,5,5.6,5.65,5.7,5.75,5.8,5.85,5.9,5.95,6,6.45,6.5,6.58,6.65,6.7,6.75},{0,10,20,30,40,50,60,62,64,66,68,70,72,74,76,78,80,85,90,95,100})</f>
        <v>78</v>
      </c>
      <c r="U311" s="4">
        <f t="shared" si="33"/>
        <v>78</v>
      </c>
      <c r="W311" s="5">
        <f t="shared" si="34"/>
        <v>54.4</v>
      </c>
      <c r="X311" s="20">
        <f t="shared" ref="X311:X374" si="39">W311/0.7+K311+T311</f>
        <v>77.7142857142857</v>
      </c>
    </row>
    <row r="312" ht="15.6" hidden="1" spans="1:24">
      <c r="A312" s="4">
        <v>202</v>
      </c>
      <c r="B312" s="24" t="s">
        <v>96</v>
      </c>
      <c r="C312" s="25" t="s">
        <v>11</v>
      </c>
      <c r="D312" s="4">
        <v>18</v>
      </c>
      <c r="E312" s="32">
        <f>LOOKUP(D312,{0,-2.9,-1.9,-0.9,0.1,1.1,2.1,3.5,4.9,6.3,7.7,9.1,10.5,11.9,13.3,14.7,16.1,18.3,20.5,22.4,24.3},{0,10,20,30,40,50,60,62,64,66,68,70,72,74,76,78,80,85,90,95,100})</f>
        <v>80</v>
      </c>
      <c r="F312" s="4">
        <v>239</v>
      </c>
      <c r="G312" s="32">
        <f>LOOKUP(F312,{0,175,180,185,190,195,200,204,208,212,216,220,224,228,232,236,240,248,255,260,265},{0,10,20,30,40,50,60,62,64,66,68,70,72,74,76,78,80,85,90,95,100})</f>
        <v>78</v>
      </c>
      <c r="H312" s="4">
        <v>4</v>
      </c>
      <c r="I312" s="32">
        <f>LOOKUP(H312,{0,3,4,5,6,7,8,9,10,11,12,13,14,15,16,17},{0,10,20,30,40,50,60,64,68,72,76,80,85,90,95,100})</f>
        <v>20</v>
      </c>
      <c r="L312" s="4">
        <f t="shared" si="31"/>
        <v>20</v>
      </c>
      <c r="M312" s="4">
        <v>7.3</v>
      </c>
      <c r="N312" s="4">
        <f t="shared" si="38"/>
        <v>4.7</v>
      </c>
      <c r="O312" s="32">
        <f>LOOKUP(N312,{0,1.6,1.8,2,2.2,2.4,2.6,2.8,3,3.2,3.4,3.6,3.8,4,4.2,4.4,4.6,4.7,4.8,4.9,5},{0,10,20,30,40,50,60,62,64,66,68,70,72,74,76,78,80,85,90,95,100})</f>
        <v>85</v>
      </c>
      <c r="P312" s="4">
        <v>3.52</v>
      </c>
      <c r="Q312" s="4">
        <f t="shared" si="32"/>
        <v>6.48</v>
      </c>
      <c r="R312" s="32">
        <f>LOOKUP(Q312,{0,3.8,4,4.6,4.8,5,5.6,5.65,5.7,5.75,5.8,5.85,5.9,5.95,6,6.45,6.5,6.58,6.65,6.7,6.75},{0,10,20,30,40,50,60,62,64,66,68,70,72,74,76,78,80,85,90,95,100})</f>
        <v>78</v>
      </c>
      <c r="U312" s="4">
        <f t="shared" si="33"/>
        <v>78</v>
      </c>
      <c r="W312" s="5">
        <f t="shared" si="34"/>
        <v>50.4</v>
      </c>
      <c r="X312" s="20">
        <f t="shared" si="39"/>
        <v>72</v>
      </c>
    </row>
    <row r="313" ht="15.6" hidden="1" spans="1:24">
      <c r="A313" s="4">
        <v>209</v>
      </c>
      <c r="B313" s="24" t="s">
        <v>455</v>
      </c>
      <c r="C313" s="25" t="s">
        <v>11</v>
      </c>
      <c r="D313" s="4">
        <v>20</v>
      </c>
      <c r="E313" s="32">
        <f>LOOKUP(D313,{0,-2.9,-1.9,-0.9,0.1,1.1,2.1,3.5,4.9,6.3,7.7,9.1,10.5,11.9,13.3,14.7,16.1,18.3,20.5,22.4,24.3},{0,10,20,30,40,50,60,62,64,66,68,70,72,74,76,78,80,85,90,95,100})</f>
        <v>85</v>
      </c>
      <c r="F313" s="4">
        <v>227</v>
      </c>
      <c r="G313" s="32">
        <f>LOOKUP(F313,{0,175,180,185,190,195,200,204,208,212,216,220,224,228,232,236,240,248,255,260,265},{0,10,20,30,40,50,60,62,64,66,68,70,72,74,76,78,80,85,90,95,100})</f>
        <v>72</v>
      </c>
      <c r="H313" s="4">
        <v>0</v>
      </c>
      <c r="I313" s="32">
        <f>LOOKUP(H313,{0,3,4,5,6,7,8,9,10,11,12,13,14,15,16,17},{0,10,20,30,40,50,60,64,68,72,76,80,85,90,95,100})</f>
        <v>0</v>
      </c>
      <c r="L313" s="4">
        <f t="shared" si="31"/>
        <v>0</v>
      </c>
      <c r="M313" s="4">
        <v>7.9</v>
      </c>
      <c r="N313" s="4">
        <f t="shared" si="38"/>
        <v>4.1</v>
      </c>
      <c r="O313" s="32">
        <f>LOOKUP(N313,{0,1.6,1.8,2,2.2,2.4,2.6,2.8,3,3.2,3.4,3.6,3.8,4,4.2,4.4,4.6,4.7,4.8,4.9,5},{0,10,20,30,40,50,60,62,64,66,68,70,72,74,76,78,80,85,90,95,100})</f>
        <v>74</v>
      </c>
      <c r="P313" s="4">
        <v>3.52</v>
      </c>
      <c r="Q313" s="4">
        <f t="shared" si="32"/>
        <v>6.48</v>
      </c>
      <c r="R313" s="32">
        <f>LOOKUP(Q313,{0,3.8,4,4.6,4.8,5,5.6,5.65,5.7,5.75,5.8,5.85,5.9,5.95,6,6.45,6.5,6.58,6.65,6.7,6.75},{0,10,20,30,40,50,60,62,64,66,68,70,72,74,76,78,80,85,90,95,100})</f>
        <v>78</v>
      </c>
      <c r="U313" s="4">
        <f t="shared" si="33"/>
        <v>78</v>
      </c>
      <c r="W313" s="5">
        <f t="shared" si="34"/>
        <v>46.1</v>
      </c>
      <c r="X313" s="20">
        <f t="shared" si="39"/>
        <v>65.8571428571429</v>
      </c>
    </row>
    <row r="314" ht="15.6" hidden="1" spans="1:24">
      <c r="A314" s="4">
        <v>212</v>
      </c>
      <c r="B314" s="24" t="s">
        <v>624</v>
      </c>
      <c r="C314" s="25" t="s">
        <v>11</v>
      </c>
      <c r="D314" s="4">
        <v>18.4</v>
      </c>
      <c r="E314" s="32">
        <f>LOOKUP(D314,{0,-2.9,-1.9,-0.9,0.1,1.1,2.1,3.5,4.9,6.3,7.7,9.1,10.5,11.9,13.3,14.7,16.1,18.3,20.5,22.4,24.3},{0,10,20,30,40,50,60,62,64,66,68,70,72,74,76,78,80,85,90,95,100})</f>
        <v>85</v>
      </c>
      <c r="F314" s="4">
        <v>209</v>
      </c>
      <c r="G314" s="32">
        <f>LOOKUP(F314,{0,175,180,185,190,195,200,204,208,212,216,220,224,228,232,236,240,248,255,260,265},{0,10,20,30,40,50,60,62,64,66,68,70,72,74,76,78,80,85,90,95,100})</f>
        <v>64</v>
      </c>
      <c r="H314" s="4">
        <v>0</v>
      </c>
      <c r="I314" s="32">
        <f>LOOKUP(H314,{0,3,4,5,6,7,8,9,10,11,12,13,14,15,16,17},{0,10,20,30,40,50,60,64,68,72,76,80,85,90,95,100})</f>
        <v>0</v>
      </c>
      <c r="L314" s="4">
        <f t="shared" si="31"/>
        <v>0</v>
      </c>
      <c r="M314" s="4">
        <v>8</v>
      </c>
      <c r="N314" s="4">
        <f t="shared" si="38"/>
        <v>4</v>
      </c>
      <c r="O314" s="32">
        <f>LOOKUP(N314,{0,1.6,1.8,2,2.2,2.4,2.6,2.8,3,3.2,3.4,3.6,3.8,4,4.2,4.4,4.6,4.7,4.8,4.9,5},{0,10,20,30,40,50,60,62,64,66,68,70,72,74,76,78,80,85,90,95,100})</f>
        <v>74</v>
      </c>
      <c r="P314" s="4">
        <v>3.52</v>
      </c>
      <c r="Q314" s="4">
        <f t="shared" si="32"/>
        <v>6.48</v>
      </c>
      <c r="R314" s="32">
        <f>LOOKUP(Q314,{0,3.8,4,4.6,4.8,5,5.6,5.65,5.7,5.75,5.8,5.85,5.9,5.95,6,6.45,6.5,6.58,6.65,6.7,6.75},{0,10,20,30,40,50,60,62,64,66,68,70,72,74,76,78,80,85,90,95,100})</f>
        <v>78</v>
      </c>
      <c r="U314" s="4">
        <f t="shared" si="33"/>
        <v>78</v>
      </c>
      <c r="W314" s="5">
        <f t="shared" si="34"/>
        <v>45.3</v>
      </c>
      <c r="X314" s="20">
        <f t="shared" si="39"/>
        <v>64.7142857142857</v>
      </c>
    </row>
    <row r="315" ht="15.6" hidden="1" spans="1:24">
      <c r="A315" s="4">
        <v>206</v>
      </c>
      <c r="B315" s="24" t="s">
        <v>276</v>
      </c>
      <c r="C315" s="25" t="s">
        <v>11</v>
      </c>
      <c r="D315" s="4">
        <v>7.4</v>
      </c>
      <c r="E315" s="32">
        <f>LOOKUP(D315,{0,-2.9,-1.9,-0.9,0.1,1.1,2.1,3.5,4.9,6.3,7.7,9.1,10.5,11.9,13.3,14.7,16.1,18.3,20.5,22.4,24.3},{0,10,20,30,40,50,60,62,64,66,68,70,72,74,76,78,80,85,90,95,100})</f>
        <v>66</v>
      </c>
      <c r="F315" s="4">
        <v>235</v>
      </c>
      <c r="G315" s="32">
        <f>LOOKUP(F315,{0,175,180,185,190,195,200,204,208,212,216,220,224,228,232,236,240,248,255,260,265},{0,10,20,30,40,50,60,62,64,66,68,70,72,74,76,78,80,85,90,95,100})</f>
        <v>76</v>
      </c>
      <c r="H315" s="4">
        <v>13</v>
      </c>
      <c r="I315" s="32">
        <f>LOOKUP(H315,{0,3,4,5,6,7,8,9,10,11,12,13,14,15,16,17},{0,10,20,30,40,50,60,64,68,72,76,80,85,90,95,100})</f>
        <v>80</v>
      </c>
      <c r="L315" s="4">
        <f t="shared" si="31"/>
        <v>80</v>
      </c>
      <c r="M315" s="4">
        <v>7</v>
      </c>
      <c r="N315" s="4">
        <f t="shared" si="38"/>
        <v>5</v>
      </c>
      <c r="O315" s="32">
        <f>LOOKUP(N315,{0,1.6,1.8,2,2.2,2.4,2.6,2.8,3,3.2,3.4,3.6,3.8,4,4.2,4.4,4.6,4.7,4.8,4.9,5},{0,10,20,30,40,50,60,62,64,66,68,70,72,74,76,78,80,85,90,95,100})</f>
        <v>100</v>
      </c>
      <c r="P315" s="4">
        <v>3.53</v>
      </c>
      <c r="Q315" s="4">
        <f t="shared" si="32"/>
        <v>6.47</v>
      </c>
      <c r="R315" s="32">
        <f>LOOKUP(Q315,{0,3.8,4,4.6,4.8,5,5.6,5.65,5.7,5.75,5.8,5.85,5.9,5.95,6,6.45,6.5,6.58,6.65,6.7,6.75},{0,10,20,30,40,50,60,62,64,66,68,70,72,74,76,78,80,85,90,95,100})</f>
        <v>78</v>
      </c>
      <c r="U315" s="4">
        <f t="shared" si="33"/>
        <v>78</v>
      </c>
      <c r="W315" s="5">
        <f t="shared" si="34"/>
        <v>57.8</v>
      </c>
      <c r="X315" s="20">
        <f t="shared" si="39"/>
        <v>82.5714285714286</v>
      </c>
    </row>
    <row r="316" s="1" customFormat="1" ht="15.6" hidden="1" spans="1:24">
      <c r="A316" s="4">
        <v>212</v>
      </c>
      <c r="B316" s="24" t="s">
        <v>608</v>
      </c>
      <c r="C316" s="25" t="s">
        <v>11</v>
      </c>
      <c r="D316" s="4">
        <v>16</v>
      </c>
      <c r="E316" s="32">
        <f>LOOKUP(D316,{0,-2.9,-1.9,-0.9,0.1,1.1,2.1,3.5,4.9,6.3,7.7,9.1,10.5,11.9,13.3,14.7,16.1,18.3,20.5,22.4,24.3},{0,10,20,30,40,50,60,62,64,66,68,70,72,74,76,78,80,85,90,95,100})</f>
        <v>78</v>
      </c>
      <c r="F316" s="4">
        <v>228</v>
      </c>
      <c r="G316" s="32">
        <f>LOOKUP(F316,{0,175,180,185,190,195,200,204,208,212,216,220,224,228,232,236,240,248,255,260,265},{0,10,20,30,40,50,60,62,64,66,68,70,72,74,76,78,80,85,90,95,100})</f>
        <v>74</v>
      </c>
      <c r="H316" s="4">
        <v>4</v>
      </c>
      <c r="I316" s="32">
        <f>LOOKUP(H316,{0,3,4,5,6,7,8,9,10,11,12,13,14,15,16,17},{0,10,20,30,40,50,60,64,68,72,76,80,85,90,95,100})</f>
        <v>20</v>
      </c>
      <c r="J316" s="4"/>
      <c r="K316" s="4"/>
      <c r="L316" s="4">
        <f t="shared" si="31"/>
        <v>20</v>
      </c>
      <c r="M316" s="4">
        <v>7.5</v>
      </c>
      <c r="N316" s="4">
        <f t="shared" si="38"/>
        <v>4.5</v>
      </c>
      <c r="O316" s="32">
        <f>LOOKUP(N316,{0,1.6,1.8,2,2.2,2.4,2.6,2.8,3,3.2,3.4,3.6,3.8,4,4.2,4.4,4.6,4.7,4.8,4.9,5},{0,10,20,30,40,50,60,62,64,66,68,70,72,74,76,78,80,85,90,95,100})</f>
        <v>78</v>
      </c>
      <c r="P316" s="4">
        <v>3.53</v>
      </c>
      <c r="Q316" s="4">
        <f t="shared" si="32"/>
        <v>6.47</v>
      </c>
      <c r="R316" s="32">
        <f>LOOKUP(Q316,{0,3.8,4,4.6,4.8,5,5.6,5.65,5.7,5.75,5.8,5.85,5.9,5.95,6,6.45,6.5,6.58,6.65,6.7,6.75},{0,10,20,30,40,50,60,62,64,66,68,70,72,74,76,78,80,85,90,95,100})</f>
        <v>78</v>
      </c>
      <c r="S316" s="4"/>
      <c r="T316" s="4"/>
      <c r="U316" s="4">
        <f t="shared" si="33"/>
        <v>78</v>
      </c>
      <c r="V316" s="4"/>
      <c r="W316" s="5">
        <f t="shared" si="34"/>
        <v>48.4</v>
      </c>
      <c r="X316" s="20">
        <f t="shared" si="39"/>
        <v>69.1428571428572</v>
      </c>
    </row>
    <row r="317" ht="15.6" hidden="1" spans="1:24">
      <c r="A317" s="4">
        <v>202</v>
      </c>
      <c r="B317" s="33" t="s">
        <v>76</v>
      </c>
      <c r="C317" s="25" t="s">
        <v>11</v>
      </c>
      <c r="D317" s="4">
        <v>25.6</v>
      </c>
      <c r="E317" s="32">
        <f>LOOKUP(D317,{0,-2.9,-1.9,-0.9,0.1,1.1,2.1,3.5,4.9,6.3,7.7,9.1,10.5,11.9,13.3,14.7,16.1,18.3,20.5,22.4,24.3},{0,10,20,30,40,50,60,62,64,66,68,70,72,74,76,78,80,85,90,95,100})</f>
        <v>100</v>
      </c>
      <c r="F317" s="4">
        <v>227</v>
      </c>
      <c r="G317" s="32">
        <f>LOOKUP(F317,{0,175,180,185,190,195,200,204,208,212,216,220,224,228,232,236,240,248,255,260,265},{0,10,20,30,40,50,60,62,64,66,68,70,72,74,76,78,80,85,90,95,100})</f>
        <v>72</v>
      </c>
      <c r="H317" s="4">
        <v>0</v>
      </c>
      <c r="I317" s="32">
        <f>LOOKUP(H317,{0,3,4,5,6,7,8,9,10,11,12,13,14,15,16,17},{0,10,20,30,40,50,60,64,68,72,76,80,85,90,95,100})</f>
        <v>0</v>
      </c>
      <c r="L317" s="4">
        <f t="shared" si="31"/>
        <v>0</v>
      </c>
      <c r="M317" s="4">
        <v>7.7</v>
      </c>
      <c r="N317" s="4">
        <f t="shared" si="38"/>
        <v>4.3</v>
      </c>
      <c r="O317" s="32">
        <f>LOOKUP(N317,{0,1.6,1.8,2,2.2,2.4,2.6,2.8,3,3.2,3.4,3.6,3.8,4,4.2,4.4,4.6,4.7,4.8,4.9,5},{0,10,20,30,40,50,60,62,64,66,68,70,72,74,76,78,80,85,90,95,100})</f>
        <v>76</v>
      </c>
      <c r="P317" s="4">
        <v>3.53</v>
      </c>
      <c r="Q317" s="4">
        <f t="shared" si="32"/>
        <v>6.47</v>
      </c>
      <c r="R317" s="32">
        <f>LOOKUP(Q317,{0,3.8,4,4.6,4.8,5,5.6,5.65,5.7,5.75,5.8,5.85,5.9,5.95,6,6.45,6.5,6.58,6.65,6.7,6.75},{0,10,20,30,40,50,60,62,64,66,68,70,72,74,76,78,80,85,90,95,100})</f>
        <v>78</v>
      </c>
      <c r="U317" s="4">
        <f t="shared" si="33"/>
        <v>78</v>
      </c>
      <c r="W317" s="5">
        <f t="shared" si="34"/>
        <v>48</v>
      </c>
      <c r="X317" s="20">
        <f t="shared" si="39"/>
        <v>68.5714285714286</v>
      </c>
    </row>
    <row r="318" ht="15.6" hidden="1" spans="1:24">
      <c r="A318" s="4">
        <v>207</v>
      </c>
      <c r="B318" s="24" t="s">
        <v>348</v>
      </c>
      <c r="C318" s="25" t="s">
        <v>11</v>
      </c>
      <c r="D318" s="4">
        <v>10.4</v>
      </c>
      <c r="E318" s="32">
        <f>LOOKUP(D318,{0,-2.9,-1.9,-0.9,0.1,1.1,2.1,3.5,4.9,6.3,7.7,9.1,10.5,11.9,13.3,14.7,16.1,18.3,20.5,22.4,24.3},{0,10,20,30,40,50,60,62,64,66,68,70,72,74,76,78,80,85,90,95,100})</f>
        <v>70</v>
      </c>
      <c r="F318" s="4">
        <v>234</v>
      </c>
      <c r="G318" s="32">
        <f>LOOKUP(F318,{0,175,180,185,190,195,200,204,208,212,216,220,224,228,232,236,240,248,255,260,265},{0,10,20,30,40,50,60,62,64,66,68,70,72,74,76,78,80,85,90,95,100})</f>
        <v>76</v>
      </c>
      <c r="H318" s="4">
        <v>7</v>
      </c>
      <c r="I318" s="32">
        <f>LOOKUP(H318,{0,3,4,5,6,7,8,9,10,11,12,13,14,15,16,17},{0,10,20,30,40,50,60,64,68,72,76,80,85,90,95,100})</f>
        <v>50</v>
      </c>
      <c r="K318" s="35"/>
      <c r="L318" s="4">
        <f t="shared" si="31"/>
        <v>50</v>
      </c>
      <c r="M318" s="4">
        <v>6.7</v>
      </c>
      <c r="N318" s="4">
        <f t="shared" si="38"/>
        <v>5.3</v>
      </c>
      <c r="O318" s="32">
        <f>LOOKUP(N318,{0,1.6,1.8,2,2.2,2.4,2.6,2.8,3,3.2,3.4,3.6,3.8,4,4.2,4.4,4.6,4.7,4.8,4.9,5},{0,10,20,30,40,50,60,62,64,66,68,70,72,74,76,78,80,85,90,95,100})</f>
        <v>100</v>
      </c>
      <c r="P318" s="4">
        <v>3.54</v>
      </c>
      <c r="Q318" s="4">
        <f t="shared" si="32"/>
        <v>6.46</v>
      </c>
      <c r="R318" s="32">
        <f>LOOKUP(Q318,{0,3.8,4,4.6,4.8,5,5.6,5.65,5.7,5.75,5.8,5.85,5.9,5.95,6,6.45,6.5,6.58,6.65,6.7,6.75},{0,10,20,30,40,50,60,62,64,66,68,70,72,74,76,78,80,85,90,95,100})</f>
        <v>78</v>
      </c>
      <c r="U318" s="4">
        <f t="shared" si="33"/>
        <v>78</v>
      </c>
      <c r="W318" s="5">
        <f t="shared" si="34"/>
        <v>55.2</v>
      </c>
      <c r="X318" s="20">
        <f t="shared" si="39"/>
        <v>78.8571428571429</v>
      </c>
    </row>
    <row r="319" ht="15.6" hidden="1" spans="1:24">
      <c r="A319" s="4">
        <v>208</v>
      </c>
      <c r="B319" s="24" t="s">
        <v>424</v>
      </c>
      <c r="C319" s="25" t="s">
        <v>53</v>
      </c>
      <c r="D319" s="4">
        <v>12.5</v>
      </c>
      <c r="E319" s="32">
        <f>LOOKUP(D319,{0,1,1.8,2.6,3.4,4.2,5,6.3,7.6,8.9,10.2,11.5,12.8,14.1,15.4,16.7,18,19.7,21.4,23.1,24.8},{0,10,20,30,40,50,60,62,64,66,68,70,72,74,76,78,80,85,90,95,100})</f>
        <v>70</v>
      </c>
      <c r="F319" s="4">
        <v>191</v>
      </c>
      <c r="G319" s="32">
        <f>LOOKUP(F319,{0,124,129,134,139,144,149,152,155,158,161,164,167,170,173,176,179,186,193,199,205},{0,10,20,30,40,50,60,62,64,66,68,70,72,74,76,78,80,85,90,95,100})</f>
        <v>85</v>
      </c>
      <c r="H319" s="4">
        <v>42</v>
      </c>
      <c r="I319" s="32">
        <f>LOOKUP(H319,{0,14,16,18,20,22,24,26,28,30,32,34,36,38,40,42,44,47,50,52,54},{0,10,20,30,40,50,60,62,64,66,68,70,72,74,76,78,80,85,90,95,100})</f>
        <v>78</v>
      </c>
      <c r="K319" s="35"/>
      <c r="L319" s="4">
        <f t="shared" si="31"/>
        <v>78</v>
      </c>
      <c r="M319" s="4">
        <v>8.1</v>
      </c>
      <c r="N319" s="4">
        <f t="shared" si="38"/>
        <v>3.9</v>
      </c>
      <c r="O319" s="32">
        <f>LOOKUP(N319,{0,0.5,0.7,0.9,1.1,1.3,1.5,1.7,1.9,2.1,2.3,2.5,2.7,2.9,3.1,3.3,3.5,3.8,4.1,4.2,4.3},{0,10,20,30,40,50,60,62,64,66,68,70,72,74,76,78,80,85,90,95,100})</f>
        <v>85</v>
      </c>
      <c r="P319" s="4">
        <v>3.27</v>
      </c>
      <c r="Q319" s="4">
        <f t="shared" si="32"/>
        <v>6.73</v>
      </c>
      <c r="R319" s="32">
        <f>LOOKUP(Q319,{0,4.72,4.82,4.92,5.42,5.52,5.62,5.67,5.72,5.77,5.82,5.87,5.92,5.97,6.42,6.47,6.52,6.59,6.66,6.72,6.78},{0,10,20,30,40,50,60,62,64,66,68,70,72,74,76,78,80,85,90,95,100})</f>
        <v>95</v>
      </c>
      <c r="U319" s="4">
        <f t="shared" si="33"/>
        <v>95</v>
      </c>
      <c r="W319" s="5">
        <f t="shared" si="34"/>
        <v>59.3</v>
      </c>
      <c r="X319" s="20">
        <f t="shared" si="39"/>
        <v>84.7142857142857</v>
      </c>
    </row>
    <row r="320" ht="15.6" hidden="1" spans="1:24">
      <c r="A320" s="4">
        <v>211</v>
      </c>
      <c r="B320" s="24" t="s">
        <v>602</v>
      </c>
      <c r="C320" s="25" t="s">
        <v>53</v>
      </c>
      <c r="D320" s="4">
        <v>22.5</v>
      </c>
      <c r="E320" s="32">
        <f>LOOKUP(D320,{0,1,1.8,2.6,3.4,4.2,5,6.3,7.6,8.9,10.2,11.5,12.8,14.1,15.4,16.7,18,19.7,21.4,23.1,24.8},{0,10,20,30,40,50,60,62,64,66,68,70,72,74,76,78,80,85,90,95,100})</f>
        <v>90</v>
      </c>
      <c r="F320" s="4">
        <v>202</v>
      </c>
      <c r="G320" s="32">
        <f>LOOKUP(F320,{0,124,129,134,139,144,149,152,155,158,161,164,167,170,173,176,179,186,193,199,205},{0,10,20,30,40,50,60,62,64,66,68,70,72,74,76,78,80,85,90,95,100})</f>
        <v>95</v>
      </c>
      <c r="H320" s="4">
        <v>42</v>
      </c>
      <c r="I320" s="32">
        <f>LOOKUP(H320,{0,14,16,18,20,22,24,26,28,30,32,34,36,38,40,42,44,47,50,52,54},{0,10,20,30,40,50,60,62,64,66,68,70,72,74,76,78,80,85,90,95,100})</f>
        <v>78</v>
      </c>
      <c r="L320" s="4">
        <f t="shared" si="31"/>
        <v>78</v>
      </c>
      <c r="M320" s="4">
        <v>8.1</v>
      </c>
      <c r="N320" s="4">
        <f t="shared" si="38"/>
        <v>3.9</v>
      </c>
      <c r="O320" s="32">
        <f>LOOKUP(N320,{0,0.5,0.7,0.9,1.1,1.3,1.5,1.7,1.9,2.1,2.3,2.5,2.7,2.9,3.1,3.3,3.5,3.8,4.1,4.2,4.3},{0,10,20,30,40,50,60,62,64,66,68,70,72,74,76,78,80,85,90,95,100})</f>
        <v>85</v>
      </c>
      <c r="P320" s="4">
        <v>3.44</v>
      </c>
      <c r="Q320" s="4">
        <f t="shared" si="32"/>
        <v>6.56</v>
      </c>
      <c r="R320" s="32">
        <f>LOOKUP(Q320,{0,4.72,4.82,4.92,5.42,5.52,5.62,5.67,5.72,5.77,5.82,5.87,5.92,5.97,6.42,6.47,6.52,6.59,6.66,6.72,6.78},{0,10,20,30,40,50,60,62,64,66,68,70,72,74,76,78,80,85,90,95,100})</f>
        <v>80</v>
      </c>
      <c r="U320" s="4">
        <f t="shared" si="33"/>
        <v>80</v>
      </c>
      <c r="W320" s="5">
        <f t="shared" si="34"/>
        <v>59.3</v>
      </c>
      <c r="X320" s="20">
        <f t="shared" si="39"/>
        <v>84.7142857142857</v>
      </c>
    </row>
    <row r="321" ht="15.6" hidden="1" spans="1:24">
      <c r="A321" s="4">
        <v>207</v>
      </c>
      <c r="B321" s="33" t="s">
        <v>365</v>
      </c>
      <c r="C321" s="25" t="s">
        <v>53</v>
      </c>
      <c r="D321" s="4">
        <v>17</v>
      </c>
      <c r="E321" s="32">
        <f>LOOKUP(D321,{0,1,1.8,2.6,3.4,4.2,5,6.3,7.6,8.9,10.2,11.5,12.8,14.1,15.4,16.7,18,19.7,21.4,23.1,24.8},{0,10,20,30,40,50,60,62,64,66,68,70,72,74,76,78,80,85,90,95,100})</f>
        <v>78</v>
      </c>
      <c r="F321" s="4">
        <v>178</v>
      </c>
      <c r="G321" s="32">
        <f>LOOKUP(F321,{0,124,129,134,139,144,149,152,155,158,161,164,167,170,173,176,179,186,193,199,205},{0,10,20,30,40,50,60,62,64,66,68,70,72,74,76,78,80,85,90,95,100})</f>
        <v>78</v>
      </c>
      <c r="H321" s="4">
        <v>45</v>
      </c>
      <c r="I321" s="32">
        <f>LOOKUP(H321,{0,14,16,18,20,22,24,26,28,30,32,34,36,38,40,42,44,47,50,52,54},{0,10,20,30,40,50,60,62,64,66,68,70,72,74,76,78,80,85,90,95,100})</f>
        <v>80</v>
      </c>
      <c r="L321" s="4">
        <f t="shared" si="31"/>
        <v>80</v>
      </c>
      <c r="M321" s="4">
        <v>8.6</v>
      </c>
      <c r="N321" s="4">
        <f t="shared" si="38"/>
        <v>3.4</v>
      </c>
      <c r="O321" s="32">
        <f>LOOKUP(N321,{0,0.5,0.7,0.9,1.1,1.3,1.5,1.7,1.9,2.1,2.3,2.5,2.7,2.9,3.1,3.3,3.5,3.8,4.1,4.2,4.3},{0,10,20,30,40,50,60,62,64,66,68,70,72,74,76,78,80,85,90,95,100})</f>
        <v>78</v>
      </c>
      <c r="P321" s="4">
        <v>3.19</v>
      </c>
      <c r="Q321" s="4">
        <f t="shared" si="32"/>
        <v>6.81</v>
      </c>
      <c r="R321" s="32">
        <f>LOOKUP(Q321,{0,4.72,4.82,4.92,5.42,5.52,5.62,5.67,5.72,5.77,5.82,5.87,5.92,5.97,6.42,6.47,6.52,6.59,6.66,6.72,6.78},{0,10,20,30,40,50,60,62,64,66,68,70,72,74,76,78,80,85,90,95,100})</f>
        <v>100</v>
      </c>
      <c r="S321" s="39">
        <f>3.22-P321</f>
        <v>0.0300000000000002</v>
      </c>
      <c r="T321" s="32">
        <f>LOOKUP(S321,{0,0.05,0.1,0.15,0.2,0.25,0.3,0.35,0.4,0.45,0.5},{0,1,2,3,4,5,6,7,8,9,10})</f>
        <v>0</v>
      </c>
      <c r="U321" s="4">
        <f t="shared" si="33"/>
        <v>100</v>
      </c>
      <c r="W321" s="5">
        <f t="shared" si="34"/>
        <v>59.2</v>
      </c>
      <c r="X321" s="20">
        <f t="shared" si="39"/>
        <v>84.5714285714286</v>
      </c>
    </row>
    <row r="322" ht="15.6" hidden="1" spans="1:24">
      <c r="A322" s="4">
        <v>210</v>
      </c>
      <c r="B322" s="24" t="s">
        <v>537</v>
      </c>
      <c r="C322" s="25" t="s">
        <v>53</v>
      </c>
      <c r="D322" s="4">
        <v>26</v>
      </c>
      <c r="E322" s="32">
        <f>LOOKUP(D322,{0,1,1.8,2.6,3.4,4.2,5,6.3,7.6,8.9,10.2,11.5,12.8,14.1,15.4,16.7,18,19.7,21.4,23.1,24.8},{0,10,20,30,40,50,60,62,64,66,68,70,72,74,76,78,80,85,90,95,100})</f>
        <v>100</v>
      </c>
      <c r="F322" s="4">
        <v>170</v>
      </c>
      <c r="G322" s="32">
        <f>LOOKUP(F322,{0,124,129,134,139,144,149,152,155,158,161,164,167,170,173,176,179,186,193,199,205},{0,10,20,30,40,50,60,62,64,66,68,70,72,74,76,78,80,85,90,95,100})</f>
        <v>74</v>
      </c>
      <c r="H322" s="4">
        <v>54</v>
      </c>
      <c r="I322" s="32">
        <f>LOOKUP(H322,{0,14,16,18,20,22,24,26,28,30,32,34,36,38,40,42,44,47,50,52,54},{0,10,20,30,40,50,60,62,64,66,68,70,72,74,76,78,80,85,90,95,100})</f>
        <v>100</v>
      </c>
      <c r="J322" s="4">
        <f>H322-54</f>
        <v>0</v>
      </c>
      <c r="K322" s="34">
        <f>LOOKUP(J322,{0,2,4,6,7,8,9,10,11,12,13},{0,1,2,3,4,5,6,7,8,9,10})</f>
        <v>0</v>
      </c>
      <c r="L322" s="4">
        <f t="shared" ref="L322:L385" si="40">I322+K322</f>
        <v>100</v>
      </c>
      <c r="M322" s="4">
        <v>9</v>
      </c>
      <c r="N322" s="4">
        <f t="shared" si="38"/>
        <v>3</v>
      </c>
      <c r="O322" s="32">
        <f>LOOKUP(N322,{0,0.5,0.7,0.9,1.1,1.3,1.5,1.7,1.9,2.1,2.3,2.5,2.7,2.9,3.1,3.3,3.5,3.8,4.1,4.2,4.3},{0,10,20,30,40,50,60,62,64,66,68,70,72,74,76,78,80,85,90,95,100})</f>
        <v>74</v>
      </c>
      <c r="P322" s="4">
        <v>3.37</v>
      </c>
      <c r="Q322" s="4">
        <f t="shared" ref="Q322:Q385" si="41">10-P322</f>
        <v>6.63</v>
      </c>
      <c r="R322" s="32">
        <f>LOOKUP(Q322,{0,4.72,4.82,4.92,5.42,5.52,5.62,5.67,5.72,5.77,5.82,5.87,5.92,5.97,6.42,6.47,6.52,6.59,6.66,6.72,6.78},{0,10,20,30,40,50,60,62,64,66,68,70,72,74,76,78,80,85,90,95,100})</f>
        <v>85</v>
      </c>
      <c r="U322" s="4">
        <f t="shared" ref="U322:U385" si="42">R322+T322</f>
        <v>85</v>
      </c>
      <c r="W322" s="5">
        <f t="shared" ref="W322:W385" si="43">E322*0.1+G322*0.1+I322*0.1+O322*0.2+R322*0.2</f>
        <v>59.2</v>
      </c>
      <c r="X322" s="20">
        <f t="shared" si="39"/>
        <v>84.5714285714286</v>
      </c>
    </row>
    <row r="323" ht="15.6" hidden="1" spans="1:24">
      <c r="A323" s="4">
        <v>215</v>
      </c>
      <c r="B323" s="24" t="s">
        <v>820</v>
      </c>
      <c r="C323" s="25" t="s">
        <v>53</v>
      </c>
      <c r="D323" s="4">
        <v>17</v>
      </c>
      <c r="E323" s="32">
        <f>LOOKUP(D323,{0,1,1.8,2.6,3.4,4.2,5,6.3,7.6,8.9,10.2,11.5,12.8,14.1,15.4,16.7,18,19.7,21.4,23.1,24.8},{0,10,20,30,40,50,60,62,64,66,68,70,72,74,76,78,80,85,90,95,100})</f>
        <v>78</v>
      </c>
      <c r="F323" s="4">
        <v>173</v>
      </c>
      <c r="G323" s="32">
        <f>LOOKUP(F323,{0,124,129,134,139,144,149,152,155,158,161,164,167,170,173,176,179,186,193,199,205},{0,10,20,30,40,50,60,62,64,66,68,70,72,74,76,78,80,85,90,95,100})</f>
        <v>76</v>
      </c>
      <c r="H323" s="4">
        <v>53</v>
      </c>
      <c r="I323" s="32">
        <f>LOOKUP(H323,{0,14,16,18,20,22,24,26,28,30,32,34,36,38,40,42,44,47,50,52,54},{0,10,20,30,40,50,60,62,64,66,68,70,72,74,76,78,80,85,90,95,100})</f>
        <v>95</v>
      </c>
      <c r="L323" s="4">
        <f t="shared" si="40"/>
        <v>95</v>
      </c>
      <c r="M323" s="4">
        <v>8.9</v>
      </c>
      <c r="N323" s="4">
        <f t="shared" si="38"/>
        <v>3.1</v>
      </c>
      <c r="O323" s="32">
        <f>LOOKUP(N323,{0,0.5,0.7,0.9,1.1,1.3,1.5,1.7,1.9,2.1,2.3,2.5,2.7,2.9,3.1,3.3,3.5,3.8,4.1,4.2,4.3},{0,10,20,30,40,50,60,62,64,66,68,70,72,74,76,78,80,85,90,95,100})</f>
        <v>76</v>
      </c>
      <c r="P323" s="4">
        <v>3.28</v>
      </c>
      <c r="Q323" s="4">
        <f t="shared" si="41"/>
        <v>6.72</v>
      </c>
      <c r="R323" s="32">
        <f>LOOKUP(Q323,{0,4.72,4.82,4.92,5.42,5.52,5.62,5.67,5.72,5.77,5.82,5.87,5.92,5.97,6.42,6.47,6.52,6.59,6.66,6.72,6.78},{0,10,20,30,40,50,60,62,64,66,68,70,72,74,76,78,80,85,90,95,100})</f>
        <v>95</v>
      </c>
      <c r="U323" s="4">
        <f t="shared" si="42"/>
        <v>95</v>
      </c>
      <c r="W323" s="5">
        <f t="shared" si="43"/>
        <v>59.1</v>
      </c>
      <c r="X323" s="20">
        <f t="shared" si="39"/>
        <v>84.4285714285714</v>
      </c>
    </row>
    <row r="324" ht="15.6" hidden="1" spans="1:24">
      <c r="A324" s="4">
        <v>205</v>
      </c>
      <c r="B324" s="24" t="s">
        <v>258</v>
      </c>
      <c r="C324" s="25" t="s">
        <v>53</v>
      </c>
      <c r="D324" s="4">
        <v>13.5</v>
      </c>
      <c r="E324" s="32">
        <f>LOOKUP(D324,{0,1,1.8,2.6,3.4,4.2,5,6.3,7.6,8.9,10.2,11.5,12.8,14.1,15.4,16.7,18,19.7,21.4,23.1,24.8},{0,10,20,30,40,50,60,62,64,66,68,70,72,74,76,78,80,85,90,95,100})</f>
        <v>72</v>
      </c>
      <c r="F324" s="4">
        <v>185</v>
      </c>
      <c r="G324" s="32">
        <f>LOOKUP(F324,{0,124,129,134,139,144,149,152,155,158,161,164,167,170,173,176,179,186,193,199,205},{0,10,20,30,40,50,60,62,64,66,68,70,72,74,76,78,80,85,90,95,100})</f>
        <v>80</v>
      </c>
      <c r="H324" s="4">
        <v>60</v>
      </c>
      <c r="I324" s="32">
        <f>LOOKUP(H324,{0,14,16,18,20,22,24,26,28,30,32,34,36,38,40,42,44,47,50,52,54},{0,10,20,30,40,50,60,62,64,66,68,70,72,74,76,78,80,85,90,95,100})</f>
        <v>100</v>
      </c>
      <c r="J324" s="4">
        <f>H324-54</f>
        <v>6</v>
      </c>
      <c r="K324" s="32">
        <f>LOOKUP(J324,{0,2,4,6,7,8,9,10,11,12,13},{0,1,2,3,4,5,6,7,8,9,10})</f>
        <v>3</v>
      </c>
      <c r="L324" s="4">
        <f t="shared" si="40"/>
        <v>103</v>
      </c>
      <c r="M324" s="4">
        <v>8.7</v>
      </c>
      <c r="N324" s="4">
        <f t="shared" si="38"/>
        <v>3.3</v>
      </c>
      <c r="O324" s="32">
        <f>LOOKUP(N324,{0,0.5,0.7,0.9,1.1,1.3,1.5,1.7,1.9,2.1,2.3,2.5,2.7,2.9,3.1,3.3,3.5,3.8,4.1,4.2,4.3},{0,10,20,30,40,50,60,62,64,66,68,70,72,74,76,78,80,85,90,95,100})</f>
        <v>78</v>
      </c>
      <c r="P324" s="4">
        <v>3.42</v>
      </c>
      <c r="Q324" s="4">
        <f t="shared" si="41"/>
        <v>6.58</v>
      </c>
      <c r="R324" s="32">
        <f>LOOKUP(Q324,{0,4.72,4.82,4.92,5.42,5.52,5.62,5.67,5.72,5.77,5.82,5.87,5.92,5.97,6.42,6.47,6.52,6.59,6.66,6.72,6.78},{0,10,20,30,40,50,60,62,64,66,68,70,72,74,76,78,80,85,90,95,100})</f>
        <v>80</v>
      </c>
      <c r="U324" s="4">
        <f t="shared" si="42"/>
        <v>80</v>
      </c>
      <c r="W324" s="5">
        <f t="shared" si="43"/>
        <v>56.8</v>
      </c>
      <c r="X324" s="20">
        <f t="shared" si="39"/>
        <v>84.1428571428571</v>
      </c>
    </row>
    <row r="325" ht="15.6" hidden="1" spans="1:24">
      <c r="A325" s="4">
        <v>213</v>
      </c>
      <c r="B325" s="24" t="s">
        <v>684</v>
      </c>
      <c r="C325" s="25" t="s">
        <v>53</v>
      </c>
      <c r="D325" s="4">
        <v>10</v>
      </c>
      <c r="E325" s="32">
        <f>LOOKUP(D325,{0,1,1.8,2.6,3.4,4.2,5,6.3,7.6,8.9,10.2,11.5,12.8,14.1,15.4,16.7,18,19.7,21.4,23.1,24.8},{0,10,20,30,40,50,60,62,64,66,68,70,72,74,76,78,80,85,90,95,100})</f>
        <v>66</v>
      </c>
      <c r="F325" s="4">
        <v>212</v>
      </c>
      <c r="G325" s="32">
        <f>LOOKUP(F325,{0,124,129,134,139,144,149,152,155,158,161,164,167,170,173,176,179,186,193,199,205},{0,10,20,30,40,50,60,62,64,66,68,70,72,74,76,78,80,85,90,95,100})</f>
        <v>100</v>
      </c>
      <c r="H325" s="4">
        <v>55</v>
      </c>
      <c r="I325" s="32">
        <f>LOOKUP(H325,{0,14,16,18,20,22,24,26,28,30,32,34,36,38,40,42,44,47,50,52,54},{0,10,20,30,40,50,60,62,64,66,68,70,72,74,76,78,80,85,90,95,100})</f>
        <v>100</v>
      </c>
      <c r="J325" s="4">
        <f>H325-54</f>
        <v>1</v>
      </c>
      <c r="K325" s="34">
        <f>LOOKUP(J325,{0,2,4,6,7,8,9,10,11,12,13},{0,1,2,3,4,5,6,7,8,9,10})</f>
        <v>0</v>
      </c>
      <c r="L325" s="4">
        <f t="shared" si="40"/>
        <v>100</v>
      </c>
      <c r="M325" s="4">
        <v>8.8</v>
      </c>
      <c r="N325" s="4">
        <f t="shared" si="38"/>
        <v>3.2</v>
      </c>
      <c r="O325" s="32">
        <f>LOOKUP(N325,{0,0.5,0.7,0.9,1.1,1.3,1.5,1.7,1.9,2.1,2.3,2.5,2.7,2.9,3.1,3.3,3.5,3.8,4.1,4.2,4.3},{0,10,20,30,40,50,60,62,64,66,68,70,72,74,76,78,80,85,90,95,100})</f>
        <v>76</v>
      </c>
      <c r="P325" s="4">
        <v>3.4</v>
      </c>
      <c r="Q325" s="4">
        <f t="shared" si="41"/>
        <v>6.6</v>
      </c>
      <c r="R325" s="32">
        <f>LOOKUP(Q325,{0,4.72,4.82,4.92,5.42,5.52,5.62,5.67,5.72,5.77,5.82,5.87,5.92,5.97,6.42,6.47,6.52,6.59,6.66,6.72,6.78},{0,10,20,30,40,50,60,62,64,66,68,70,72,74,76,78,80,85,90,95,100})</f>
        <v>85</v>
      </c>
      <c r="U325" s="4">
        <f t="shared" si="42"/>
        <v>85</v>
      </c>
      <c r="W325" s="5">
        <f t="shared" si="43"/>
        <v>58.8</v>
      </c>
      <c r="X325" s="20">
        <f t="shared" si="39"/>
        <v>84</v>
      </c>
    </row>
    <row r="326" ht="15.6" hidden="1" spans="1:24">
      <c r="A326" s="4">
        <v>215</v>
      </c>
      <c r="B326" s="24" t="s">
        <v>808</v>
      </c>
      <c r="C326" s="25" t="s">
        <v>53</v>
      </c>
      <c r="D326" s="4">
        <v>27.1</v>
      </c>
      <c r="E326" s="32">
        <f>LOOKUP(D326,{0,1,1.8,2.6,3.4,4.2,5,6.3,7.6,8.9,10.2,11.5,12.8,14.1,15.4,16.7,18,19.7,21.4,23.1,24.8},{0,10,20,30,40,50,60,62,64,66,68,70,72,74,76,78,80,85,90,95,100})</f>
        <v>100</v>
      </c>
      <c r="F326" s="4">
        <v>161</v>
      </c>
      <c r="G326" s="32">
        <f>LOOKUP(F326,{0,124,129,134,139,144,149,152,155,158,161,164,167,170,173,176,179,186,193,199,205},{0,10,20,30,40,50,60,62,64,66,68,70,72,74,76,78,80,85,90,95,100})</f>
        <v>68</v>
      </c>
      <c r="H326" s="4">
        <v>51</v>
      </c>
      <c r="I326" s="32">
        <f>LOOKUP(H326,{0,14,16,18,20,22,24,26,28,30,32,34,36,38,40,42,44,47,50,52,54},{0,10,20,30,40,50,60,62,64,66,68,70,72,74,76,78,80,85,90,95,100})</f>
        <v>90</v>
      </c>
      <c r="L326" s="4">
        <f t="shared" si="40"/>
        <v>90</v>
      </c>
      <c r="M326" s="4">
        <v>8.3</v>
      </c>
      <c r="N326" s="4">
        <f t="shared" si="38"/>
        <v>3.7</v>
      </c>
      <c r="O326" s="32">
        <f>LOOKUP(N326,{0,0.5,0.7,0.9,1.1,1.3,1.5,1.7,1.9,2.1,2.3,2.5,2.7,2.9,3.1,3.3,3.5,3.8,4.1,4.2,4.3},{0,10,20,30,40,50,60,62,64,66,68,70,72,74,76,78,80,85,90,95,100})</f>
        <v>80</v>
      </c>
      <c r="P326" s="4">
        <v>3.4</v>
      </c>
      <c r="Q326" s="4">
        <f t="shared" si="41"/>
        <v>6.6</v>
      </c>
      <c r="R326" s="32">
        <f>LOOKUP(Q326,{0,4.72,4.82,4.92,5.42,5.52,5.62,5.67,5.72,5.77,5.82,5.87,5.92,5.97,6.42,6.47,6.52,6.59,6.66,6.72,6.78},{0,10,20,30,40,50,60,62,64,66,68,70,72,74,76,78,80,85,90,95,100})</f>
        <v>85</v>
      </c>
      <c r="U326" s="4">
        <f t="shared" si="42"/>
        <v>85</v>
      </c>
      <c r="W326" s="5">
        <f t="shared" si="43"/>
        <v>58.8</v>
      </c>
      <c r="X326" s="20">
        <f t="shared" si="39"/>
        <v>84</v>
      </c>
    </row>
    <row r="327" ht="15.6" hidden="1" spans="1:24">
      <c r="A327" s="4">
        <v>215</v>
      </c>
      <c r="B327" s="24" t="s">
        <v>816</v>
      </c>
      <c r="C327" s="25" t="s">
        <v>53</v>
      </c>
      <c r="D327" s="4">
        <v>26</v>
      </c>
      <c r="E327" s="32">
        <f>LOOKUP(D327,{0,1,1.8,2.6,3.4,4.2,5,6.3,7.6,8.9,10.2,11.5,12.8,14.1,15.4,16.7,18,19.7,21.4,23.1,24.8},{0,10,20,30,40,50,60,62,64,66,68,70,72,74,76,78,80,85,90,95,100})</f>
        <v>100</v>
      </c>
      <c r="F327" s="4">
        <v>194</v>
      </c>
      <c r="G327" s="32">
        <f>LOOKUP(F327,{0,124,129,134,139,144,149,152,155,158,161,164,167,170,173,176,179,186,193,199,205},{0,10,20,30,40,50,60,62,64,66,68,70,72,74,76,78,80,85,90,95,100})</f>
        <v>90</v>
      </c>
      <c r="H327" s="4">
        <v>50</v>
      </c>
      <c r="I327" s="32">
        <f>LOOKUP(H327,{0,14,16,18,20,22,24,26,28,30,32,34,36,38,40,42,44,47,50,52,54},{0,10,20,30,40,50,60,62,64,66,68,70,72,74,76,78,80,85,90,95,100})</f>
        <v>90</v>
      </c>
      <c r="K327" s="35"/>
      <c r="L327" s="4">
        <f t="shared" si="40"/>
        <v>90</v>
      </c>
      <c r="M327" s="4">
        <v>9</v>
      </c>
      <c r="N327" s="4">
        <f t="shared" si="38"/>
        <v>3</v>
      </c>
      <c r="O327" s="32">
        <f>LOOKUP(N327,{0,0.5,0.7,0.9,1.1,1.3,1.5,1.7,1.9,2.1,2.3,2.5,2.7,2.9,3.1,3.3,3.5,3.8,4.1,4.2,4.3},{0,10,20,30,40,50,60,62,64,66,68,70,72,74,76,78,80,85,90,95,100})</f>
        <v>74</v>
      </c>
      <c r="P327" s="4">
        <v>3.46</v>
      </c>
      <c r="Q327" s="4">
        <f t="shared" si="41"/>
        <v>6.54</v>
      </c>
      <c r="R327" s="32">
        <f>LOOKUP(Q327,{0,4.72,4.82,4.92,5.42,5.52,5.62,5.67,5.72,5.77,5.82,5.87,5.92,5.97,6.42,6.47,6.52,6.59,6.66,6.72,6.78},{0,10,20,30,40,50,60,62,64,66,68,70,72,74,76,78,80,85,90,95,100})</f>
        <v>80</v>
      </c>
      <c r="U327" s="4">
        <f t="shared" si="42"/>
        <v>80</v>
      </c>
      <c r="W327" s="5">
        <f t="shared" si="43"/>
        <v>58.8</v>
      </c>
      <c r="X327" s="20">
        <f t="shared" si="39"/>
        <v>84</v>
      </c>
    </row>
    <row r="328" ht="15.6" hidden="1" spans="1:24">
      <c r="A328" s="4">
        <v>204</v>
      </c>
      <c r="B328" s="24" t="s">
        <v>206</v>
      </c>
      <c r="C328" s="25" t="s">
        <v>53</v>
      </c>
      <c r="D328" s="4">
        <v>25</v>
      </c>
      <c r="E328" s="32">
        <f>LOOKUP(D328,{0,1,1.8,2.6,3.4,4.2,5,6.3,7.6,8.9,10.2,11.5,12.8,14.1,15.4,16.7,18,19.7,21.4,23.1,24.8},{0,10,20,30,40,50,60,62,64,66,68,70,72,74,76,78,80,85,90,95,100})</f>
        <v>100</v>
      </c>
      <c r="F328" s="4">
        <v>180</v>
      </c>
      <c r="G328" s="32">
        <f>LOOKUP(F328,{0,124,129,134,139,144,149,152,155,158,161,164,167,170,173,176,179,186,193,199,205},{0,10,20,30,40,50,60,62,64,66,68,70,72,74,76,78,80,85,90,95,100})</f>
        <v>80</v>
      </c>
      <c r="H328" s="4">
        <v>53</v>
      </c>
      <c r="I328" s="32">
        <f>LOOKUP(H328,{0,14,16,18,20,22,24,26,28,30,32,34,36,38,40,42,44,47,50,52,54},{0,10,20,30,40,50,60,62,64,66,68,70,72,74,76,78,80,85,90,95,100})</f>
        <v>95</v>
      </c>
      <c r="L328" s="4">
        <f t="shared" si="40"/>
        <v>95</v>
      </c>
      <c r="M328" s="4">
        <v>8.8</v>
      </c>
      <c r="N328" s="4">
        <f t="shared" si="38"/>
        <v>3.2</v>
      </c>
      <c r="O328" s="32">
        <f>LOOKUP(N328,{0,0.5,0.7,0.9,1.1,1.3,1.5,1.7,1.9,2.1,2.3,2.5,2.7,2.9,3.1,3.3,3.5,3.8,4.1,4.2,4.3},{0,10,20,30,40,50,60,62,64,66,68,70,72,74,76,78,80,85,90,95,100})</f>
        <v>76</v>
      </c>
      <c r="P328" s="4">
        <v>3.45</v>
      </c>
      <c r="Q328" s="4">
        <f t="shared" si="41"/>
        <v>6.55</v>
      </c>
      <c r="R328" s="32">
        <f>LOOKUP(Q328,{0,4.72,4.82,4.92,5.42,5.52,5.62,5.67,5.72,5.77,5.82,5.87,5.92,5.97,6.42,6.47,6.52,6.59,6.66,6.72,6.78},{0,10,20,30,40,50,60,62,64,66,68,70,72,74,76,78,80,85,90,95,100})</f>
        <v>80</v>
      </c>
      <c r="U328" s="4">
        <f t="shared" si="42"/>
        <v>80</v>
      </c>
      <c r="W328" s="5">
        <f t="shared" si="43"/>
        <v>58.7</v>
      </c>
      <c r="X328" s="20">
        <f t="shared" si="39"/>
        <v>83.8571428571429</v>
      </c>
    </row>
    <row r="329" customFormat="1" ht="15.6" hidden="1" spans="1:24">
      <c r="A329" s="4">
        <v>208</v>
      </c>
      <c r="B329" s="24" t="s">
        <v>430</v>
      </c>
      <c r="C329" s="25" t="s">
        <v>53</v>
      </c>
      <c r="D329" s="4">
        <v>17.6</v>
      </c>
      <c r="E329" s="32">
        <f>LOOKUP(D329,{0,1,1.8,2.6,3.4,4.2,5,6.3,7.6,8.9,10.2,11.5,12.8,14.1,15.4,16.7,18,19.7,21.4,23.1,24.8},{0,10,20,30,40,50,60,62,64,66,68,70,72,74,76,78,80,85,90,95,100})</f>
        <v>78</v>
      </c>
      <c r="F329" s="4">
        <v>165</v>
      </c>
      <c r="G329" s="32">
        <f>LOOKUP(F329,{0,124,129,134,139,144,149,152,155,158,161,164,167,170,173,176,179,186,193,199,205},{0,10,20,30,40,50,60,62,64,66,68,70,72,74,76,78,80,85,90,95,100})</f>
        <v>70</v>
      </c>
      <c r="H329" s="4">
        <v>54</v>
      </c>
      <c r="I329" s="32">
        <f>LOOKUP(H329,{0,14,16,18,20,22,24,26,28,30,32,34,36,38,40,42,44,47,50,52,54},{0,10,20,30,40,50,60,62,64,66,68,70,72,74,76,78,80,85,90,95,100})</f>
        <v>100</v>
      </c>
      <c r="J329" s="4">
        <f>H329-54</f>
        <v>0</v>
      </c>
      <c r="K329" s="34">
        <f>LOOKUP(J329,{0,2,4,6,7,8,9,10,11,12,13},{0,1,2,3,4,5,6,7,8,9,10})</f>
        <v>0</v>
      </c>
      <c r="L329" s="4">
        <f t="shared" si="40"/>
        <v>100</v>
      </c>
      <c r="M329" s="4">
        <v>9.1</v>
      </c>
      <c r="N329" s="4">
        <f t="shared" si="38"/>
        <v>2.9</v>
      </c>
      <c r="O329" s="32">
        <f>LOOKUP(N329,{0,0.5,0.7,0.9,1.1,1.3,1.5,1.7,1.9,2.1,2.3,2.5,2.7,2.9,3.1,3.3,3.5,3.8,4.1,4.2,4.3},{0,10,20,30,40,50,60,62,64,66,68,70,72,74,76,78,80,85,90,95,100})</f>
        <v>74</v>
      </c>
      <c r="P329" s="4">
        <v>3.25</v>
      </c>
      <c r="Q329" s="4">
        <f t="shared" si="41"/>
        <v>6.75</v>
      </c>
      <c r="R329" s="32">
        <f>LOOKUP(Q329,{0,4.72,4.82,4.92,5.42,5.52,5.62,5.67,5.72,5.77,5.82,5.87,5.92,5.97,6.42,6.47,6.52,6.59,6.66,6.72,6.78},{0,10,20,30,40,50,60,62,64,66,68,70,72,74,76,78,80,85,90,95,100})</f>
        <v>95</v>
      </c>
      <c r="S329" s="4"/>
      <c r="T329" s="4"/>
      <c r="U329" s="4">
        <f t="shared" si="42"/>
        <v>95</v>
      </c>
      <c r="V329" s="4"/>
      <c r="W329" s="5">
        <f t="shared" si="43"/>
        <v>58.6</v>
      </c>
      <c r="X329" s="20">
        <f t="shared" si="39"/>
        <v>83.7142857142857</v>
      </c>
    </row>
    <row r="330" customFormat="1" ht="15.6" hidden="1" spans="1:24">
      <c r="A330" s="4">
        <v>214</v>
      </c>
      <c r="B330" s="24" t="s">
        <v>767</v>
      </c>
      <c r="C330" s="25" t="s">
        <v>53</v>
      </c>
      <c r="D330" s="4">
        <v>20.2</v>
      </c>
      <c r="E330" s="32">
        <f>LOOKUP(D330,{0,1,1.8,2.6,3.4,4.2,5,6.3,7.6,8.9,10.2,11.5,12.8,14.1,15.4,16.7,18,19.7,21.4,23.1,24.8},{0,10,20,30,40,50,60,62,64,66,68,70,72,74,76,78,80,85,90,95,100})</f>
        <v>85</v>
      </c>
      <c r="F330" s="4">
        <v>190</v>
      </c>
      <c r="G330" s="32">
        <f>LOOKUP(F330,{0,124,129,134,139,144,149,152,155,158,161,164,167,170,173,176,179,186,193,199,205},{0,10,20,30,40,50,60,62,64,66,68,70,72,74,76,78,80,85,90,95,100})</f>
        <v>85</v>
      </c>
      <c r="H330" s="4">
        <v>46</v>
      </c>
      <c r="I330" s="32">
        <f>LOOKUP(H330,{0,14,16,18,20,22,24,26,28,30,32,34,36,38,40,42,44,47,50,52,54},{0,10,20,30,40,50,60,62,64,66,68,70,72,74,76,78,80,85,90,95,100})</f>
        <v>80</v>
      </c>
      <c r="J330" s="4"/>
      <c r="K330" s="4"/>
      <c r="L330" s="4">
        <f t="shared" si="40"/>
        <v>80</v>
      </c>
      <c r="M330" s="4">
        <v>8.7</v>
      </c>
      <c r="N330" s="4">
        <f t="shared" si="38"/>
        <v>3.3</v>
      </c>
      <c r="O330" s="32">
        <f>LOOKUP(N330,{0,0.5,0.7,0.9,1.1,1.3,1.5,1.7,1.9,2.1,2.3,2.5,2.7,2.9,3.1,3.3,3.5,3.8,4.1,4.2,4.3},{0,10,20,30,40,50,60,62,64,66,68,70,72,74,76,78,80,85,90,95,100})</f>
        <v>78</v>
      </c>
      <c r="P330" s="4">
        <v>3.29</v>
      </c>
      <c r="Q330" s="4">
        <f t="shared" si="41"/>
        <v>6.71</v>
      </c>
      <c r="R330" s="32">
        <f>LOOKUP(Q330,{0,4.72,4.82,4.92,5.42,5.52,5.62,5.67,5.72,5.77,5.82,5.87,5.92,5.97,6.42,6.47,6.52,6.59,6.66,6.72,6.78},{0,10,20,30,40,50,60,62,64,66,68,70,72,74,76,78,80,85,90,95,100})</f>
        <v>90</v>
      </c>
      <c r="S330" s="4"/>
      <c r="T330" s="4"/>
      <c r="U330" s="4">
        <f t="shared" si="42"/>
        <v>90</v>
      </c>
      <c r="V330" s="4"/>
      <c r="W330" s="5">
        <f t="shared" si="43"/>
        <v>58.6</v>
      </c>
      <c r="X330" s="20">
        <f t="shared" si="39"/>
        <v>83.7142857142857</v>
      </c>
    </row>
    <row r="331" customFormat="1" ht="15.6" hidden="1" spans="1:24">
      <c r="A331" s="4">
        <v>213</v>
      </c>
      <c r="B331" s="24" t="s">
        <v>724</v>
      </c>
      <c r="C331" s="25" t="s">
        <v>53</v>
      </c>
      <c r="D331" s="4">
        <v>19.5</v>
      </c>
      <c r="E331" s="32">
        <f>LOOKUP(D331,{0,1,1.8,2.6,3.4,4.2,5,6.3,7.6,8.9,10.2,11.5,12.8,14.1,15.4,16.7,18,19.7,21.4,23.1,24.8},{0,10,20,30,40,50,60,62,64,66,68,70,72,74,76,78,80,85,90,95,100})</f>
        <v>80</v>
      </c>
      <c r="F331" s="4">
        <v>190</v>
      </c>
      <c r="G331" s="32">
        <f>LOOKUP(F331,{0,124,129,134,139,144,149,152,155,158,161,164,167,170,173,176,179,186,193,199,205},{0,10,20,30,40,50,60,62,64,66,68,70,72,74,76,78,80,85,90,95,100})</f>
        <v>85</v>
      </c>
      <c r="H331" s="4">
        <v>49</v>
      </c>
      <c r="I331" s="32">
        <f>LOOKUP(H331,{0,14,16,18,20,22,24,26,28,30,32,34,36,38,40,42,44,47,50,52,54},{0,10,20,30,40,50,60,62,64,66,68,70,72,74,76,78,80,85,90,95,100})</f>
        <v>85</v>
      </c>
      <c r="J331" s="4"/>
      <c r="K331" s="4"/>
      <c r="L331" s="4">
        <f t="shared" si="40"/>
        <v>85</v>
      </c>
      <c r="M331" s="4">
        <v>8.7</v>
      </c>
      <c r="N331" s="4">
        <f t="shared" si="38"/>
        <v>3.3</v>
      </c>
      <c r="O331" s="32">
        <f>LOOKUP(N331,{0,0.5,0.7,0.9,1.1,1.3,1.5,1.7,1.9,2.1,2.3,2.5,2.7,2.9,3.1,3.3,3.5,3.8,4.1,4.2,4.3},{0,10,20,30,40,50,60,62,64,66,68,70,72,74,76,78,80,85,90,95,100})</f>
        <v>78</v>
      </c>
      <c r="P331" s="4">
        <v>3.3</v>
      </c>
      <c r="Q331" s="4">
        <f t="shared" si="41"/>
        <v>6.7</v>
      </c>
      <c r="R331" s="32">
        <f>LOOKUP(Q331,{0,4.72,4.82,4.92,5.42,5.52,5.62,5.67,5.72,5.77,5.82,5.87,5.92,5.97,6.42,6.47,6.52,6.59,6.66,6.72,6.78},{0,10,20,30,40,50,60,62,64,66,68,70,72,74,76,78,80,85,90,95,100})</f>
        <v>90</v>
      </c>
      <c r="S331" s="4"/>
      <c r="T331" s="4"/>
      <c r="U331" s="4">
        <f t="shared" si="42"/>
        <v>90</v>
      </c>
      <c r="V331" s="4"/>
      <c r="W331" s="5">
        <f t="shared" si="43"/>
        <v>58.6</v>
      </c>
      <c r="X331" s="20">
        <f t="shared" si="39"/>
        <v>83.7142857142857</v>
      </c>
    </row>
    <row r="332" customFormat="1" ht="15.6" hidden="1" spans="1:24">
      <c r="A332" s="4">
        <v>202</v>
      </c>
      <c r="B332" s="24" t="s">
        <v>108</v>
      </c>
      <c r="C332" s="25" t="s">
        <v>53</v>
      </c>
      <c r="D332" s="4">
        <v>25</v>
      </c>
      <c r="E332" s="32">
        <f>LOOKUP(D332,{0,1,1.8,2.6,3.4,4.2,5,6.3,7.6,8.9,10.2,11.5,12.8,14.1,15.4,16.7,18,19.7,21.4,23.1,24.8},{0,10,20,30,40,50,60,62,64,66,68,70,72,74,76,78,80,85,90,95,100})</f>
        <v>100</v>
      </c>
      <c r="F332" s="4">
        <v>180</v>
      </c>
      <c r="G332" s="32">
        <f>LOOKUP(F332,{0,124,129,134,139,144,149,152,155,158,161,164,167,170,173,176,179,186,193,199,205},{0,10,20,30,40,50,60,62,64,66,68,70,72,74,76,78,80,85,90,95,100})</f>
        <v>80</v>
      </c>
      <c r="H332" s="4">
        <v>40</v>
      </c>
      <c r="I332" s="32">
        <f>LOOKUP(H332,{0,14,16,18,20,22,24,26,28,30,32,34,36,38,40,42,44,47,50,52,54},{0,10,20,30,40,50,60,62,64,66,68,70,72,74,76,78,80,85,90,95,100})</f>
        <v>76</v>
      </c>
      <c r="J332" s="4"/>
      <c r="K332" s="4"/>
      <c r="L332" s="4">
        <f t="shared" si="40"/>
        <v>76</v>
      </c>
      <c r="M332" s="4">
        <v>8.4</v>
      </c>
      <c r="N332" s="4">
        <f t="shared" si="38"/>
        <v>3.6</v>
      </c>
      <c r="O332" s="32">
        <f>LOOKUP(N332,{0,0.5,0.7,0.9,1.1,1.3,1.5,1.7,1.9,2.1,2.3,2.5,2.7,2.9,3.1,3.3,3.5,3.8,4.1,4.2,4.3},{0,10,20,30,40,50,60,62,64,66,68,70,72,74,76,78,80,85,90,95,100})</f>
        <v>80</v>
      </c>
      <c r="P332" s="4">
        <v>3.4</v>
      </c>
      <c r="Q332" s="4">
        <f t="shared" si="41"/>
        <v>6.6</v>
      </c>
      <c r="R332" s="32">
        <f>LOOKUP(Q332,{0,4.72,4.82,4.92,5.42,5.52,5.62,5.67,5.72,5.77,5.82,5.87,5.92,5.97,6.42,6.47,6.52,6.59,6.66,6.72,6.78},{0,10,20,30,40,50,60,62,64,66,68,70,72,74,76,78,80,85,90,95,100})</f>
        <v>85</v>
      </c>
      <c r="S332" s="4"/>
      <c r="T332" s="4"/>
      <c r="U332" s="4">
        <f t="shared" si="42"/>
        <v>85</v>
      </c>
      <c r="V332" s="4"/>
      <c r="W332" s="5">
        <f t="shared" si="43"/>
        <v>58.6</v>
      </c>
      <c r="X332" s="20">
        <f t="shared" si="39"/>
        <v>83.7142857142857</v>
      </c>
    </row>
    <row r="333" customFormat="1" ht="15.6" hidden="1" spans="1:24">
      <c r="A333" s="4">
        <v>205</v>
      </c>
      <c r="B333" s="24" t="s">
        <v>230</v>
      </c>
      <c r="C333" s="25" t="s">
        <v>11</v>
      </c>
      <c r="D333" s="4">
        <v>7.5</v>
      </c>
      <c r="E333" s="32">
        <f>LOOKUP(D333,{0,-2.9,-1.9,-0.9,0.1,1.1,2.1,3.5,4.9,6.3,7.7,9.1,10.5,11.9,13.3,14.7,16.1,18.3,20.5,22.4,24.3},{0,10,20,30,40,50,60,62,64,66,68,70,72,74,76,78,80,85,90,95,100})</f>
        <v>66</v>
      </c>
      <c r="F333" s="4">
        <v>237</v>
      </c>
      <c r="G333" s="32">
        <f>LOOKUP(F333,{0,175,180,185,190,195,200,204,208,212,216,220,224,228,232,236,240,248,255,260,265},{0,10,20,30,40,50,60,62,64,66,68,70,72,74,76,78,80,85,90,95,100})</f>
        <v>78</v>
      </c>
      <c r="H333" s="4">
        <v>12</v>
      </c>
      <c r="I333" s="32">
        <f>LOOKUP(H333,{0,3,4,5,6,7,8,9,10,11,12,13,14,15,16,17},{0,10,20,30,40,50,60,64,68,72,76,80,85,90,95,100})</f>
        <v>76</v>
      </c>
      <c r="J333" s="4"/>
      <c r="K333" s="4"/>
      <c r="L333" s="4">
        <f t="shared" si="40"/>
        <v>76</v>
      </c>
      <c r="M333" s="4">
        <v>6.9</v>
      </c>
      <c r="N333" s="4">
        <f t="shared" si="38"/>
        <v>5.1</v>
      </c>
      <c r="O333" s="32">
        <f>LOOKUP(N333,{0,1.6,1.8,2,2.2,2.4,2.6,2.8,3,3.2,3.4,3.6,3.8,4,4.2,4.4,4.6,4.7,4.8,4.9,5},{0,10,20,30,40,50,60,62,64,66,68,70,72,74,76,78,80,85,90,95,100})</f>
        <v>100</v>
      </c>
      <c r="P333" s="4">
        <v>3.54</v>
      </c>
      <c r="Q333" s="4">
        <f t="shared" si="41"/>
        <v>6.46</v>
      </c>
      <c r="R333" s="32">
        <f>LOOKUP(Q333,{0,3.8,4,4.6,4.8,5,5.6,5.65,5.7,5.75,5.8,5.85,5.9,5.95,6,6.45,6.5,6.58,6.65,6.7,6.75},{0,10,20,30,40,50,60,62,64,66,68,70,72,74,76,78,80,85,90,95,100})</f>
        <v>78</v>
      </c>
      <c r="S333" s="4"/>
      <c r="T333" s="4"/>
      <c r="U333" s="4">
        <f t="shared" si="42"/>
        <v>78</v>
      </c>
      <c r="V333" s="4"/>
      <c r="W333" s="5">
        <f t="shared" si="43"/>
        <v>57.6</v>
      </c>
      <c r="X333" s="20">
        <f t="shared" si="39"/>
        <v>82.2857142857143</v>
      </c>
    </row>
    <row r="334" customFormat="1" ht="15.6" hidden="1" spans="1:24">
      <c r="A334" s="4">
        <v>209</v>
      </c>
      <c r="B334" s="24" t="s">
        <v>451</v>
      </c>
      <c r="C334" s="25" t="s">
        <v>11</v>
      </c>
      <c r="D334" s="4">
        <v>1.2</v>
      </c>
      <c r="E334" s="32">
        <f>LOOKUP(D334,{0,-2.9,-1.9,-0.9,0.1,1.1,2.1,3.5,4.9,6.3,7.7,9.1,10.5,11.9,13.3,14.7,16.1,18.3,20.5,22.4,24.3},{0,10,20,30,40,50,60,62,64,66,68,70,72,74,76,78,80,85,90,95,100})</f>
        <v>50</v>
      </c>
      <c r="F334" s="4">
        <v>280</v>
      </c>
      <c r="G334" s="32">
        <f>LOOKUP(F334,{0,175,180,185,190,195,200,204,208,212,216,220,224,228,232,236,240,248,255,260,265},{0,10,20,30,40,50,60,62,64,66,68,70,72,74,76,78,80,85,90,95,100})</f>
        <v>100</v>
      </c>
      <c r="H334" s="4">
        <v>11</v>
      </c>
      <c r="I334" s="32">
        <f>LOOKUP(H334,{0,3,4,5,6,7,8,9,10,11,12,13,14,15,16,17},{0,10,20,30,40,50,60,64,68,72,76,80,85,90,95,100})</f>
        <v>72</v>
      </c>
      <c r="J334" s="4"/>
      <c r="K334" s="4"/>
      <c r="L334" s="4">
        <f t="shared" si="40"/>
        <v>72</v>
      </c>
      <c r="M334" s="4">
        <v>7.1</v>
      </c>
      <c r="N334" s="4">
        <f t="shared" si="38"/>
        <v>4.9</v>
      </c>
      <c r="O334" s="32">
        <f>LOOKUP(N334,{0,1.6,1.8,2,2.2,2.4,2.6,2.8,3,3.2,3.4,3.6,3.8,4,4.2,4.4,4.6,4.7,4.8,4.9,5},{0,10,20,30,40,50,60,62,64,66,68,70,72,74,76,78,80,85,90,95,100})</f>
        <v>95</v>
      </c>
      <c r="P334" s="4">
        <v>3.54</v>
      </c>
      <c r="Q334" s="4">
        <f t="shared" si="41"/>
        <v>6.46</v>
      </c>
      <c r="R334" s="32">
        <f>LOOKUP(Q334,{0,3.8,4,4.6,4.8,5,5.6,5.65,5.7,5.75,5.8,5.85,5.9,5.95,6,6.45,6.5,6.58,6.65,6.7,6.75},{0,10,20,30,40,50,60,62,64,66,68,70,72,74,76,78,80,85,90,95,100})</f>
        <v>78</v>
      </c>
      <c r="S334" s="4"/>
      <c r="T334" s="4"/>
      <c r="U334" s="4">
        <f t="shared" si="42"/>
        <v>78</v>
      </c>
      <c r="V334" s="4"/>
      <c r="W334" s="5">
        <f t="shared" si="43"/>
        <v>56.8</v>
      </c>
      <c r="X334" s="20">
        <f t="shared" si="39"/>
        <v>81.1428571428572</v>
      </c>
    </row>
    <row r="335" customFormat="1" ht="15.6" hidden="1" spans="1:24">
      <c r="A335" s="4">
        <v>208</v>
      </c>
      <c r="B335" s="24" t="s">
        <v>384</v>
      </c>
      <c r="C335" s="25" t="s">
        <v>11</v>
      </c>
      <c r="D335" s="4">
        <v>15</v>
      </c>
      <c r="E335" s="32">
        <f>LOOKUP(D335,{0,-2.9,-1.9,-0.9,0.1,1.1,2.1,3.5,4.9,6.3,7.7,9.1,10.5,11.9,13.3,14.7,16.1,18.3,20.5,22.4,24.3},{0,10,20,30,40,50,60,62,64,66,68,70,72,74,76,78,80,85,90,95,100})</f>
        <v>78</v>
      </c>
      <c r="F335" s="4">
        <v>240</v>
      </c>
      <c r="G335" s="32">
        <f>LOOKUP(F335,{0,175,180,185,190,195,200,204,208,212,216,220,224,228,232,236,240,248,255,260,265},{0,10,20,30,40,50,60,62,64,66,68,70,72,74,76,78,80,85,90,95,100})</f>
        <v>80</v>
      </c>
      <c r="H335" s="4">
        <v>0</v>
      </c>
      <c r="I335" s="32">
        <f>LOOKUP(H335,{0,3,4,5,6,7,8,9,10,11,12,13,14,15,16,17},{0,10,20,30,40,50,60,64,68,72,76,80,85,90,95,100})</f>
        <v>0</v>
      </c>
      <c r="J335" s="4"/>
      <c r="K335" s="4"/>
      <c r="L335" s="4">
        <f t="shared" si="40"/>
        <v>0</v>
      </c>
      <c r="M335" s="4">
        <v>7.2</v>
      </c>
      <c r="N335" s="4">
        <f t="shared" si="38"/>
        <v>4.8</v>
      </c>
      <c r="O335" s="32">
        <f>LOOKUP(N335,{0,1.6,1.8,2,2.2,2.4,2.6,2.8,3,3.2,3.4,3.6,3.8,4,4.2,4.4,4.6,4.7,4.8,4.9,5},{0,10,20,30,40,50,60,62,64,66,68,70,72,74,76,78,80,85,90,95,100})</f>
        <v>90</v>
      </c>
      <c r="P335" s="4">
        <v>3.54</v>
      </c>
      <c r="Q335" s="4">
        <f t="shared" si="41"/>
        <v>6.46</v>
      </c>
      <c r="R335" s="32">
        <f>LOOKUP(Q335,{0,3.8,4,4.6,4.8,5,5.6,5.65,5.7,5.75,5.8,5.85,5.9,5.95,6,6.45,6.5,6.58,6.65,6.7,6.75},{0,10,20,30,40,50,60,62,64,66,68,70,72,74,76,78,80,85,90,95,100})</f>
        <v>78</v>
      </c>
      <c r="S335" s="4"/>
      <c r="T335" s="4"/>
      <c r="U335" s="4">
        <f t="shared" si="42"/>
        <v>78</v>
      </c>
      <c r="V335" s="4"/>
      <c r="W335" s="5">
        <f t="shared" si="43"/>
        <v>49.4</v>
      </c>
      <c r="X335" s="20">
        <f t="shared" si="39"/>
        <v>70.5714285714286</v>
      </c>
    </row>
    <row r="336" customFormat="1" ht="15.6" hidden="1" spans="1:24">
      <c r="A336" s="4">
        <v>207</v>
      </c>
      <c r="B336" s="24" t="s">
        <v>332</v>
      </c>
      <c r="C336" s="25" t="s">
        <v>11</v>
      </c>
      <c r="D336" s="4">
        <v>12.5</v>
      </c>
      <c r="E336" s="32">
        <f>LOOKUP(D336,{0,-2.9,-1.9,-0.9,0.1,1.1,2.1,3.5,4.9,6.3,7.7,9.1,10.5,11.9,13.3,14.7,16.1,18.3,20.5,22.4,24.3},{0,10,20,30,40,50,60,62,64,66,68,70,72,74,76,78,80,85,90,95,100})</f>
        <v>74</v>
      </c>
      <c r="F336" s="4">
        <v>240</v>
      </c>
      <c r="G336" s="32">
        <f>LOOKUP(F336,{0,175,180,185,190,195,200,204,208,212,216,220,224,228,232,236,240,248,255,260,265},{0,10,20,30,40,50,60,62,64,66,68,70,72,74,76,78,80,85,90,95,100})</f>
        <v>80</v>
      </c>
      <c r="H336" s="4">
        <v>0</v>
      </c>
      <c r="I336" s="32">
        <f>LOOKUP(H336,{0,3,4,5,6,7,8,9,10,11,12,13,14,15,16,17},{0,10,20,30,40,50,60,64,68,72,76,80,85,90,95,100})</f>
        <v>0</v>
      </c>
      <c r="J336" s="4"/>
      <c r="K336" s="4"/>
      <c r="L336" s="4">
        <f t="shared" si="40"/>
        <v>0</v>
      </c>
      <c r="M336" s="4">
        <v>7.2</v>
      </c>
      <c r="N336" s="4">
        <f t="shared" si="38"/>
        <v>4.8</v>
      </c>
      <c r="O336" s="32">
        <f>LOOKUP(N336,{0,1.6,1.8,2,2.2,2.4,2.6,2.8,3,3.2,3.4,3.6,3.8,4,4.2,4.4,4.6,4.7,4.8,4.9,5},{0,10,20,30,40,50,60,62,64,66,68,70,72,74,76,78,80,85,90,95,100})</f>
        <v>90</v>
      </c>
      <c r="P336" s="4">
        <v>3.54</v>
      </c>
      <c r="Q336" s="4">
        <f t="shared" si="41"/>
        <v>6.46</v>
      </c>
      <c r="R336" s="32">
        <f>LOOKUP(Q336,{0,3.8,4,4.6,4.8,5,5.6,5.65,5.7,5.75,5.8,5.85,5.9,5.95,6,6.45,6.5,6.58,6.65,6.7,6.75},{0,10,20,30,40,50,60,62,64,66,68,70,72,74,76,78,80,85,90,95,100})</f>
        <v>78</v>
      </c>
      <c r="S336" s="4"/>
      <c r="T336" s="4"/>
      <c r="U336" s="4">
        <f t="shared" si="42"/>
        <v>78</v>
      </c>
      <c r="V336" s="4"/>
      <c r="W336" s="5">
        <f t="shared" si="43"/>
        <v>49</v>
      </c>
      <c r="X336" s="20">
        <f t="shared" si="39"/>
        <v>70</v>
      </c>
    </row>
    <row r="337" customFormat="1" ht="15.6" hidden="1" spans="1:24">
      <c r="A337" s="4">
        <v>208</v>
      </c>
      <c r="B337" s="33" t="s">
        <v>406</v>
      </c>
      <c r="C337" s="25" t="s">
        <v>11</v>
      </c>
      <c r="D337" s="4">
        <v>15.5</v>
      </c>
      <c r="E337" s="32">
        <f>LOOKUP(D337,{0,-2.9,-1.9,-0.9,0.1,1.1,2.1,3.5,4.9,6.3,7.7,9.1,10.5,11.9,13.3,14.7,16.1,18.3,20.5,22.4,24.3},{0,10,20,30,40,50,60,62,64,66,68,70,72,74,76,78,80,85,90,95,100})</f>
        <v>78</v>
      </c>
      <c r="F337" s="4">
        <v>223</v>
      </c>
      <c r="G337" s="32">
        <f>LOOKUP(F337,{0,175,180,185,190,195,200,204,208,212,216,220,224,228,232,236,240,248,255,260,265},{0,10,20,30,40,50,60,62,64,66,68,70,72,74,76,78,80,85,90,95,100})</f>
        <v>70</v>
      </c>
      <c r="H337" s="4">
        <v>0</v>
      </c>
      <c r="I337" s="32">
        <f>LOOKUP(H337,{0,3,4,5,6,7,8,9,10,11,12,13,14,15,16,17},{0,10,20,30,40,50,60,64,68,72,76,80,85,90,95,100})</f>
        <v>0</v>
      </c>
      <c r="J337" s="4"/>
      <c r="K337" s="35"/>
      <c r="L337" s="4">
        <f t="shared" si="40"/>
        <v>0</v>
      </c>
      <c r="M337" s="4">
        <v>7.4</v>
      </c>
      <c r="N337" s="4">
        <f t="shared" si="38"/>
        <v>4.6</v>
      </c>
      <c r="O337" s="32">
        <f>LOOKUP(N337,{0,1.6,1.8,2,2.2,2.4,2.6,2.8,3,3.2,3.4,3.6,3.8,4,4.2,4.4,4.6,4.7,4.8,4.9,5},{0,10,20,30,40,50,60,62,64,66,68,70,72,74,76,78,80,85,90,95,100})</f>
        <v>80</v>
      </c>
      <c r="P337" s="4">
        <v>3.54</v>
      </c>
      <c r="Q337" s="4">
        <f t="shared" si="41"/>
        <v>6.46</v>
      </c>
      <c r="R337" s="32">
        <f>LOOKUP(Q337,{0,3.8,4,4.6,4.8,5,5.6,5.65,5.7,5.75,5.8,5.85,5.9,5.95,6,6.45,6.5,6.58,6.65,6.7,6.75},{0,10,20,30,40,50,60,62,64,66,68,70,72,74,76,78,80,85,90,95,100})</f>
        <v>78</v>
      </c>
      <c r="S337" s="4"/>
      <c r="T337" s="4"/>
      <c r="U337" s="4">
        <f t="shared" si="42"/>
        <v>78</v>
      </c>
      <c r="V337" s="4"/>
      <c r="W337" s="5">
        <f t="shared" si="43"/>
        <v>46.4</v>
      </c>
      <c r="X337" s="20">
        <f t="shared" si="39"/>
        <v>66.2857142857143</v>
      </c>
    </row>
    <row r="338" s="1" customFormat="1" ht="15.6" hidden="1" spans="1:24">
      <c r="A338" s="4">
        <v>214</v>
      </c>
      <c r="B338" s="24" t="s">
        <v>733</v>
      </c>
      <c r="C338" s="25" t="s">
        <v>11</v>
      </c>
      <c r="D338" s="4">
        <v>12.7</v>
      </c>
      <c r="E338" s="32">
        <f>LOOKUP(D338,{0,-2.9,-1.9,-0.9,0.1,1.1,2.1,3.5,4.9,6.3,7.7,9.1,10.5,11.9,13.3,14.7,16.1,18.3,20.5,22.4,24.3},{0,10,20,30,40,50,60,62,64,66,68,70,72,74,76,78,80,85,90,95,100})</f>
        <v>74</v>
      </c>
      <c r="F338" s="4">
        <v>202</v>
      </c>
      <c r="G338" s="32">
        <f>LOOKUP(F338,{0,175,180,185,190,195,200,204,208,212,216,220,224,228,232,236,240,248,255,260,265},{0,10,20,30,40,50,60,62,64,66,68,70,72,74,76,78,80,85,90,95,100})</f>
        <v>60</v>
      </c>
      <c r="H338" s="4">
        <v>16</v>
      </c>
      <c r="I338" s="32">
        <f>LOOKUP(H338,{0,3,4,5,6,7,8,9,10,11,12,13,14,15,16,17},{0,10,20,30,40,50,60,64,68,72,76,80,85,90,95,100})</f>
        <v>95</v>
      </c>
      <c r="J338" s="4"/>
      <c r="K338" s="35"/>
      <c r="L338" s="4">
        <f t="shared" si="40"/>
        <v>95</v>
      </c>
      <c r="M338" s="4">
        <v>7.5</v>
      </c>
      <c r="N338" s="4">
        <f t="shared" si="38"/>
        <v>4.5</v>
      </c>
      <c r="O338" s="32">
        <f>LOOKUP(N338,{0,1.6,1.8,2,2.2,2.4,2.6,2.8,3,3.2,3.4,3.6,3.8,4,4.2,4.4,4.6,4.7,4.8,4.9,5},{0,10,20,30,40,50,60,62,64,66,68,70,72,74,76,78,80,85,90,95,100})</f>
        <v>78</v>
      </c>
      <c r="P338" s="4">
        <v>3.54</v>
      </c>
      <c r="Q338" s="4">
        <f t="shared" si="41"/>
        <v>6.46</v>
      </c>
      <c r="R338" s="32">
        <f>LOOKUP(Q338,{0,3.8,4,4.6,4.8,5,5.6,5.65,5.7,5.75,5.8,5.85,5.9,5.95,6,6.45,6.5,6.58,6.65,6.7,6.75},{0,10,20,30,40,50,60,62,64,66,68,70,72,74,76,78,80,85,90,95,100})</f>
        <v>78</v>
      </c>
      <c r="S338" s="4"/>
      <c r="T338" s="4"/>
      <c r="U338" s="4">
        <f t="shared" si="42"/>
        <v>78</v>
      </c>
      <c r="V338" s="4"/>
      <c r="W338" s="5">
        <f t="shared" si="43"/>
        <v>54.1</v>
      </c>
      <c r="X338" s="20">
        <f t="shared" si="39"/>
        <v>77.2857142857143</v>
      </c>
    </row>
    <row r="339" ht="15.6" hidden="1" spans="1:24">
      <c r="A339" s="4">
        <v>205</v>
      </c>
      <c r="B339" s="24" t="s">
        <v>250</v>
      </c>
      <c r="C339" s="25" t="s">
        <v>11</v>
      </c>
      <c r="D339" s="4">
        <v>-11.6</v>
      </c>
      <c r="E339" s="32">
        <v>0</v>
      </c>
      <c r="F339" s="4">
        <v>217</v>
      </c>
      <c r="G339" s="32">
        <f>LOOKUP(F339,{0,175,180,185,190,195,200,204,208,212,216,220,224,228,232,236,240,248,255,260,265},{0,10,20,30,40,50,60,62,64,66,68,70,72,74,76,78,80,85,90,95,100})</f>
        <v>68</v>
      </c>
      <c r="H339" s="4">
        <v>3</v>
      </c>
      <c r="I339" s="32">
        <f>LOOKUP(H339,{0,3,4,5,6,7,8,9,10,11,12,13,14,15,16,17},{0,10,20,30,40,50,60,64,68,72,76,80,85,90,95,100})</f>
        <v>10</v>
      </c>
      <c r="L339" s="4">
        <f t="shared" si="40"/>
        <v>10</v>
      </c>
      <c r="M339" s="4">
        <v>7.5</v>
      </c>
      <c r="N339" s="4">
        <f t="shared" si="38"/>
        <v>4.5</v>
      </c>
      <c r="O339" s="32">
        <f>LOOKUP(N339,{0,1.6,1.8,2,2.2,2.4,2.6,2.8,3,3.2,3.4,3.6,3.8,4,4.2,4.4,4.6,4.7,4.8,4.9,5},{0,10,20,30,40,50,60,62,64,66,68,70,72,74,76,78,80,85,90,95,100})</f>
        <v>78</v>
      </c>
      <c r="P339" s="4">
        <v>3.54</v>
      </c>
      <c r="Q339" s="4">
        <f t="shared" si="41"/>
        <v>6.46</v>
      </c>
      <c r="R339" s="32">
        <f>LOOKUP(Q339,{0,3.8,4,4.6,4.8,5,5.6,5.65,5.7,5.75,5.8,5.85,5.9,5.95,6,6.45,6.5,6.58,6.65,6.7,6.75},{0,10,20,30,40,50,60,62,64,66,68,70,72,74,76,78,80,85,90,95,100})</f>
        <v>78</v>
      </c>
      <c r="U339" s="4">
        <f t="shared" si="42"/>
        <v>78</v>
      </c>
      <c r="W339" s="5">
        <f t="shared" si="43"/>
        <v>39</v>
      </c>
      <c r="X339" s="20">
        <f t="shared" si="39"/>
        <v>55.7142857142857</v>
      </c>
    </row>
    <row r="340" ht="15.6" spans="1:24">
      <c r="A340" s="4">
        <v>211</v>
      </c>
      <c r="B340" s="24" t="s">
        <v>564</v>
      </c>
      <c r="C340" s="25" t="s">
        <v>11</v>
      </c>
      <c r="D340" s="4">
        <v>4</v>
      </c>
      <c r="E340" s="32">
        <f>LOOKUP(D340,{0,-2.9,-1.9,-0.9,0.1,1.1,2.1,3.5,4.9,6.3,7.7,9.1,10.5,11.9,13.3,14.7,16.1,18.3,20.5,22.4,24.3},{0,10,20,30,40,50,60,62,64,66,68,70,72,74,76,78,80,85,90,95,100})</f>
        <v>62</v>
      </c>
      <c r="F340" s="4">
        <v>220</v>
      </c>
      <c r="G340" s="32">
        <f>LOOKUP(F340,{0,175,180,185,190,195,200,204,208,212,216,220,224,228,232,236,240,248,255,260,265},{0,10,20,30,40,50,60,62,64,66,68,70,72,74,76,78,80,85,90,95,100})</f>
        <v>70</v>
      </c>
      <c r="H340" s="4">
        <v>10</v>
      </c>
      <c r="I340" s="32">
        <f>LOOKUP(H340,{0,3,4,5,6,7,8,9,10,11,12,13,14,15,16,17},{0,10,20,30,40,50,60,64,68,72,76,80,85,90,95,100})</f>
        <v>68</v>
      </c>
      <c r="L340" s="4">
        <f t="shared" si="40"/>
        <v>68</v>
      </c>
      <c r="M340" s="4">
        <v>7.7</v>
      </c>
      <c r="N340" s="4">
        <f t="shared" si="38"/>
        <v>4.3</v>
      </c>
      <c r="O340" s="32">
        <f>LOOKUP(N340,{0,1.6,1.8,2,2.2,2.4,2.6,2.8,3,3.2,3.4,3.6,3.8,4,4.2,4.4,4.6,4.7,4.8,4.9,5},{0,10,20,30,40,50,60,62,64,66,68,70,72,74,76,78,80,85,90,95,100})</f>
        <v>76</v>
      </c>
      <c r="P340" s="4">
        <v>3.54</v>
      </c>
      <c r="Q340" s="4">
        <f t="shared" si="41"/>
        <v>6.46</v>
      </c>
      <c r="R340" s="32">
        <f>LOOKUP(Q340,{0,3.8,4,4.6,4.8,5,5.6,5.65,5.7,5.75,5.8,5.85,5.9,5.95,6,6.45,6.5,6.58,6.65,6.7,6.75},{0,10,20,30,40,50,60,62,64,66,68,70,72,74,76,78,80,85,90,95,100})</f>
        <v>78</v>
      </c>
      <c r="U340" s="4">
        <f t="shared" si="42"/>
        <v>78</v>
      </c>
      <c r="W340" s="5">
        <f t="shared" si="43"/>
        <v>50.8</v>
      </c>
      <c r="X340" s="20">
        <f t="shared" si="39"/>
        <v>72.5714285714286</v>
      </c>
    </row>
    <row r="341" ht="15.6" hidden="1" spans="1:24">
      <c r="A341" s="4">
        <v>208</v>
      </c>
      <c r="B341" s="24" t="s">
        <v>388</v>
      </c>
      <c r="C341" s="25" t="s">
        <v>11</v>
      </c>
      <c r="D341" s="4">
        <v>11</v>
      </c>
      <c r="E341" s="32">
        <f>LOOKUP(D341,{0,-2.9,-1.9,-0.9,0.1,1.1,2.1,3.5,4.9,6.3,7.7,9.1,10.5,11.9,13.3,14.7,16.1,18.3,20.5,22.4,24.3},{0,10,20,30,40,50,60,62,64,66,68,70,72,74,76,78,80,85,90,95,100})</f>
        <v>72</v>
      </c>
      <c r="F341" s="4">
        <v>213</v>
      </c>
      <c r="G341" s="32">
        <f>LOOKUP(F341,{0,175,180,185,190,195,200,204,208,212,216,220,224,228,232,236,240,248,255,260,265},{0,10,20,30,40,50,60,62,64,66,68,70,72,74,76,78,80,85,90,95,100})</f>
        <v>66</v>
      </c>
      <c r="H341" s="4">
        <v>9</v>
      </c>
      <c r="I341" s="32">
        <f>LOOKUP(H341,{0,3,4,5,6,7,8,9,10,11,12,13,14,15,16,17},{0,10,20,30,40,50,60,64,68,72,76,80,85,90,95,100})</f>
        <v>64</v>
      </c>
      <c r="K341" s="35"/>
      <c r="L341" s="4">
        <f t="shared" si="40"/>
        <v>64</v>
      </c>
      <c r="M341" s="4">
        <v>7.8</v>
      </c>
      <c r="N341" s="4">
        <f t="shared" si="38"/>
        <v>4.2</v>
      </c>
      <c r="O341" s="32">
        <f>LOOKUP(N341,{0,1.6,1.8,2,2.2,2.4,2.6,2.8,3,3.2,3.4,3.6,3.8,4,4.2,4.4,4.6,4.7,4.8,4.9,5},{0,10,20,30,40,50,60,62,64,66,68,70,72,74,76,78,80,85,90,95,100})</f>
        <v>76</v>
      </c>
      <c r="P341" s="4">
        <v>3.54</v>
      </c>
      <c r="Q341" s="4">
        <f t="shared" si="41"/>
        <v>6.46</v>
      </c>
      <c r="R341" s="32">
        <f>LOOKUP(Q341,{0,3.8,4,4.6,4.8,5,5.6,5.65,5.7,5.75,5.8,5.85,5.9,5.95,6,6.45,6.5,6.58,6.65,6.7,6.75},{0,10,20,30,40,50,60,62,64,66,68,70,72,74,76,78,80,85,90,95,100})</f>
        <v>78</v>
      </c>
      <c r="U341" s="4">
        <f t="shared" si="42"/>
        <v>78</v>
      </c>
      <c r="W341" s="5">
        <f t="shared" si="43"/>
        <v>51</v>
      </c>
      <c r="X341" s="20">
        <f t="shared" si="39"/>
        <v>72.8571428571429</v>
      </c>
    </row>
    <row r="342" ht="15.6" hidden="1" spans="1:24">
      <c r="A342" s="4">
        <v>208</v>
      </c>
      <c r="B342" s="24" t="s">
        <v>414</v>
      </c>
      <c r="C342" s="25" t="s">
        <v>11</v>
      </c>
      <c r="D342" s="4">
        <v>9</v>
      </c>
      <c r="E342" s="32">
        <f>LOOKUP(D342,{0,-2.9,-1.9,-0.9,0.1,1.1,2.1,3.5,4.9,6.3,7.7,9.1,10.5,11.9,13.3,14.7,16.1,18.3,20.5,22.4,24.3},{0,10,20,30,40,50,60,62,64,66,68,70,72,74,76,78,80,85,90,95,100})</f>
        <v>68</v>
      </c>
      <c r="F342" s="4">
        <v>246</v>
      </c>
      <c r="G342" s="32">
        <f>LOOKUP(F342,{0,175,180,185,190,195,200,204,208,212,216,220,224,228,232,236,240,248,255,260,265},{0,10,20,30,40,50,60,62,64,66,68,70,72,74,76,78,80,85,90,95,100})</f>
        <v>80</v>
      </c>
      <c r="H342" s="4">
        <v>15</v>
      </c>
      <c r="I342" s="32">
        <f>LOOKUP(H342,{0,3,4,5,6,7,8,9,10,11,12,13,14,15,16,17},{0,10,20,30,40,50,60,64,68,72,76,80,85,90,95,100})</f>
        <v>90</v>
      </c>
      <c r="L342" s="4">
        <f t="shared" si="40"/>
        <v>90</v>
      </c>
      <c r="M342" s="4">
        <v>8</v>
      </c>
      <c r="N342" s="4">
        <f t="shared" si="38"/>
        <v>4</v>
      </c>
      <c r="O342" s="32">
        <f>LOOKUP(N342,{0,1.6,1.8,2,2.2,2.4,2.6,2.8,3,3.2,3.4,3.6,3.8,4,4.2,4.4,4.6,4.7,4.8,4.9,5},{0,10,20,30,40,50,60,62,64,66,68,70,72,74,76,78,80,85,90,95,100})</f>
        <v>74</v>
      </c>
      <c r="P342" s="4">
        <v>3.54</v>
      </c>
      <c r="Q342" s="4">
        <f t="shared" si="41"/>
        <v>6.46</v>
      </c>
      <c r="R342" s="32">
        <f>LOOKUP(Q342,{0,3.8,4,4.6,4.8,5,5.6,5.65,5.7,5.75,5.8,5.85,5.9,5.95,6,6.45,6.5,6.58,6.65,6.7,6.75},{0,10,20,30,40,50,60,62,64,66,68,70,72,74,76,78,80,85,90,95,100})</f>
        <v>78</v>
      </c>
      <c r="U342" s="4">
        <f t="shared" si="42"/>
        <v>78</v>
      </c>
      <c r="W342" s="5">
        <f t="shared" si="43"/>
        <v>54.2</v>
      </c>
      <c r="X342" s="20">
        <f t="shared" si="39"/>
        <v>77.4285714285714</v>
      </c>
    </row>
    <row r="343" ht="15.6" hidden="1" spans="1:24">
      <c r="A343" s="4">
        <v>203</v>
      </c>
      <c r="B343" s="24" t="s">
        <v>118</v>
      </c>
      <c r="C343" s="25" t="s">
        <v>11</v>
      </c>
      <c r="D343" s="4">
        <v>17</v>
      </c>
      <c r="E343" s="32">
        <f>LOOKUP(D343,{0,-2.9,-1.9,-0.9,0.1,1.1,2.1,3.5,4.9,6.3,7.7,9.1,10.5,11.9,13.3,14.7,16.1,18.3,20.5,22.4,24.3},{0,10,20,30,40,50,60,62,64,66,68,70,72,74,76,78,80,85,90,95,100})</f>
        <v>80</v>
      </c>
      <c r="F343" s="4">
        <v>275</v>
      </c>
      <c r="G343" s="32">
        <f>LOOKUP(F343,{0,175,180,185,190,195,200,204,208,212,216,220,224,228,232,236,240,248,255,260,265},{0,10,20,30,40,50,60,62,64,66,68,70,72,74,76,78,80,85,90,95,100})</f>
        <v>100</v>
      </c>
      <c r="H343" s="4">
        <v>12</v>
      </c>
      <c r="I343" s="32">
        <f>LOOKUP(H343,{0,3,4,5,6,7,8,9,10,11,12,13,14,15,16,17},{0,10,20,30,40,50,60,64,68,72,76,80,85,90,95,100})</f>
        <v>76</v>
      </c>
      <c r="K343" s="35"/>
      <c r="L343" s="4">
        <f t="shared" si="40"/>
        <v>76</v>
      </c>
      <c r="M343" s="4">
        <v>7.5</v>
      </c>
      <c r="N343" s="4">
        <f t="shared" si="38"/>
        <v>4.5</v>
      </c>
      <c r="O343" s="32">
        <f>LOOKUP(N343,{0,1.6,1.8,2,2.2,2.4,2.6,2.8,3,3.2,3.4,3.6,3.8,4,4.2,4.4,4.6,4.7,4.8,4.9,5},{0,10,20,30,40,50,60,62,64,66,68,70,72,74,76,78,80,85,90,95,100})</f>
        <v>78</v>
      </c>
      <c r="P343" s="4">
        <v>3.55</v>
      </c>
      <c r="Q343" s="4">
        <f t="shared" si="41"/>
        <v>6.45</v>
      </c>
      <c r="R343" s="32">
        <f>LOOKUP(Q343,{0,3.8,4,4.6,4.8,5,5.6,5.65,5.7,5.75,5.8,5.85,5.9,5.95,6,6.45,6.5,6.58,6.65,6.7,6.75},{0,10,20,30,40,50,60,62,64,66,68,70,72,74,76,78,80,85,90,95,100})</f>
        <v>78</v>
      </c>
      <c r="U343" s="4">
        <f t="shared" si="42"/>
        <v>78</v>
      </c>
      <c r="W343" s="5">
        <f t="shared" si="43"/>
        <v>56.8</v>
      </c>
      <c r="X343" s="20">
        <f t="shared" si="39"/>
        <v>81.1428571428572</v>
      </c>
    </row>
    <row r="344" ht="15.6" hidden="1" spans="1:24">
      <c r="A344" s="4">
        <v>207</v>
      </c>
      <c r="B344" s="24" t="s">
        <v>335</v>
      </c>
      <c r="C344" s="25" t="s">
        <v>11</v>
      </c>
      <c r="D344" s="4">
        <v>14</v>
      </c>
      <c r="E344" s="32">
        <f>LOOKUP(D344,{0,-2.9,-1.9,-0.9,0.1,1.1,2.1,3.5,4.9,6.3,7.7,9.1,10.5,11.9,13.3,14.7,16.1,18.3,20.5,22.4,24.3},{0,10,20,30,40,50,60,62,64,66,68,70,72,74,76,78,80,85,90,95,100})</f>
        <v>76</v>
      </c>
      <c r="F344" s="4">
        <v>215</v>
      </c>
      <c r="G344" s="32">
        <f>LOOKUP(F344,{0,175,180,185,190,195,200,204,208,212,216,220,224,228,232,236,240,248,255,260,265},{0,10,20,30,40,50,60,62,64,66,68,70,72,74,76,78,80,85,90,95,100})</f>
        <v>66</v>
      </c>
      <c r="H344" s="4">
        <v>0</v>
      </c>
      <c r="I344" s="32">
        <f>LOOKUP(H344,{0,3,4,5,6,7,8,9,10,11,12,13,14,15,16,17},{0,10,20,30,40,50,60,64,68,72,76,80,85,90,95,100})</f>
        <v>0</v>
      </c>
      <c r="L344" s="4">
        <f t="shared" si="40"/>
        <v>0</v>
      </c>
      <c r="M344" s="4">
        <v>7.7</v>
      </c>
      <c r="N344" s="4">
        <f t="shared" si="38"/>
        <v>4.3</v>
      </c>
      <c r="O344" s="32">
        <f>LOOKUP(N344,{0,1.6,1.8,2,2.2,2.4,2.6,2.8,3,3.2,3.4,3.6,3.8,4,4.2,4.4,4.6,4.7,4.8,4.9,5},{0,10,20,30,40,50,60,62,64,66,68,70,72,74,76,78,80,85,90,95,100})</f>
        <v>76</v>
      </c>
      <c r="P344" s="4">
        <v>3.55</v>
      </c>
      <c r="Q344" s="4">
        <f t="shared" si="41"/>
        <v>6.45</v>
      </c>
      <c r="R344" s="32">
        <f>LOOKUP(Q344,{0,3.8,4,4.6,4.8,5,5.6,5.65,5.7,5.75,5.8,5.85,5.9,5.95,6,6.45,6.5,6.58,6.65,6.7,6.75},{0,10,20,30,40,50,60,62,64,66,68,70,72,74,76,78,80,85,90,95,100})</f>
        <v>78</v>
      </c>
      <c r="U344" s="4">
        <f t="shared" si="42"/>
        <v>78</v>
      </c>
      <c r="W344" s="5">
        <f t="shared" si="43"/>
        <v>45</v>
      </c>
      <c r="X344" s="20">
        <f t="shared" si="39"/>
        <v>64.2857142857143</v>
      </c>
    </row>
    <row r="345" ht="15.6" hidden="1" spans="1:24">
      <c r="A345" s="4">
        <v>202</v>
      </c>
      <c r="B345" s="33" t="s">
        <v>65</v>
      </c>
      <c r="C345" s="25" t="s">
        <v>11</v>
      </c>
      <c r="D345" s="4">
        <v>12.5</v>
      </c>
      <c r="E345" s="32">
        <f>LOOKUP(D345,{0,-2.9,-1.9,-0.9,0.1,1.1,2.1,3.5,4.9,6.3,7.7,9.1,10.5,11.9,13.3,14.7,16.1,18.3,20.5,22.4,24.3},{0,10,20,30,40,50,60,62,64,66,68,70,72,74,76,78,80,85,90,95,100})</f>
        <v>74</v>
      </c>
      <c r="F345" s="4">
        <v>271</v>
      </c>
      <c r="G345" s="32">
        <f>LOOKUP(F345,{0,175,180,185,190,195,200,204,208,212,216,220,224,228,232,236,240,248,255,260,265},{0,10,20,30,40,50,60,62,64,66,68,70,72,74,76,78,80,85,90,95,100})</f>
        <v>100</v>
      </c>
      <c r="H345" s="4">
        <v>1</v>
      </c>
      <c r="I345" s="32">
        <f>LOOKUP(H345,{0,3,4,5,6,7,8,9,10,11,12,13,14,15,16,17},{0,10,20,30,40,50,60,64,68,72,76,80,85,90,95,100})</f>
        <v>0</v>
      </c>
      <c r="L345" s="4">
        <f t="shared" si="40"/>
        <v>0</v>
      </c>
      <c r="M345" s="4">
        <v>7</v>
      </c>
      <c r="N345" s="4">
        <f t="shared" si="38"/>
        <v>5</v>
      </c>
      <c r="O345" s="32">
        <f>LOOKUP(N345,{0,1.6,1.8,2,2.2,2.4,2.6,2.8,3,3.2,3.4,3.6,3.8,4,4.2,4.4,4.6,4.7,4.8,4.9,5},{0,10,20,30,40,50,60,62,64,66,68,70,72,74,76,78,80,85,90,95,100})</f>
        <v>100</v>
      </c>
      <c r="P345" s="4">
        <v>3.56</v>
      </c>
      <c r="Q345" s="4">
        <f t="shared" si="41"/>
        <v>6.44</v>
      </c>
      <c r="R345" s="32">
        <f>LOOKUP(Q345,{0,3.8,4,4.6,4.8,5,5.6,5.65,5.7,5.75,5.8,5.85,5.9,5.95,6,6.45,6.5,6.58,6.65,6.7,6.75},{0,10,20,30,40,50,60,62,64,66,68,70,72,74,76,78,80,85,90,95,100})</f>
        <v>76</v>
      </c>
      <c r="U345" s="4">
        <f t="shared" si="42"/>
        <v>76</v>
      </c>
      <c r="W345" s="5">
        <f t="shared" si="43"/>
        <v>52.6</v>
      </c>
      <c r="X345" s="20">
        <f t="shared" si="39"/>
        <v>75.1428571428572</v>
      </c>
    </row>
    <row r="346" ht="15.6" hidden="1" spans="1:24">
      <c r="A346" s="4">
        <v>215</v>
      </c>
      <c r="B346" s="24" t="s">
        <v>792</v>
      </c>
      <c r="C346" s="25" t="s">
        <v>11</v>
      </c>
      <c r="D346" s="4">
        <v>4.3</v>
      </c>
      <c r="E346" s="32">
        <f>LOOKUP(D346,{0,-2.9,-1.9,-0.9,0.1,1.1,2.1,3.5,4.9,6.3,7.7,9.1,10.5,11.9,13.3,14.7,16.1,18.3,20.5,22.4,24.3},{0,10,20,30,40,50,60,62,64,66,68,70,72,74,76,78,80,85,90,95,100})</f>
        <v>62</v>
      </c>
      <c r="F346" s="4">
        <v>225</v>
      </c>
      <c r="G346" s="32">
        <f>LOOKUP(F346,{0,175,180,185,190,195,200,204,208,212,216,220,224,228,232,236,240,248,255,260,265},{0,10,20,30,40,50,60,62,64,66,68,70,72,74,76,78,80,85,90,95,100})</f>
        <v>72</v>
      </c>
      <c r="H346" s="4">
        <v>5</v>
      </c>
      <c r="I346" s="32">
        <f>LOOKUP(H346,{0,3,4,5,6,7,8,9,10,11,12,13,14,15,16,17},{0,10,20,30,40,50,60,64,68,72,76,80,85,90,95,100})</f>
        <v>30</v>
      </c>
      <c r="L346" s="4">
        <f t="shared" si="40"/>
        <v>30</v>
      </c>
      <c r="M346" s="4">
        <v>7.2</v>
      </c>
      <c r="N346" s="4">
        <f t="shared" si="38"/>
        <v>4.8</v>
      </c>
      <c r="O346" s="32">
        <f>LOOKUP(N346,{0,1.6,1.8,2,2.2,2.4,2.6,2.8,3,3.2,3.4,3.6,3.8,4,4.2,4.4,4.6,4.7,4.8,4.9,5},{0,10,20,30,40,50,60,62,64,66,68,70,72,74,76,78,80,85,90,95,100})</f>
        <v>90</v>
      </c>
      <c r="P346" s="4">
        <v>3.56</v>
      </c>
      <c r="Q346" s="4">
        <f t="shared" si="41"/>
        <v>6.44</v>
      </c>
      <c r="R346" s="32">
        <f>LOOKUP(Q346,{0,3.8,4,4.6,4.8,5,5.6,5.65,5.7,5.75,5.8,5.85,5.9,5.95,6,6.45,6.5,6.58,6.65,6.7,6.75},{0,10,20,30,40,50,60,62,64,66,68,70,72,74,76,78,80,85,90,95,100})</f>
        <v>76</v>
      </c>
      <c r="U346" s="4">
        <f t="shared" si="42"/>
        <v>76</v>
      </c>
      <c r="W346" s="5">
        <f t="shared" si="43"/>
        <v>49.6</v>
      </c>
      <c r="X346" s="20">
        <f t="shared" si="39"/>
        <v>70.8571428571429</v>
      </c>
    </row>
    <row r="347" ht="15.6" hidden="1" spans="1:24">
      <c r="A347" s="4">
        <v>207</v>
      </c>
      <c r="B347" s="24" t="s">
        <v>345</v>
      </c>
      <c r="C347" s="25" t="s">
        <v>11</v>
      </c>
      <c r="D347" s="4">
        <v>10.3</v>
      </c>
      <c r="E347" s="32">
        <f>LOOKUP(D347,{0,-2.9,-1.9,-0.9,0.1,1.1,2.1,3.5,4.9,6.3,7.7,9.1,10.5,11.9,13.3,14.7,16.1,18.3,20.5,22.4,24.3},{0,10,20,30,40,50,60,62,64,66,68,70,72,74,76,78,80,85,90,95,100})</f>
        <v>70</v>
      </c>
      <c r="F347" s="4">
        <v>241</v>
      </c>
      <c r="G347" s="32">
        <f>LOOKUP(F347,{0,175,180,185,190,195,200,204,208,212,216,220,224,228,232,236,240,248,255,260,265},{0,10,20,30,40,50,60,62,64,66,68,70,72,74,76,78,80,85,90,95,100})</f>
        <v>80</v>
      </c>
      <c r="H347" s="4">
        <v>19</v>
      </c>
      <c r="I347" s="32">
        <f>LOOKUP(H347,{0,3,4,5,6,7,8,9,10,11,12,13,14,15,16,17},{0,10,20,30,40,50,60,64,68,72,76,80,85,90,95,100})</f>
        <v>100</v>
      </c>
      <c r="J347" s="4">
        <f>H347-17</f>
        <v>2</v>
      </c>
      <c r="K347" s="34">
        <f>LOOKUP(J347,{0,1,2,3,4,5,6,7,8,9,10},{0,1,2,3,4,5,6,7,8,9,10})</f>
        <v>2</v>
      </c>
      <c r="L347" s="4">
        <f t="shared" si="40"/>
        <v>102</v>
      </c>
      <c r="M347" s="4">
        <v>7.3</v>
      </c>
      <c r="N347" s="4">
        <f t="shared" si="38"/>
        <v>4.7</v>
      </c>
      <c r="O347" s="32">
        <f>LOOKUP(N347,{0,1.6,1.8,2,2.2,2.4,2.6,2.8,3,3.2,3.4,3.6,3.8,4,4.2,4.4,4.6,4.7,4.8,4.9,5},{0,10,20,30,40,50,60,62,64,66,68,70,72,74,76,78,80,85,90,95,100})</f>
        <v>85</v>
      </c>
      <c r="P347" s="4">
        <v>3.56</v>
      </c>
      <c r="Q347" s="4">
        <f t="shared" si="41"/>
        <v>6.44</v>
      </c>
      <c r="R347" s="32">
        <f>LOOKUP(Q347,{0,3.8,4,4.6,4.8,5,5.6,5.65,5.7,5.75,5.8,5.85,5.9,5.95,6,6.45,6.5,6.58,6.65,6.7,6.75},{0,10,20,30,40,50,60,62,64,66,68,70,72,74,76,78,80,85,90,95,100})</f>
        <v>76</v>
      </c>
      <c r="U347" s="4">
        <f t="shared" si="42"/>
        <v>76</v>
      </c>
      <c r="W347" s="5">
        <f t="shared" si="43"/>
        <v>57.2</v>
      </c>
      <c r="X347" s="20">
        <f t="shared" si="39"/>
        <v>83.7142857142857</v>
      </c>
    </row>
    <row r="348" ht="15.6" hidden="1" spans="1:24">
      <c r="A348" s="4">
        <v>204</v>
      </c>
      <c r="B348" s="33" t="s">
        <v>161</v>
      </c>
      <c r="C348" s="25" t="s">
        <v>11</v>
      </c>
      <c r="D348" s="4">
        <v>14.5</v>
      </c>
      <c r="E348" s="32">
        <f>LOOKUP(D348,{0,-2.9,-1.9,-0.9,0.1,1.1,2.1,3.5,4.9,6.3,7.7,9.1,10.5,11.9,13.3,14.7,16.1,18.3,20.5,22.4,24.3},{0,10,20,30,40,50,60,62,64,66,68,70,72,74,76,78,80,85,90,95,100})</f>
        <v>76</v>
      </c>
      <c r="F348" s="4">
        <v>231</v>
      </c>
      <c r="G348" s="32">
        <f>LOOKUP(F348,{0,175,180,185,190,195,200,204,208,212,216,220,224,228,232,236,240,248,255,260,265},{0,10,20,30,40,50,60,62,64,66,68,70,72,74,76,78,80,85,90,95,100})</f>
        <v>74</v>
      </c>
      <c r="H348" s="4">
        <v>1</v>
      </c>
      <c r="I348" s="32">
        <f>LOOKUP(H348,{0,3,4,5,6,7,8,9,10,11,12,13,14,15,16,17},{0,10,20,30,40,50,60,64,68,72,76,80,85,90,95,100})</f>
        <v>0</v>
      </c>
      <c r="L348" s="4">
        <f t="shared" si="40"/>
        <v>0</v>
      </c>
      <c r="M348" s="4">
        <v>7.7</v>
      </c>
      <c r="N348" s="4">
        <f t="shared" si="38"/>
        <v>4.3</v>
      </c>
      <c r="O348" s="32">
        <f>LOOKUP(N348,{0,1.6,1.8,2,2.2,2.4,2.6,2.8,3,3.2,3.4,3.6,3.8,4,4.2,4.4,4.6,4.7,4.8,4.9,5},{0,10,20,30,40,50,60,62,64,66,68,70,72,74,76,78,80,85,90,95,100})</f>
        <v>76</v>
      </c>
      <c r="P348" s="4">
        <v>3.56</v>
      </c>
      <c r="Q348" s="4">
        <f t="shared" si="41"/>
        <v>6.44</v>
      </c>
      <c r="R348" s="32">
        <f>LOOKUP(Q348,{0,3.8,4,4.6,4.8,5,5.6,5.65,5.7,5.75,5.8,5.85,5.9,5.95,6,6.45,6.5,6.58,6.65,6.7,6.75},{0,10,20,30,40,50,60,62,64,66,68,70,72,74,76,78,80,85,90,95,100})</f>
        <v>76</v>
      </c>
      <c r="U348" s="4">
        <f t="shared" si="42"/>
        <v>76</v>
      </c>
      <c r="W348" s="5">
        <f t="shared" si="43"/>
        <v>45.4</v>
      </c>
      <c r="X348" s="20">
        <f t="shared" si="39"/>
        <v>64.8571428571429</v>
      </c>
    </row>
    <row r="349" customFormat="1" ht="15.6" spans="1:24">
      <c r="A349" s="4">
        <v>211</v>
      </c>
      <c r="B349" s="24" t="s">
        <v>570</v>
      </c>
      <c r="C349" s="25" t="s">
        <v>11</v>
      </c>
      <c r="D349" s="4">
        <v>19.2</v>
      </c>
      <c r="E349" s="32">
        <f>LOOKUP(D349,{0,-2.9,-1.9,-0.9,0.1,1.1,2.1,3.5,4.9,6.3,7.7,9.1,10.5,11.9,13.3,14.7,16.1,18.3,20.5,22.4,24.3},{0,10,20,30,40,50,60,62,64,66,68,70,72,74,76,78,80,85,90,95,100})</f>
        <v>85</v>
      </c>
      <c r="F349" s="4">
        <v>252</v>
      </c>
      <c r="G349" s="32">
        <f>LOOKUP(F349,{0,175,180,185,190,195,200,204,208,212,216,220,224,228,232,236,240,248,255,260,265},{0,10,20,30,40,50,60,62,64,66,68,70,72,74,76,78,80,85,90,95,100})</f>
        <v>85</v>
      </c>
      <c r="H349" s="4">
        <v>1</v>
      </c>
      <c r="I349" s="32">
        <f>LOOKUP(H349,{0,3,4,5,6,7,8,9,10,11,12,13,14,15,16,17},{0,10,20,30,40,50,60,64,68,72,76,80,85,90,95,100})</f>
        <v>0</v>
      </c>
      <c r="J349" s="4"/>
      <c r="K349" s="4"/>
      <c r="L349" s="4">
        <f t="shared" si="40"/>
        <v>0</v>
      </c>
      <c r="M349" s="4">
        <v>7.8</v>
      </c>
      <c r="N349" s="4">
        <f t="shared" si="38"/>
        <v>4.2</v>
      </c>
      <c r="O349" s="32">
        <f>LOOKUP(N349,{0,1.6,1.8,2,2.2,2.4,2.6,2.8,3,3.2,3.4,3.6,3.8,4,4.2,4.4,4.6,4.7,4.8,4.9,5},{0,10,20,30,40,50,60,62,64,66,68,70,72,74,76,78,80,85,90,95,100})</f>
        <v>76</v>
      </c>
      <c r="P349" s="4">
        <v>3.56</v>
      </c>
      <c r="Q349" s="4">
        <f t="shared" si="41"/>
        <v>6.44</v>
      </c>
      <c r="R349" s="32">
        <f>LOOKUP(Q349,{0,3.8,4,4.6,4.8,5,5.6,5.65,5.7,5.75,5.8,5.85,5.9,5.95,6,6.45,6.5,6.58,6.65,6.7,6.75},{0,10,20,30,40,50,60,62,64,66,68,70,72,74,76,78,80,85,90,95,100})</f>
        <v>76</v>
      </c>
      <c r="S349" s="4"/>
      <c r="T349" s="4"/>
      <c r="U349" s="4">
        <f t="shared" si="42"/>
        <v>76</v>
      </c>
      <c r="V349" s="4"/>
      <c r="W349" s="5">
        <f t="shared" si="43"/>
        <v>47.4</v>
      </c>
      <c r="X349" s="20">
        <f t="shared" si="39"/>
        <v>67.7142857142857</v>
      </c>
    </row>
    <row r="350" customFormat="1" ht="15.6" hidden="1" spans="1:24">
      <c r="A350" s="4">
        <v>201</v>
      </c>
      <c r="B350" s="24" t="s">
        <v>28</v>
      </c>
      <c r="C350" s="25" t="s">
        <v>11</v>
      </c>
      <c r="D350" s="4">
        <v>18.5</v>
      </c>
      <c r="E350" s="32">
        <f>LOOKUP(D350,{0,-2.9,-1.9,-0.9,0.1,1.1,2.1,3.5,4.9,6.3,7.7,9.1,10.5,11.9,13.3,14.7,16.1,18.3,20.5,22.4,24.3},{0,10,20,30,40,50,60,62,64,66,68,70,72,74,76,78,80,85,90,95,100})</f>
        <v>85</v>
      </c>
      <c r="F350" s="4">
        <v>260</v>
      </c>
      <c r="G350" s="32">
        <f>LOOKUP(F350,{0,175,180,185,190,195,200,204,208,212,216,220,224,228,232,236,240,248,255,260,265},{0,10,20,30,40,50,60,62,64,66,68,70,72,74,76,78,80,85,90,95,100})</f>
        <v>95</v>
      </c>
      <c r="H350" s="4">
        <v>2</v>
      </c>
      <c r="I350" s="32">
        <f>LOOKUP(H350,{0,3,4,5,6,7,8,9,10,11,12,13,14,15,16,17},{0,10,20,30,40,50,60,64,68,72,76,80,85,90,95,100})</f>
        <v>0</v>
      </c>
      <c r="J350" s="4"/>
      <c r="K350" s="35"/>
      <c r="L350" s="4">
        <f t="shared" si="40"/>
        <v>0</v>
      </c>
      <c r="M350" s="4">
        <v>6.8</v>
      </c>
      <c r="N350" s="4">
        <f t="shared" si="38"/>
        <v>5.2</v>
      </c>
      <c r="O350" s="32">
        <f>LOOKUP(N350,{0,1.6,1.8,2,2.2,2.4,2.6,2.8,3,3.2,3.4,3.6,3.8,4,4.2,4.4,4.6,4.7,4.8,4.9,5},{0,10,20,30,40,50,60,62,64,66,68,70,72,74,76,78,80,85,90,95,100})</f>
        <v>100</v>
      </c>
      <c r="P350" s="4">
        <v>3.57</v>
      </c>
      <c r="Q350" s="4">
        <f t="shared" si="41"/>
        <v>6.43</v>
      </c>
      <c r="R350" s="32">
        <f>LOOKUP(Q350,{0,3.8,4,4.6,4.8,5,5.6,5.65,5.7,5.75,5.8,5.85,5.9,5.95,6,6.45,6.5,6.58,6.65,6.7,6.75},{0,10,20,30,40,50,60,62,64,66,68,70,72,74,76,78,80,85,90,95,100})</f>
        <v>76</v>
      </c>
      <c r="S350" s="4"/>
      <c r="T350" s="4"/>
      <c r="U350" s="4">
        <f t="shared" si="42"/>
        <v>76</v>
      </c>
      <c r="V350" s="4"/>
      <c r="W350" s="5">
        <f t="shared" si="43"/>
        <v>53.2</v>
      </c>
      <c r="X350" s="20">
        <f t="shared" si="39"/>
        <v>76</v>
      </c>
    </row>
    <row r="351" s="1" customFormat="1" ht="15.6" spans="1:24">
      <c r="A351" s="4">
        <v>211</v>
      </c>
      <c r="B351" s="24" t="s">
        <v>552</v>
      </c>
      <c r="C351" s="25" t="s">
        <v>11</v>
      </c>
      <c r="D351" s="4">
        <v>18.2</v>
      </c>
      <c r="E351" s="32">
        <f>LOOKUP(D351,{0,-2.9,-1.9,-0.9,0.1,1.1,2.1,3.5,4.9,6.3,7.7,9.1,10.5,11.9,13.3,14.7,16.1,18.3,20.5,22.4,24.3},{0,10,20,30,40,50,60,62,64,66,68,70,72,74,76,78,80,85,90,95,100})</f>
        <v>80</v>
      </c>
      <c r="F351" s="4">
        <v>245</v>
      </c>
      <c r="G351" s="32">
        <f>LOOKUP(F351,{0,175,180,185,190,195,200,204,208,212,216,220,224,228,232,236,240,248,255,260,265},{0,10,20,30,40,50,60,62,64,66,68,70,72,74,76,78,80,85,90,95,100})</f>
        <v>80</v>
      </c>
      <c r="H351" s="4">
        <v>7</v>
      </c>
      <c r="I351" s="32">
        <f>LOOKUP(H351,{0,3,4,5,6,7,8,9,10,11,12,13,14,15,16,17},{0,10,20,30,40,50,60,64,68,72,76,80,85,90,95,100})</f>
        <v>50</v>
      </c>
      <c r="J351" s="4"/>
      <c r="K351" s="35"/>
      <c r="L351" s="4">
        <f t="shared" si="40"/>
        <v>50</v>
      </c>
      <c r="M351" s="4">
        <v>7</v>
      </c>
      <c r="N351" s="4">
        <f t="shared" si="38"/>
        <v>5</v>
      </c>
      <c r="O351" s="32">
        <f>LOOKUP(N351,{0,1.6,1.8,2,2.2,2.4,2.6,2.8,3,3.2,3.4,3.6,3.8,4,4.2,4.4,4.6,4.7,4.8,4.9,5},{0,10,20,30,40,50,60,62,64,66,68,70,72,74,76,78,80,85,90,95,100})</f>
        <v>100</v>
      </c>
      <c r="P351" s="4">
        <v>3.57</v>
      </c>
      <c r="Q351" s="4">
        <f t="shared" si="41"/>
        <v>6.43</v>
      </c>
      <c r="R351" s="32">
        <f>LOOKUP(Q351,{0,3.8,4,4.6,4.8,5,5.6,5.65,5.7,5.75,5.8,5.85,5.9,5.95,6,6.45,6.5,6.58,6.65,6.7,6.75},{0,10,20,30,40,50,60,62,64,66,68,70,72,74,76,78,80,85,90,95,100})</f>
        <v>76</v>
      </c>
      <c r="S351" s="4"/>
      <c r="T351" s="4"/>
      <c r="U351" s="4">
        <f t="shared" si="42"/>
        <v>76</v>
      </c>
      <c r="V351" s="4"/>
      <c r="W351" s="5">
        <f t="shared" si="43"/>
        <v>56.2</v>
      </c>
      <c r="X351" s="20">
        <f t="shared" si="39"/>
        <v>80.2857142857143</v>
      </c>
    </row>
    <row r="352" ht="15.6" hidden="1" spans="1:24">
      <c r="A352" s="4">
        <v>207</v>
      </c>
      <c r="B352" s="24" t="s">
        <v>327</v>
      </c>
      <c r="C352" s="25" t="s">
        <v>11</v>
      </c>
      <c r="D352" s="4">
        <v>21</v>
      </c>
      <c r="E352" s="32">
        <f>LOOKUP(D352,{0,-2.9,-1.9,-0.9,0.1,1.1,2.1,3.5,4.9,6.3,7.7,9.1,10.5,11.9,13.3,14.7,16.1,18.3,20.5,22.4,24.3},{0,10,20,30,40,50,60,62,64,66,68,70,72,74,76,78,80,85,90,95,100})</f>
        <v>90</v>
      </c>
      <c r="F352" s="4">
        <v>245</v>
      </c>
      <c r="G352" s="32">
        <f>LOOKUP(F352,{0,175,180,185,190,195,200,204,208,212,216,220,224,228,232,236,240,248,255,260,265},{0,10,20,30,40,50,60,62,64,66,68,70,72,74,76,78,80,85,90,95,100})</f>
        <v>80</v>
      </c>
      <c r="H352" s="4">
        <v>23</v>
      </c>
      <c r="I352" s="32">
        <f>LOOKUP(H352,{0,3,4,5,6,7,8,9,10,11,12,13,14,15,16,17},{0,10,20,30,40,50,60,64,68,72,76,80,85,90,95,100})</f>
        <v>100</v>
      </c>
      <c r="J352" s="4">
        <f>H352-17</f>
        <v>6</v>
      </c>
      <c r="K352" s="32">
        <f>LOOKUP(J352,{0,1,2,3,4,5,6,7,8,9,10},{0,1,2,3,4,5,6,7,8,9,10})</f>
        <v>6</v>
      </c>
      <c r="L352" s="4">
        <f t="shared" si="40"/>
        <v>106</v>
      </c>
      <c r="M352" s="4">
        <v>7.1</v>
      </c>
      <c r="N352" s="4">
        <f t="shared" si="38"/>
        <v>4.9</v>
      </c>
      <c r="O352" s="32">
        <f>LOOKUP(N352,{0,1.6,1.8,2,2.2,2.4,2.6,2.8,3,3.2,3.4,3.6,3.8,4,4.2,4.4,4.6,4.7,4.8,4.9,5},{0,10,20,30,40,50,60,62,64,66,68,70,72,74,76,78,80,85,90,95,100})</f>
        <v>95</v>
      </c>
      <c r="P352" s="4">
        <v>3.57</v>
      </c>
      <c r="Q352" s="4">
        <f t="shared" si="41"/>
        <v>6.43</v>
      </c>
      <c r="R352" s="32">
        <f>LOOKUP(Q352,{0,3.8,4,4.6,4.8,5,5.6,5.65,5.7,5.75,5.8,5.85,5.9,5.95,6,6.45,6.5,6.58,6.65,6.7,6.75},{0,10,20,30,40,50,60,62,64,66,68,70,72,74,76,78,80,85,90,95,100})</f>
        <v>76</v>
      </c>
      <c r="U352" s="4">
        <f t="shared" si="42"/>
        <v>76</v>
      </c>
      <c r="W352" s="5">
        <f t="shared" si="43"/>
        <v>61.2</v>
      </c>
      <c r="X352" s="20">
        <f t="shared" si="39"/>
        <v>93.4285714285714</v>
      </c>
    </row>
    <row r="353" ht="15.6" hidden="1" spans="1:24">
      <c r="A353" s="4">
        <v>201</v>
      </c>
      <c r="B353" s="24" t="s">
        <v>20</v>
      </c>
      <c r="C353" s="25" t="s">
        <v>11</v>
      </c>
      <c r="D353" s="4">
        <v>14.5</v>
      </c>
      <c r="E353" s="32">
        <f>LOOKUP(D353,{0,-2.9,-1.9,-0.9,0.1,1.1,2.1,3.5,4.9,6.3,7.7,9.1,10.5,11.9,13.3,14.7,16.1,18.3,20.5,22.4,24.3},{0,10,20,30,40,50,60,62,64,66,68,70,72,74,76,78,80,85,90,95,100})</f>
        <v>76</v>
      </c>
      <c r="F353" s="4">
        <v>239</v>
      </c>
      <c r="G353" s="32">
        <f>LOOKUP(F353,{0,175,180,185,190,195,200,204,208,212,216,220,224,228,232,236,240,248,255,260,265},{0,10,20,30,40,50,60,62,64,66,68,70,72,74,76,78,80,85,90,95,100})</f>
        <v>78</v>
      </c>
      <c r="H353" s="4">
        <v>0</v>
      </c>
      <c r="I353" s="32">
        <f>LOOKUP(H353,{0,3,4,5,6,7,8,9,10,11,12,13,14,15,16,17},{0,10,20,30,40,50,60,64,68,72,76,80,85,90,95,100})</f>
        <v>0</v>
      </c>
      <c r="L353" s="4">
        <f t="shared" si="40"/>
        <v>0</v>
      </c>
      <c r="M353" s="4">
        <v>7.4</v>
      </c>
      <c r="N353" s="4">
        <f t="shared" si="38"/>
        <v>4.6</v>
      </c>
      <c r="O353" s="32">
        <f>LOOKUP(N353,{0,1.6,1.8,2,2.2,2.4,2.6,2.8,3,3.2,3.4,3.6,3.8,4,4.2,4.4,4.6,4.7,4.8,4.9,5},{0,10,20,30,40,50,60,62,64,66,68,70,72,74,76,78,80,85,90,95,100})</f>
        <v>80</v>
      </c>
      <c r="P353" s="4">
        <v>3.57</v>
      </c>
      <c r="Q353" s="4">
        <f t="shared" si="41"/>
        <v>6.43</v>
      </c>
      <c r="R353" s="32">
        <f>LOOKUP(Q353,{0,3.8,4,4.6,4.8,5,5.6,5.65,5.7,5.75,5.8,5.85,5.9,5.95,6,6.45,6.5,6.58,6.65,6.7,6.75},{0,10,20,30,40,50,60,62,64,66,68,70,72,74,76,78,80,85,90,95,100})</f>
        <v>76</v>
      </c>
      <c r="U353" s="4">
        <f t="shared" si="42"/>
        <v>76</v>
      </c>
      <c r="W353" s="5">
        <f t="shared" si="43"/>
        <v>46.6</v>
      </c>
      <c r="X353" s="20">
        <f t="shared" si="39"/>
        <v>66.5714285714286</v>
      </c>
    </row>
    <row r="354" ht="15.6" hidden="1" spans="1:24">
      <c r="A354" s="4">
        <v>205</v>
      </c>
      <c r="B354" s="24" t="s">
        <v>237</v>
      </c>
      <c r="C354" s="25" t="s">
        <v>11</v>
      </c>
      <c r="D354" s="4">
        <v>18</v>
      </c>
      <c r="E354" s="32">
        <f>LOOKUP(D354,{0,-2.9,-1.9,-0.9,0.1,1.1,2.1,3.5,4.9,6.3,7.7,9.1,10.5,11.9,13.3,14.7,16.1,18.3,20.5,22.4,24.3},{0,10,20,30,40,50,60,62,64,66,68,70,72,74,76,78,80,85,90,95,100})</f>
        <v>80</v>
      </c>
      <c r="F354" s="4">
        <v>228</v>
      </c>
      <c r="G354" s="32">
        <f>LOOKUP(F354,{0,175,180,185,190,195,200,204,208,212,216,220,224,228,232,236,240,248,255,260,265},{0,10,20,30,40,50,60,62,64,66,68,70,72,74,76,78,80,85,90,95,100})</f>
        <v>74</v>
      </c>
      <c r="H354" s="4">
        <v>1</v>
      </c>
      <c r="I354" s="32">
        <f>LOOKUP(H354,{0,3,4,5,6,7,8,9,10,11,12,13,14,15,16,17},{0,10,20,30,40,50,60,64,68,72,76,80,85,90,95,100})</f>
        <v>0</v>
      </c>
      <c r="K354" s="35"/>
      <c r="L354" s="4">
        <f t="shared" si="40"/>
        <v>0</v>
      </c>
      <c r="M354" s="4">
        <v>7.5</v>
      </c>
      <c r="N354" s="4">
        <f t="shared" si="38"/>
        <v>4.5</v>
      </c>
      <c r="O354" s="32">
        <f>LOOKUP(N354,{0,1.6,1.8,2,2.2,2.4,2.6,2.8,3,3.2,3.4,3.6,3.8,4,4.2,4.4,4.6,4.7,4.8,4.9,5},{0,10,20,30,40,50,60,62,64,66,68,70,72,74,76,78,80,85,90,95,100})</f>
        <v>78</v>
      </c>
      <c r="P354" s="4">
        <v>3.57</v>
      </c>
      <c r="Q354" s="4">
        <f t="shared" si="41"/>
        <v>6.43</v>
      </c>
      <c r="R354" s="32">
        <f>LOOKUP(Q354,{0,3.8,4,4.6,4.8,5,5.6,5.65,5.7,5.75,5.8,5.85,5.9,5.95,6,6.45,6.5,6.58,6.65,6.7,6.75},{0,10,20,30,40,50,60,62,64,66,68,70,72,74,76,78,80,85,90,95,100})</f>
        <v>76</v>
      </c>
      <c r="U354" s="4">
        <f t="shared" si="42"/>
        <v>76</v>
      </c>
      <c r="W354" s="5">
        <f t="shared" si="43"/>
        <v>46.2</v>
      </c>
      <c r="X354" s="20">
        <f t="shared" si="39"/>
        <v>66</v>
      </c>
    </row>
    <row r="355" ht="15.6" hidden="1" spans="1:24">
      <c r="A355" s="4">
        <v>213</v>
      </c>
      <c r="B355" s="24" t="s">
        <v>669</v>
      </c>
      <c r="C355" s="25" t="s">
        <v>11</v>
      </c>
      <c r="D355" s="4">
        <v>16.6</v>
      </c>
      <c r="E355" s="32">
        <f>LOOKUP(D355,{0,-2.9,-1.9,-0.9,0.1,1.1,2.1,3.5,4.9,6.3,7.7,9.1,10.5,11.9,13.3,14.7,16.1,18.3,20.5,22.4,24.3},{0,10,20,30,40,50,60,62,64,66,68,70,72,74,76,78,80,85,90,95,100})</f>
        <v>80</v>
      </c>
      <c r="F355" s="4">
        <v>221</v>
      </c>
      <c r="G355" s="32">
        <f>LOOKUP(F355,{0,175,180,185,190,195,200,204,208,212,216,220,224,228,232,236,240,248,255,260,265},{0,10,20,30,40,50,60,62,64,66,68,70,72,74,76,78,80,85,90,95,100})</f>
        <v>70</v>
      </c>
      <c r="H355" s="4">
        <v>0</v>
      </c>
      <c r="I355" s="32">
        <f>LOOKUP(H355,{0,3,4,5,6,7,8,9,10,11,12,13,14,15,16,17},{0,10,20,30,40,50,60,64,68,72,76,80,85,90,95,100})</f>
        <v>0</v>
      </c>
      <c r="K355" s="35"/>
      <c r="L355" s="4">
        <f t="shared" si="40"/>
        <v>0</v>
      </c>
      <c r="M355" s="4">
        <v>7.7</v>
      </c>
      <c r="N355" s="4">
        <f t="shared" si="38"/>
        <v>4.3</v>
      </c>
      <c r="O355" s="32">
        <f>LOOKUP(N355,{0,1.6,1.8,2,2.2,2.4,2.6,2.8,3,3.2,3.4,3.6,3.8,4,4.2,4.4,4.6,4.7,4.8,4.9,5},{0,10,20,30,40,50,60,62,64,66,68,70,72,74,76,78,80,85,90,95,100})</f>
        <v>76</v>
      </c>
      <c r="P355" s="4">
        <v>3.57</v>
      </c>
      <c r="Q355" s="4">
        <f t="shared" si="41"/>
        <v>6.43</v>
      </c>
      <c r="R355" s="32">
        <f>LOOKUP(Q355,{0,3.8,4,4.6,4.8,5,5.6,5.65,5.7,5.75,5.8,5.85,5.9,5.95,6,6.45,6.5,6.58,6.65,6.7,6.75},{0,10,20,30,40,50,60,62,64,66,68,70,72,74,76,78,80,85,90,95,100})</f>
        <v>76</v>
      </c>
      <c r="U355" s="4">
        <f t="shared" si="42"/>
        <v>76</v>
      </c>
      <c r="W355" s="5">
        <f t="shared" si="43"/>
        <v>45.4</v>
      </c>
      <c r="X355" s="20">
        <f t="shared" si="39"/>
        <v>64.8571428571429</v>
      </c>
    </row>
    <row r="356" ht="15.6" hidden="1" spans="1:24">
      <c r="A356" s="4">
        <v>203</v>
      </c>
      <c r="B356" s="33" t="s">
        <v>113</v>
      </c>
      <c r="C356" s="25" t="s">
        <v>11</v>
      </c>
      <c r="D356" s="4">
        <v>15</v>
      </c>
      <c r="E356" s="32">
        <f>LOOKUP(D356,{0,-2.9,-1.9,-0.9,0.1,1.1,2.1,3.5,4.9,6.3,7.7,9.1,10.5,11.9,13.3,14.7,16.1,18.3,20.5,22.4,24.3},{0,10,20,30,40,50,60,62,64,66,68,70,72,74,76,78,80,85,90,95,100})</f>
        <v>78</v>
      </c>
      <c r="F356" s="4">
        <v>209</v>
      </c>
      <c r="G356" s="32">
        <f>LOOKUP(F356,{0,175,180,185,190,195,200,204,208,212,216,220,224,228,232,236,240,248,255,260,265},{0,10,20,30,40,50,60,62,64,66,68,70,72,74,76,78,80,85,90,95,100})</f>
        <v>64</v>
      </c>
      <c r="H356" s="4">
        <v>10</v>
      </c>
      <c r="I356" s="32">
        <f>LOOKUP(H356,{0,3,4,5,6,7,8,9,10,11,12,13,14,15,16,17},{0,10,20,30,40,50,60,64,68,72,76,80,85,90,95,100})</f>
        <v>68</v>
      </c>
      <c r="L356" s="4">
        <f t="shared" si="40"/>
        <v>68</v>
      </c>
      <c r="M356" s="4">
        <v>7.8</v>
      </c>
      <c r="N356" s="4">
        <f t="shared" si="38"/>
        <v>4.2</v>
      </c>
      <c r="O356" s="32">
        <f>LOOKUP(N356,{0,1.6,1.8,2,2.2,2.4,2.6,2.8,3,3.2,3.4,3.6,3.8,4,4.2,4.4,4.6,4.7,4.8,4.9,5},{0,10,20,30,40,50,60,62,64,66,68,70,72,74,76,78,80,85,90,95,100})</f>
        <v>76</v>
      </c>
      <c r="P356" s="4">
        <v>3.57</v>
      </c>
      <c r="Q356" s="4">
        <f t="shared" si="41"/>
        <v>6.43</v>
      </c>
      <c r="R356" s="32">
        <f>LOOKUP(Q356,{0,3.8,4,4.6,4.8,5,5.6,5.65,5.7,5.75,5.8,5.85,5.9,5.95,6,6.45,6.5,6.58,6.65,6.7,6.75},{0,10,20,30,40,50,60,62,64,66,68,70,72,74,76,78,80,85,90,95,100})</f>
        <v>76</v>
      </c>
      <c r="U356" s="4">
        <f t="shared" si="42"/>
        <v>76</v>
      </c>
      <c r="W356" s="5">
        <f t="shared" si="43"/>
        <v>51.4</v>
      </c>
      <c r="X356" s="20">
        <f t="shared" si="39"/>
        <v>73.4285714285714</v>
      </c>
    </row>
    <row r="357" ht="15.6" hidden="1" spans="1:24">
      <c r="A357" s="4">
        <v>210</v>
      </c>
      <c r="B357" s="24" t="s">
        <v>505</v>
      </c>
      <c r="C357" s="25" t="s">
        <v>11</v>
      </c>
      <c r="D357" s="4">
        <v>25</v>
      </c>
      <c r="E357" s="32">
        <f>LOOKUP(D357,{0,-2.9,-1.9,-0.9,0.1,1.1,2.1,3.5,4.9,6.3,7.7,9.1,10.5,11.9,13.3,14.7,16.1,18.3,20.5,22.4,24.3},{0,10,20,30,40,50,60,62,64,66,68,70,72,74,76,78,80,85,90,95,100})</f>
        <v>100</v>
      </c>
      <c r="F357" s="4">
        <v>215</v>
      </c>
      <c r="G357" s="32">
        <f>LOOKUP(F357,{0,175,180,185,190,195,200,204,208,212,216,220,224,228,232,236,240,248,255,260,265},{0,10,20,30,40,50,60,62,64,66,68,70,72,74,76,78,80,85,90,95,100})</f>
        <v>66</v>
      </c>
      <c r="H357" s="4">
        <v>2</v>
      </c>
      <c r="I357" s="32">
        <f>LOOKUP(H357,{0,3,4,5,6,7,8,9,10,11,12,13,14,15,16,17},{0,10,20,30,40,50,60,64,68,72,76,80,85,90,95,100})</f>
        <v>0</v>
      </c>
      <c r="K357" s="35"/>
      <c r="L357" s="4">
        <f t="shared" si="40"/>
        <v>0</v>
      </c>
      <c r="M357" s="4">
        <v>7.8</v>
      </c>
      <c r="N357" s="4">
        <f t="shared" si="38"/>
        <v>4.2</v>
      </c>
      <c r="O357" s="32">
        <f>LOOKUP(N357,{0,1.6,1.8,2,2.2,2.4,2.6,2.8,3,3.2,3.4,3.6,3.8,4,4.2,4.4,4.6,4.7,4.8,4.9,5},{0,10,20,30,40,50,60,62,64,66,68,70,72,74,76,78,80,85,90,95,100})</f>
        <v>76</v>
      </c>
      <c r="P357" s="4">
        <v>3.57</v>
      </c>
      <c r="Q357" s="4">
        <f t="shared" si="41"/>
        <v>6.43</v>
      </c>
      <c r="R357" s="32">
        <f>LOOKUP(Q357,{0,3.8,4,4.6,4.8,5,5.6,5.65,5.7,5.75,5.8,5.85,5.9,5.95,6,6.45,6.5,6.58,6.65,6.7,6.75},{0,10,20,30,40,50,60,62,64,66,68,70,72,74,76,78,80,85,90,95,100})</f>
        <v>76</v>
      </c>
      <c r="U357" s="4">
        <f t="shared" si="42"/>
        <v>76</v>
      </c>
      <c r="W357" s="5">
        <f t="shared" si="43"/>
        <v>47</v>
      </c>
      <c r="X357" s="20">
        <f t="shared" si="39"/>
        <v>67.1428571428572</v>
      </c>
    </row>
    <row r="358" s="30" customFormat="1" ht="15.6" spans="1:24">
      <c r="A358" s="40">
        <v>211</v>
      </c>
      <c r="B358" s="41" t="s">
        <v>558</v>
      </c>
      <c r="C358" s="42" t="s">
        <v>11</v>
      </c>
      <c r="D358" s="40">
        <v>19.3</v>
      </c>
      <c r="E358" s="43">
        <f>LOOKUP(D358,{0,-2.9,-1.9,-0.9,0.1,1.1,2.1,3.5,4.9,6.3,7.7,9.1,10.5,11.9,13.3,14.7,16.1,18.3,20.5,22.4,24.3},{0,10,20,30,40,50,60,62,64,66,68,70,72,74,76,78,80,85,90,95,100})</f>
        <v>85</v>
      </c>
      <c r="F358" s="40">
        <v>214</v>
      </c>
      <c r="G358" s="43">
        <f>LOOKUP(F358,{0,175,180,185,190,195,200,204,208,212,216,220,224,228,232,236,240,248,255,260,265},{0,10,20,30,40,50,60,62,64,66,68,70,72,74,76,78,80,85,90,95,100})</f>
        <v>66</v>
      </c>
      <c r="H358" s="40">
        <v>6</v>
      </c>
      <c r="I358" s="43">
        <f>LOOKUP(H358,{0,3,4,5,6,7,8,9,10,11,12,13,14,15,16,17},{0,10,20,30,40,50,60,64,68,72,76,80,85,90,95,100})</f>
        <v>40</v>
      </c>
      <c r="J358" s="40"/>
      <c r="K358" s="40"/>
      <c r="L358" s="40">
        <f t="shared" si="40"/>
        <v>40</v>
      </c>
      <c r="M358" s="40">
        <v>7.1</v>
      </c>
      <c r="N358" s="40">
        <f t="shared" si="38"/>
        <v>4.9</v>
      </c>
      <c r="O358" s="43">
        <f>LOOKUP(N358,{0,1.6,1.8,2,2.2,2.4,2.6,2.8,3,3.2,3.4,3.6,3.8,4,4.2,4.4,4.6,4.7,4.8,4.9,5},{0,10,20,30,40,50,60,62,64,66,68,70,72,74,76,78,80,85,90,95,100})</f>
        <v>95</v>
      </c>
      <c r="P358" s="40">
        <v>3.47</v>
      </c>
      <c r="Q358" s="40">
        <f t="shared" si="41"/>
        <v>6.53</v>
      </c>
      <c r="R358" s="43">
        <f>LOOKUP(Q358,{0,3.8,4,4.6,4.8,5,5.6,5.65,5.7,5.75,5.8,5.85,5.9,5.95,6,6.45,6.5,6.58,6.65,6.7,6.75},{0,10,20,30,40,50,60,62,64,66,68,70,72,74,76,78,80,85,90,95,100})</f>
        <v>80</v>
      </c>
      <c r="S358" s="40"/>
      <c r="T358" s="40"/>
      <c r="U358" s="40">
        <f t="shared" si="42"/>
        <v>80</v>
      </c>
      <c r="V358" s="40"/>
      <c r="W358" s="30">
        <f t="shared" si="43"/>
        <v>54.1</v>
      </c>
      <c r="X358" s="23">
        <f t="shared" si="39"/>
        <v>77.2857142857143</v>
      </c>
    </row>
    <row r="359" ht="15.6" hidden="1" spans="1:24">
      <c r="A359" s="4">
        <v>201</v>
      </c>
      <c r="B359" s="24" t="s">
        <v>45</v>
      </c>
      <c r="C359" s="25" t="s">
        <v>11</v>
      </c>
      <c r="D359" s="4">
        <v>22.9</v>
      </c>
      <c r="E359" s="32">
        <f>LOOKUP(D359,{0,-2.9,-1.9,-0.9,0.1,1.1,2.1,3.5,4.9,6.3,7.7,9.1,10.5,11.9,13.3,14.7,16.1,18.3,20.5,22.4,24.3},{0,10,20,30,40,50,60,62,64,66,68,70,72,74,76,78,80,85,90,95,100})</f>
        <v>95</v>
      </c>
      <c r="F359" s="4">
        <v>201</v>
      </c>
      <c r="G359" s="32">
        <f>LOOKUP(F359,{0,175,180,185,190,195,200,204,208,212,216,220,224,228,232,236,240,248,255,260,265},{0,10,20,30,40,50,60,62,64,66,68,70,72,74,76,78,80,85,90,95,100})</f>
        <v>60</v>
      </c>
      <c r="H359" s="4">
        <v>19</v>
      </c>
      <c r="I359" s="32">
        <f>LOOKUP(H359,{0,3,4,5,6,7,8,9,10,11,12,13,14,15,16,17},{0,10,20,30,40,50,60,64,68,72,76,80,85,90,95,100})</f>
        <v>100</v>
      </c>
      <c r="J359" s="4">
        <f>H359-17</f>
        <v>2</v>
      </c>
      <c r="K359" s="32">
        <f>LOOKUP(J359,{0,1,2,3,4,5,6,7,8,9,10},{0,1,2,3,4,5,6,7,8,9,10})</f>
        <v>2</v>
      </c>
      <c r="L359" s="4">
        <f t="shared" si="40"/>
        <v>102</v>
      </c>
      <c r="M359" s="4">
        <v>7.3</v>
      </c>
      <c r="N359" s="4">
        <f t="shared" si="38"/>
        <v>4.7</v>
      </c>
      <c r="O359" s="32">
        <f>LOOKUP(N359,{0,1.6,1.8,2,2.2,2.4,2.6,2.8,3,3.2,3.4,3.6,3.8,4,4.2,4.4,4.6,4.7,4.8,4.9,5},{0,10,20,30,40,50,60,62,64,66,68,70,72,74,76,78,80,85,90,95,100})</f>
        <v>85</v>
      </c>
      <c r="P359" s="4">
        <v>3.58</v>
      </c>
      <c r="Q359" s="4">
        <f t="shared" si="41"/>
        <v>6.42</v>
      </c>
      <c r="R359" s="32">
        <f>LOOKUP(Q359,{0,3.8,4,4.6,4.8,5,5.6,5.65,5.7,5.75,5.8,5.85,5.9,5.95,6,6.45,6.5,6.58,6.65,6.7,6.75},{0,10,20,30,40,50,60,62,64,66,68,70,72,74,76,78,80,85,90,95,100})</f>
        <v>76</v>
      </c>
      <c r="U359" s="4">
        <f t="shared" si="42"/>
        <v>76</v>
      </c>
      <c r="W359" s="5">
        <f t="shared" si="43"/>
        <v>57.7</v>
      </c>
      <c r="X359" s="20">
        <f t="shared" si="39"/>
        <v>84.4285714285714</v>
      </c>
    </row>
    <row r="360" ht="15.6" hidden="1" spans="1:24">
      <c r="A360" s="4">
        <v>207</v>
      </c>
      <c r="B360" s="24" t="s">
        <v>340</v>
      </c>
      <c r="C360" s="25" t="s">
        <v>11</v>
      </c>
      <c r="D360" s="4">
        <v>6.2</v>
      </c>
      <c r="E360" s="32">
        <f>LOOKUP(D360,{0,-2.9,-1.9,-0.9,0.1,1.1,2.1,3.5,4.9,6.3,7.7,9.1,10.5,11.9,13.3,14.7,16.1,18.3,20.5,22.4,24.3},{0,10,20,30,40,50,60,62,64,66,68,70,72,74,76,78,80,85,90,95,100})</f>
        <v>64</v>
      </c>
      <c r="F360" s="4">
        <v>214</v>
      </c>
      <c r="G360" s="32">
        <f>LOOKUP(F360,{0,175,180,185,190,195,200,204,208,212,216,220,224,228,232,236,240,248,255,260,265},{0,10,20,30,40,50,60,62,64,66,68,70,72,74,76,78,80,85,90,95,100})</f>
        <v>66</v>
      </c>
      <c r="H360" s="4">
        <v>5</v>
      </c>
      <c r="I360" s="32">
        <f>LOOKUP(H360,{0,3,4,5,6,7,8,9,10,11,12,13,14,15,16,17},{0,10,20,30,40,50,60,64,68,72,76,80,85,90,95,100})</f>
        <v>30</v>
      </c>
      <c r="L360" s="4">
        <f t="shared" si="40"/>
        <v>30</v>
      </c>
      <c r="M360" s="4">
        <v>7.3</v>
      </c>
      <c r="N360" s="4">
        <f t="shared" si="38"/>
        <v>4.7</v>
      </c>
      <c r="O360" s="32">
        <f>LOOKUP(N360,{0,1.6,1.8,2,2.2,2.4,2.6,2.8,3,3.2,3.4,3.6,3.8,4,4.2,4.4,4.6,4.7,4.8,4.9,5},{0,10,20,30,40,50,60,62,64,66,68,70,72,74,76,78,80,85,90,95,100})</f>
        <v>85</v>
      </c>
      <c r="P360" s="4">
        <v>3.58</v>
      </c>
      <c r="Q360" s="4">
        <f t="shared" si="41"/>
        <v>6.42</v>
      </c>
      <c r="R360" s="32">
        <f>LOOKUP(Q360,{0,3.8,4,4.6,4.8,5,5.6,5.65,5.7,5.75,5.8,5.85,5.9,5.95,6,6.45,6.5,6.58,6.65,6.7,6.75},{0,10,20,30,40,50,60,62,64,66,68,70,72,74,76,78,80,85,90,95,100})</f>
        <v>76</v>
      </c>
      <c r="U360" s="4">
        <f t="shared" si="42"/>
        <v>76</v>
      </c>
      <c r="W360" s="5">
        <f t="shared" si="43"/>
        <v>48.2</v>
      </c>
      <c r="X360" s="20">
        <f t="shared" si="39"/>
        <v>68.8571428571429</v>
      </c>
    </row>
    <row r="361" ht="15.6" hidden="1" spans="1:24">
      <c r="A361" s="4">
        <v>212</v>
      </c>
      <c r="B361" s="33" t="s">
        <v>630</v>
      </c>
      <c r="C361" s="25" t="s">
        <v>11</v>
      </c>
      <c r="D361" s="4">
        <v>9</v>
      </c>
      <c r="E361" s="32">
        <f>LOOKUP(D361,{0,-2.9,-1.9,-0.9,0.1,1.1,2.1,3.5,4.9,6.3,7.7,9.1,10.5,11.9,13.3,14.7,16.1,18.3,20.5,22.4,24.3},{0,10,20,30,40,50,60,62,64,66,68,70,72,74,76,78,80,85,90,95,100})</f>
        <v>68</v>
      </c>
      <c r="F361" s="4">
        <v>225</v>
      </c>
      <c r="G361" s="32">
        <f>LOOKUP(F361,{0,175,180,185,190,195,200,204,208,212,216,220,224,228,232,236,240,248,255,260,265},{0,10,20,30,40,50,60,62,64,66,68,70,72,74,76,78,80,85,90,95,100})</f>
        <v>72</v>
      </c>
      <c r="H361" s="4">
        <v>3</v>
      </c>
      <c r="I361" s="32">
        <f>LOOKUP(H361,{0,3,4,5,6,7,8,9,10,11,12,13,14,15,16,17},{0,10,20,30,40,50,60,64,68,72,76,80,85,90,95,100})</f>
        <v>10</v>
      </c>
      <c r="L361" s="4">
        <f t="shared" si="40"/>
        <v>10</v>
      </c>
      <c r="M361" s="4">
        <v>7.4</v>
      </c>
      <c r="N361" s="4">
        <f t="shared" si="38"/>
        <v>4.6</v>
      </c>
      <c r="O361" s="32">
        <f>LOOKUP(N361,{0,1.6,1.8,2,2.2,2.4,2.6,2.8,3,3.2,3.4,3.6,3.8,4,4.2,4.4,4.6,4.7,4.8,4.9,5},{0,10,20,30,40,50,60,62,64,66,68,70,72,74,76,78,80,85,90,95,100})</f>
        <v>80</v>
      </c>
      <c r="P361" s="4">
        <v>3.58</v>
      </c>
      <c r="Q361" s="4">
        <f t="shared" si="41"/>
        <v>6.42</v>
      </c>
      <c r="R361" s="32">
        <f>LOOKUP(Q361,{0,3.8,4,4.6,4.8,5,5.6,5.65,5.7,5.75,5.8,5.85,5.9,5.95,6,6.45,6.5,6.58,6.65,6.7,6.75},{0,10,20,30,40,50,60,62,64,66,68,70,72,74,76,78,80,85,90,95,100})</f>
        <v>76</v>
      </c>
      <c r="U361" s="4">
        <f t="shared" si="42"/>
        <v>76</v>
      </c>
      <c r="W361" s="5">
        <f t="shared" si="43"/>
        <v>46.2</v>
      </c>
      <c r="X361" s="20">
        <f t="shared" si="39"/>
        <v>66</v>
      </c>
    </row>
    <row r="362" ht="15.6" hidden="1" spans="1:24">
      <c r="A362" s="4">
        <v>210</v>
      </c>
      <c r="B362" s="24" t="s">
        <v>499</v>
      </c>
      <c r="C362" s="25" t="s">
        <v>11</v>
      </c>
      <c r="D362" s="4">
        <v>21</v>
      </c>
      <c r="E362" s="32">
        <f>LOOKUP(D362,{0,-2.9,-1.9,-0.9,0.1,1.1,2.1,3.5,4.9,6.3,7.7,9.1,10.5,11.9,13.3,14.7,16.1,18.3,20.5,22.4,24.3},{0,10,20,30,40,50,60,62,64,66,68,70,72,74,76,78,80,85,90,95,100})</f>
        <v>90</v>
      </c>
      <c r="F362" s="4">
        <v>246</v>
      </c>
      <c r="G362" s="32">
        <f>LOOKUP(F362,{0,175,180,185,190,195,200,204,208,212,216,220,224,228,232,236,240,248,255,260,265},{0,10,20,30,40,50,60,62,64,66,68,70,72,74,76,78,80,85,90,95,100})</f>
        <v>80</v>
      </c>
      <c r="H362" s="4">
        <v>20</v>
      </c>
      <c r="I362" s="32">
        <f>LOOKUP(H362,{0,3,4,5,6,7,8,9,10,11,12,13,14,15,16,17},{0,10,20,30,40,50,60,64,68,72,76,80,85,90,95,100})</f>
        <v>100</v>
      </c>
      <c r="J362" s="4">
        <f>H362-17</f>
        <v>3</v>
      </c>
      <c r="K362" s="32">
        <f>LOOKUP(J362,{0,1,2,3,4,5,6,7,8,9,10},{0,1,2,3,4,5,6,7,8,9,10})</f>
        <v>3</v>
      </c>
      <c r="L362" s="4">
        <f t="shared" si="40"/>
        <v>103</v>
      </c>
      <c r="M362" s="4">
        <v>7.5</v>
      </c>
      <c r="N362" s="4">
        <f t="shared" si="38"/>
        <v>4.5</v>
      </c>
      <c r="O362" s="32">
        <f>LOOKUP(N362,{0,1.6,1.8,2,2.2,2.4,2.6,2.8,3,3.2,3.4,3.6,3.8,4,4.2,4.4,4.6,4.7,4.8,4.9,5},{0,10,20,30,40,50,60,62,64,66,68,70,72,74,76,78,80,85,90,95,100})</f>
        <v>78</v>
      </c>
      <c r="P362" s="4">
        <v>3.58</v>
      </c>
      <c r="Q362" s="4">
        <f t="shared" si="41"/>
        <v>6.42</v>
      </c>
      <c r="R362" s="32">
        <f>LOOKUP(Q362,{0,3.8,4,4.6,4.8,5,5.6,5.65,5.7,5.75,5.8,5.85,5.9,5.95,6,6.45,6.5,6.58,6.65,6.7,6.75},{0,10,20,30,40,50,60,62,64,66,68,70,72,74,76,78,80,85,90,95,100})</f>
        <v>76</v>
      </c>
      <c r="U362" s="4">
        <f t="shared" si="42"/>
        <v>76</v>
      </c>
      <c r="W362" s="5">
        <f t="shared" si="43"/>
        <v>57.8</v>
      </c>
      <c r="X362" s="20">
        <f t="shared" si="39"/>
        <v>85.5714285714286</v>
      </c>
    </row>
    <row r="363" s="1" customFormat="1" ht="15.6" hidden="1" spans="1:24">
      <c r="A363" s="4">
        <v>204</v>
      </c>
      <c r="B363" s="24" t="s">
        <v>166</v>
      </c>
      <c r="C363" s="25" t="s">
        <v>11</v>
      </c>
      <c r="D363" s="4">
        <v>9</v>
      </c>
      <c r="E363" s="32">
        <f>LOOKUP(D363,{0,-2.9,-1.9,-0.9,0.1,1.1,2.1,3.5,4.9,6.3,7.7,9.1,10.5,11.9,13.3,14.7,16.1,18.3,20.5,22.4,24.3},{0,10,20,30,40,50,60,62,64,66,68,70,72,74,76,78,80,85,90,95,100})</f>
        <v>68</v>
      </c>
      <c r="F363" s="4">
        <v>222</v>
      </c>
      <c r="G363" s="32">
        <f>LOOKUP(F363,{0,175,180,185,190,195,200,204,208,212,216,220,224,228,232,236,240,248,255,260,265},{0,10,20,30,40,50,60,62,64,66,68,70,72,74,76,78,80,85,90,95,100})</f>
        <v>70</v>
      </c>
      <c r="H363" s="4">
        <v>0</v>
      </c>
      <c r="I363" s="32">
        <f>LOOKUP(H363,{0,3,4,5,6,7,8,9,10,11,12,13,14,15,16,17},{0,10,20,30,40,50,60,64,68,72,76,80,85,90,95,100})</f>
        <v>0</v>
      </c>
      <c r="J363" s="4"/>
      <c r="K363" s="35"/>
      <c r="L363" s="4">
        <f t="shared" si="40"/>
        <v>0</v>
      </c>
      <c r="M363" s="4">
        <v>7.9</v>
      </c>
      <c r="N363" s="4">
        <f t="shared" si="38"/>
        <v>4.1</v>
      </c>
      <c r="O363" s="32">
        <f>LOOKUP(N363,{0,1.6,1.8,2,2.2,2.4,2.6,2.8,3,3.2,3.4,3.6,3.8,4,4.2,4.4,4.6,4.7,4.8,4.9,5},{0,10,20,30,40,50,60,62,64,66,68,70,72,74,76,78,80,85,90,95,100})</f>
        <v>74</v>
      </c>
      <c r="P363" s="4">
        <v>3.58</v>
      </c>
      <c r="Q363" s="4">
        <f t="shared" si="41"/>
        <v>6.42</v>
      </c>
      <c r="R363" s="32">
        <f>LOOKUP(Q363,{0,3.8,4,4.6,4.8,5,5.6,5.65,5.7,5.75,5.8,5.85,5.9,5.95,6,6.45,6.5,6.58,6.65,6.7,6.75},{0,10,20,30,40,50,60,62,64,66,68,70,72,74,76,78,80,85,90,95,100})</f>
        <v>76</v>
      </c>
      <c r="S363" s="4"/>
      <c r="T363" s="4"/>
      <c r="U363" s="4">
        <f t="shared" si="42"/>
        <v>76</v>
      </c>
      <c r="V363" s="4"/>
      <c r="W363" s="5">
        <f t="shared" si="43"/>
        <v>43.8</v>
      </c>
      <c r="X363" s="20">
        <f t="shared" si="39"/>
        <v>62.5714285714286</v>
      </c>
    </row>
    <row r="364" ht="15.6" hidden="1" spans="1:24">
      <c r="A364" s="4">
        <v>201</v>
      </c>
      <c r="B364" s="24" t="s">
        <v>33</v>
      </c>
      <c r="C364" s="25" t="s">
        <v>11</v>
      </c>
      <c r="D364" s="4">
        <v>10.6</v>
      </c>
      <c r="E364" s="32">
        <f>LOOKUP(D364,{0,-2.9,-1.9,-0.9,0.1,1.1,2.1,3.5,4.9,6.3,7.7,9.1,10.5,11.9,13.3,14.7,16.1,18.3,20.5,22.4,24.3},{0,10,20,30,40,50,60,62,64,66,68,70,72,74,76,78,80,85,90,95,100})</f>
        <v>72</v>
      </c>
      <c r="F364" s="4">
        <v>186</v>
      </c>
      <c r="G364" s="32">
        <f>LOOKUP(F364,{0,175,180,185,190,195,200,204,208,212,216,220,224,228,232,236,240,248,255,260,265},{0,10,20,30,40,50,60,62,64,66,68,70,72,74,76,78,80,85,90,95,100})</f>
        <v>30</v>
      </c>
      <c r="H364" s="4">
        <v>0</v>
      </c>
      <c r="I364" s="32">
        <f>LOOKUP(H364,{0,3,4,5,6,7,8,9,10,11,12,13,14,15,16,17},{0,10,20,30,40,50,60,64,68,72,76,80,85,90,95,100})</f>
        <v>0</v>
      </c>
      <c r="L364" s="4">
        <f t="shared" si="40"/>
        <v>0</v>
      </c>
      <c r="M364" s="4">
        <v>8</v>
      </c>
      <c r="N364" s="4">
        <f t="shared" si="38"/>
        <v>4</v>
      </c>
      <c r="O364" s="32">
        <f>LOOKUP(N364,{0,1.6,1.8,2,2.2,2.4,2.6,2.8,3,3.2,3.4,3.6,3.8,4,4.2,4.4,4.6,4.7,4.8,4.9,5},{0,10,20,30,40,50,60,62,64,66,68,70,72,74,76,78,80,85,90,95,100})</f>
        <v>74</v>
      </c>
      <c r="P364" s="4">
        <v>3.58</v>
      </c>
      <c r="Q364" s="4">
        <f t="shared" si="41"/>
        <v>6.42</v>
      </c>
      <c r="R364" s="32">
        <f>LOOKUP(Q364,{0,3.8,4,4.6,4.8,5,5.6,5.65,5.7,5.75,5.8,5.85,5.9,5.95,6,6.45,6.5,6.58,6.65,6.7,6.75},{0,10,20,30,40,50,60,62,64,66,68,70,72,74,76,78,80,85,90,95,100})</f>
        <v>76</v>
      </c>
      <c r="U364" s="4">
        <f t="shared" si="42"/>
        <v>76</v>
      </c>
      <c r="W364" s="5">
        <f t="shared" si="43"/>
        <v>40.2</v>
      </c>
      <c r="X364" s="20">
        <f t="shared" si="39"/>
        <v>57.4285714285714</v>
      </c>
    </row>
    <row r="365" ht="15.6" hidden="1" spans="1:24">
      <c r="A365" s="4">
        <v>209</v>
      </c>
      <c r="B365" s="24" t="s">
        <v>477</v>
      </c>
      <c r="C365" s="25" t="s">
        <v>11</v>
      </c>
      <c r="D365" s="4">
        <v>20</v>
      </c>
      <c r="E365" s="32">
        <f>LOOKUP(D365,{0,-2.9,-1.9,-0.9,0.1,1.1,2.1,3.5,4.9,6.3,7.7,9.1,10.5,11.9,13.3,14.7,16.1,18.3,20.5,22.4,24.3},{0,10,20,30,40,50,60,62,64,66,68,70,72,74,76,78,80,85,90,95,100})</f>
        <v>85</v>
      </c>
      <c r="F365" s="4">
        <v>270</v>
      </c>
      <c r="G365" s="32">
        <f>LOOKUP(F365,{0,175,180,185,190,195,200,204,208,212,216,220,224,228,232,236,240,248,255,260,265},{0,10,20,30,40,50,60,62,64,66,68,70,72,74,76,78,80,85,90,95,100})</f>
        <v>100</v>
      </c>
      <c r="H365" s="4">
        <v>1</v>
      </c>
      <c r="I365" s="32">
        <f>LOOKUP(H365,{0,3,4,5,6,7,8,9,10,11,12,13,14,15,16,17},{0,10,20,30,40,50,60,64,68,72,76,80,85,90,95,100})</f>
        <v>0</v>
      </c>
      <c r="L365" s="4">
        <f t="shared" si="40"/>
        <v>0</v>
      </c>
      <c r="M365" s="4">
        <v>6.8</v>
      </c>
      <c r="N365" s="4">
        <f t="shared" si="38"/>
        <v>5.2</v>
      </c>
      <c r="O365" s="32">
        <f>LOOKUP(N365,{0,1.6,1.8,2,2.2,2.4,2.6,2.8,3,3.2,3.4,3.6,3.8,4,4.2,4.4,4.6,4.7,4.8,4.9,5},{0,10,20,30,40,50,60,62,64,66,68,70,72,74,76,78,80,85,90,95,100})</f>
        <v>100</v>
      </c>
      <c r="P365" s="4">
        <v>3.59</v>
      </c>
      <c r="Q365" s="4">
        <f t="shared" si="41"/>
        <v>6.41</v>
      </c>
      <c r="R365" s="32">
        <f>LOOKUP(Q365,{0,3.8,4,4.6,4.8,5,5.6,5.65,5.7,5.75,5.8,5.85,5.9,5.95,6,6.45,6.5,6.58,6.65,6.7,6.75},{0,10,20,30,40,50,60,62,64,66,68,70,72,74,76,78,80,85,90,95,100})</f>
        <v>76</v>
      </c>
      <c r="U365" s="4">
        <f t="shared" si="42"/>
        <v>76</v>
      </c>
      <c r="W365" s="5">
        <f t="shared" si="43"/>
        <v>53.7</v>
      </c>
      <c r="X365" s="20">
        <f t="shared" si="39"/>
        <v>76.7142857142857</v>
      </c>
    </row>
    <row r="366" ht="15.6" hidden="1" spans="1:24">
      <c r="A366" s="4">
        <v>215</v>
      </c>
      <c r="B366" s="24" t="s">
        <v>797</v>
      </c>
      <c r="C366" s="25" t="s">
        <v>11</v>
      </c>
      <c r="D366" s="4">
        <v>7.3</v>
      </c>
      <c r="E366" s="32">
        <f>LOOKUP(D366,{0,-2.9,-1.9,-0.9,0.1,1.1,2.1,3.5,4.9,6.3,7.7,9.1,10.5,11.9,13.3,14.7,16.1,18.3,20.5,22.4,24.3},{0,10,20,30,40,50,60,62,64,66,68,70,72,74,76,78,80,85,90,95,100})</f>
        <v>66</v>
      </c>
      <c r="F366" s="4">
        <v>201</v>
      </c>
      <c r="G366" s="32">
        <f>LOOKUP(F366,{0,175,180,185,190,195,200,204,208,212,216,220,224,228,232,236,240,248,255,260,265},{0,10,20,30,40,50,60,62,64,66,68,70,72,74,76,78,80,85,90,95,100})</f>
        <v>60</v>
      </c>
      <c r="H366" s="4">
        <v>6</v>
      </c>
      <c r="I366" s="32">
        <f>LOOKUP(H366,{0,3,4,5,6,7,8,9,10,11,12,13,14,15,16,17},{0,10,20,30,40,50,60,64,68,72,76,80,85,90,95,100})</f>
        <v>40</v>
      </c>
      <c r="L366" s="4">
        <f t="shared" si="40"/>
        <v>40</v>
      </c>
      <c r="M366" s="4">
        <v>7.1</v>
      </c>
      <c r="N366" s="4">
        <f t="shared" si="38"/>
        <v>4.9</v>
      </c>
      <c r="O366" s="32">
        <f>LOOKUP(N366,{0,1.6,1.8,2,2.2,2.4,2.6,2.8,3,3.2,3.4,3.6,3.8,4,4.2,4.4,4.6,4.7,4.8,4.9,5},{0,10,20,30,40,50,60,62,64,66,68,70,72,74,76,78,80,85,90,95,100})</f>
        <v>95</v>
      </c>
      <c r="P366" s="4">
        <v>3.59</v>
      </c>
      <c r="Q366" s="4">
        <f t="shared" si="41"/>
        <v>6.41</v>
      </c>
      <c r="R366" s="32">
        <f>LOOKUP(Q366,{0,3.8,4,4.6,4.8,5,5.6,5.65,5.7,5.75,5.8,5.85,5.9,5.95,6,6.45,6.5,6.58,6.65,6.7,6.75},{0,10,20,30,40,50,60,62,64,66,68,70,72,74,76,78,80,85,90,95,100})</f>
        <v>76</v>
      </c>
      <c r="U366" s="4">
        <f t="shared" si="42"/>
        <v>76</v>
      </c>
      <c r="W366" s="5">
        <f t="shared" si="43"/>
        <v>50.8</v>
      </c>
      <c r="X366" s="20">
        <f t="shared" si="39"/>
        <v>72.5714285714286</v>
      </c>
    </row>
    <row r="367" ht="15.6" hidden="1" spans="1:24">
      <c r="A367" s="4">
        <v>205</v>
      </c>
      <c r="B367" s="24" t="s">
        <v>215</v>
      </c>
      <c r="C367" s="25" t="s">
        <v>11</v>
      </c>
      <c r="D367" s="4">
        <v>9.6</v>
      </c>
      <c r="E367" s="32">
        <f>LOOKUP(D367,{0,-2.9,-1.9,-0.9,0.1,1.1,2.1,3.5,4.9,6.3,7.7,9.1,10.5,11.9,13.3,14.7,16.1,18.3,20.5,22.4,24.3},{0,10,20,30,40,50,60,62,64,66,68,70,72,74,76,78,80,85,90,95,100})</f>
        <v>70</v>
      </c>
      <c r="F367" s="4">
        <v>236</v>
      </c>
      <c r="G367" s="32">
        <f>LOOKUP(F367,{0,175,180,185,190,195,200,204,208,212,216,220,224,228,232,236,240,248,255,260,265},{0,10,20,30,40,50,60,62,64,66,68,70,72,74,76,78,80,85,90,95,100})</f>
        <v>78</v>
      </c>
      <c r="H367" s="4">
        <v>27</v>
      </c>
      <c r="I367" s="32">
        <f>LOOKUP(H367,{0,3,4,5,6,7,8,9,10,11,12,13,14,15,16,17},{0,10,20,30,40,50,60,64,68,72,76,80,85,90,95,100})</f>
        <v>100</v>
      </c>
      <c r="J367" s="4">
        <f>H367-17</f>
        <v>10</v>
      </c>
      <c r="K367" s="32">
        <f>LOOKUP(J367,{0,1,2,3,4,5,6,7,8,9,10},{0,1,2,3,4,5,6,7,8,9,10})</f>
        <v>10</v>
      </c>
      <c r="L367" s="4">
        <f t="shared" si="40"/>
        <v>110</v>
      </c>
      <c r="M367" s="4">
        <v>7.3</v>
      </c>
      <c r="N367" s="4">
        <f t="shared" si="38"/>
        <v>4.7</v>
      </c>
      <c r="O367" s="32">
        <f>LOOKUP(N367,{0,1.6,1.8,2,2.2,2.4,2.6,2.8,3,3.2,3.4,3.6,3.8,4,4.2,4.4,4.6,4.7,4.8,4.9,5},{0,10,20,30,40,50,60,62,64,66,68,70,72,74,76,78,80,85,90,95,100})</f>
        <v>85</v>
      </c>
      <c r="P367" s="4">
        <v>3.59</v>
      </c>
      <c r="Q367" s="4">
        <f t="shared" si="41"/>
        <v>6.41</v>
      </c>
      <c r="R367" s="32">
        <f>LOOKUP(Q367,{0,3.8,4,4.6,4.8,5,5.6,5.65,5.7,5.75,5.8,5.85,5.9,5.95,6,6.45,6.5,6.58,6.65,6.7,6.75},{0,10,20,30,40,50,60,62,64,66,68,70,72,74,76,78,80,85,90,95,100})</f>
        <v>76</v>
      </c>
      <c r="U367" s="4">
        <f t="shared" si="42"/>
        <v>76</v>
      </c>
      <c r="W367" s="5">
        <f t="shared" si="43"/>
        <v>57</v>
      </c>
      <c r="X367" s="20">
        <f t="shared" si="39"/>
        <v>91.4285714285714</v>
      </c>
    </row>
    <row r="368" ht="15.6" hidden="1" spans="1:24">
      <c r="A368" s="4">
        <v>212</v>
      </c>
      <c r="B368" s="33" t="s">
        <v>619</v>
      </c>
      <c r="C368" s="25" t="s">
        <v>11</v>
      </c>
      <c r="D368" s="4">
        <v>22</v>
      </c>
      <c r="E368" s="32">
        <f>LOOKUP(D368,{0,-2.9,-1.9,-0.9,0.1,1.1,2.1,3.5,4.9,6.3,7.7,9.1,10.5,11.9,13.3,14.7,16.1,18.3,20.5,22.4,24.3},{0,10,20,30,40,50,60,62,64,66,68,70,72,74,76,78,80,85,90,95,100})</f>
        <v>90</v>
      </c>
      <c r="F368" s="4">
        <v>230</v>
      </c>
      <c r="G368" s="32">
        <f>LOOKUP(F368,{0,175,180,185,190,195,200,204,208,212,216,220,224,228,232,236,240,248,255,260,265},{0,10,20,30,40,50,60,62,64,66,68,70,72,74,76,78,80,85,90,95,100})</f>
        <v>74</v>
      </c>
      <c r="H368" s="4">
        <v>10</v>
      </c>
      <c r="I368" s="32">
        <f>LOOKUP(H368,{0,3,4,5,6,7,8,9,10,11,12,13,14,15,16,17},{0,10,20,30,40,50,60,64,68,72,76,80,85,90,95,100})</f>
        <v>68</v>
      </c>
      <c r="K368" s="35"/>
      <c r="L368" s="4">
        <f t="shared" si="40"/>
        <v>68</v>
      </c>
      <c r="M368" s="4">
        <v>7.1</v>
      </c>
      <c r="N368" s="4">
        <f t="shared" si="38"/>
        <v>4.9</v>
      </c>
      <c r="O368" s="32">
        <f>LOOKUP(N368,{0,1.6,1.8,2,2.2,2.4,2.6,2.8,3,3.2,3.4,3.6,3.8,4,4.2,4.4,4.6,4.7,4.8,4.9,5},{0,10,20,30,40,50,60,62,64,66,68,70,72,74,76,78,80,85,90,95,100})</f>
        <v>95</v>
      </c>
      <c r="P368" s="4">
        <v>4</v>
      </c>
      <c r="Q368" s="4">
        <f t="shared" si="41"/>
        <v>6</v>
      </c>
      <c r="R368" s="32">
        <f>LOOKUP(Q368,{0,3.8,4,4.6,4.8,5,5.6,5.65,5.7,5.75,5.8,5.85,5.9,5.95,6,6.45,6.5,6.58,6.65,6.7,6.75},{0,10,20,30,40,50,60,62,64,66,68,70,72,74,76,78,80,85,90,95,100})</f>
        <v>76</v>
      </c>
      <c r="U368" s="4">
        <f t="shared" si="42"/>
        <v>76</v>
      </c>
      <c r="W368" s="5">
        <f t="shared" si="43"/>
        <v>57.4</v>
      </c>
      <c r="X368" s="20">
        <f t="shared" si="39"/>
        <v>82</v>
      </c>
    </row>
    <row r="369" ht="15.6" hidden="1" spans="1:24">
      <c r="A369" s="4">
        <v>206</v>
      </c>
      <c r="B369" s="24" t="s">
        <v>316</v>
      </c>
      <c r="C369" s="25" t="s">
        <v>53</v>
      </c>
      <c r="D369" s="4">
        <v>25</v>
      </c>
      <c r="E369" s="32">
        <f>LOOKUP(D369,{0,1,1.8,2.6,3.4,4.2,5,6.3,7.6,8.9,10.2,11.5,12.8,14.1,15.4,16.7,18,19.7,21.4,23.1,24.8},{0,10,20,30,40,50,60,62,64,66,68,70,72,74,76,78,80,85,90,95,100})</f>
        <v>100</v>
      </c>
      <c r="F369" s="4">
        <v>173</v>
      </c>
      <c r="G369" s="32">
        <f>LOOKUP(F369,{0,124,129,134,139,144,149,152,155,158,161,164,167,170,173,176,179,186,193,199,205},{0,10,20,30,40,50,60,62,64,66,68,70,72,74,76,78,80,85,90,95,100})</f>
        <v>76</v>
      </c>
      <c r="H369" s="4">
        <v>46</v>
      </c>
      <c r="I369" s="32">
        <f>LOOKUP(H369,{0,14,16,18,20,22,24,26,28,30,32,34,36,38,40,42,44,47,50,52,54},{0,10,20,30,40,50,60,62,64,66,68,70,72,74,76,78,80,85,90,95,100})</f>
        <v>80</v>
      </c>
      <c r="L369" s="4">
        <f t="shared" si="40"/>
        <v>80</v>
      </c>
      <c r="M369" s="4">
        <v>8.2</v>
      </c>
      <c r="N369" s="4">
        <f t="shared" si="38"/>
        <v>3.8</v>
      </c>
      <c r="O369" s="32">
        <f>LOOKUP(N369,{0,0.5,0.7,0.9,1.1,1.3,1.5,1.7,1.9,2.1,2.3,2.5,2.7,2.9,3.1,3.3,3.5,3.8,4.1,4.2,4.3},{0,10,20,30,40,50,60,62,64,66,68,70,72,74,76,78,80,85,90,95,100})</f>
        <v>85</v>
      </c>
      <c r="P369" s="4">
        <v>3.47</v>
      </c>
      <c r="Q369" s="4">
        <f t="shared" si="41"/>
        <v>6.53</v>
      </c>
      <c r="R369" s="32">
        <f>LOOKUP(Q369,{0,4.72,4.82,4.92,5.42,5.52,5.62,5.67,5.72,5.77,5.82,5.87,5.92,5.97,6.42,6.47,6.52,6.59,6.66,6.72,6.78},{0,10,20,30,40,50,60,62,64,66,68,70,72,74,76,78,80,85,90,95,100})</f>
        <v>80</v>
      </c>
      <c r="U369" s="4">
        <f t="shared" si="42"/>
        <v>80</v>
      </c>
      <c r="W369" s="5">
        <f t="shared" si="43"/>
        <v>58.6</v>
      </c>
      <c r="X369" s="20">
        <f t="shared" si="39"/>
        <v>83.7142857142857</v>
      </c>
    </row>
    <row r="370" ht="15.6" hidden="1" spans="1:24">
      <c r="A370" s="4">
        <v>214</v>
      </c>
      <c r="B370" s="24" t="s">
        <v>778</v>
      </c>
      <c r="C370" s="25" t="s">
        <v>53</v>
      </c>
      <c r="D370" s="4">
        <v>19.9</v>
      </c>
      <c r="E370" s="32">
        <f>LOOKUP(D370,{0,1,1.8,2.6,3.4,4.2,5,6.3,7.6,8.9,10.2,11.5,12.8,14.1,15.4,16.7,18,19.7,21.4,23.1,24.8},{0,10,20,30,40,50,60,62,64,66,68,70,72,74,76,78,80,85,90,95,100})</f>
        <v>85</v>
      </c>
      <c r="F370" s="4">
        <v>165</v>
      </c>
      <c r="G370" s="32">
        <f>LOOKUP(F370,{0,124,129,134,139,144,149,152,155,158,161,164,167,170,173,176,179,186,193,199,205},{0,10,20,30,40,50,60,62,64,66,68,70,72,74,76,78,80,85,90,95,100})</f>
        <v>70</v>
      </c>
      <c r="H370" s="4">
        <v>55</v>
      </c>
      <c r="I370" s="32">
        <f>LOOKUP(H370,{0,14,16,18,20,22,24,26,28,30,32,34,36,38,40,42,44,47,50,52,54},{0,10,20,30,40,50,60,62,64,66,68,70,72,74,76,78,80,85,90,95,100})</f>
        <v>100</v>
      </c>
      <c r="J370" s="4">
        <f>H370-54</f>
        <v>1</v>
      </c>
      <c r="K370" s="34">
        <f>LOOKUP(J370,{0,2,4,6,7,8,9,10,11,12,13},{0,1,2,3,4,5,6,7,8,9,10})</f>
        <v>0</v>
      </c>
      <c r="L370" s="4">
        <f t="shared" si="40"/>
        <v>100</v>
      </c>
      <c r="M370" s="4">
        <v>9.4</v>
      </c>
      <c r="N370" s="4">
        <f t="shared" si="38"/>
        <v>2.6</v>
      </c>
      <c r="O370" s="32">
        <f>LOOKUP(N370,{0,0.5,0.7,0.9,1.1,1.3,1.5,1.7,1.9,2.1,2.3,2.5,2.7,2.9,3.1,3.3,3.5,3.8,4.1,4.2,4.3},{0,10,20,30,40,50,60,62,64,66,68,70,72,74,76,78,80,85,90,95,100})</f>
        <v>70</v>
      </c>
      <c r="P370" s="4">
        <v>3.28</v>
      </c>
      <c r="Q370" s="4">
        <f t="shared" si="41"/>
        <v>6.72</v>
      </c>
      <c r="R370" s="32">
        <f>LOOKUP(Q370,{0,4.72,4.82,4.92,5.42,5.52,5.62,5.67,5.72,5.77,5.82,5.87,5.92,5.97,6.42,6.47,6.52,6.59,6.66,6.72,6.78},{0,10,20,30,40,50,60,62,64,66,68,70,72,74,76,78,80,85,90,95,100})</f>
        <v>95</v>
      </c>
      <c r="U370" s="4">
        <f t="shared" si="42"/>
        <v>95</v>
      </c>
      <c r="W370" s="5">
        <f t="shared" si="43"/>
        <v>58.5</v>
      </c>
      <c r="X370" s="20">
        <f t="shared" si="39"/>
        <v>83.5714285714286</v>
      </c>
    </row>
    <row r="371" ht="15.6" hidden="1" spans="1:24">
      <c r="A371" s="4">
        <v>210</v>
      </c>
      <c r="B371" s="24" t="s">
        <v>542</v>
      </c>
      <c r="C371" s="25" t="s">
        <v>53</v>
      </c>
      <c r="D371" s="4">
        <v>23</v>
      </c>
      <c r="E371" s="32">
        <f>LOOKUP(D371,{0,1,1.8,2.6,3.4,4.2,5,6.3,7.6,8.9,10.2,11.5,12.8,14.1,15.4,16.7,18,19.7,21.4,23.1,24.8},{0,10,20,30,40,50,60,62,64,66,68,70,72,74,76,78,80,85,90,95,100})</f>
        <v>90</v>
      </c>
      <c r="F371" s="4">
        <v>190</v>
      </c>
      <c r="G371" s="32">
        <f>LOOKUP(F371,{0,124,129,134,139,144,149,152,155,158,161,164,167,170,173,176,179,186,193,199,205},{0,10,20,30,40,50,60,62,64,66,68,70,72,74,76,78,80,85,90,95,100})</f>
        <v>85</v>
      </c>
      <c r="H371" s="4">
        <v>50</v>
      </c>
      <c r="I371" s="32">
        <f>LOOKUP(H371,{0,14,16,18,20,22,24,26,28,30,32,34,36,38,40,42,44,47,50,52,54},{0,10,20,30,40,50,60,62,64,66,68,70,72,74,76,78,80,85,90,95,100})</f>
        <v>90</v>
      </c>
      <c r="L371" s="4">
        <f t="shared" si="40"/>
        <v>90</v>
      </c>
      <c r="M371" s="4">
        <v>8.3</v>
      </c>
      <c r="N371" s="4">
        <f t="shared" si="38"/>
        <v>3.7</v>
      </c>
      <c r="O371" s="32">
        <f>LOOKUP(N371,{0,0.5,0.7,0.9,1.1,1.3,1.5,1.7,1.9,2.1,2.3,2.5,2.7,2.9,3.1,3.3,3.5,3.8,4.1,4.2,4.3},{0,10,20,30,40,50,60,62,64,66,68,70,72,74,76,78,80,85,90,95,100})</f>
        <v>80</v>
      </c>
      <c r="P371" s="4">
        <v>3.47</v>
      </c>
      <c r="Q371" s="4">
        <f t="shared" si="41"/>
        <v>6.53</v>
      </c>
      <c r="R371" s="32">
        <f>LOOKUP(Q371,{0,4.72,4.82,4.92,5.42,5.52,5.62,5.67,5.72,5.77,5.82,5.87,5.92,5.97,6.42,6.47,6.52,6.59,6.66,6.72,6.78},{0,10,20,30,40,50,60,62,64,66,68,70,72,74,76,78,80,85,90,95,100})</f>
        <v>80</v>
      </c>
      <c r="U371" s="4">
        <f t="shared" si="42"/>
        <v>80</v>
      </c>
      <c r="W371" s="5">
        <f t="shared" si="43"/>
        <v>58.5</v>
      </c>
      <c r="X371" s="20">
        <f t="shared" si="39"/>
        <v>83.5714285714286</v>
      </c>
    </row>
    <row r="372" ht="15.6" hidden="1" spans="1:24">
      <c r="A372" s="4">
        <v>208</v>
      </c>
      <c r="B372" s="24" t="s">
        <v>432</v>
      </c>
      <c r="C372" s="25" t="s">
        <v>53</v>
      </c>
      <c r="D372" s="4">
        <v>17.1</v>
      </c>
      <c r="E372" s="32">
        <f>LOOKUP(D372,{0,1,1.8,2.6,3.4,4.2,5,6.3,7.6,8.9,10.2,11.5,12.8,14.1,15.4,16.7,18,19.7,21.4,23.1,24.8},{0,10,20,30,40,50,60,62,64,66,68,70,72,74,76,78,80,85,90,95,100})</f>
        <v>78</v>
      </c>
      <c r="F372" s="4">
        <v>165</v>
      </c>
      <c r="G372" s="32">
        <f>LOOKUP(F372,{0,124,129,134,139,144,149,152,155,158,161,164,167,170,173,176,179,186,193,199,205},{0,10,20,30,40,50,60,62,64,66,68,70,72,74,76,78,80,85,90,95,100})</f>
        <v>70</v>
      </c>
      <c r="H372" s="4">
        <v>56</v>
      </c>
      <c r="I372" s="32">
        <f>LOOKUP(H372,{0,14,16,18,20,22,24,26,28,30,32,34,36,38,40,42,44,47,50,52,54},{0,10,20,30,40,50,60,62,64,66,68,70,72,74,76,78,80,85,90,95,100})</f>
        <v>100</v>
      </c>
      <c r="J372" s="4">
        <f>H372-54</f>
        <v>2</v>
      </c>
      <c r="K372" s="32">
        <f>LOOKUP(J372,{0,2,4,6,7,8,9,10,11,12,13},{0,1,2,3,4,5,6,7,8,9,10})</f>
        <v>1</v>
      </c>
      <c r="L372" s="4">
        <f t="shared" si="40"/>
        <v>101</v>
      </c>
      <c r="M372" s="4">
        <v>8.1</v>
      </c>
      <c r="N372" s="4">
        <f t="shared" si="38"/>
        <v>3.9</v>
      </c>
      <c r="O372" s="32">
        <f>LOOKUP(N372,{0,0.5,0.7,0.9,1.1,1.3,1.5,1.7,1.9,2.1,2.3,2.5,2.7,2.9,3.1,3.3,3.5,3.8,4.1,4.2,4.3},{0,10,20,30,40,50,60,62,64,66,68,70,72,74,76,78,80,85,90,95,100})</f>
        <v>85</v>
      </c>
      <c r="P372" s="4">
        <v>3.45</v>
      </c>
      <c r="Q372" s="4">
        <f t="shared" si="41"/>
        <v>6.55</v>
      </c>
      <c r="R372" s="32">
        <f>LOOKUP(Q372,{0,4.72,4.82,4.92,5.42,5.52,5.62,5.67,5.72,5.77,5.82,5.87,5.92,5.97,6.42,6.47,6.52,6.59,6.66,6.72,6.78},{0,10,20,30,40,50,60,62,64,66,68,70,72,74,76,78,80,85,90,95,100})</f>
        <v>80</v>
      </c>
      <c r="U372" s="4">
        <f t="shared" si="42"/>
        <v>80</v>
      </c>
      <c r="W372" s="5">
        <f t="shared" si="43"/>
        <v>57.8</v>
      </c>
      <c r="X372" s="20">
        <f t="shared" si="39"/>
        <v>83.5714285714286</v>
      </c>
    </row>
    <row r="373" ht="15.6" hidden="1" spans="1:24">
      <c r="A373" s="4">
        <v>212</v>
      </c>
      <c r="B373" s="24" t="s">
        <v>661</v>
      </c>
      <c r="C373" s="25" t="s">
        <v>53</v>
      </c>
      <c r="D373" s="4">
        <v>15.5</v>
      </c>
      <c r="E373" s="32">
        <f>LOOKUP(D373,{0,1,1.8,2.6,3.4,4.2,5,6.3,7.6,8.9,10.2,11.5,12.8,14.1,15.4,16.7,18,19.7,21.4,23.1,24.8},{0,10,20,30,40,50,60,62,64,66,68,70,72,74,76,78,80,85,90,95,100})</f>
        <v>76</v>
      </c>
      <c r="F373" s="4">
        <v>169</v>
      </c>
      <c r="G373" s="32">
        <f>LOOKUP(F373,{0,124,129,134,139,144,149,152,155,158,161,164,167,170,173,176,179,186,193,199,205},{0,10,20,30,40,50,60,62,64,66,68,70,72,74,76,78,80,85,90,95,100})</f>
        <v>72</v>
      </c>
      <c r="H373" s="4">
        <v>50</v>
      </c>
      <c r="I373" s="32">
        <f>LOOKUP(H373,{0,14,16,18,20,22,24,26,28,30,32,34,36,38,40,42,44,47,50,52,54},{0,10,20,30,40,50,60,62,64,66,68,70,72,74,76,78,80,85,90,95,100})</f>
        <v>90</v>
      </c>
      <c r="L373" s="4">
        <f t="shared" si="40"/>
        <v>90</v>
      </c>
      <c r="M373" s="4">
        <v>8.6</v>
      </c>
      <c r="N373" s="4">
        <f t="shared" si="38"/>
        <v>3.4</v>
      </c>
      <c r="O373" s="32">
        <f>LOOKUP(N373,{0,0.5,0.7,0.9,1.1,1.3,1.5,1.7,1.9,2.1,2.3,2.5,2.7,2.9,3.1,3.3,3.5,3.8,4.1,4.2,4.3},{0,10,20,30,40,50,60,62,64,66,68,70,72,74,76,78,80,85,90,95,100})</f>
        <v>78</v>
      </c>
      <c r="P373" s="4">
        <v>3.28</v>
      </c>
      <c r="Q373" s="4">
        <f t="shared" si="41"/>
        <v>6.72</v>
      </c>
      <c r="R373" s="32">
        <f>LOOKUP(Q373,{0,4.72,4.82,4.92,5.42,5.52,5.62,5.67,5.72,5.77,5.82,5.87,5.92,5.97,6.42,6.47,6.52,6.59,6.66,6.72,6.78},{0,10,20,30,40,50,60,62,64,66,68,70,72,74,76,78,80,85,90,95,100})</f>
        <v>95</v>
      </c>
      <c r="U373" s="4">
        <f t="shared" si="42"/>
        <v>95</v>
      </c>
      <c r="W373" s="5">
        <f t="shared" si="43"/>
        <v>58.4</v>
      </c>
      <c r="X373" s="20">
        <f t="shared" si="39"/>
        <v>83.4285714285714</v>
      </c>
    </row>
    <row r="374" ht="15.6" hidden="1" spans="1:24">
      <c r="A374" s="4">
        <v>207</v>
      </c>
      <c r="B374" s="24" t="s">
        <v>376</v>
      </c>
      <c r="C374" s="25" t="s">
        <v>53</v>
      </c>
      <c r="D374" s="4">
        <v>25.4</v>
      </c>
      <c r="E374" s="32">
        <f>LOOKUP(D374,{0,1,1.8,2.6,3.4,4.2,5,6.3,7.6,8.9,10.2,11.5,12.8,14.1,15.4,16.7,18,19.7,21.4,23.1,24.8},{0,10,20,30,40,50,60,62,64,66,68,70,72,74,76,78,80,85,90,95,100})</f>
        <v>100</v>
      </c>
      <c r="F374" s="4">
        <v>177</v>
      </c>
      <c r="G374" s="32">
        <f>LOOKUP(F374,{0,124,129,134,139,144,149,152,155,158,161,164,167,170,173,176,179,186,193,199,205},{0,10,20,30,40,50,60,62,64,66,68,70,72,74,76,78,80,85,90,95,100})</f>
        <v>78</v>
      </c>
      <c r="H374" s="4">
        <v>44</v>
      </c>
      <c r="I374" s="32">
        <f>LOOKUP(H374,{0,14,16,18,20,22,24,26,28,30,32,34,36,38,40,42,44,47,50,52,54},{0,10,20,30,40,50,60,62,64,66,68,70,72,74,76,78,80,85,90,95,100})</f>
        <v>80</v>
      </c>
      <c r="K374" s="35"/>
      <c r="L374" s="4">
        <f t="shared" si="40"/>
        <v>80</v>
      </c>
      <c r="M374" s="4">
        <v>8.6</v>
      </c>
      <c r="N374" s="4">
        <f t="shared" si="38"/>
        <v>3.4</v>
      </c>
      <c r="O374" s="32">
        <f>LOOKUP(N374,{0,0.5,0.7,0.9,1.1,1.3,1.5,1.7,1.9,2.1,2.3,2.5,2.7,2.9,3.1,3.3,3.5,3.8,4.1,4.2,4.3},{0,10,20,30,40,50,60,62,64,66,68,70,72,74,76,78,80,85,90,95,100})</f>
        <v>78</v>
      </c>
      <c r="P374" s="4">
        <v>3.41</v>
      </c>
      <c r="Q374" s="4">
        <f t="shared" si="41"/>
        <v>6.59</v>
      </c>
      <c r="R374" s="32">
        <f>LOOKUP(Q374,{0,4.72,4.82,4.92,5.42,5.52,5.62,5.67,5.72,5.77,5.82,5.87,5.92,5.97,6.42,6.47,6.52,6.59,6.66,6.72,6.78},{0,10,20,30,40,50,60,62,64,66,68,70,72,74,76,78,80,85,90,95,100})</f>
        <v>85</v>
      </c>
      <c r="U374" s="4">
        <f t="shared" si="42"/>
        <v>85</v>
      </c>
      <c r="W374" s="5">
        <f t="shared" si="43"/>
        <v>58.4</v>
      </c>
      <c r="X374" s="20">
        <f t="shared" si="39"/>
        <v>83.4285714285714</v>
      </c>
    </row>
    <row r="375" s="1" customFormat="1" ht="15.6" hidden="1" spans="1:24">
      <c r="A375" s="4">
        <v>211</v>
      </c>
      <c r="B375" s="24" t="s">
        <v>599</v>
      </c>
      <c r="C375" s="25" t="s">
        <v>53</v>
      </c>
      <c r="D375" s="4">
        <v>17.4</v>
      </c>
      <c r="E375" s="32">
        <f>LOOKUP(D375,{0,1,1.8,2.6,3.4,4.2,5,6.3,7.6,8.9,10.2,11.5,12.8,14.1,15.4,16.7,18,19.7,21.4,23.1,24.8},{0,10,20,30,40,50,60,62,64,66,68,70,72,74,76,78,80,85,90,95,100})</f>
        <v>78</v>
      </c>
      <c r="F375" s="4">
        <v>187</v>
      </c>
      <c r="G375" s="32">
        <f>LOOKUP(F375,{0,124,129,134,139,144,149,152,155,158,161,164,167,170,173,176,179,186,193,199,205},{0,10,20,30,40,50,60,62,64,66,68,70,72,74,76,78,80,85,90,95,100})</f>
        <v>85</v>
      </c>
      <c r="H375" s="4">
        <v>50</v>
      </c>
      <c r="I375" s="32">
        <f>LOOKUP(H375,{0,14,16,18,20,22,24,26,28,30,32,34,36,38,40,42,44,47,50,52,54},{0,10,20,30,40,50,60,62,64,66,68,70,72,74,76,78,80,85,90,95,100})</f>
        <v>90</v>
      </c>
      <c r="J375" s="4"/>
      <c r="K375" s="4"/>
      <c r="L375" s="4">
        <f t="shared" si="40"/>
        <v>90</v>
      </c>
      <c r="M375" s="4">
        <v>8.1</v>
      </c>
      <c r="N375" s="4">
        <f t="shared" ref="N375:N407" si="44">12-M375</f>
        <v>3.9</v>
      </c>
      <c r="O375" s="32">
        <f>LOOKUP(N375,{0,0.5,0.7,0.9,1.1,1.3,1.5,1.7,1.9,2.1,2.3,2.5,2.7,2.9,3.1,3.3,3.5,3.8,4.1,4.2,4.3},{0,10,20,30,40,50,60,62,64,66,68,70,72,74,76,78,80,85,90,95,100})</f>
        <v>85</v>
      </c>
      <c r="P375" s="4">
        <v>3.47</v>
      </c>
      <c r="Q375" s="4">
        <f t="shared" si="41"/>
        <v>6.53</v>
      </c>
      <c r="R375" s="32">
        <f>LOOKUP(Q375,{0,4.72,4.82,4.92,5.42,5.52,5.62,5.67,5.72,5.77,5.82,5.87,5.92,5.97,6.42,6.47,6.52,6.59,6.66,6.72,6.78},{0,10,20,30,40,50,60,62,64,66,68,70,72,74,76,78,80,85,90,95,100})</f>
        <v>80</v>
      </c>
      <c r="S375" s="4"/>
      <c r="T375" s="4"/>
      <c r="U375" s="4">
        <f t="shared" si="42"/>
        <v>80</v>
      </c>
      <c r="V375" s="4"/>
      <c r="W375" s="5">
        <f t="shared" si="43"/>
        <v>58.3</v>
      </c>
      <c r="X375" s="20">
        <f t="shared" ref="X375:X438" si="45">W375/0.7+K375+T375</f>
        <v>83.2857142857143</v>
      </c>
    </row>
    <row r="376" ht="15.6" hidden="1" spans="1:24">
      <c r="A376" s="4">
        <v>213</v>
      </c>
      <c r="B376" s="24" t="s">
        <v>696</v>
      </c>
      <c r="C376" s="25" t="s">
        <v>53</v>
      </c>
      <c r="D376" s="4">
        <v>13.5</v>
      </c>
      <c r="E376" s="32">
        <f>LOOKUP(D376,{0,1,1.8,2.6,3.4,4.2,5,6.3,7.6,8.9,10.2,11.5,12.8,14.1,15.4,16.7,18,19.7,21.4,23.1,24.8},{0,10,20,30,40,50,60,62,64,66,68,70,72,74,76,78,80,85,90,95,100})</f>
        <v>72</v>
      </c>
      <c r="F376" s="4">
        <v>170</v>
      </c>
      <c r="G376" s="32">
        <f>LOOKUP(F376,{0,124,129,134,139,144,149,152,155,158,161,164,167,170,173,176,179,186,193,199,205},{0,10,20,30,40,50,60,62,64,66,68,70,72,74,76,78,80,85,90,95,100})</f>
        <v>74</v>
      </c>
      <c r="H376" s="4">
        <v>50</v>
      </c>
      <c r="I376" s="32">
        <f>LOOKUP(H376,{0,14,16,18,20,22,24,26,28,30,32,34,36,38,40,42,44,47,50,52,54},{0,10,20,30,40,50,60,62,64,66,68,70,72,74,76,78,80,85,90,95,100})</f>
        <v>90</v>
      </c>
      <c r="L376" s="4">
        <f t="shared" si="40"/>
        <v>90</v>
      </c>
      <c r="M376" s="4">
        <v>8.6</v>
      </c>
      <c r="N376" s="4">
        <f t="shared" si="44"/>
        <v>3.4</v>
      </c>
      <c r="O376" s="32">
        <f>LOOKUP(N376,{0,0.5,0.7,0.9,1.1,1.3,1.5,1.7,1.9,2.1,2.3,2.5,2.7,2.9,3.1,3.3,3.5,3.8,4.1,4.2,4.3},{0,10,20,30,40,50,60,62,64,66,68,70,72,74,76,78,80,85,90,95,100})</f>
        <v>78</v>
      </c>
      <c r="P376" s="4">
        <v>3.25</v>
      </c>
      <c r="Q376" s="4">
        <f t="shared" si="41"/>
        <v>6.75</v>
      </c>
      <c r="R376" s="32">
        <f>LOOKUP(Q376,{0,4.72,4.82,4.92,5.42,5.52,5.62,5.67,5.72,5.77,5.82,5.87,5.92,5.97,6.42,6.47,6.52,6.59,6.66,6.72,6.78},{0,10,20,30,40,50,60,62,64,66,68,70,72,74,76,78,80,85,90,95,100})</f>
        <v>95</v>
      </c>
      <c r="U376" s="4">
        <f t="shared" si="42"/>
        <v>95</v>
      </c>
      <c r="W376" s="5">
        <f t="shared" si="43"/>
        <v>58.2</v>
      </c>
      <c r="X376" s="20">
        <f t="shared" si="45"/>
        <v>83.1428571428572</v>
      </c>
    </row>
    <row r="377" ht="15.6" hidden="1" spans="1:24">
      <c r="A377" s="4">
        <v>211</v>
      </c>
      <c r="B377" s="33" t="s">
        <v>597</v>
      </c>
      <c r="C377" s="25" t="s">
        <v>53</v>
      </c>
      <c r="D377" s="4">
        <v>16</v>
      </c>
      <c r="E377" s="32">
        <f>LOOKUP(D377,{0,1,1.8,2.6,3.4,4.2,5,6.3,7.6,8.9,10.2,11.5,12.8,14.1,15.4,16.7,18,19.7,21.4,23.1,24.8},{0,10,20,30,40,50,60,62,64,66,68,70,72,74,76,78,80,85,90,95,100})</f>
        <v>76</v>
      </c>
      <c r="F377" s="4">
        <v>207</v>
      </c>
      <c r="G377" s="32">
        <f>LOOKUP(F377,{0,124,129,134,139,144,149,152,155,158,161,164,167,170,173,176,179,186,193,199,205},{0,10,20,30,40,50,60,62,64,66,68,70,72,74,76,78,80,85,90,95,100})</f>
        <v>100</v>
      </c>
      <c r="H377" s="4">
        <v>44</v>
      </c>
      <c r="I377" s="32">
        <f>LOOKUP(H377,{0,14,16,18,20,22,24,26,28,30,32,34,36,38,40,42,44,47,50,52,54},{0,10,20,30,40,50,60,62,64,66,68,70,72,74,76,78,80,85,90,95,100})</f>
        <v>80</v>
      </c>
      <c r="L377" s="4">
        <f t="shared" si="40"/>
        <v>80</v>
      </c>
      <c r="M377" s="4">
        <v>9.6</v>
      </c>
      <c r="N377" s="4">
        <f t="shared" si="44"/>
        <v>2.4</v>
      </c>
      <c r="O377" s="32">
        <f>LOOKUP(N377,{0,0.5,0.7,0.9,1.1,1.3,1.5,1.7,1.9,2.1,2.3,2.5,2.7,2.9,3.1,3.3,3.5,3.8,4.1,4.2,4.3},{0,10,20,30,40,50,60,62,64,66,68,70,72,74,76,78,80,85,90,95,100})</f>
        <v>68</v>
      </c>
      <c r="P377" s="4">
        <v>3.28</v>
      </c>
      <c r="Q377" s="4">
        <f t="shared" si="41"/>
        <v>6.72</v>
      </c>
      <c r="R377" s="32">
        <f>LOOKUP(Q377,{0,4.72,4.82,4.92,5.42,5.52,5.62,5.67,5.72,5.77,5.82,5.87,5.92,5.97,6.42,6.47,6.52,6.59,6.66,6.72,6.78},{0,10,20,30,40,50,60,62,64,66,68,70,72,74,76,78,80,85,90,95,100})</f>
        <v>95</v>
      </c>
      <c r="U377" s="4">
        <f t="shared" si="42"/>
        <v>95</v>
      </c>
      <c r="W377" s="5">
        <f t="shared" si="43"/>
        <v>58.2</v>
      </c>
      <c r="X377" s="20">
        <f t="shared" si="45"/>
        <v>83.1428571428572</v>
      </c>
    </row>
    <row r="378" ht="15.6" hidden="1" spans="1:24">
      <c r="A378" s="4">
        <v>214</v>
      </c>
      <c r="B378" s="24" t="s">
        <v>768</v>
      </c>
      <c r="C378" s="25" t="s">
        <v>53</v>
      </c>
      <c r="D378" s="4">
        <v>19.5</v>
      </c>
      <c r="E378" s="32">
        <f>LOOKUP(D378,{0,1,1.8,2.6,3.4,4.2,5,6.3,7.6,8.9,10.2,11.5,12.8,14.1,15.4,16.7,18,19.7,21.4,23.1,24.8},{0,10,20,30,40,50,60,62,64,66,68,70,72,74,76,78,80,85,90,95,100})</f>
        <v>80</v>
      </c>
      <c r="F378" s="4">
        <v>192</v>
      </c>
      <c r="G378" s="32">
        <f>LOOKUP(F378,{0,124,129,134,139,144,149,152,155,158,161,164,167,170,173,176,179,186,193,199,205},{0,10,20,30,40,50,60,62,64,66,68,70,72,74,76,78,80,85,90,95,100})</f>
        <v>85</v>
      </c>
      <c r="H378" s="4">
        <v>49</v>
      </c>
      <c r="I378" s="32">
        <f>LOOKUP(H378,{0,14,16,18,20,22,24,26,28,30,32,34,36,38,40,42,44,47,50,52,54},{0,10,20,30,40,50,60,62,64,66,68,70,72,74,76,78,80,85,90,95,100})</f>
        <v>85</v>
      </c>
      <c r="L378" s="4">
        <f t="shared" si="40"/>
        <v>85</v>
      </c>
      <c r="M378" s="4">
        <v>8.9</v>
      </c>
      <c r="N378" s="4">
        <f t="shared" si="44"/>
        <v>3.1</v>
      </c>
      <c r="O378" s="32">
        <f>LOOKUP(N378,{0,0.5,0.7,0.9,1.1,1.3,1.5,1.7,1.9,2.1,2.3,2.5,2.7,2.9,3.1,3.3,3.5,3.8,4.1,4.2,4.3},{0,10,20,30,40,50,60,62,64,66,68,70,72,74,76,78,80,85,90,95,100})</f>
        <v>76</v>
      </c>
      <c r="P378" s="4">
        <v>3.3</v>
      </c>
      <c r="Q378" s="4">
        <f t="shared" si="41"/>
        <v>6.7</v>
      </c>
      <c r="R378" s="32">
        <f>LOOKUP(Q378,{0,4.72,4.82,4.92,5.42,5.52,5.62,5.67,5.72,5.77,5.82,5.87,5.92,5.97,6.42,6.47,6.52,6.59,6.66,6.72,6.78},{0,10,20,30,40,50,60,62,64,66,68,70,72,74,76,78,80,85,90,95,100})</f>
        <v>90</v>
      </c>
      <c r="U378" s="4">
        <f t="shared" si="42"/>
        <v>90</v>
      </c>
      <c r="W378" s="5">
        <f t="shared" si="43"/>
        <v>58.2</v>
      </c>
      <c r="X378" s="20">
        <f t="shared" si="45"/>
        <v>83.1428571428572</v>
      </c>
    </row>
    <row r="379" ht="15.6" hidden="1" spans="1:24">
      <c r="A379" s="4">
        <v>210</v>
      </c>
      <c r="B379" s="24" t="s">
        <v>533</v>
      </c>
      <c r="C379" s="25" t="s">
        <v>53</v>
      </c>
      <c r="D379" s="4">
        <v>22.5</v>
      </c>
      <c r="E379" s="32">
        <f>LOOKUP(D379,{0,1,1.8,2.6,3.4,4.2,5,6.3,7.6,8.9,10.2,11.5,12.8,14.1,15.4,16.7,18,19.7,21.4,23.1,24.8},{0,10,20,30,40,50,60,62,64,66,68,70,72,74,76,78,80,85,90,95,100})</f>
        <v>90</v>
      </c>
      <c r="F379" s="4">
        <v>177</v>
      </c>
      <c r="G379" s="32">
        <f>LOOKUP(F379,{0,124,129,134,139,144,149,152,155,158,161,164,167,170,173,176,179,186,193,199,205},{0,10,20,30,40,50,60,62,64,66,68,70,72,74,76,78,80,85,90,95,100})</f>
        <v>78</v>
      </c>
      <c r="H379" s="4">
        <v>43</v>
      </c>
      <c r="I379" s="32">
        <f>LOOKUP(H379,{0,14,16,18,20,22,24,26,28,30,32,34,36,38,40,42,44,47,50,52,54},{0,10,20,30,40,50,60,62,64,66,68,70,72,74,76,78,80,85,90,95,100})</f>
        <v>78</v>
      </c>
      <c r="L379" s="4">
        <f t="shared" si="40"/>
        <v>78</v>
      </c>
      <c r="M379" s="4">
        <v>8.6</v>
      </c>
      <c r="N379" s="4">
        <f t="shared" si="44"/>
        <v>3.4</v>
      </c>
      <c r="O379" s="32">
        <f>LOOKUP(N379,{0,0.5,0.7,0.9,1.1,1.3,1.5,1.7,1.9,2.1,2.3,2.5,2.7,2.9,3.1,3.3,3.5,3.8,4.1,4.2,4.3},{0,10,20,30,40,50,60,62,64,66,68,70,72,74,76,78,80,85,90,95,100})</f>
        <v>78</v>
      </c>
      <c r="P379" s="4">
        <v>3.32</v>
      </c>
      <c r="Q379" s="4">
        <f t="shared" si="41"/>
        <v>6.68</v>
      </c>
      <c r="R379" s="32">
        <f>LOOKUP(Q379,{0,4.72,4.82,4.92,5.42,5.52,5.62,5.67,5.72,5.77,5.82,5.87,5.92,5.97,6.42,6.47,6.52,6.59,6.66,6.72,6.78},{0,10,20,30,40,50,60,62,64,66,68,70,72,74,76,78,80,85,90,95,100})</f>
        <v>90</v>
      </c>
      <c r="U379" s="4">
        <f t="shared" si="42"/>
        <v>90</v>
      </c>
      <c r="W379" s="5">
        <f t="shared" si="43"/>
        <v>58.2</v>
      </c>
      <c r="X379" s="20">
        <f t="shared" si="45"/>
        <v>83.1428571428572</v>
      </c>
    </row>
    <row r="380" ht="15.6" hidden="1" spans="1:24">
      <c r="A380" s="4">
        <v>215</v>
      </c>
      <c r="B380" s="24" t="s">
        <v>817</v>
      </c>
      <c r="C380" s="25" t="s">
        <v>53</v>
      </c>
      <c r="D380" s="4">
        <v>16</v>
      </c>
      <c r="E380" s="32">
        <f>LOOKUP(D380,{0,1,1.8,2.6,3.4,4.2,5,6.3,7.6,8.9,10.2,11.5,12.8,14.1,15.4,16.7,18,19.7,21.4,23.1,24.8},{0,10,20,30,40,50,60,62,64,66,68,70,72,74,76,78,80,85,90,95,100})</f>
        <v>76</v>
      </c>
      <c r="F380" s="4">
        <v>205</v>
      </c>
      <c r="G380" s="32">
        <f>LOOKUP(F380,{0,124,129,134,139,144,149,152,155,158,161,164,167,170,173,176,179,186,193,199,205},{0,10,20,30,40,50,60,62,64,66,68,70,72,74,76,78,80,85,90,95,100})</f>
        <v>100</v>
      </c>
      <c r="H380" s="4">
        <v>40</v>
      </c>
      <c r="I380" s="32">
        <f>LOOKUP(H380,{0,14,16,18,20,22,24,26,28,30,32,34,36,38,40,42,44,47,50,52,54},{0,10,20,30,40,50,60,62,64,66,68,70,72,74,76,78,80,85,90,95,100})</f>
        <v>76</v>
      </c>
      <c r="L380" s="4">
        <f t="shared" si="40"/>
        <v>76</v>
      </c>
      <c r="M380" s="4">
        <v>8.2</v>
      </c>
      <c r="N380" s="4">
        <f t="shared" si="44"/>
        <v>3.8</v>
      </c>
      <c r="O380" s="32">
        <f>LOOKUP(N380,{0,0.5,0.7,0.9,1.1,1.3,1.5,1.7,1.9,2.1,2.3,2.5,2.7,2.9,3.1,3.3,3.5,3.8,4.1,4.2,4.3},{0,10,20,30,40,50,60,62,64,66,68,70,72,74,76,78,80,85,90,95,100})</f>
        <v>85</v>
      </c>
      <c r="P380" s="4">
        <v>3.44</v>
      </c>
      <c r="Q380" s="4">
        <f t="shared" si="41"/>
        <v>6.56</v>
      </c>
      <c r="R380" s="32">
        <f>LOOKUP(Q380,{0,4.72,4.82,4.92,5.42,5.52,5.62,5.67,5.72,5.77,5.82,5.87,5.92,5.97,6.42,6.47,6.52,6.59,6.66,6.72,6.78},{0,10,20,30,40,50,60,62,64,66,68,70,72,74,76,78,80,85,90,95,100})</f>
        <v>80</v>
      </c>
      <c r="U380" s="4">
        <f t="shared" si="42"/>
        <v>80</v>
      </c>
      <c r="W380" s="5">
        <f t="shared" si="43"/>
        <v>58.2</v>
      </c>
      <c r="X380" s="20">
        <f t="shared" si="45"/>
        <v>83.1428571428572</v>
      </c>
    </row>
    <row r="381" ht="15.6" hidden="1" spans="1:24">
      <c r="A381" s="4">
        <v>214</v>
      </c>
      <c r="B381" s="24" t="s">
        <v>761</v>
      </c>
      <c r="C381" s="25" t="s">
        <v>53</v>
      </c>
      <c r="D381" s="4">
        <v>22</v>
      </c>
      <c r="E381" s="32">
        <f>LOOKUP(D381,{0,1,1.8,2.6,3.4,4.2,5,6.3,7.6,8.9,10.2,11.5,12.8,14.1,15.4,16.7,18,19.7,21.4,23.1,24.8},{0,10,20,30,40,50,60,62,64,66,68,70,72,74,76,78,80,85,90,95,100})</f>
        <v>90</v>
      </c>
      <c r="F381" s="4">
        <v>187</v>
      </c>
      <c r="G381" s="32">
        <f>LOOKUP(F381,{0,124,129,134,139,144,149,152,155,158,161,164,167,170,173,176,179,186,193,199,205},{0,10,20,30,40,50,60,62,64,66,68,70,72,74,76,78,80,85,90,95,100})</f>
        <v>85</v>
      </c>
      <c r="H381" s="4">
        <v>50</v>
      </c>
      <c r="I381" s="32">
        <f>LOOKUP(H381,{0,14,16,18,20,22,24,26,28,30,32,34,36,38,40,42,44,47,50,52,54},{0,10,20,30,40,50,60,62,64,66,68,70,72,74,76,78,80,85,90,95,100})</f>
        <v>90</v>
      </c>
      <c r="L381" s="4">
        <f t="shared" si="40"/>
        <v>90</v>
      </c>
      <c r="M381" s="4">
        <v>8.3</v>
      </c>
      <c r="N381" s="4">
        <f t="shared" si="44"/>
        <v>3.7</v>
      </c>
      <c r="O381" s="32">
        <f>LOOKUP(N381,{0,0.5,0.7,0.9,1.1,1.3,1.5,1.7,1.9,2.1,2.3,2.5,2.7,2.9,3.1,3.3,3.5,3.8,4.1,4.2,4.3},{0,10,20,30,40,50,60,62,64,66,68,70,72,74,76,78,80,85,90,95,100})</f>
        <v>80</v>
      </c>
      <c r="P381" s="4">
        <v>3.49</v>
      </c>
      <c r="Q381" s="4">
        <f t="shared" si="41"/>
        <v>6.51</v>
      </c>
      <c r="R381" s="32">
        <f>LOOKUP(Q381,{0,4.72,4.82,4.92,5.42,5.52,5.62,5.67,5.72,5.77,5.82,5.87,5.92,5.97,6.42,6.47,6.52,6.59,6.66,6.72,6.78},{0,10,20,30,40,50,60,62,64,66,68,70,72,74,76,78,80,85,90,95,100})</f>
        <v>78</v>
      </c>
      <c r="U381" s="4">
        <f t="shared" si="42"/>
        <v>78</v>
      </c>
      <c r="W381" s="5">
        <f t="shared" si="43"/>
        <v>58.1</v>
      </c>
      <c r="X381" s="20">
        <f t="shared" si="45"/>
        <v>83</v>
      </c>
    </row>
    <row r="382" ht="15.6" hidden="1" spans="1:24">
      <c r="A382" s="4">
        <v>213</v>
      </c>
      <c r="B382" s="24" t="s">
        <v>691</v>
      </c>
      <c r="C382" s="25" t="s">
        <v>53</v>
      </c>
      <c r="D382" s="4">
        <v>9.9</v>
      </c>
      <c r="E382" s="32">
        <f>LOOKUP(D382,{0,1,1.8,2.6,3.4,4.2,5,6.3,7.6,8.9,10.2,11.5,12.8,14.1,15.4,16.7,18,19.7,21.4,23.1,24.8},{0,10,20,30,40,50,60,62,64,66,68,70,72,74,76,78,80,85,90,95,100})</f>
        <v>66</v>
      </c>
      <c r="F382" s="4">
        <v>185</v>
      </c>
      <c r="G382" s="32">
        <f>LOOKUP(F382,{0,124,129,134,139,144,149,152,155,158,161,164,167,170,173,176,179,186,193,199,205},{0,10,20,30,40,50,60,62,64,66,68,70,72,74,76,78,80,85,90,95,100})</f>
        <v>80</v>
      </c>
      <c r="H382" s="4">
        <v>38</v>
      </c>
      <c r="I382" s="32">
        <f>LOOKUP(H382,{0,14,16,18,20,22,24,26,28,30,32,34,36,38,40,42,44,47,50,52,54},{0,10,20,30,40,50,60,62,64,66,68,70,72,74,76,78,80,85,90,95,100})</f>
        <v>74</v>
      </c>
      <c r="L382" s="4">
        <f t="shared" si="40"/>
        <v>74</v>
      </c>
      <c r="M382" s="4">
        <v>7.9</v>
      </c>
      <c r="N382" s="4">
        <f t="shared" si="44"/>
        <v>4.1</v>
      </c>
      <c r="O382" s="32">
        <f>LOOKUP(N382,{0,0.5,0.7,0.9,1.1,1.3,1.5,1.7,1.9,2.1,2.3,2.5,2.7,2.9,3.1,3.3,3.5,3.8,4.1,4.2,4.3},{0,10,20,30,40,50,60,62,64,66,68,70,72,74,76,78,80,85,90,95,100})</f>
        <v>90</v>
      </c>
      <c r="P382" s="4">
        <v>3.34</v>
      </c>
      <c r="Q382" s="4">
        <f t="shared" si="41"/>
        <v>6.66</v>
      </c>
      <c r="R382" s="32">
        <f>LOOKUP(Q382,{0,4.72,4.82,4.92,5.42,5.52,5.62,5.67,5.72,5.77,5.82,5.87,5.92,5.97,6.42,6.47,6.52,6.59,6.66,6.72,6.78},{0,10,20,30,40,50,60,62,64,66,68,70,72,74,76,78,80,85,90,95,100})</f>
        <v>90</v>
      </c>
      <c r="U382" s="4">
        <f t="shared" si="42"/>
        <v>90</v>
      </c>
      <c r="W382" s="5">
        <f t="shared" si="43"/>
        <v>58</v>
      </c>
      <c r="X382" s="20">
        <f t="shared" si="45"/>
        <v>82.8571428571429</v>
      </c>
    </row>
    <row r="383" ht="15.6" hidden="1" spans="1:24">
      <c r="A383" s="4">
        <v>207</v>
      </c>
      <c r="B383" s="24" t="s">
        <v>369</v>
      </c>
      <c r="C383" s="25" t="s">
        <v>53</v>
      </c>
      <c r="D383" s="4">
        <v>25.6</v>
      </c>
      <c r="E383" s="32">
        <f>LOOKUP(D383,{0,1,1.8,2.6,3.4,4.2,5,6.3,7.6,8.9,10.2,11.5,12.8,14.1,15.4,16.7,18,19.7,21.4,23.1,24.8},{0,10,20,30,40,50,60,62,64,66,68,70,72,74,76,78,80,85,90,95,100})</f>
        <v>100</v>
      </c>
      <c r="F383" s="4">
        <v>180</v>
      </c>
      <c r="G383" s="32">
        <f>LOOKUP(F383,{0,124,129,134,139,144,149,152,155,158,161,164,167,170,173,176,179,186,193,199,205},{0,10,20,30,40,50,60,62,64,66,68,70,72,74,76,78,80,85,90,95,100})</f>
        <v>80</v>
      </c>
      <c r="H383" s="4">
        <v>42</v>
      </c>
      <c r="I383" s="32">
        <f>LOOKUP(H383,{0,14,16,18,20,22,24,26,28,30,32,34,36,38,40,42,44,47,50,52,54},{0,10,20,30,40,50,60,62,64,66,68,70,72,74,76,78,80,85,90,95,100})</f>
        <v>78</v>
      </c>
      <c r="L383" s="4">
        <f t="shared" si="40"/>
        <v>78</v>
      </c>
      <c r="M383" s="4">
        <v>8.8</v>
      </c>
      <c r="N383" s="4">
        <f t="shared" si="44"/>
        <v>3.2</v>
      </c>
      <c r="O383" s="32">
        <f>LOOKUP(N383,{0,0.5,0.7,0.9,1.1,1.3,1.5,1.7,1.9,2.1,2.3,2.5,2.7,2.9,3.1,3.3,3.5,3.8,4.1,4.2,4.3},{0,10,20,30,40,50,60,62,64,66,68,70,72,74,76,78,80,85,90,95,100})</f>
        <v>76</v>
      </c>
      <c r="P383" s="4">
        <v>3.37</v>
      </c>
      <c r="Q383" s="4">
        <f t="shared" si="41"/>
        <v>6.63</v>
      </c>
      <c r="R383" s="32">
        <f>LOOKUP(Q383,{0,4.72,4.82,4.92,5.42,5.52,5.62,5.67,5.72,5.77,5.82,5.87,5.92,5.97,6.42,6.47,6.52,6.59,6.66,6.72,6.78},{0,10,20,30,40,50,60,62,64,66,68,70,72,74,76,78,80,85,90,95,100})</f>
        <v>85</v>
      </c>
      <c r="U383" s="4">
        <f t="shared" si="42"/>
        <v>85</v>
      </c>
      <c r="W383" s="5">
        <f t="shared" si="43"/>
        <v>58</v>
      </c>
      <c r="X383" s="20">
        <f t="shared" si="45"/>
        <v>82.8571428571429</v>
      </c>
    </row>
    <row r="384" ht="15.6" hidden="1" spans="1:24">
      <c r="A384" s="4">
        <v>210</v>
      </c>
      <c r="B384" s="24" t="s">
        <v>514</v>
      </c>
      <c r="C384" s="25" t="s">
        <v>11</v>
      </c>
      <c r="D384" s="4">
        <v>3</v>
      </c>
      <c r="E384" s="32">
        <f>LOOKUP(D384,{0,-2.9,-1.9,-0.9,0.1,1.1,2.1,3.5,4.9,6.3,7.7,9.1,10.5,11.9,13.3,14.7,16.1,18.3,20.5,22.4,24.3},{0,10,20,30,40,50,60,62,64,66,68,70,72,74,76,78,80,85,90,95,100})</f>
        <v>60</v>
      </c>
      <c r="F384" s="4">
        <v>261</v>
      </c>
      <c r="G384" s="32">
        <f>LOOKUP(F384,{0,175,180,185,190,195,200,204,208,212,216,220,224,228,232,236,240,248,255,260,265},{0,10,20,30,40,50,60,62,64,66,68,70,72,74,76,78,80,85,90,95,100})</f>
        <v>95</v>
      </c>
      <c r="H384" s="4">
        <v>20</v>
      </c>
      <c r="I384" s="32">
        <f>LOOKUP(H384,{0,3,4,5,6,7,8,9,10,11,12,13,14,15,16,17},{0,10,20,30,40,50,60,64,68,72,76,80,85,90,95,100})</f>
        <v>100</v>
      </c>
      <c r="J384" s="4">
        <f>H384-17</f>
        <v>3</v>
      </c>
      <c r="K384" s="32">
        <f>LOOKUP(J384,{0,1,2,3,4,5,6,7,8,9,10},{0,1,2,3,4,5,6,7,8,9,10})</f>
        <v>3</v>
      </c>
      <c r="L384" s="4">
        <f t="shared" si="40"/>
        <v>103</v>
      </c>
      <c r="M384" s="4">
        <v>7.2</v>
      </c>
      <c r="N384" s="4">
        <f t="shared" si="44"/>
        <v>4.8</v>
      </c>
      <c r="O384" s="32">
        <f>LOOKUP(N384,{0,1.6,1.8,2,2.2,2.4,2.6,2.8,3,3.2,3.4,3.6,3.8,4,4.2,4.4,4.6,4.7,4.8,4.9,5},{0,10,20,30,40,50,60,62,64,66,68,70,72,74,76,78,80,85,90,95,100})</f>
        <v>90</v>
      </c>
      <c r="P384" s="4">
        <v>4</v>
      </c>
      <c r="Q384" s="4">
        <f t="shared" si="41"/>
        <v>6</v>
      </c>
      <c r="R384" s="32">
        <f>LOOKUP(Q384,{0,3.8,4,4.6,4.8,5,5.6,5.65,5.7,5.75,5.8,5.85,5.9,5.95,6,6.45,6.5,6.58,6.65,6.7,6.75},{0,10,20,30,40,50,60,62,64,66,68,70,72,74,76,78,80,85,90,95,100})</f>
        <v>76</v>
      </c>
      <c r="U384" s="4">
        <f t="shared" si="42"/>
        <v>76</v>
      </c>
      <c r="W384" s="5">
        <f t="shared" si="43"/>
        <v>58.7</v>
      </c>
      <c r="X384" s="20">
        <f t="shared" si="45"/>
        <v>86.8571428571429</v>
      </c>
    </row>
    <row r="385" ht="15.6" hidden="1" spans="1:24">
      <c r="A385" s="4">
        <v>201</v>
      </c>
      <c r="B385" s="24" t="s">
        <v>23</v>
      </c>
      <c r="C385" s="25" t="s">
        <v>11</v>
      </c>
      <c r="D385" s="4">
        <v>13</v>
      </c>
      <c r="E385" s="32">
        <f>LOOKUP(D385,{0,-2.9,-1.9,-0.9,0.1,1.1,2.1,3.5,4.9,6.3,7.7,9.1,10.5,11.9,13.3,14.7,16.1,18.3,20.5,22.4,24.3},{0,10,20,30,40,50,60,62,64,66,68,70,72,74,76,78,80,85,90,95,100})</f>
        <v>74</v>
      </c>
      <c r="F385" s="4">
        <v>230</v>
      </c>
      <c r="G385" s="32">
        <f>LOOKUP(F385,{0,175,180,185,190,195,200,204,208,212,216,220,224,228,232,236,240,248,255,260,265},{0,10,20,30,40,50,60,62,64,66,68,70,72,74,76,78,80,85,90,95,100})</f>
        <v>74</v>
      </c>
      <c r="H385" s="4">
        <v>8</v>
      </c>
      <c r="I385" s="32">
        <f>LOOKUP(H385,{0,3,4,5,6,7,8,9,10,11,12,13,14,15,16,17},{0,10,20,30,40,50,60,64,68,72,76,80,85,90,95,100})</f>
        <v>60</v>
      </c>
      <c r="L385" s="4">
        <f t="shared" si="40"/>
        <v>60</v>
      </c>
      <c r="M385" s="4">
        <v>7.4</v>
      </c>
      <c r="N385" s="4">
        <f t="shared" si="44"/>
        <v>4.6</v>
      </c>
      <c r="O385" s="32">
        <f>LOOKUP(N385,{0,1.6,1.8,2,2.2,2.4,2.6,2.8,3,3.2,3.4,3.6,3.8,4,4.2,4.4,4.6,4.7,4.8,4.9,5},{0,10,20,30,40,50,60,62,64,66,68,70,72,74,76,78,80,85,90,95,100})</f>
        <v>80</v>
      </c>
      <c r="P385" s="4">
        <v>4</v>
      </c>
      <c r="Q385" s="4">
        <f t="shared" si="41"/>
        <v>6</v>
      </c>
      <c r="R385" s="32">
        <f>LOOKUP(Q385,{0,3.8,4,4.6,4.8,5,5.6,5.65,5.7,5.75,5.8,5.85,5.9,5.95,6,6.45,6.5,6.58,6.65,6.7,6.75},{0,10,20,30,40,50,60,62,64,66,68,70,72,74,76,78,80,85,90,95,100})</f>
        <v>76</v>
      </c>
      <c r="U385" s="4">
        <f t="shared" si="42"/>
        <v>76</v>
      </c>
      <c r="W385" s="5">
        <f t="shared" si="43"/>
        <v>52</v>
      </c>
      <c r="X385" s="20">
        <f t="shared" si="45"/>
        <v>74.2857142857143</v>
      </c>
    </row>
    <row r="386" ht="15.6" hidden="1" spans="1:24">
      <c r="A386" s="4">
        <v>210</v>
      </c>
      <c r="B386" s="24" t="s">
        <v>515</v>
      </c>
      <c r="C386" s="25" t="s">
        <v>11</v>
      </c>
      <c r="D386" s="4">
        <v>4.6</v>
      </c>
      <c r="E386" s="32">
        <f>LOOKUP(D386,{0,-2.9,-1.9,-0.9,0.1,1.1,2.1,3.5,4.9,6.3,7.7,9.1,10.5,11.9,13.3,14.7,16.1,18.3,20.5,22.4,24.3},{0,10,20,30,40,50,60,62,64,66,68,70,72,74,76,78,80,85,90,95,100})</f>
        <v>62</v>
      </c>
      <c r="F386" s="4">
        <v>251</v>
      </c>
      <c r="G386" s="32">
        <f>LOOKUP(F386,{0,175,180,185,190,195,200,204,208,212,216,220,224,228,232,236,240,248,255,260,265},{0,10,20,30,40,50,60,62,64,66,68,70,72,74,76,78,80,85,90,95,100})</f>
        <v>85</v>
      </c>
      <c r="H386" s="4">
        <v>20</v>
      </c>
      <c r="I386" s="32">
        <f>LOOKUP(H386,{0,3,4,5,6,7,8,9,10,11,12,13,14,15,16,17},{0,10,20,30,40,50,60,64,68,72,76,80,85,90,95,100})</f>
        <v>100</v>
      </c>
      <c r="J386" s="4">
        <f>H386-17</f>
        <v>3</v>
      </c>
      <c r="K386" s="32">
        <f>LOOKUP(J386,{0,1,2,3,4,5,6,7,8,9,10},{0,1,2,3,4,5,6,7,8,9,10})</f>
        <v>3</v>
      </c>
      <c r="L386" s="4">
        <f t="shared" ref="L386:L449" si="46">I386+K386</f>
        <v>103</v>
      </c>
      <c r="M386" s="4">
        <v>7.7</v>
      </c>
      <c r="N386" s="4">
        <f t="shared" si="44"/>
        <v>4.3</v>
      </c>
      <c r="O386" s="32">
        <f>LOOKUP(N386,{0,1.6,1.8,2,2.2,2.4,2.6,2.8,3,3.2,3.4,3.6,3.8,4,4.2,4.4,4.6,4.7,4.8,4.9,5},{0,10,20,30,40,50,60,62,64,66,68,70,72,74,76,78,80,85,90,95,100})</f>
        <v>76</v>
      </c>
      <c r="P386" s="4">
        <v>4</v>
      </c>
      <c r="Q386" s="4">
        <f t="shared" ref="Q386:Q449" si="47">10-P386</f>
        <v>6</v>
      </c>
      <c r="R386" s="32">
        <f>LOOKUP(Q386,{0,3.8,4,4.6,4.8,5,5.6,5.65,5.7,5.75,5.8,5.85,5.9,5.95,6,6.45,6.5,6.58,6.65,6.7,6.75},{0,10,20,30,40,50,60,62,64,66,68,70,72,74,76,78,80,85,90,95,100})</f>
        <v>76</v>
      </c>
      <c r="U386" s="4">
        <f t="shared" ref="U386:U449" si="48">R386+T386</f>
        <v>76</v>
      </c>
      <c r="W386" s="5">
        <f t="shared" ref="W386:W449" si="49">E386*0.1+G386*0.1+I386*0.1+O386*0.2+R386*0.2</f>
        <v>55.1</v>
      </c>
      <c r="X386" s="20">
        <f t="shared" si="45"/>
        <v>81.7142857142857</v>
      </c>
    </row>
    <row r="387" s="1" customFormat="1" ht="15.6" hidden="1" spans="1:24">
      <c r="A387" s="4">
        <v>214</v>
      </c>
      <c r="B387" s="24" t="s">
        <v>737</v>
      </c>
      <c r="C387" s="25" t="s">
        <v>11</v>
      </c>
      <c r="D387" s="4">
        <v>18.4</v>
      </c>
      <c r="E387" s="32">
        <f>LOOKUP(D387,{0,-2.9,-1.9,-0.9,0.1,1.1,2.1,3.5,4.9,6.3,7.7,9.1,10.5,11.9,13.3,14.7,16.1,18.3,20.5,22.4,24.3},{0,10,20,30,40,50,60,62,64,66,68,70,72,74,76,78,80,85,90,95,100})</f>
        <v>85</v>
      </c>
      <c r="F387" s="4">
        <v>236</v>
      </c>
      <c r="G387" s="32">
        <f>LOOKUP(F387,{0,175,180,185,190,195,200,204,208,212,216,220,224,228,232,236,240,248,255,260,265},{0,10,20,30,40,50,60,62,64,66,68,70,72,74,76,78,80,85,90,95,100})</f>
        <v>78</v>
      </c>
      <c r="H387" s="4">
        <v>2</v>
      </c>
      <c r="I387" s="32">
        <f>LOOKUP(H387,{0,3,4,5,6,7,8,9,10,11,12,13,14,15,16,17},{0,10,20,30,40,50,60,64,68,72,76,80,85,90,95,100})</f>
        <v>0</v>
      </c>
      <c r="J387" s="4"/>
      <c r="K387" s="35"/>
      <c r="L387" s="4">
        <f t="shared" si="46"/>
        <v>0</v>
      </c>
      <c r="M387" s="4">
        <v>6.8</v>
      </c>
      <c r="N387" s="4">
        <f t="shared" si="44"/>
        <v>5.2</v>
      </c>
      <c r="O387" s="32">
        <f>LOOKUP(N387,{0,1.6,1.8,2,2.2,2.4,2.6,2.8,3,3.2,3.4,3.6,3.8,4,4.2,4.4,4.6,4.7,4.8,4.9,5},{0,10,20,30,40,50,60,62,64,66,68,70,72,74,76,78,80,85,90,95,100})</f>
        <v>100</v>
      </c>
      <c r="P387" s="4">
        <v>4.01</v>
      </c>
      <c r="Q387" s="4">
        <f t="shared" si="47"/>
        <v>5.99</v>
      </c>
      <c r="R387" s="32">
        <f>LOOKUP(Q387,{0,3.8,4,4.6,4.8,5,5.6,5.65,5.7,5.75,5.8,5.85,5.9,5.95,6,6.45,6.5,6.58,6.65,6.7,6.75},{0,10,20,30,40,50,60,62,64,66,68,70,72,74,76,78,80,85,90,95,100})</f>
        <v>74</v>
      </c>
      <c r="S387" s="4"/>
      <c r="T387" s="4"/>
      <c r="U387" s="4">
        <f t="shared" si="48"/>
        <v>74</v>
      </c>
      <c r="V387" s="4"/>
      <c r="W387" s="5">
        <f t="shared" si="49"/>
        <v>51.1</v>
      </c>
      <c r="X387" s="20">
        <f t="shared" si="45"/>
        <v>73</v>
      </c>
    </row>
    <row r="388" ht="15.6" hidden="1" spans="1:24">
      <c r="A388" s="4">
        <v>201</v>
      </c>
      <c r="B388" s="24" t="s">
        <v>48</v>
      </c>
      <c r="C388" s="25" t="s">
        <v>11</v>
      </c>
      <c r="D388" s="4">
        <v>15.5</v>
      </c>
      <c r="E388" s="32">
        <f>LOOKUP(D388,{0,-2.9,-1.9,-0.9,0.1,1.1,2.1,3.5,4.9,6.3,7.7,9.1,10.5,11.9,13.3,14.7,16.1,18.3,20.5,22.4,24.3},{0,10,20,30,40,50,60,62,64,66,68,70,72,74,76,78,80,85,90,95,100})</f>
        <v>78</v>
      </c>
      <c r="F388" s="4">
        <v>258</v>
      </c>
      <c r="G388" s="32">
        <f>LOOKUP(F388,{0,175,180,185,190,195,200,204,208,212,216,220,224,228,232,236,240,248,255,260,265},{0,10,20,30,40,50,60,62,64,66,68,70,72,74,76,78,80,85,90,95,100})</f>
        <v>90</v>
      </c>
      <c r="H388" s="4">
        <v>9</v>
      </c>
      <c r="I388" s="32">
        <f>LOOKUP(H388,{0,3,4,5,6,7,8,9,10,11,12,13,14,15,16,17},{0,10,20,30,40,50,60,64,68,72,76,80,85,90,95,100})</f>
        <v>64</v>
      </c>
      <c r="K388" s="35"/>
      <c r="L388" s="4">
        <f t="shared" si="46"/>
        <v>64</v>
      </c>
      <c r="M388" s="4">
        <v>7.2</v>
      </c>
      <c r="N388" s="4">
        <f t="shared" si="44"/>
        <v>4.8</v>
      </c>
      <c r="O388" s="32">
        <f>LOOKUP(N388,{0,1.6,1.8,2,2.2,2.4,2.6,2.8,3,3.2,3.4,3.6,3.8,4,4.2,4.4,4.6,4.7,4.8,4.9,5},{0,10,20,30,40,50,60,62,64,66,68,70,72,74,76,78,80,85,90,95,100})</f>
        <v>90</v>
      </c>
      <c r="P388" s="4">
        <v>4.01</v>
      </c>
      <c r="Q388" s="4">
        <f t="shared" si="47"/>
        <v>5.99</v>
      </c>
      <c r="R388" s="32">
        <f>LOOKUP(Q388,{0,3.8,4,4.6,4.8,5,5.6,5.65,5.7,5.75,5.8,5.85,5.9,5.95,6,6.45,6.5,6.58,6.65,6.7,6.75},{0,10,20,30,40,50,60,62,64,66,68,70,72,74,76,78,80,85,90,95,100})</f>
        <v>74</v>
      </c>
      <c r="U388" s="4">
        <f t="shared" si="48"/>
        <v>74</v>
      </c>
      <c r="W388" s="5">
        <f t="shared" si="49"/>
        <v>56</v>
      </c>
      <c r="X388" s="20">
        <f t="shared" si="45"/>
        <v>80</v>
      </c>
    </row>
    <row r="389" ht="15.6" hidden="1" spans="1:24">
      <c r="A389" s="4">
        <v>210</v>
      </c>
      <c r="B389" s="24" t="s">
        <v>525</v>
      </c>
      <c r="C389" s="25" t="s">
        <v>11</v>
      </c>
      <c r="D389" s="4">
        <v>19.7</v>
      </c>
      <c r="E389" s="32">
        <f>LOOKUP(D389,{0,-2.9,-1.9,-0.9,0.1,1.1,2.1,3.5,4.9,6.3,7.7,9.1,10.5,11.9,13.3,14.7,16.1,18.3,20.5,22.4,24.3},{0,10,20,30,40,50,60,62,64,66,68,70,72,74,76,78,80,85,90,95,100})</f>
        <v>85</v>
      </c>
      <c r="F389" s="4">
        <v>210</v>
      </c>
      <c r="G389" s="32">
        <f>LOOKUP(F389,{0,175,180,185,190,195,200,204,208,212,216,220,224,228,232,236,240,248,255,260,265},{0,10,20,30,40,50,60,62,64,66,68,70,72,74,76,78,80,85,90,95,100})</f>
        <v>64</v>
      </c>
      <c r="H389" s="4">
        <v>10</v>
      </c>
      <c r="I389" s="32">
        <f>LOOKUP(H389,{0,3,4,5,6,7,8,9,10,11,12,13,14,15,16,17},{0,10,20,30,40,50,60,64,68,72,76,80,85,90,95,100})</f>
        <v>68</v>
      </c>
      <c r="L389" s="4">
        <f t="shared" si="46"/>
        <v>68</v>
      </c>
      <c r="M389" s="4">
        <v>8</v>
      </c>
      <c r="N389" s="4">
        <f t="shared" si="44"/>
        <v>4</v>
      </c>
      <c r="O389" s="32">
        <f>LOOKUP(N389,{0,1.6,1.8,2,2.2,2.4,2.6,2.8,3,3.2,3.4,3.6,3.8,4,4.2,4.4,4.6,4.7,4.8,4.9,5},{0,10,20,30,40,50,60,62,64,66,68,70,72,74,76,78,80,85,90,95,100})</f>
        <v>74</v>
      </c>
      <c r="P389" s="4">
        <v>4.01</v>
      </c>
      <c r="Q389" s="4">
        <f t="shared" si="47"/>
        <v>5.99</v>
      </c>
      <c r="R389" s="32">
        <f>LOOKUP(Q389,{0,3.8,4,4.6,4.8,5,5.6,5.65,5.7,5.75,5.8,5.85,5.9,5.95,6,6.45,6.5,6.58,6.65,6.7,6.75},{0,10,20,30,40,50,60,62,64,66,68,70,72,74,76,78,80,85,90,95,100})</f>
        <v>74</v>
      </c>
      <c r="U389" s="4">
        <f t="shared" si="48"/>
        <v>74</v>
      </c>
      <c r="W389" s="5">
        <f t="shared" si="49"/>
        <v>51.3</v>
      </c>
      <c r="X389" s="20">
        <f t="shared" si="45"/>
        <v>73.2857142857143</v>
      </c>
    </row>
    <row r="390" ht="15.6" hidden="1" spans="1:24">
      <c r="A390" s="4">
        <v>215</v>
      </c>
      <c r="B390" s="33" t="s">
        <v>789</v>
      </c>
      <c r="C390" s="25" t="s">
        <v>11</v>
      </c>
      <c r="D390" s="4">
        <v>14.2</v>
      </c>
      <c r="E390" s="32">
        <f>LOOKUP(D390,{0,-2.9,-1.9,-0.9,0.1,1.1,2.1,3.5,4.9,6.3,7.7,9.1,10.5,11.9,13.3,14.7,16.1,18.3,20.5,22.4,24.3},{0,10,20,30,40,50,60,62,64,66,68,70,72,74,76,78,80,85,90,95,100})</f>
        <v>76</v>
      </c>
      <c r="F390" s="4">
        <v>240</v>
      </c>
      <c r="G390" s="32">
        <f>LOOKUP(F390,{0,175,180,185,190,195,200,204,208,212,216,220,224,228,232,236,240,248,255,260,265},{0,10,20,30,40,50,60,62,64,66,68,70,72,74,76,78,80,85,90,95,100})</f>
        <v>80</v>
      </c>
      <c r="H390" s="4">
        <v>8</v>
      </c>
      <c r="I390" s="32">
        <f>LOOKUP(H390,{0,3,4,5,6,7,8,9,10,11,12,13,14,15,16,17},{0,10,20,30,40,50,60,64,68,72,76,80,85,90,95,100})</f>
        <v>60</v>
      </c>
      <c r="L390" s="4">
        <f t="shared" si="46"/>
        <v>60</v>
      </c>
      <c r="M390" s="4">
        <v>7</v>
      </c>
      <c r="N390" s="4">
        <f t="shared" si="44"/>
        <v>5</v>
      </c>
      <c r="O390" s="32">
        <f>LOOKUP(N390,{0,1.6,1.8,2,2.2,2.4,2.6,2.8,3,3.2,3.4,3.6,3.8,4,4.2,4.4,4.6,4.7,4.8,4.9,5},{0,10,20,30,40,50,60,62,64,66,68,70,72,74,76,78,80,85,90,95,100})</f>
        <v>100</v>
      </c>
      <c r="P390" s="4">
        <v>4.02</v>
      </c>
      <c r="Q390" s="4">
        <f t="shared" si="47"/>
        <v>5.98</v>
      </c>
      <c r="R390" s="32">
        <f>LOOKUP(Q390,{0,3.8,4,4.6,4.8,5,5.6,5.65,5.7,5.75,5.8,5.85,5.9,5.95,6,6.45,6.5,6.58,6.65,6.7,6.75},{0,10,20,30,40,50,60,62,64,66,68,70,72,74,76,78,80,85,90,95,100})</f>
        <v>74</v>
      </c>
      <c r="U390" s="4">
        <f t="shared" si="48"/>
        <v>74</v>
      </c>
      <c r="W390" s="5">
        <f t="shared" si="49"/>
        <v>56.4</v>
      </c>
      <c r="X390" s="20">
        <f t="shared" si="45"/>
        <v>80.5714285714286</v>
      </c>
    </row>
    <row r="391" ht="15.6" hidden="1" spans="1:24">
      <c r="A391" s="4">
        <v>205</v>
      </c>
      <c r="B391" s="24" t="s">
        <v>229</v>
      </c>
      <c r="C391" s="25" t="s">
        <v>11</v>
      </c>
      <c r="D391" s="4">
        <v>24.5</v>
      </c>
      <c r="E391" s="32">
        <f>LOOKUP(D391,{0,-2.9,-1.9,-0.9,0.1,1.1,2.1,3.5,4.9,6.3,7.7,9.1,10.5,11.9,13.3,14.7,16.1,18.3,20.5,22.4,24.3},{0,10,20,30,40,50,60,62,64,66,68,70,72,74,76,78,80,85,90,95,100})</f>
        <v>100</v>
      </c>
      <c r="F391" s="4">
        <v>250</v>
      </c>
      <c r="G391" s="32">
        <f>LOOKUP(F391,{0,175,180,185,190,195,200,204,208,212,216,220,224,228,232,236,240,248,255,260,265},{0,10,20,30,40,50,60,62,64,66,68,70,72,74,76,78,80,85,90,95,100})</f>
        <v>85</v>
      </c>
      <c r="H391" s="4">
        <v>1</v>
      </c>
      <c r="I391" s="32">
        <f>LOOKUP(H391,{0,3,4,5,6,7,8,9,10,11,12,13,14,15,16,17},{0,10,20,30,40,50,60,64,68,72,76,80,85,90,95,100})</f>
        <v>0</v>
      </c>
      <c r="L391" s="4">
        <f t="shared" si="46"/>
        <v>0</v>
      </c>
      <c r="M391" s="4">
        <v>7.2</v>
      </c>
      <c r="N391" s="4">
        <f t="shared" si="44"/>
        <v>4.8</v>
      </c>
      <c r="O391" s="32">
        <f>LOOKUP(N391,{0,1.6,1.8,2,2.2,2.4,2.6,2.8,3,3.2,3.4,3.6,3.8,4,4.2,4.4,4.6,4.7,4.8,4.9,5},{0,10,20,30,40,50,60,62,64,66,68,70,72,74,76,78,80,85,90,95,100})</f>
        <v>90</v>
      </c>
      <c r="P391" s="4">
        <v>4.02</v>
      </c>
      <c r="Q391" s="4">
        <f t="shared" si="47"/>
        <v>5.98</v>
      </c>
      <c r="R391" s="32">
        <f>LOOKUP(Q391,{0,3.8,4,4.6,4.8,5,5.6,5.65,5.7,5.75,5.8,5.85,5.9,5.95,6,6.45,6.5,6.58,6.65,6.7,6.75},{0,10,20,30,40,50,60,62,64,66,68,70,72,74,76,78,80,85,90,95,100})</f>
        <v>74</v>
      </c>
      <c r="U391" s="4">
        <f t="shared" si="48"/>
        <v>74</v>
      </c>
      <c r="W391" s="5">
        <f t="shared" si="49"/>
        <v>51.3</v>
      </c>
      <c r="X391" s="20">
        <f t="shared" si="45"/>
        <v>73.2857142857143</v>
      </c>
    </row>
    <row r="392" ht="15.6" hidden="1" spans="1:24">
      <c r="A392" s="4">
        <v>210</v>
      </c>
      <c r="B392" s="24" t="s">
        <v>527</v>
      </c>
      <c r="C392" s="25" t="s">
        <v>11</v>
      </c>
      <c r="D392" s="4">
        <v>16.5</v>
      </c>
      <c r="E392" s="32">
        <f>LOOKUP(D392,{0,-2.9,-1.9,-0.9,0.1,1.1,2.1,3.5,4.9,6.3,7.7,9.1,10.5,11.9,13.3,14.7,16.1,18.3,20.5,22.4,24.3},{0,10,20,30,40,50,60,62,64,66,68,70,72,74,76,78,80,85,90,95,100})</f>
        <v>80</v>
      </c>
      <c r="F392" s="4">
        <v>215</v>
      </c>
      <c r="G392" s="32">
        <f>LOOKUP(F392,{0,175,180,185,190,195,200,204,208,212,216,220,224,228,232,236,240,248,255,260,265},{0,10,20,30,40,50,60,62,64,66,68,70,72,74,76,78,80,85,90,95,100})</f>
        <v>66</v>
      </c>
      <c r="H392" s="4">
        <v>0</v>
      </c>
      <c r="I392" s="32">
        <f>LOOKUP(H392,{0,3,4,5,6,7,8,9,10,11,12,13,14,15,16,17},{0,10,20,30,40,50,60,64,68,72,76,80,85,90,95,100})</f>
        <v>0</v>
      </c>
      <c r="L392" s="4">
        <f t="shared" si="46"/>
        <v>0</v>
      </c>
      <c r="M392" s="4">
        <v>7.9</v>
      </c>
      <c r="N392" s="4">
        <f t="shared" si="44"/>
        <v>4.1</v>
      </c>
      <c r="O392" s="32">
        <f>LOOKUP(N392,{0,1.6,1.8,2,2.2,2.4,2.6,2.8,3,3.2,3.4,3.6,3.8,4,4.2,4.4,4.6,4.7,4.8,4.9,5},{0,10,20,30,40,50,60,62,64,66,68,70,72,74,76,78,80,85,90,95,100})</f>
        <v>74</v>
      </c>
      <c r="P392" s="4">
        <v>4.02</v>
      </c>
      <c r="Q392" s="4">
        <f t="shared" si="47"/>
        <v>5.98</v>
      </c>
      <c r="R392" s="32">
        <f>LOOKUP(Q392,{0,3.8,4,4.6,4.8,5,5.6,5.65,5.7,5.75,5.8,5.85,5.9,5.95,6,6.45,6.5,6.58,6.65,6.7,6.75},{0,10,20,30,40,50,60,62,64,66,68,70,72,74,76,78,80,85,90,95,100})</f>
        <v>74</v>
      </c>
      <c r="U392" s="4">
        <f t="shared" si="48"/>
        <v>74</v>
      </c>
      <c r="W392" s="5">
        <f t="shared" si="49"/>
        <v>44.2</v>
      </c>
      <c r="X392" s="20">
        <f t="shared" si="45"/>
        <v>63.1428571428572</v>
      </c>
    </row>
    <row r="393" ht="15.6" hidden="1" spans="1:24">
      <c r="A393" s="4">
        <v>205</v>
      </c>
      <c r="B393" s="24" t="s">
        <v>233</v>
      </c>
      <c r="C393" s="25" t="s">
        <v>11</v>
      </c>
      <c r="D393" s="4">
        <v>8</v>
      </c>
      <c r="E393" s="32">
        <f>LOOKUP(D393,{0,-2.9,-1.9,-0.9,0.1,1.1,2.1,3.5,4.9,6.3,7.7,9.1,10.5,11.9,13.3,14.7,16.1,18.3,20.5,22.4,24.3},{0,10,20,30,40,50,60,62,64,66,68,70,72,74,76,78,80,85,90,95,100})</f>
        <v>68</v>
      </c>
      <c r="F393" s="4">
        <v>265</v>
      </c>
      <c r="G393" s="32">
        <f>LOOKUP(F393,{0,175,180,185,190,195,200,204,208,212,216,220,224,228,232,236,240,248,255,260,265},{0,10,20,30,40,50,60,62,64,66,68,70,72,74,76,78,80,85,90,95,100})</f>
        <v>100</v>
      </c>
      <c r="H393" s="4">
        <v>8</v>
      </c>
      <c r="I393" s="32">
        <f>LOOKUP(H393,{0,3,4,5,6,7,8,9,10,11,12,13,14,15,16,17},{0,10,20,30,40,50,60,64,68,72,76,80,85,90,95,100})</f>
        <v>60</v>
      </c>
      <c r="K393" s="35"/>
      <c r="L393" s="4">
        <f t="shared" si="46"/>
        <v>60</v>
      </c>
      <c r="M393" s="4">
        <v>7</v>
      </c>
      <c r="N393" s="4">
        <f t="shared" si="44"/>
        <v>5</v>
      </c>
      <c r="O393" s="32">
        <f>LOOKUP(N393,{0,1.6,1.8,2,2.2,2.4,2.6,2.8,3,3.2,3.4,3.6,3.8,4,4.2,4.4,4.6,4.7,4.8,4.9,5},{0,10,20,30,40,50,60,62,64,66,68,70,72,74,76,78,80,85,90,95,100})</f>
        <v>100</v>
      </c>
      <c r="P393" s="4">
        <v>4.03</v>
      </c>
      <c r="Q393" s="4">
        <f t="shared" si="47"/>
        <v>5.97</v>
      </c>
      <c r="R393" s="32">
        <f>LOOKUP(Q393,{0,3.8,4,4.6,4.8,5,5.6,5.65,5.7,5.75,5.8,5.85,5.9,5.95,6,6.45,6.5,6.58,6.65,6.7,6.75},{0,10,20,30,40,50,60,62,64,66,68,70,72,74,76,78,80,85,90,95,100})</f>
        <v>74</v>
      </c>
      <c r="U393" s="4">
        <f t="shared" si="48"/>
        <v>74</v>
      </c>
      <c r="W393" s="5">
        <f t="shared" si="49"/>
        <v>57.6</v>
      </c>
      <c r="X393" s="20">
        <f t="shared" si="45"/>
        <v>82.2857142857143</v>
      </c>
    </row>
    <row r="394" ht="15.6" hidden="1" spans="1:24">
      <c r="A394" s="4">
        <v>212</v>
      </c>
      <c r="B394" s="24" t="s">
        <v>620</v>
      </c>
      <c r="C394" s="25" t="s">
        <v>11</v>
      </c>
      <c r="D394" s="4">
        <v>17.5</v>
      </c>
      <c r="E394" s="32">
        <f>LOOKUP(D394,{0,-2.9,-1.9,-0.9,0.1,1.1,2.1,3.5,4.9,6.3,7.7,9.1,10.5,11.9,13.3,14.7,16.1,18.3,20.5,22.4,24.3},{0,10,20,30,40,50,60,62,64,66,68,70,72,74,76,78,80,85,90,95,100})</f>
        <v>80</v>
      </c>
      <c r="F394" s="4">
        <v>224</v>
      </c>
      <c r="G394" s="32">
        <f>LOOKUP(F394,{0,175,180,185,190,195,200,204,208,212,216,220,224,228,232,236,240,248,255,260,265},{0,10,20,30,40,50,60,62,64,66,68,70,72,74,76,78,80,85,90,95,100})</f>
        <v>72</v>
      </c>
      <c r="H394" s="4">
        <v>9</v>
      </c>
      <c r="I394" s="32">
        <f>LOOKUP(H394,{0,3,4,5,6,7,8,9,10,11,12,13,14,15,16,17},{0,10,20,30,40,50,60,64,68,72,76,80,85,90,95,100})</f>
        <v>64</v>
      </c>
      <c r="L394" s="4">
        <f t="shared" si="46"/>
        <v>64</v>
      </c>
      <c r="M394" s="4">
        <v>7.6</v>
      </c>
      <c r="N394" s="4">
        <f t="shared" si="44"/>
        <v>4.4</v>
      </c>
      <c r="O394" s="32">
        <f>LOOKUP(N394,{0,1.6,1.8,2,2.2,2.4,2.6,2.8,3,3.2,3.4,3.6,3.8,4,4.2,4.4,4.6,4.7,4.8,4.9,5},{0,10,20,30,40,50,60,62,64,66,68,70,72,74,76,78,80,85,90,95,100})</f>
        <v>78</v>
      </c>
      <c r="P394" s="4">
        <v>4.03</v>
      </c>
      <c r="Q394" s="4">
        <f t="shared" si="47"/>
        <v>5.97</v>
      </c>
      <c r="R394" s="32">
        <f>LOOKUP(Q394,{0,3.8,4,4.6,4.8,5,5.6,5.65,5.7,5.75,5.8,5.85,5.9,5.95,6,6.45,6.5,6.58,6.65,6.7,6.75},{0,10,20,30,40,50,60,62,64,66,68,70,72,74,76,78,80,85,90,95,100})</f>
        <v>74</v>
      </c>
      <c r="U394" s="4">
        <f t="shared" si="48"/>
        <v>74</v>
      </c>
      <c r="W394" s="5">
        <f t="shared" si="49"/>
        <v>52</v>
      </c>
      <c r="X394" s="20">
        <f t="shared" si="45"/>
        <v>74.2857142857143</v>
      </c>
    </row>
    <row r="395" ht="15.6" spans="1:24">
      <c r="A395" s="4">
        <v>211</v>
      </c>
      <c r="B395" s="24" t="s">
        <v>579</v>
      </c>
      <c r="C395" s="25" t="s">
        <v>11</v>
      </c>
      <c r="D395" s="4">
        <v>5</v>
      </c>
      <c r="E395" s="32">
        <f>LOOKUP(D395,{0,-2.9,-1.9,-0.9,0.1,1.1,2.1,3.5,4.9,6.3,7.7,9.1,10.5,11.9,13.3,14.7,16.1,18.3,20.5,22.4,24.3},{0,10,20,30,40,50,60,62,64,66,68,70,72,74,76,78,80,85,90,95,100})</f>
        <v>64</v>
      </c>
      <c r="F395" s="4">
        <v>212</v>
      </c>
      <c r="G395" s="32">
        <f>LOOKUP(F395,{0,175,180,185,190,195,200,204,208,212,216,220,224,228,232,236,240,248,255,260,265},{0,10,20,30,40,50,60,62,64,66,68,70,72,74,76,78,80,85,90,95,100})</f>
        <v>66</v>
      </c>
      <c r="H395" s="4">
        <v>0</v>
      </c>
      <c r="I395" s="32">
        <f>LOOKUP(H395,{0,3,4,5,6,7,8,9,10,11,12,13,14,15,16,17},{0,10,20,30,40,50,60,64,68,72,76,80,85,90,95,100})</f>
        <v>0</v>
      </c>
      <c r="L395" s="4">
        <f t="shared" si="46"/>
        <v>0</v>
      </c>
      <c r="M395" s="4">
        <v>7.6</v>
      </c>
      <c r="N395" s="4">
        <f t="shared" si="44"/>
        <v>4.4</v>
      </c>
      <c r="O395" s="32">
        <f>LOOKUP(N395,{0,1.6,1.8,2,2.2,2.4,2.6,2.8,3,3.2,3.4,3.6,3.8,4,4.2,4.4,4.6,4.7,4.8,4.9,5},{0,10,20,30,40,50,60,62,64,66,68,70,72,74,76,78,80,85,90,95,100})</f>
        <v>78</v>
      </c>
      <c r="P395" s="4">
        <v>4.03</v>
      </c>
      <c r="Q395" s="4">
        <f t="shared" si="47"/>
        <v>5.97</v>
      </c>
      <c r="R395" s="32">
        <f>LOOKUP(Q395,{0,3.8,4,4.6,4.8,5,5.6,5.65,5.7,5.75,5.8,5.85,5.9,5.95,6,6.45,6.5,6.58,6.65,6.7,6.75},{0,10,20,30,40,50,60,62,64,66,68,70,72,74,76,78,80,85,90,95,100})</f>
        <v>74</v>
      </c>
      <c r="U395" s="4">
        <f t="shared" si="48"/>
        <v>74</v>
      </c>
      <c r="W395" s="5">
        <f t="shared" si="49"/>
        <v>43.4</v>
      </c>
      <c r="X395" s="20">
        <f t="shared" si="45"/>
        <v>62</v>
      </c>
    </row>
    <row r="396" ht="15.6" hidden="1" spans="1:24">
      <c r="A396" s="4">
        <v>209</v>
      </c>
      <c r="B396" s="24" t="s">
        <v>474</v>
      </c>
      <c r="C396" s="25" t="s">
        <v>11</v>
      </c>
      <c r="D396" s="4">
        <v>12.3</v>
      </c>
      <c r="E396" s="32">
        <f>LOOKUP(D396,{0,-2.9,-1.9,-0.9,0.1,1.1,2.1,3.5,4.9,6.3,7.7,9.1,10.5,11.9,13.3,14.7,16.1,18.3,20.5,22.4,24.3},{0,10,20,30,40,50,60,62,64,66,68,70,72,74,76,78,80,85,90,95,100})</f>
        <v>74</v>
      </c>
      <c r="F396" s="4">
        <v>207</v>
      </c>
      <c r="G396" s="32">
        <f>LOOKUP(F396,{0,175,180,185,190,195,200,204,208,212,216,220,224,228,232,236,240,248,255,260,265},{0,10,20,30,40,50,60,62,64,66,68,70,72,74,76,78,80,85,90,95,100})</f>
        <v>62</v>
      </c>
      <c r="H396" s="4">
        <v>1</v>
      </c>
      <c r="I396" s="32">
        <f>LOOKUP(H396,{0,3,4,5,6,7,8,9,10,11,12,13,14,15,16,17},{0,10,20,30,40,50,60,64,68,72,76,80,85,90,95,100})</f>
        <v>0</v>
      </c>
      <c r="L396" s="4">
        <f t="shared" si="46"/>
        <v>0</v>
      </c>
      <c r="M396" s="4">
        <v>7.9</v>
      </c>
      <c r="N396" s="4">
        <f t="shared" si="44"/>
        <v>4.1</v>
      </c>
      <c r="O396" s="32">
        <f>LOOKUP(N396,{0,1.6,1.8,2,2.2,2.4,2.6,2.8,3,3.2,3.4,3.6,3.8,4,4.2,4.4,4.6,4.7,4.8,4.9,5},{0,10,20,30,40,50,60,62,64,66,68,70,72,74,76,78,80,85,90,95,100})</f>
        <v>74</v>
      </c>
      <c r="P396" s="4">
        <v>4.03</v>
      </c>
      <c r="Q396" s="4">
        <f t="shared" si="47"/>
        <v>5.97</v>
      </c>
      <c r="R396" s="32">
        <f>LOOKUP(Q396,{0,3.8,4,4.6,4.8,5,5.6,5.65,5.7,5.75,5.8,5.85,5.9,5.95,6,6.45,6.5,6.58,6.65,6.7,6.75},{0,10,20,30,40,50,60,62,64,66,68,70,72,74,76,78,80,85,90,95,100})</f>
        <v>74</v>
      </c>
      <c r="U396" s="4">
        <f t="shared" si="48"/>
        <v>74</v>
      </c>
      <c r="W396" s="5">
        <f t="shared" si="49"/>
        <v>43.2</v>
      </c>
      <c r="X396" s="20">
        <f t="shared" si="45"/>
        <v>61.7142857142857</v>
      </c>
    </row>
    <row r="397" ht="15.6" hidden="1" spans="1:24">
      <c r="A397" s="4">
        <v>206</v>
      </c>
      <c r="B397" s="24" t="s">
        <v>309</v>
      </c>
      <c r="C397" s="25" t="s">
        <v>11</v>
      </c>
      <c r="D397" s="4">
        <v>4</v>
      </c>
      <c r="E397" s="32">
        <f>LOOKUP(D397,{0,-2.9,-1.9,-0.9,0.1,1.1,2.1,3.5,4.9,6.3,7.7,9.1,10.5,11.9,13.3,14.7,16.1,18.3,20.5,22.4,24.3},{0,10,20,30,40,50,60,62,64,66,68,70,72,74,76,78,80,85,90,95,100})</f>
        <v>62</v>
      </c>
      <c r="F397" s="4">
        <v>227</v>
      </c>
      <c r="G397" s="32">
        <f>LOOKUP(F397,{0,175,180,185,190,195,200,204,208,212,216,220,224,228,232,236,240,248,255,260,265},{0,10,20,30,40,50,60,62,64,66,68,70,72,74,76,78,80,85,90,95,100})</f>
        <v>72</v>
      </c>
      <c r="H397" s="4">
        <v>8</v>
      </c>
      <c r="I397" s="32">
        <f>LOOKUP(H397,{0,3,4,5,6,7,8,9,10,11,12,13,14,15,16,17},{0,10,20,30,40,50,60,64,68,72,76,80,85,90,95,100})</f>
        <v>60</v>
      </c>
      <c r="K397" s="35"/>
      <c r="L397" s="4">
        <f t="shared" si="46"/>
        <v>60</v>
      </c>
      <c r="M397" s="4">
        <v>8</v>
      </c>
      <c r="N397" s="4">
        <f t="shared" si="44"/>
        <v>4</v>
      </c>
      <c r="O397" s="32">
        <f>LOOKUP(N397,{0,1.6,1.8,2,2.2,2.4,2.6,2.8,3,3.2,3.4,3.6,3.8,4,4.2,4.4,4.6,4.7,4.8,4.9,5},{0,10,20,30,40,50,60,62,64,66,68,70,72,74,76,78,80,85,90,95,100})</f>
        <v>74</v>
      </c>
      <c r="P397" s="4">
        <v>4.03</v>
      </c>
      <c r="Q397" s="4">
        <f t="shared" si="47"/>
        <v>5.97</v>
      </c>
      <c r="R397" s="32">
        <f>LOOKUP(Q397,{0,3.8,4,4.6,4.8,5,5.6,5.65,5.7,5.75,5.8,5.85,5.9,5.95,6,6.45,6.5,6.58,6.65,6.7,6.75},{0,10,20,30,40,50,60,62,64,66,68,70,72,74,76,78,80,85,90,95,100})</f>
        <v>74</v>
      </c>
      <c r="U397" s="4">
        <f t="shared" si="48"/>
        <v>74</v>
      </c>
      <c r="W397" s="5">
        <f t="shared" si="49"/>
        <v>49</v>
      </c>
      <c r="X397" s="20">
        <f t="shared" si="45"/>
        <v>70</v>
      </c>
    </row>
    <row r="398" ht="15.6" hidden="1" spans="1:24">
      <c r="A398" s="4">
        <v>205</v>
      </c>
      <c r="B398" s="33" t="s">
        <v>246</v>
      </c>
      <c r="C398" s="25" t="s">
        <v>11</v>
      </c>
      <c r="D398" s="4">
        <v>22.5</v>
      </c>
      <c r="E398" s="32">
        <f>LOOKUP(D398,{0,-2.9,-1.9,-0.9,0.1,1.1,2.1,3.5,4.9,6.3,7.7,9.1,10.5,11.9,13.3,14.7,16.1,18.3,20.5,22.4,24.3},{0,10,20,30,40,50,60,62,64,66,68,70,72,74,76,78,80,85,90,95,100})</f>
        <v>95</v>
      </c>
      <c r="F398" s="4">
        <v>247</v>
      </c>
      <c r="G398" s="32">
        <f>LOOKUP(F398,{0,175,180,185,190,195,200,204,208,212,216,220,224,228,232,236,240,248,255,260,265},{0,10,20,30,40,50,60,62,64,66,68,70,72,74,76,78,80,85,90,95,100})</f>
        <v>80</v>
      </c>
      <c r="H398" s="4">
        <v>9</v>
      </c>
      <c r="I398" s="32">
        <f>LOOKUP(H398,{0,3,4,5,6,7,8,9,10,11,12,13,14,15,16,17},{0,10,20,30,40,50,60,64,68,72,76,80,85,90,95,100})</f>
        <v>64</v>
      </c>
      <c r="L398" s="4">
        <f t="shared" si="46"/>
        <v>64</v>
      </c>
      <c r="M398" s="4">
        <v>7</v>
      </c>
      <c r="N398" s="4">
        <f t="shared" si="44"/>
        <v>5</v>
      </c>
      <c r="O398" s="32">
        <f>LOOKUP(N398,{0,1.6,1.8,2,2.2,2.4,2.6,2.8,3,3.2,3.4,3.6,3.8,4,4.2,4.4,4.6,4.7,4.8,4.9,5},{0,10,20,30,40,50,60,62,64,66,68,70,72,74,76,78,80,85,90,95,100})</f>
        <v>100</v>
      </c>
      <c r="P398" s="4">
        <v>4.04</v>
      </c>
      <c r="Q398" s="4">
        <f t="shared" si="47"/>
        <v>5.96</v>
      </c>
      <c r="R398" s="32">
        <f>LOOKUP(Q398,{0,3.8,4,4.6,4.8,5,5.6,5.65,5.7,5.75,5.8,5.85,5.9,5.95,6,6.45,6.5,6.58,6.65,6.7,6.75},{0,10,20,30,40,50,60,62,64,66,68,70,72,74,76,78,80,85,90,95,100})</f>
        <v>74</v>
      </c>
      <c r="U398" s="4">
        <f t="shared" si="48"/>
        <v>74</v>
      </c>
      <c r="W398" s="5">
        <f t="shared" si="49"/>
        <v>58.7</v>
      </c>
      <c r="X398" s="20">
        <f t="shared" si="45"/>
        <v>83.8571428571429</v>
      </c>
    </row>
    <row r="399" ht="15.6" hidden="1" spans="1:24">
      <c r="A399" s="4">
        <v>209</v>
      </c>
      <c r="B399" s="24" t="s">
        <v>473</v>
      </c>
      <c r="C399" s="25" t="s">
        <v>11</v>
      </c>
      <c r="D399" s="4">
        <v>18.5</v>
      </c>
      <c r="E399" s="32">
        <f>LOOKUP(D399,{0,-2.9,-1.9,-0.9,0.1,1.1,2.1,3.5,4.9,6.3,7.7,9.1,10.5,11.9,13.3,14.7,16.1,18.3,20.5,22.4,24.3},{0,10,20,30,40,50,60,62,64,66,68,70,72,74,76,78,80,85,90,95,100})</f>
        <v>85</v>
      </c>
      <c r="F399" s="4">
        <v>240</v>
      </c>
      <c r="G399" s="32">
        <f>LOOKUP(F399,{0,175,180,185,190,195,200,204,208,212,216,220,224,228,232,236,240,248,255,260,265},{0,10,20,30,40,50,60,62,64,66,68,70,72,74,76,78,80,85,90,95,100})</f>
        <v>80</v>
      </c>
      <c r="H399" s="4">
        <v>0</v>
      </c>
      <c r="I399" s="32">
        <f>LOOKUP(H399,{0,3,4,5,6,7,8,9,10,11,12,13,14,15,16,17},{0,10,20,30,40,50,60,64,68,72,76,80,85,90,95,100})</f>
        <v>0</v>
      </c>
      <c r="L399" s="4">
        <f t="shared" si="46"/>
        <v>0</v>
      </c>
      <c r="M399" s="4">
        <v>7.2</v>
      </c>
      <c r="N399" s="4">
        <f t="shared" si="44"/>
        <v>4.8</v>
      </c>
      <c r="O399" s="32">
        <f>LOOKUP(N399,{0,1.6,1.8,2,2.2,2.4,2.6,2.8,3,3.2,3.4,3.6,3.8,4,4.2,4.4,4.6,4.7,4.8,4.9,5},{0,10,20,30,40,50,60,62,64,66,68,70,72,74,76,78,80,85,90,95,100})</f>
        <v>90</v>
      </c>
      <c r="P399" s="4">
        <v>4.04</v>
      </c>
      <c r="Q399" s="4">
        <f t="shared" si="47"/>
        <v>5.96</v>
      </c>
      <c r="R399" s="32">
        <f>LOOKUP(Q399,{0,3.8,4,4.6,4.8,5,5.6,5.65,5.7,5.75,5.8,5.85,5.9,5.95,6,6.45,6.5,6.58,6.65,6.7,6.75},{0,10,20,30,40,50,60,62,64,66,68,70,72,74,76,78,80,85,90,95,100})</f>
        <v>74</v>
      </c>
      <c r="U399" s="4">
        <f t="shared" si="48"/>
        <v>74</v>
      </c>
      <c r="W399" s="5">
        <f t="shared" si="49"/>
        <v>49.3</v>
      </c>
      <c r="X399" s="20">
        <f t="shared" si="45"/>
        <v>70.4285714285714</v>
      </c>
    </row>
    <row r="400" ht="15.6" hidden="1" spans="1:24">
      <c r="A400" s="4">
        <v>208</v>
      </c>
      <c r="B400" s="24" t="s">
        <v>399</v>
      </c>
      <c r="C400" s="25" t="s">
        <v>11</v>
      </c>
      <c r="D400" s="4">
        <v>11</v>
      </c>
      <c r="E400" s="32">
        <f>LOOKUP(D400,{0,-2.9,-1.9,-0.9,0.1,1.1,2.1,3.5,4.9,6.3,7.7,9.1,10.5,11.9,13.3,14.7,16.1,18.3,20.5,22.4,24.3},{0,10,20,30,40,50,60,62,64,66,68,70,72,74,76,78,80,85,90,95,100})</f>
        <v>72</v>
      </c>
      <c r="F400" s="4">
        <v>240</v>
      </c>
      <c r="G400" s="32">
        <f>LOOKUP(F400,{0,175,180,185,190,195,200,204,208,212,216,220,224,228,232,236,240,248,255,260,265},{0,10,20,30,40,50,60,62,64,66,68,70,72,74,76,78,80,85,90,95,100})</f>
        <v>80</v>
      </c>
      <c r="H400" s="4">
        <v>25</v>
      </c>
      <c r="I400" s="32">
        <f>LOOKUP(H400,{0,3,4,5,6,7,8,9,10,11,12,13,14,15,16,17},{0,10,20,30,40,50,60,64,68,72,76,80,85,90,95,100})</f>
        <v>100</v>
      </c>
      <c r="J400" s="4">
        <f>H400-17</f>
        <v>8</v>
      </c>
      <c r="K400" s="32">
        <f>LOOKUP(J400,{0,1,2,3,4,5,6,7,8,9,10},{0,1,2,3,4,5,6,7,8,9,10})</f>
        <v>8</v>
      </c>
      <c r="L400" s="4">
        <f t="shared" si="46"/>
        <v>108</v>
      </c>
      <c r="M400" s="4">
        <v>7.3</v>
      </c>
      <c r="N400" s="4">
        <f t="shared" si="44"/>
        <v>4.7</v>
      </c>
      <c r="O400" s="32">
        <f>LOOKUP(N400,{0,1.6,1.8,2,2.2,2.4,2.6,2.8,3,3.2,3.4,3.6,3.8,4,4.2,4.4,4.6,4.7,4.8,4.9,5},{0,10,20,30,40,50,60,62,64,66,68,70,72,74,76,78,80,85,90,95,100})</f>
        <v>85</v>
      </c>
      <c r="P400" s="4">
        <v>4.04</v>
      </c>
      <c r="Q400" s="4">
        <f t="shared" si="47"/>
        <v>5.96</v>
      </c>
      <c r="R400" s="32">
        <f>LOOKUP(Q400,{0,3.8,4,4.6,4.8,5,5.6,5.65,5.7,5.75,5.8,5.85,5.9,5.95,6,6.45,6.5,6.58,6.65,6.7,6.75},{0,10,20,30,40,50,60,62,64,66,68,70,72,74,76,78,80,85,90,95,100})</f>
        <v>74</v>
      </c>
      <c r="U400" s="4">
        <f t="shared" si="48"/>
        <v>74</v>
      </c>
      <c r="W400" s="5">
        <f t="shared" si="49"/>
        <v>57</v>
      </c>
      <c r="X400" s="20">
        <f t="shared" si="45"/>
        <v>89.4285714285714</v>
      </c>
    </row>
    <row r="401" ht="15.6" spans="1:24">
      <c r="A401" s="4">
        <v>211</v>
      </c>
      <c r="B401" s="24" t="s">
        <v>577</v>
      </c>
      <c r="C401" s="25" t="s">
        <v>11</v>
      </c>
      <c r="D401" s="4">
        <v>21.5</v>
      </c>
      <c r="E401" s="32">
        <f>LOOKUP(D401,{0,-2.9,-1.9,-0.9,0.1,1.1,2.1,3.5,4.9,6.3,7.7,9.1,10.5,11.9,13.3,14.7,16.1,18.3,20.5,22.4,24.3},{0,10,20,30,40,50,60,62,64,66,68,70,72,74,76,78,80,85,90,95,100})</f>
        <v>90</v>
      </c>
      <c r="F401" s="4">
        <v>253</v>
      </c>
      <c r="G401" s="32">
        <f>LOOKUP(F401,{0,175,180,185,190,195,200,204,208,212,216,220,224,228,232,236,240,248,255,260,265},{0,10,20,30,40,50,60,62,64,66,68,70,72,74,76,78,80,85,90,95,100})</f>
        <v>85</v>
      </c>
      <c r="H401" s="4">
        <v>10</v>
      </c>
      <c r="I401" s="32">
        <f>LOOKUP(H401,{0,3,4,5,6,7,8,9,10,11,12,13,14,15,16,17},{0,10,20,30,40,50,60,64,68,72,76,80,85,90,95,100})</f>
        <v>68</v>
      </c>
      <c r="L401" s="4">
        <f t="shared" si="46"/>
        <v>68</v>
      </c>
      <c r="M401" s="4">
        <v>7.3</v>
      </c>
      <c r="N401" s="4">
        <f t="shared" si="44"/>
        <v>4.7</v>
      </c>
      <c r="O401" s="32">
        <f>LOOKUP(N401,{0,1.6,1.8,2,2.2,2.4,2.6,2.8,3,3.2,3.4,3.6,3.8,4,4.2,4.4,4.6,4.7,4.8,4.9,5},{0,10,20,30,40,50,60,62,64,66,68,70,72,74,76,78,80,85,90,95,100})</f>
        <v>85</v>
      </c>
      <c r="P401" s="4">
        <v>4.04</v>
      </c>
      <c r="Q401" s="4">
        <f t="shared" si="47"/>
        <v>5.96</v>
      </c>
      <c r="R401" s="32">
        <f>LOOKUP(Q401,{0,3.8,4,4.6,4.8,5,5.6,5.65,5.7,5.75,5.8,5.85,5.9,5.95,6,6.45,6.5,6.58,6.65,6.7,6.75},{0,10,20,30,40,50,60,62,64,66,68,70,72,74,76,78,80,85,90,95,100})</f>
        <v>74</v>
      </c>
      <c r="U401" s="4">
        <f t="shared" si="48"/>
        <v>74</v>
      </c>
      <c r="W401" s="5">
        <f t="shared" si="49"/>
        <v>56.1</v>
      </c>
      <c r="X401" s="20">
        <f t="shared" si="45"/>
        <v>80.1428571428571</v>
      </c>
    </row>
    <row r="402" ht="15.6" hidden="1" spans="1:24">
      <c r="A402" s="4">
        <v>205</v>
      </c>
      <c r="B402" s="24" t="s">
        <v>240</v>
      </c>
      <c r="C402" s="25" t="s">
        <v>11</v>
      </c>
      <c r="D402" s="4">
        <v>20</v>
      </c>
      <c r="E402" s="32">
        <f>LOOKUP(D402,{0,-2.9,-1.9,-0.9,0.1,1.1,2.1,3.5,4.9,6.3,7.7,9.1,10.5,11.9,13.3,14.7,16.1,18.3,20.5,22.4,24.3},{0,10,20,30,40,50,60,62,64,66,68,70,72,74,76,78,80,85,90,95,100})</f>
        <v>85</v>
      </c>
      <c r="F402" s="4">
        <v>238</v>
      </c>
      <c r="G402" s="32">
        <f>LOOKUP(F402,{0,175,180,185,190,195,200,204,208,212,216,220,224,228,232,236,240,248,255,260,265},{0,10,20,30,40,50,60,62,64,66,68,70,72,74,76,78,80,85,90,95,100})</f>
        <v>78</v>
      </c>
      <c r="H402" s="4">
        <v>15</v>
      </c>
      <c r="I402" s="32">
        <f>LOOKUP(H402,{0,3,4,5,6,7,8,9,10,11,12,13,14,15,16,17},{0,10,20,30,40,50,60,64,68,72,76,80,85,90,95,100})</f>
        <v>90</v>
      </c>
      <c r="L402" s="4">
        <f t="shared" si="46"/>
        <v>90</v>
      </c>
      <c r="M402" s="4">
        <v>7.4</v>
      </c>
      <c r="N402" s="4">
        <f t="shared" si="44"/>
        <v>4.6</v>
      </c>
      <c r="O402" s="32">
        <f>LOOKUP(N402,{0,1.6,1.8,2,2.2,2.4,2.6,2.8,3,3.2,3.4,3.6,3.8,4,4.2,4.4,4.6,4.7,4.8,4.9,5},{0,10,20,30,40,50,60,62,64,66,68,70,72,74,76,78,80,85,90,95,100})</f>
        <v>80</v>
      </c>
      <c r="P402" s="4">
        <v>4.04</v>
      </c>
      <c r="Q402" s="4">
        <f t="shared" si="47"/>
        <v>5.96</v>
      </c>
      <c r="R402" s="32">
        <f>LOOKUP(Q402,{0,3.8,4,4.6,4.8,5,5.6,5.65,5.7,5.75,5.8,5.85,5.9,5.95,6,6.45,6.5,6.58,6.65,6.7,6.75},{0,10,20,30,40,50,60,62,64,66,68,70,72,74,76,78,80,85,90,95,100})</f>
        <v>74</v>
      </c>
      <c r="U402" s="4">
        <f t="shared" si="48"/>
        <v>74</v>
      </c>
      <c r="W402" s="5">
        <f t="shared" si="49"/>
        <v>56.1</v>
      </c>
      <c r="X402" s="20">
        <f t="shared" si="45"/>
        <v>80.1428571428571</v>
      </c>
    </row>
    <row r="403" ht="15.6" hidden="1" spans="1:24">
      <c r="A403" s="4">
        <v>205</v>
      </c>
      <c r="B403" s="24" t="s">
        <v>220</v>
      </c>
      <c r="C403" s="25" t="s">
        <v>11</v>
      </c>
      <c r="D403" s="4">
        <v>14</v>
      </c>
      <c r="E403" s="32">
        <f>LOOKUP(D403,{0,-2.9,-1.9,-0.9,0.1,1.1,2.1,3.5,4.9,6.3,7.7,9.1,10.5,11.9,13.3,14.7,16.1,18.3,20.5,22.4,24.3},{0,10,20,30,40,50,60,62,64,66,68,70,72,74,76,78,80,85,90,95,100})</f>
        <v>76</v>
      </c>
      <c r="F403" s="4">
        <v>219</v>
      </c>
      <c r="G403" s="32">
        <f>LOOKUP(F403,{0,175,180,185,190,195,200,204,208,212,216,220,224,228,232,236,240,248,255,260,265},{0,10,20,30,40,50,60,62,64,66,68,70,72,74,76,78,80,85,90,95,100})</f>
        <v>68</v>
      </c>
      <c r="H403" s="4">
        <v>3</v>
      </c>
      <c r="I403" s="32">
        <f>LOOKUP(H403,{0,3,4,5,6,7,8,9,10,11,12,13,14,15,16,17},{0,10,20,30,40,50,60,64,68,72,76,80,85,90,95,100})</f>
        <v>10</v>
      </c>
      <c r="L403" s="4">
        <f t="shared" si="46"/>
        <v>10</v>
      </c>
      <c r="M403" s="4">
        <v>7.4</v>
      </c>
      <c r="N403" s="4">
        <f t="shared" si="44"/>
        <v>4.6</v>
      </c>
      <c r="O403" s="32">
        <f>LOOKUP(N403,{0,1.6,1.8,2,2.2,2.4,2.6,2.8,3,3.2,3.4,3.6,3.8,4,4.2,4.4,4.6,4.7,4.8,4.9,5},{0,10,20,30,40,50,60,62,64,66,68,70,72,74,76,78,80,85,90,95,100})</f>
        <v>80</v>
      </c>
      <c r="P403" s="4">
        <v>4.04</v>
      </c>
      <c r="Q403" s="4">
        <f t="shared" si="47"/>
        <v>5.96</v>
      </c>
      <c r="R403" s="32">
        <f>LOOKUP(Q403,{0,3.8,4,4.6,4.8,5,5.6,5.65,5.7,5.75,5.8,5.85,5.9,5.95,6,6.45,6.5,6.58,6.65,6.7,6.75},{0,10,20,30,40,50,60,62,64,66,68,70,72,74,76,78,80,85,90,95,100})</f>
        <v>74</v>
      </c>
      <c r="U403" s="4">
        <f t="shared" si="48"/>
        <v>74</v>
      </c>
      <c r="W403" s="5">
        <f t="shared" si="49"/>
        <v>46.2</v>
      </c>
      <c r="X403" s="20">
        <f t="shared" si="45"/>
        <v>66</v>
      </c>
    </row>
    <row r="404" ht="15.6" hidden="1" spans="1:24">
      <c r="A404" s="4">
        <v>205</v>
      </c>
      <c r="B404" s="24" t="s">
        <v>241</v>
      </c>
      <c r="C404" s="25" t="s">
        <v>11</v>
      </c>
      <c r="D404" s="4">
        <v>15</v>
      </c>
      <c r="E404" s="32">
        <f>LOOKUP(D404,{0,-2.9,-1.9,-0.9,0.1,1.1,2.1,3.5,4.9,6.3,7.7,9.1,10.5,11.9,13.3,14.7,16.1,18.3,20.5,22.4,24.3},{0,10,20,30,40,50,60,62,64,66,68,70,72,74,76,78,80,85,90,95,100})</f>
        <v>78</v>
      </c>
      <c r="F404" s="4">
        <v>252</v>
      </c>
      <c r="G404" s="32">
        <f>LOOKUP(F404,{0,175,180,185,190,195,200,204,208,212,216,220,224,228,232,236,240,248,255,260,265},{0,10,20,30,40,50,60,62,64,66,68,70,72,74,76,78,80,85,90,95,100})</f>
        <v>85</v>
      </c>
      <c r="H404" s="4">
        <v>4</v>
      </c>
      <c r="I404" s="32">
        <f>LOOKUP(H404,{0,3,4,5,6,7,8,9,10,11,12,13,14,15,16,17},{0,10,20,30,40,50,60,64,68,72,76,80,85,90,95,100})</f>
        <v>20</v>
      </c>
      <c r="K404" s="35"/>
      <c r="L404" s="4">
        <f t="shared" si="46"/>
        <v>20</v>
      </c>
      <c r="M404" s="4">
        <v>7</v>
      </c>
      <c r="N404" s="4">
        <f t="shared" si="44"/>
        <v>5</v>
      </c>
      <c r="O404" s="32">
        <f>LOOKUP(N404,{0,1.6,1.8,2,2.2,2.4,2.6,2.8,3,3.2,3.4,3.6,3.8,4,4.2,4.4,4.6,4.7,4.8,4.9,5},{0,10,20,30,40,50,60,62,64,66,68,70,72,74,76,78,80,85,90,95,100})</f>
        <v>100</v>
      </c>
      <c r="P404" s="4">
        <v>4.05</v>
      </c>
      <c r="Q404" s="4">
        <f t="shared" si="47"/>
        <v>5.95</v>
      </c>
      <c r="R404" s="32">
        <f>LOOKUP(Q404,{0,3.8,4,4.6,4.8,5,5.6,5.65,5.7,5.75,5.8,5.85,5.9,5.95,6,6.45,6.5,6.58,6.65,6.7,6.75},{0,10,20,30,40,50,60,62,64,66,68,70,72,74,76,78,80,85,90,95,100})</f>
        <v>74</v>
      </c>
      <c r="U404" s="4">
        <f t="shared" si="48"/>
        <v>74</v>
      </c>
      <c r="W404" s="5">
        <f t="shared" si="49"/>
        <v>53.1</v>
      </c>
      <c r="X404" s="20">
        <f t="shared" si="45"/>
        <v>75.8571428571428</v>
      </c>
    </row>
    <row r="405" ht="15.6" hidden="1" spans="1:24">
      <c r="A405" s="4">
        <v>215</v>
      </c>
      <c r="B405" s="24" t="s">
        <v>790</v>
      </c>
      <c r="C405" s="25" t="s">
        <v>11</v>
      </c>
      <c r="D405" s="4">
        <v>-11</v>
      </c>
      <c r="E405" s="32">
        <v>0</v>
      </c>
      <c r="F405" s="4">
        <v>242</v>
      </c>
      <c r="G405" s="32">
        <f>LOOKUP(F405,{0,175,180,185,190,195,200,204,208,212,216,220,224,228,232,236,240,248,255,260,265},{0,10,20,30,40,50,60,62,64,66,68,70,72,74,76,78,80,85,90,95,100})</f>
        <v>80</v>
      </c>
      <c r="H405" s="4">
        <v>15</v>
      </c>
      <c r="I405" s="32">
        <f>LOOKUP(H405,{0,3,4,5,6,7,8,9,10,11,12,13,14,15,16,17},{0,10,20,30,40,50,60,64,68,72,76,80,85,90,95,100})</f>
        <v>90</v>
      </c>
      <c r="L405" s="4">
        <f t="shared" si="46"/>
        <v>90</v>
      </c>
      <c r="M405" s="4">
        <v>7.2</v>
      </c>
      <c r="N405" s="4">
        <f t="shared" si="44"/>
        <v>4.8</v>
      </c>
      <c r="O405" s="32">
        <f>LOOKUP(N405,{0,1.6,1.8,2,2.2,2.4,2.6,2.8,3,3.2,3.4,3.6,3.8,4,4.2,4.4,4.6,4.7,4.8,4.9,5},{0,10,20,30,40,50,60,62,64,66,68,70,72,74,76,78,80,85,90,95,100})</f>
        <v>90</v>
      </c>
      <c r="P405" s="4">
        <v>4.05</v>
      </c>
      <c r="Q405" s="4">
        <f t="shared" si="47"/>
        <v>5.95</v>
      </c>
      <c r="R405" s="32">
        <f>LOOKUP(Q405,{0,3.8,4,4.6,4.8,5,5.6,5.65,5.7,5.75,5.8,5.85,5.9,5.95,6,6.45,6.5,6.58,6.65,6.7,6.75},{0,10,20,30,40,50,60,62,64,66,68,70,72,74,76,78,80,85,90,95,100})</f>
        <v>74</v>
      </c>
      <c r="U405" s="4">
        <f t="shared" si="48"/>
        <v>74</v>
      </c>
      <c r="W405" s="5">
        <f t="shared" si="49"/>
        <v>49.8</v>
      </c>
      <c r="X405" s="20">
        <f t="shared" si="45"/>
        <v>71.1428571428571</v>
      </c>
    </row>
    <row r="406" ht="15.6" hidden="1" spans="1:24">
      <c r="A406" s="4">
        <v>202</v>
      </c>
      <c r="B406" s="24" t="s">
        <v>86</v>
      </c>
      <c r="C406" s="25" t="s">
        <v>11</v>
      </c>
      <c r="D406" s="4">
        <v>13</v>
      </c>
      <c r="E406" s="32">
        <f>LOOKUP(D406,{0,-2.9,-1.9,-0.9,0.1,1.1,2.1,3.5,4.9,6.3,7.7,9.1,10.5,11.9,13.3,14.7,16.1,18.3,20.5,22.4,24.3},{0,10,20,30,40,50,60,62,64,66,68,70,72,74,76,78,80,85,90,95,100})</f>
        <v>74</v>
      </c>
      <c r="F406" s="4">
        <v>225</v>
      </c>
      <c r="G406" s="32">
        <f>LOOKUP(F406,{0,175,180,185,190,195,200,204,208,212,216,220,224,228,232,236,240,248,255,260,265},{0,10,20,30,40,50,60,62,64,66,68,70,72,74,76,78,80,85,90,95,100})</f>
        <v>72</v>
      </c>
      <c r="H406" s="4">
        <v>7</v>
      </c>
      <c r="I406" s="32">
        <f>LOOKUP(H406,{0,3,4,5,6,7,8,9,10,11,12,13,14,15,16,17},{0,10,20,30,40,50,60,64,68,72,76,80,85,90,95,100})</f>
        <v>50</v>
      </c>
      <c r="L406" s="4">
        <f t="shared" si="46"/>
        <v>50</v>
      </c>
      <c r="M406" s="4">
        <v>7.4</v>
      </c>
      <c r="N406" s="4">
        <f t="shared" si="44"/>
        <v>4.6</v>
      </c>
      <c r="O406" s="32">
        <f>LOOKUP(N406,{0,1.6,1.8,2,2.2,2.4,2.6,2.8,3,3.2,3.4,3.6,3.8,4,4.2,4.4,4.6,4.7,4.8,4.9,5},{0,10,20,30,40,50,60,62,64,66,68,70,72,74,76,78,80,85,90,95,100})</f>
        <v>80</v>
      </c>
      <c r="P406" s="4">
        <v>4.05</v>
      </c>
      <c r="Q406" s="4">
        <f t="shared" si="47"/>
        <v>5.95</v>
      </c>
      <c r="R406" s="32">
        <f>LOOKUP(Q406,{0,3.8,4,4.6,4.8,5,5.6,5.65,5.7,5.75,5.8,5.85,5.9,5.95,6,6.45,6.5,6.58,6.65,6.7,6.75},{0,10,20,30,40,50,60,62,64,66,68,70,72,74,76,78,80,85,90,95,100})</f>
        <v>74</v>
      </c>
      <c r="U406" s="4">
        <f t="shared" si="48"/>
        <v>74</v>
      </c>
      <c r="W406" s="5">
        <f t="shared" si="49"/>
        <v>50.4</v>
      </c>
      <c r="X406" s="20">
        <f t="shared" si="45"/>
        <v>72</v>
      </c>
    </row>
    <row r="407" s="1" customFormat="1" ht="15.6" hidden="1" spans="1:24">
      <c r="A407" s="4">
        <v>209</v>
      </c>
      <c r="B407" s="24" t="s">
        <v>443</v>
      </c>
      <c r="C407" s="25" t="s">
        <v>11</v>
      </c>
      <c r="D407" s="4">
        <v>0.5</v>
      </c>
      <c r="E407" s="32">
        <f>LOOKUP(D407,{0,-2.9,-1.9,-0.9,0.1,1.1,2.1,3.5,4.9,6.3,7.7,9.1,10.5,11.9,13.3,14.7,16.1,18.3,20.5,22.4,24.3},{0,10,20,30,40,50,60,62,64,66,68,70,72,74,76,78,80,85,90,95,100})</f>
        <v>40</v>
      </c>
      <c r="F407" s="4">
        <v>214</v>
      </c>
      <c r="G407" s="32">
        <f>LOOKUP(F407,{0,175,180,185,190,195,200,204,208,212,216,220,224,228,232,236,240,248,255,260,265},{0,10,20,30,40,50,60,62,64,66,68,70,72,74,76,78,80,85,90,95,100})</f>
        <v>66</v>
      </c>
      <c r="H407" s="4">
        <v>5</v>
      </c>
      <c r="I407" s="32">
        <f>LOOKUP(H407,{0,3,4,5,6,7,8,9,10,11,12,13,14,15,16,17},{0,10,20,30,40,50,60,64,68,72,76,80,85,90,95,100})</f>
        <v>30</v>
      </c>
      <c r="J407" s="4"/>
      <c r="K407" s="4"/>
      <c r="L407" s="4">
        <f t="shared" si="46"/>
        <v>30</v>
      </c>
      <c r="M407" s="4">
        <v>7.5</v>
      </c>
      <c r="N407" s="4">
        <f t="shared" si="44"/>
        <v>4.5</v>
      </c>
      <c r="O407" s="32">
        <f>LOOKUP(N407,{0,1.6,1.8,2,2.2,2.4,2.6,2.8,3,3.2,3.4,3.6,3.8,4,4.2,4.4,4.6,4.7,4.8,4.9,5},{0,10,20,30,40,50,60,62,64,66,68,70,72,74,76,78,80,85,90,95,100})</f>
        <v>78</v>
      </c>
      <c r="P407" s="4">
        <v>4.05</v>
      </c>
      <c r="Q407" s="4">
        <f t="shared" si="47"/>
        <v>5.95</v>
      </c>
      <c r="R407" s="32">
        <f>LOOKUP(Q407,{0,3.8,4,4.6,4.8,5,5.6,5.65,5.7,5.75,5.8,5.85,5.9,5.95,6,6.45,6.5,6.58,6.65,6.7,6.75},{0,10,20,30,40,50,60,62,64,66,68,70,72,74,76,78,80,85,90,95,100})</f>
        <v>74</v>
      </c>
      <c r="S407" s="4"/>
      <c r="T407" s="4"/>
      <c r="U407" s="4">
        <f t="shared" si="48"/>
        <v>74</v>
      </c>
      <c r="V407" s="4"/>
      <c r="W407" s="5">
        <f t="shared" si="49"/>
        <v>44</v>
      </c>
      <c r="X407" s="20">
        <f t="shared" si="45"/>
        <v>62.8571428571429</v>
      </c>
    </row>
    <row r="408" ht="15.6" spans="1:24">
      <c r="A408" s="4">
        <v>211</v>
      </c>
      <c r="B408" s="24" t="s">
        <v>576</v>
      </c>
      <c r="C408" s="25" t="s">
        <v>11</v>
      </c>
      <c r="D408" s="4">
        <v>15</v>
      </c>
      <c r="E408" s="32">
        <f>LOOKUP(D408,{0,-2.9,-1.9,-0.9,0.1,1.1,2.1,3.5,4.9,6.3,7.7,9.1,10.5,11.9,13.3,14.7,16.1,18.3,20.5,22.4,24.3},{0,10,20,30,40,50,60,62,64,66,68,70,72,74,76,78,80,85,90,95,100})</f>
        <v>78</v>
      </c>
      <c r="F408" s="4">
        <v>256</v>
      </c>
      <c r="G408" s="32">
        <f>LOOKUP(F408,{0,175,180,185,190,195,200,204,208,212,216,220,224,228,232,236,240,248,255,260,265},{0,10,20,30,40,50,60,62,64,66,68,70,72,74,76,78,80,85,90,95,100})</f>
        <v>90</v>
      </c>
      <c r="H408" s="4">
        <v>27</v>
      </c>
      <c r="I408" s="32">
        <f>LOOKUP(H408,{0,3,4,5,6,7,8,9,10,11,12,13,14,15,16,17},{0,10,20,30,40,50,60,64,68,72,76,80,85,90,95,100})</f>
        <v>100</v>
      </c>
      <c r="J408" s="4">
        <f>H408-17</f>
        <v>10</v>
      </c>
      <c r="K408" s="32">
        <f>LOOKUP(J408,{0,1,2,3,4,5,6,7,8,9,10},{0,1,2,3,4,5,6,7,8,9,10})</f>
        <v>10</v>
      </c>
      <c r="L408" s="4">
        <f t="shared" si="46"/>
        <v>110</v>
      </c>
      <c r="O408" s="32"/>
      <c r="P408" s="4">
        <v>4.05</v>
      </c>
      <c r="Q408" s="4">
        <f t="shared" si="47"/>
        <v>5.95</v>
      </c>
      <c r="R408" s="32">
        <f>LOOKUP(Q408,{0,3.8,4,4.6,4.8,5,5.6,5.65,5.7,5.75,5.8,5.85,5.9,5.95,6,6.45,6.5,6.58,6.65,6.7,6.75},{0,10,20,30,40,50,60,62,64,66,68,70,72,74,76,78,80,85,90,95,100})</f>
        <v>74</v>
      </c>
      <c r="U408" s="4">
        <f t="shared" si="48"/>
        <v>74</v>
      </c>
      <c r="W408" s="5">
        <f t="shared" si="49"/>
        <v>41.6</v>
      </c>
      <c r="X408" s="20">
        <f t="shared" si="45"/>
        <v>69.4285714285714</v>
      </c>
    </row>
    <row r="409" ht="15.6" hidden="1" spans="1:24">
      <c r="A409" s="4">
        <v>202</v>
      </c>
      <c r="B409" s="24" t="s">
        <v>66</v>
      </c>
      <c r="C409" s="25" t="s">
        <v>11</v>
      </c>
      <c r="D409" s="4">
        <v>17</v>
      </c>
      <c r="E409" s="32">
        <f>LOOKUP(D409,{0,-2.9,-1.9,-0.9,0.1,1.1,2.1,3.5,4.9,6.3,7.7,9.1,10.5,11.9,13.3,14.7,16.1,18.3,20.5,22.4,24.3},{0,10,20,30,40,50,60,62,64,66,68,70,72,74,76,78,80,85,90,95,100})</f>
        <v>80</v>
      </c>
      <c r="F409" s="4">
        <v>231</v>
      </c>
      <c r="G409" s="32">
        <f>LOOKUP(F409,{0,175,180,185,190,195,200,204,208,212,216,220,224,228,232,236,240,248,255,260,265},{0,10,20,30,40,50,60,62,64,66,68,70,72,74,76,78,80,85,90,95,100})</f>
        <v>74</v>
      </c>
      <c r="H409" s="4">
        <v>25</v>
      </c>
      <c r="I409" s="32">
        <f>LOOKUP(H409,{0,3,4,5,6,7,8,9,10,11,12,13,14,15,16,17},{0,10,20,30,40,50,60,64,68,72,76,80,85,90,95,100})</f>
        <v>100</v>
      </c>
      <c r="J409" s="4">
        <f>H409-17</f>
        <v>8</v>
      </c>
      <c r="K409" s="32">
        <f>LOOKUP(J409,{0,1,2,3,4,5,6,7,8,9,10},{0,1,2,3,4,5,6,7,8,9,10})</f>
        <v>8</v>
      </c>
      <c r="L409" s="4">
        <f t="shared" si="46"/>
        <v>108</v>
      </c>
      <c r="O409" s="32"/>
      <c r="P409" s="4">
        <v>4.05</v>
      </c>
      <c r="Q409" s="4">
        <f t="shared" si="47"/>
        <v>5.95</v>
      </c>
      <c r="R409" s="32">
        <f>LOOKUP(Q409,{0,3.8,4,4.6,4.8,5,5.6,5.65,5.7,5.75,5.8,5.85,5.9,5.95,6,6.45,6.5,6.58,6.65,6.7,6.75},{0,10,20,30,40,50,60,62,64,66,68,70,72,74,76,78,80,85,90,95,100})</f>
        <v>74</v>
      </c>
      <c r="U409" s="4">
        <f t="shared" si="48"/>
        <v>74</v>
      </c>
      <c r="W409" s="5">
        <f t="shared" si="49"/>
        <v>40.2</v>
      </c>
      <c r="X409" s="20">
        <f t="shared" si="45"/>
        <v>65.4285714285714</v>
      </c>
    </row>
    <row r="410" ht="15.6" hidden="1" spans="1:24">
      <c r="A410" s="4">
        <v>207</v>
      </c>
      <c r="B410" s="24" t="s">
        <v>358</v>
      </c>
      <c r="C410" s="25" t="s">
        <v>11</v>
      </c>
      <c r="D410" s="4">
        <v>24</v>
      </c>
      <c r="E410" s="32">
        <f>LOOKUP(D410,{0,-2.9,-1.9,-0.9,0.1,1.1,2.1,3.5,4.9,6.3,7.7,9.1,10.5,11.9,13.3,14.7,16.1,18.3,20.5,22.4,24.3},{0,10,20,30,40,50,60,62,64,66,68,70,72,74,76,78,80,85,90,95,100})</f>
        <v>95</v>
      </c>
      <c r="F410" s="4">
        <v>232</v>
      </c>
      <c r="G410" s="32">
        <f>LOOKUP(F410,{0,175,180,185,190,195,200,204,208,212,216,220,224,228,232,236,240,248,255,260,265},{0,10,20,30,40,50,60,62,64,66,68,70,72,74,76,78,80,85,90,95,100})</f>
        <v>76</v>
      </c>
      <c r="H410" s="4">
        <v>11</v>
      </c>
      <c r="I410" s="32">
        <f>LOOKUP(H410,{0,3,4,5,6,7,8,9,10,11,12,13,14,15,16,17},{0,10,20,30,40,50,60,64,68,72,76,80,85,90,95,100})</f>
        <v>72</v>
      </c>
      <c r="L410" s="4">
        <f t="shared" si="46"/>
        <v>72</v>
      </c>
      <c r="M410" s="4">
        <v>7.5</v>
      </c>
      <c r="N410" s="4">
        <f t="shared" ref="N410:N453" si="50">12-M410</f>
        <v>4.5</v>
      </c>
      <c r="O410" s="32">
        <f>LOOKUP(N410,{0,1.6,1.8,2,2.2,2.4,2.6,2.8,3,3.2,3.4,3.6,3.8,4,4.2,4.4,4.6,4.7,4.8,4.9,5},{0,10,20,30,40,50,60,62,64,66,68,70,72,74,76,78,80,85,90,95,100})</f>
        <v>78</v>
      </c>
      <c r="P410" s="4">
        <v>4.06</v>
      </c>
      <c r="Q410" s="4">
        <f t="shared" si="47"/>
        <v>5.94</v>
      </c>
      <c r="R410" s="32">
        <f>LOOKUP(Q410,{0,3.8,4,4.6,4.8,5,5.6,5.65,5.7,5.75,5.8,5.85,5.9,5.95,6,6.45,6.5,6.58,6.65,6.7,6.75},{0,10,20,30,40,50,60,62,64,66,68,70,72,74,76,78,80,85,90,95,100})</f>
        <v>72</v>
      </c>
      <c r="U410" s="4">
        <f t="shared" si="48"/>
        <v>72</v>
      </c>
      <c r="W410" s="5">
        <f t="shared" si="49"/>
        <v>54.3</v>
      </c>
      <c r="X410" s="20">
        <f t="shared" si="45"/>
        <v>77.5714285714286</v>
      </c>
    </row>
    <row r="411" ht="15.6" hidden="1" spans="1:24">
      <c r="A411" s="4">
        <v>209</v>
      </c>
      <c r="B411" s="33" t="s">
        <v>436</v>
      </c>
      <c r="C411" s="25" t="s">
        <v>11</v>
      </c>
      <c r="D411" s="4">
        <v>0</v>
      </c>
      <c r="E411" s="32">
        <f>LOOKUP(D411,{0,-2.9,-1.9,-0.9,0.1,1.1,2.1,3.5,4.9,6.3,7.7,9.1,10.5,11.9,13.3,14.7,16.1,18.3,20.5,22.4,24.3},{0,10,20,30,40,50,60,62,64,66,68,70,72,74,76,78,80,85,90,95,100})</f>
        <v>30</v>
      </c>
      <c r="F411" s="4">
        <v>233</v>
      </c>
      <c r="G411" s="32">
        <f>LOOKUP(F411,{0,175,180,185,190,195,200,204,208,212,216,220,224,228,232,236,240,248,255,260,265},{0,10,20,30,40,50,60,62,64,66,68,70,72,74,76,78,80,85,90,95,100})</f>
        <v>76</v>
      </c>
      <c r="H411" s="4">
        <v>0</v>
      </c>
      <c r="I411" s="32">
        <f>LOOKUP(H411,{0,3,4,5,6,7,8,9,10,11,12,13,14,15,16,17},{0,10,20,30,40,50,60,64,68,72,76,80,85,90,95,100})</f>
        <v>0</v>
      </c>
      <c r="L411" s="4">
        <f t="shared" si="46"/>
        <v>0</v>
      </c>
      <c r="M411" s="4">
        <v>7.6</v>
      </c>
      <c r="N411" s="4">
        <f t="shared" si="50"/>
        <v>4.4</v>
      </c>
      <c r="O411" s="32">
        <f>LOOKUP(N411,{0,1.6,1.8,2,2.2,2.4,2.6,2.8,3,3.2,3.4,3.6,3.8,4,4.2,4.4,4.6,4.7,4.8,4.9,5},{0,10,20,30,40,50,60,62,64,66,68,70,72,74,76,78,80,85,90,95,100})</f>
        <v>78</v>
      </c>
      <c r="P411" s="4">
        <v>4.06</v>
      </c>
      <c r="Q411" s="4">
        <f t="shared" si="47"/>
        <v>5.94</v>
      </c>
      <c r="R411" s="32">
        <f>LOOKUP(Q411,{0,3.8,4,4.6,4.8,5,5.6,5.65,5.7,5.75,5.8,5.85,5.9,5.95,6,6.45,6.5,6.58,6.65,6.7,6.75},{0,10,20,30,40,50,60,62,64,66,68,70,72,74,76,78,80,85,90,95,100})</f>
        <v>72</v>
      </c>
      <c r="U411" s="4">
        <f t="shared" si="48"/>
        <v>72</v>
      </c>
      <c r="W411" s="5">
        <f t="shared" si="49"/>
        <v>40.6</v>
      </c>
      <c r="X411" s="20">
        <f t="shared" si="45"/>
        <v>58</v>
      </c>
    </row>
    <row r="412" ht="15.6" hidden="1" spans="1:24">
      <c r="A412" s="4">
        <v>210</v>
      </c>
      <c r="B412" s="24" t="s">
        <v>529</v>
      </c>
      <c r="C412" s="25" t="s">
        <v>11</v>
      </c>
      <c r="D412" s="4">
        <v>7.58</v>
      </c>
      <c r="E412" s="32">
        <f>LOOKUP(D412,{0,-2.9,-1.9,-0.9,0.1,1.1,2.1,3.5,4.9,6.3,7.7,9.1,10.5,11.9,13.3,14.7,16.1,18.3,20.5,22.4,24.3},{0,10,20,30,40,50,60,62,64,66,68,70,72,74,76,78,80,85,90,95,100})</f>
        <v>66</v>
      </c>
      <c r="F412" s="4">
        <v>225</v>
      </c>
      <c r="G412" s="32">
        <f>LOOKUP(F412,{0,175,180,185,190,195,200,204,208,212,216,220,224,228,232,236,240,248,255,260,265},{0,10,20,30,40,50,60,62,64,66,68,70,72,74,76,78,80,85,90,95,100})</f>
        <v>72</v>
      </c>
      <c r="H412" s="4">
        <v>12</v>
      </c>
      <c r="I412" s="32">
        <f>LOOKUP(H412,{0,3,4,5,6,7,8,9,10,11,12,13,14,15,16,17},{0,10,20,30,40,50,60,64,68,72,76,80,85,90,95,100})</f>
        <v>76</v>
      </c>
      <c r="L412" s="4">
        <f t="shared" si="46"/>
        <v>76</v>
      </c>
      <c r="M412" s="4">
        <v>7.8</v>
      </c>
      <c r="N412" s="4">
        <f t="shared" si="50"/>
        <v>4.2</v>
      </c>
      <c r="O412" s="32">
        <f>LOOKUP(N412,{0,1.6,1.8,2,2.2,2.4,2.6,2.8,3,3.2,3.4,3.6,3.8,4,4.2,4.4,4.6,4.7,4.8,4.9,5},{0,10,20,30,40,50,60,62,64,66,68,70,72,74,76,78,80,85,90,95,100})</f>
        <v>76</v>
      </c>
      <c r="P412" s="4">
        <v>4.06</v>
      </c>
      <c r="Q412" s="4">
        <f t="shared" si="47"/>
        <v>5.94</v>
      </c>
      <c r="R412" s="32">
        <f>LOOKUP(Q412,{0,3.8,4,4.6,4.8,5,5.6,5.65,5.7,5.75,5.8,5.85,5.9,5.95,6,6.45,6.5,6.58,6.65,6.7,6.75},{0,10,20,30,40,50,60,62,64,66,68,70,72,74,76,78,80,85,90,95,100})</f>
        <v>72</v>
      </c>
      <c r="U412" s="4">
        <f t="shared" si="48"/>
        <v>72</v>
      </c>
      <c r="W412" s="5">
        <f t="shared" si="49"/>
        <v>51</v>
      </c>
      <c r="X412" s="20">
        <f t="shared" si="45"/>
        <v>72.8571428571429</v>
      </c>
    </row>
    <row r="413" ht="15.6" hidden="1" spans="1:24">
      <c r="A413" s="4">
        <v>209</v>
      </c>
      <c r="B413" s="24" t="s">
        <v>460</v>
      </c>
      <c r="C413" s="25" t="s">
        <v>11</v>
      </c>
      <c r="D413" s="4">
        <v>2.8</v>
      </c>
      <c r="E413" s="32">
        <f>LOOKUP(D413,{0,-2.9,-1.9,-0.9,0.1,1.1,2.1,3.5,4.9,6.3,7.7,9.1,10.5,11.9,13.3,14.7,16.1,18.3,20.5,22.4,24.3},{0,10,20,30,40,50,60,62,64,66,68,70,72,74,76,78,80,85,90,95,100})</f>
        <v>60</v>
      </c>
      <c r="F413" s="4">
        <v>210</v>
      </c>
      <c r="G413" s="32">
        <f>LOOKUP(F413,{0,175,180,185,190,195,200,204,208,212,216,220,224,228,232,236,240,248,255,260,265},{0,10,20,30,40,50,60,62,64,66,68,70,72,74,76,78,80,85,90,95,100})</f>
        <v>64</v>
      </c>
      <c r="H413" s="4">
        <v>8</v>
      </c>
      <c r="I413" s="32">
        <f>LOOKUP(H413,{0,3,4,5,6,7,8,9,10,11,12,13,14,15,16,17},{0,10,20,30,40,50,60,64,68,72,76,80,85,90,95,100})</f>
        <v>60</v>
      </c>
      <c r="L413" s="4">
        <f t="shared" si="46"/>
        <v>60</v>
      </c>
      <c r="M413" s="4">
        <v>6.9</v>
      </c>
      <c r="N413" s="4">
        <f t="shared" si="50"/>
        <v>5.1</v>
      </c>
      <c r="O413" s="32">
        <f>LOOKUP(N413,{0,1.6,1.8,2,2.2,2.4,2.6,2.8,3,3.2,3.4,3.6,3.8,4,4.2,4.4,4.6,4.7,4.8,4.9,5},{0,10,20,30,40,50,60,62,64,66,68,70,72,74,76,78,80,85,90,95,100})</f>
        <v>100</v>
      </c>
      <c r="P413" s="4">
        <v>4.07</v>
      </c>
      <c r="Q413" s="4">
        <f t="shared" si="47"/>
        <v>5.93</v>
      </c>
      <c r="R413" s="32">
        <f>LOOKUP(Q413,{0,3.8,4,4.6,4.8,5,5.6,5.65,5.7,5.75,5.8,5.85,5.9,5.95,6,6.45,6.5,6.58,6.65,6.7,6.75},{0,10,20,30,40,50,60,62,64,66,68,70,72,74,76,78,80,85,90,95,100})</f>
        <v>72</v>
      </c>
      <c r="U413" s="4">
        <f t="shared" si="48"/>
        <v>72</v>
      </c>
      <c r="W413" s="5">
        <f t="shared" si="49"/>
        <v>52.8</v>
      </c>
      <c r="X413" s="20">
        <f t="shared" si="45"/>
        <v>75.4285714285714</v>
      </c>
    </row>
    <row r="414" ht="15.6" hidden="1" spans="1:24">
      <c r="A414" s="4">
        <v>209</v>
      </c>
      <c r="B414" s="24" t="s">
        <v>445</v>
      </c>
      <c r="C414" s="25" t="s">
        <v>11</v>
      </c>
      <c r="D414" s="4">
        <v>6.9</v>
      </c>
      <c r="E414" s="32">
        <f>LOOKUP(D414,{0,-2.9,-1.9,-0.9,0.1,1.1,2.1,3.5,4.9,6.3,7.7,9.1,10.5,11.9,13.3,14.7,16.1,18.3,20.5,22.4,24.3},{0,10,20,30,40,50,60,62,64,66,68,70,72,74,76,78,80,85,90,95,100})</f>
        <v>66</v>
      </c>
      <c r="F414" s="4">
        <v>247</v>
      </c>
      <c r="G414" s="32">
        <f>LOOKUP(F414,{0,175,180,185,190,195,200,204,208,212,216,220,224,228,232,236,240,248,255,260,265},{0,10,20,30,40,50,60,62,64,66,68,70,72,74,76,78,80,85,90,95,100})</f>
        <v>80</v>
      </c>
      <c r="H414" s="4">
        <v>6</v>
      </c>
      <c r="I414" s="32">
        <f>LOOKUP(H414,{0,3,4,5,6,7,8,9,10,11,12,13,14,15,16,17},{0,10,20,30,40,50,60,64,68,72,76,80,85,90,95,100})</f>
        <v>40</v>
      </c>
      <c r="L414" s="4">
        <f t="shared" si="46"/>
        <v>40</v>
      </c>
      <c r="M414" s="4">
        <v>7.4</v>
      </c>
      <c r="N414" s="4">
        <f t="shared" si="50"/>
        <v>4.6</v>
      </c>
      <c r="O414" s="32">
        <f>LOOKUP(N414,{0,1.6,1.8,2,2.2,2.4,2.6,2.8,3,3.2,3.4,3.6,3.8,4,4.2,4.4,4.6,4.7,4.8,4.9,5},{0,10,20,30,40,50,60,62,64,66,68,70,72,74,76,78,80,85,90,95,100})</f>
        <v>80</v>
      </c>
      <c r="P414" s="4">
        <v>4.07</v>
      </c>
      <c r="Q414" s="4">
        <f t="shared" si="47"/>
        <v>5.93</v>
      </c>
      <c r="R414" s="32">
        <f>LOOKUP(Q414,{0,3.8,4,4.6,4.8,5,5.6,5.65,5.7,5.75,5.8,5.85,5.9,5.95,6,6.45,6.5,6.58,6.65,6.7,6.75},{0,10,20,30,40,50,60,62,64,66,68,70,72,74,76,78,80,85,90,95,100})</f>
        <v>72</v>
      </c>
      <c r="U414" s="4">
        <f t="shared" si="48"/>
        <v>72</v>
      </c>
      <c r="W414" s="5">
        <f t="shared" si="49"/>
        <v>49</v>
      </c>
      <c r="X414" s="20">
        <f t="shared" si="45"/>
        <v>70</v>
      </c>
    </row>
    <row r="415" ht="15.6" hidden="1" spans="1:24">
      <c r="A415" s="4">
        <v>208</v>
      </c>
      <c r="B415" s="24" t="s">
        <v>391</v>
      </c>
      <c r="C415" s="25" t="s">
        <v>11</v>
      </c>
      <c r="D415" s="4">
        <v>18</v>
      </c>
      <c r="E415" s="32">
        <f>LOOKUP(D415,{0,-2.9,-1.9,-0.9,0.1,1.1,2.1,3.5,4.9,6.3,7.7,9.1,10.5,11.9,13.3,14.7,16.1,18.3,20.5,22.4,24.3},{0,10,20,30,40,50,60,62,64,66,68,70,72,74,76,78,80,85,90,95,100})</f>
        <v>80</v>
      </c>
      <c r="F415" s="4">
        <v>235</v>
      </c>
      <c r="G415" s="32">
        <f>LOOKUP(F415,{0,175,180,185,190,195,200,204,208,212,216,220,224,228,232,236,240,248,255,260,265},{0,10,20,30,40,50,60,62,64,66,68,70,72,74,76,78,80,85,90,95,100})</f>
        <v>76</v>
      </c>
      <c r="H415" s="4">
        <v>16</v>
      </c>
      <c r="I415" s="32">
        <f>LOOKUP(H415,{0,3,4,5,6,7,8,9,10,11,12,13,14,15,16,17},{0,10,20,30,40,50,60,64,68,72,76,80,85,90,95,100})</f>
        <v>95</v>
      </c>
      <c r="L415" s="4">
        <f t="shared" si="46"/>
        <v>95</v>
      </c>
      <c r="M415" s="4">
        <v>7.5</v>
      </c>
      <c r="N415" s="4">
        <f t="shared" si="50"/>
        <v>4.5</v>
      </c>
      <c r="O415" s="32">
        <f>LOOKUP(N415,{0,1.6,1.8,2,2.2,2.4,2.6,2.8,3,3.2,3.4,3.6,3.8,4,4.2,4.4,4.6,4.7,4.8,4.9,5},{0,10,20,30,40,50,60,62,64,66,68,70,72,74,76,78,80,85,90,95,100})</f>
        <v>78</v>
      </c>
      <c r="P415" s="4">
        <v>4.07</v>
      </c>
      <c r="Q415" s="4">
        <f t="shared" si="47"/>
        <v>5.93</v>
      </c>
      <c r="R415" s="32">
        <f>LOOKUP(Q415,{0,3.8,4,4.6,4.8,5,5.6,5.65,5.7,5.75,5.8,5.85,5.9,5.95,6,6.45,6.5,6.58,6.65,6.7,6.75},{0,10,20,30,40,50,60,62,64,66,68,70,72,74,76,78,80,85,90,95,100})</f>
        <v>72</v>
      </c>
      <c r="U415" s="4">
        <f t="shared" si="48"/>
        <v>72</v>
      </c>
      <c r="W415" s="5">
        <f t="shared" si="49"/>
        <v>55.1</v>
      </c>
      <c r="X415" s="20">
        <f t="shared" si="45"/>
        <v>78.7142857142857</v>
      </c>
    </row>
    <row r="416" ht="15.6" hidden="1" spans="1:24">
      <c r="A416" s="4">
        <v>205</v>
      </c>
      <c r="B416" s="24" t="s">
        <v>253</v>
      </c>
      <c r="C416" s="25" t="s">
        <v>11</v>
      </c>
      <c r="D416" s="4">
        <v>19</v>
      </c>
      <c r="E416" s="32">
        <f>LOOKUP(D416,{0,-2.9,-1.9,-0.9,0.1,1.1,2.1,3.5,4.9,6.3,7.7,9.1,10.5,11.9,13.3,14.7,16.1,18.3,20.5,22.4,24.3},{0,10,20,30,40,50,60,62,64,66,68,70,72,74,76,78,80,85,90,95,100})</f>
        <v>85</v>
      </c>
      <c r="F416" s="4">
        <v>235</v>
      </c>
      <c r="G416" s="32">
        <f>LOOKUP(F416,{0,175,180,185,190,195,200,204,208,212,216,220,224,228,232,236,240,248,255,260,265},{0,10,20,30,40,50,60,62,64,66,68,70,72,74,76,78,80,85,90,95,100})</f>
        <v>76</v>
      </c>
      <c r="H416" s="4">
        <v>7</v>
      </c>
      <c r="I416" s="32">
        <f>LOOKUP(H416,{0,3,4,5,6,7,8,9,10,11,12,13,14,15,16,17},{0,10,20,30,40,50,60,64,68,72,76,80,85,90,95,100})</f>
        <v>50</v>
      </c>
      <c r="L416" s="4">
        <f t="shared" si="46"/>
        <v>50</v>
      </c>
      <c r="M416" s="4">
        <v>7.5</v>
      </c>
      <c r="N416" s="4">
        <f t="shared" si="50"/>
        <v>4.5</v>
      </c>
      <c r="O416" s="32">
        <f>LOOKUP(N416,{0,1.6,1.8,2,2.2,2.4,2.6,2.8,3,3.2,3.4,3.6,3.8,4,4.2,4.4,4.6,4.7,4.8,4.9,5},{0,10,20,30,40,50,60,62,64,66,68,70,72,74,76,78,80,85,90,95,100})</f>
        <v>78</v>
      </c>
      <c r="P416" s="4">
        <v>4.07</v>
      </c>
      <c r="Q416" s="4">
        <f t="shared" si="47"/>
        <v>5.93</v>
      </c>
      <c r="R416" s="32">
        <f>LOOKUP(Q416,{0,3.8,4,4.6,4.8,5,5.6,5.65,5.7,5.75,5.8,5.85,5.9,5.95,6,6.45,6.5,6.58,6.65,6.7,6.75},{0,10,20,30,40,50,60,62,64,66,68,70,72,74,76,78,80,85,90,95,100})</f>
        <v>72</v>
      </c>
      <c r="U416" s="4">
        <f t="shared" si="48"/>
        <v>72</v>
      </c>
      <c r="W416" s="5">
        <f t="shared" si="49"/>
        <v>51.1</v>
      </c>
      <c r="X416" s="20">
        <f t="shared" si="45"/>
        <v>73</v>
      </c>
    </row>
    <row r="417" ht="15.6" hidden="1" spans="1:24">
      <c r="A417" s="4">
        <v>205</v>
      </c>
      <c r="B417" s="24" t="s">
        <v>249</v>
      </c>
      <c r="C417" s="25" t="s">
        <v>11</v>
      </c>
      <c r="D417" s="4">
        <v>19</v>
      </c>
      <c r="E417" s="32">
        <f>LOOKUP(D417,{0,-2.9,-1.9,-0.9,0.1,1.1,2.1,3.5,4.9,6.3,7.7,9.1,10.5,11.9,13.3,14.7,16.1,18.3,20.5,22.4,24.3},{0,10,20,30,40,50,60,62,64,66,68,70,72,74,76,78,80,85,90,95,100})</f>
        <v>85</v>
      </c>
      <c r="F417" s="4">
        <v>242</v>
      </c>
      <c r="G417" s="32">
        <f>LOOKUP(F417,{0,175,180,185,190,195,200,204,208,212,216,220,224,228,232,236,240,248,255,260,265},{0,10,20,30,40,50,60,62,64,66,68,70,72,74,76,78,80,85,90,95,100})</f>
        <v>80</v>
      </c>
      <c r="H417" s="4">
        <v>17</v>
      </c>
      <c r="I417" s="32">
        <f>LOOKUP(H417,{0,3,4,5,6,7,8,9,10,11,12,13,14,15,16,17},{0,10,20,30,40,50,60,64,68,72,76,80,85,90,95,100})</f>
        <v>100</v>
      </c>
      <c r="J417" s="4">
        <f>H417-17</f>
        <v>0</v>
      </c>
      <c r="K417" s="32">
        <f>LOOKUP(J417,{0,1,2,3,4,5,6,7,8,9,10},{0,1,2,3,4,5,6,7,8,9,10})</f>
        <v>0</v>
      </c>
      <c r="L417" s="4">
        <f t="shared" si="46"/>
        <v>100</v>
      </c>
      <c r="M417" s="4">
        <v>7.7</v>
      </c>
      <c r="N417" s="4">
        <f t="shared" si="50"/>
        <v>4.3</v>
      </c>
      <c r="O417" s="32">
        <f>LOOKUP(N417,{0,1.6,1.8,2,2.2,2.4,2.6,2.8,3,3.2,3.4,3.6,3.8,4,4.2,4.4,4.6,4.7,4.8,4.9,5},{0,10,20,30,40,50,60,62,64,66,68,70,72,74,76,78,80,85,90,95,100})</f>
        <v>76</v>
      </c>
      <c r="P417" s="4">
        <v>4.07</v>
      </c>
      <c r="Q417" s="4">
        <f t="shared" si="47"/>
        <v>5.93</v>
      </c>
      <c r="R417" s="32">
        <f>LOOKUP(Q417,{0,3.8,4,4.6,4.8,5,5.6,5.65,5.7,5.75,5.8,5.85,5.9,5.95,6,6.45,6.5,6.58,6.65,6.7,6.75},{0,10,20,30,40,50,60,62,64,66,68,70,72,74,76,78,80,85,90,95,100})</f>
        <v>72</v>
      </c>
      <c r="U417" s="4">
        <f t="shared" si="48"/>
        <v>72</v>
      </c>
      <c r="W417" s="5">
        <f t="shared" si="49"/>
        <v>56.1</v>
      </c>
      <c r="X417" s="20">
        <f t="shared" si="45"/>
        <v>80.1428571428572</v>
      </c>
    </row>
    <row r="418" ht="15.6" hidden="1" spans="1:24">
      <c r="A418" s="4">
        <v>201</v>
      </c>
      <c r="B418" s="24" t="s">
        <v>22</v>
      </c>
      <c r="C418" s="25" t="s">
        <v>11</v>
      </c>
      <c r="D418" s="4">
        <v>10</v>
      </c>
      <c r="E418" s="32">
        <f>LOOKUP(D418,{0,-2.9,-1.9,-0.9,0.1,1.1,2.1,3.5,4.9,6.3,7.7,9.1,10.5,11.9,13.3,14.7,16.1,18.3,20.5,22.4,24.3},{0,10,20,30,40,50,60,62,64,66,68,70,72,74,76,78,80,85,90,95,100})</f>
        <v>70</v>
      </c>
      <c r="F418" s="4">
        <v>208</v>
      </c>
      <c r="G418" s="32">
        <f>LOOKUP(F418,{0,175,180,185,190,195,200,204,208,212,216,220,224,228,232,236,240,248,255,260,265},{0,10,20,30,40,50,60,62,64,66,68,70,72,74,76,78,80,85,90,95,100})</f>
        <v>64</v>
      </c>
      <c r="H418" s="4">
        <v>17</v>
      </c>
      <c r="I418" s="32">
        <f>LOOKUP(H418,{0,3,4,5,6,7,8,9,10,11,12,13,14,15,16,17},{0,10,20,30,40,50,60,64,68,72,76,80,85,90,95,100})</f>
        <v>100</v>
      </c>
      <c r="J418" s="4">
        <f>H418-17</f>
        <v>0</v>
      </c>
      <c r="K418" s="32">
        <f>LOOKUP(J418,{0,1,2,3,4,5,6,7,8,9,10},{0,1,2,3,4,5,6,7,8,9,10})</f>
        <v>0</v>
      </c>
      <c r="L418" s="4">
        <f t="shared" si="46"/>
        <v>100</v>
      </c>
      <c r="M418" s="4">
        <v>7.8</v>
      </c>
      <c r="N418" s="4">
        <f t="shared" si="50"/>
        <v>4.2</v>
      </c>
      <c r="O418" s="32">
        <f>LOOKUP(N418,{0,1.6,1.8,2,2.2,2.4,2.6,2.8,3,3.2,3.4,3.6,3.8,4,4.2,4.4,4.6,4.7,4.8,4.9,5},{0,10,20,30,40,50,60,62,64,66,68,70,72,74,76,78,80,85,90,95,100})</f>
        <v>76</v>
      </c>
      <c r="P418" s="4">
        <v>4.07</v>
      </c>
      <c r="Q418" s="4">
        <f t="shared" si="47"/>
        <v>5.93</v>
      </c>
      <c r="R418" s="32">
        <f>LOOKUP(Q418,{0,3.8,4,4.6,4.8,5,5.6,5.65,5.7,5.75,5.8,5.85,5.9,5.95,6,6.45,6.5,6.58,6.65,6.7,6.75},{0,10,20,30,40,50,60,62,64,66,68,70,72,74,76,78,80,85,90,95,100})</f>
        <v>72</v>
      </c>
      <c r="U418" s="4">
        <f t="shared" si="48"/>
        <v>72</v>
      </c>
      <c r="W418" s="5">
        <f t="shared" si="49"/>
        <v>53</v>
      </c>
      <c r="X418" s="20">
        <f t="shared" si="45"/>
        <v>75.7142857142857</v>
      </c>
    </row>
    <row r="419" ht="15.6" hidden="1" spans="1:24">
      <c r="A419" s="4">
        <v>206</v>
      </c>
      <c r="B419" s="24" t="s">
        <v>288</v>
      </c>
      <c r="C419" s="25" t="s">
        <v>11</v>
      </c>
      <c r="D419" s="4">
        <v>16.5</v>
      </c>
      <c r="E419" s="32">
        <f>LOOKUP(D419,{0,-2.9,-1.9,-0.9,0.1,1.1,2.1,3.5,4.9,6.3,7.7,9.1,10.5,11.9,13.3,14.7,16.1,18.3,20.5,22.4,24.3},{0,10,20,30,40,50,60,62,64,66,68,70,72,74,76,78,80,85,90,95,100})</f>
        <v>80</v>
      </c>
      <c r="F419" s="4">
        <v>208</v>
      </c>
      <c r="G419" s="32">
        <f>LOOKUP(F419,{0,175,180,185,190,195,200,204,208,212,216,220,224,228,232,236,240,248,255,260,265},{0,10,20,30,40,50,60,62,64,66,68,70,72,74,76,78,80,85,90,95,100})</f>
        <v>64</v>
      </c>
      <c r="H419" s="4">
        <v>0</v>
      </c>
      <c r="I419" s="32">
        <f>LOOKUP(H419,{0,3,4,5,6,7,8,9,10,11,12,13,14,15,16,17},{0,10,20,30,40,50,60,64,68,72,76,80,85,90,95,100})</f>
        <v>0</v>
      </c>
      <c r="L419" s="4">
        <f t="shared" si="46"/>
        <v>0</v>
      </c>
      <c r="M419" s="4">
        <v>8.8</v>
      </c>
      <c r="N419" s="4">
        <f t="shared" si="50"/>
        <v>3.2</v>
      </c>
      <c r="O419" s="32">
        <f>LOOKUP(N419,{0,1.6,1.8,2,2.2,2.4,2.6,2.8,3,3.2,3.4,3.6,3.8,4,4.2,4.4,4.6,4.7,4.8,4.9,5},{0,10,20,30,40,50,60,62,64,66,68,70,72,74,76,78,80,85,90,95,100})</f>
        <v>66</v>
      </c>
      <c r="P419" s="4">
        <v>4.07</v>
      </c>
      <c r="Q419" s="4">
        <f t="shared" si="47"/>
        <v>5.93</v>
      </c>
      <c r="R419" s="32">
        <f>LOOKUP(Q419,{0,3.8,4,4.6,4.8,5,5.6,5.65,5.7,5.75,5.8,5.85,5.9,5.95,6,6.45,6.5,6.58,6.65,6.7,6.75},{0,10,20,30,40,50,60,62,64,66,68,70,72,74,76,78,80,85,90,95,100})</f>
        <v>72</v>
      </c>
      <c r="U419" s="4">
        <f t="shared" si="48"/>
        <v>72</v>
      </c>
      <c r="W419" s="5">
        <f t="shared" si="49"/>
        <v>42</v>
      </c>
      <c r="X419" s="20">
        <f t="shared" si="45"/>
        <v>60</v>
      </c>
    </row>
    <row r="420" ht="15.6" hidden="1" spans="1:24">
      <c r="A420" s="4">
        <v>205</v>
      </c>
      <c r="B420" s="24" t="s">
        <v>252</v>
      </c>
      <c r="C420" s="25" t="s">
        <v>11</v>
      </c>
      <c r="D420" s="4">
        <v>16</v>
      </c>
      <c r="E420" s="32">
        <f>LOOKUP(D420,{0,-2.9,-1.9,-0.9,0.1,1.1,2.1,3.5,4.9,6.3,7.7,9.1,10.5,11.9,13.3,14.7,16.1,18.3,20.5,22.4,24.3},{0,10,20,30,40,50,60,62,64,66,68,70,72,74,76,78,80,85,90,95,100})</f>
        <v>78</v>
      </c>
      <c r="F420" s="4">
        <v>225</v>
      </c>
      <c r="G420" s="32">
        <f>LOOKUP(F420,{0,175,180,185,190,195,200,204,208,212,216,220,224,228,232,236,240,248,255,260,265},{0,10,20,30,40,50,60,62,64,66,68,70,72,74,76,78,80,85,90,95,100})</f>
        <v>72</v>
      </c>
      <c r="H420" s="4">
        <v>3</v>
      </c>
      <c r="I420" s="32">
        <f>LOOKUP(H420,{0,3,4,5,6,7,8,9,10,11,12,13,14,15,16,17},{0,10,20,30,40,50,60,64,68,72,76,80,85,90,95,100})</f>
        <v>10</v>
      </c>
      <c r="L420" s="4">
        <f t="shared" si="46"/>
        <v>10</v>
      </c>
      <c r="M420" s="4">
        <v>7</v>
      </c>
      <c r="N420" s="4">
        <f t="shared" si="50"/>
        <v>5</v>
      </c>
      <c r="O420" s="32">
        <f>LOOKUP(N420,{0,1.6,1.8,2,2.2,2.4,2.6,2.8,3,3.2,3.4,3.6,3.8,4,4.2,4.4,4.6,4.7,4.8,4.9,5},{0,10,20,30,40,50,60,62,64,66,68,70,72,74,76,78,80,85,90,95,100})</f>
        <v>100</v>
      </c>
      <c r="P420" s="4">
        <v>4.08</v>
      </c>
      <c r="Q420" s="4">
        <f t="shared" si="47"/>
        <v>5.92</v>
      </c>
      <c r="R420" s="32">
        <f>LOOKUP(Q420,{0,3.8,4,4.6,4.8,5,5.6,5.65,5.7,5.75,5.8,5.85,5.9,5.95,6,6.45,6.5,6.58,6.65,6.7,6.75},{0,10,20,30,40,50,60,62,64,66,68,70,72,74,76,78,80,85,90,95,100})</f>
        <v>72</v>
      </c>
      <c r="U420" s="4">
        <f t="shared" si="48"/>
        <v>72</v>
      </c>
      <c r="W420" s="5">
        <f t="shared" si="49"/>
        <v>50.4</v>
      </c>
      <c r="X420" s="20">
        <f t="shared" si="45"/>
        <v>72</v>
      </c>
    </row>
    <row r="421" s="1" customFormat="1" ht="15.6" hidden="1" spans="1:24">
      <c r="A421" s="4">
        <v>205</v>
      </c>
      <c r="B421" s="24" t="s">
        <v>222</v>
      </c>
      <c r="C421" s="25" t="s">
        <v>11</v>
      </c>
      <c r="D421" s="4">
        <v>14</v>
      </c>
      <c r="E421" s="32">
        <f>LOOKUP(D421,{0,-2.9,-1.9,-0.9,0.1,1.1,2.1,3.5,4.9,6.3,7.7,9.1,10.5,11.9,13.3,14.7,16.1,18.3,20.5,22.4,24.3},{0,10,20,30,40,50,60,62,64,66,68,70,72,74,76,78,80,85,90,95,100})</f>
        <v>76</v>
      </c>
      <c r="F421" s="4">
        <v>235</v>
      </c>
      <c r="G421" s="32">
        <f>LOOKUP(F421,{0,175,180,185,190,195,200,204,208,212,216,220,224,228,232,236,240,248,255,260,265},{0,10,20,30,40,50,60,62,64,66,68,70,72,74,76,78,80,85,90,95,100})</f>
        <v>76</v>
      </c>
      <c r="H421" s="4">
        <v>17</v>
      </c>
      <c r="I421" s="32">
        <f>LOOKUP(H421,{0,3,4,5,6,7,8,9,10,11,12,13,14,15,16,17},{0,10,20,30,40,50,60,64,68,72,76,80,85,90,95,100})</f>
        <v>100</v>
      </c>
      <c r="J421" s="4">
        <f>H421-17</f>
        <v>0</v>
      </c>
      <c r="K421" s="32">
        <f>LOOKUP(J421,{0,1,2,3,4,5,6,7,8,9,10},{0,1,2,3,4,5,6,7,8,9,10})</f>
        <v>0</v>
      </c>
      <c r="L421" s="4">
        <f t="shared" si="46"/>
        <v>100</v>
      </c>
      <c r="M421" s="4">
        <v>7.3</v>
      </c>
      <c r="N421" s="4">
        <f t="shared" si="50"/>
        <v>4.7</v>
      </c>
      <c r="O421" s="32">
        <f>LOOKUP(N421,{0,1.6,1.8,2,2.2,2.4,2.6,2.8,3,3.2,3.4,3.6,3.8,4,4.2,4.4,4.6,4.7,4.8,4.9,5},{0,10,20,30,40,50,60,62,64,66,68,70,72,74,76,78,80,85,90,95,100})</f>
        <v>85</v>
      </c>
      <c r="P421" s="4">
        <v>4.08</v>
      </c>
      <c r="Q421" s="4">
        <f t="shared" si="47"/>
        <v>5.92</v>
      </c>
      <c r="R421" s="32">
        <f>LOOKUP(Q421,{0,3.8,4,4.6,4.8,5,5.6,5.65,5.7,5.75,5.8,5.85,5.9,5.95,6,6.45,6.5,6.58,6.65,6.7,6.75},{0,10,20,30,40,50,60,62,64,66,68,70,72,74,76,78,80,85,90,95,100})</f>
        <v>72</v>
      </c>
      <c r="S421" s="4"/>
      <c r="T421" s="4"/>
      <c r="U421" s="4">
        <f t="shared" si="48"/>
        <v>72</v>
      </c>
      <c r="V421" s="4"/>
      <c r="W421" s="5">
        <f t="shared" si="49"/>
        <v>56.6</v>
      </c>
      <c r="X421" s="20">
        <f t="shared" si="45"/>
        <v>80.8571428571429</v>
      </c>
    </row>
    <row r="422" ht="15.6" hidden="1" spans="1:24">
      <c r="A422" s="4">
        <v>209</v>
      </c>
      <c r="B422" s="24" t="s">
        <v>466</v>
      </c>
      <c r="C422" s="25" t="s">
        <v>11</v>
      </c>
      <c r="D422" s="4">
        <v>14.5</v>
      </c>
      <c r="E422" s="32">
        <f>LOOKUP(D422,{0,-2.9,-1.9,-0.9,0.1,1.1,2.1,3.5,4.9,6.3,7.7,9.1,10.5,11.9,13.3,14.7,16.1,18.3,20.5,22.4,24.3},{0,10,20,30,40,50,60,62,64,66,68,70,72,74,76,78,80,85,90,95,100})</f>
        <v>76</v>
      </c>
      <c r="F422" s="4">
        <v>223</v>
      </c>
      <c r="G422" s="32">
        <f>LOOKUP(F422,{0,175,180,185,190,195,200,204,208,212,216,220,224,228,232,236,240,248,255,260,265},{0,10,20,30,40,50,60,62,64,66,68,70,72,74,76,78,80,85,90,95,100})</f>
        <v>70</v>
      </c>
      <c r="H422" s="4">
        <v>22</v>
      </c>
      <c r="I422" s="32">
        <f>LOOKUP(H422,{0,3,4,5,6,7,8,9,10,11,12,13,14,15,16,17},{0,10,20,30,40,50,60,64,68,72,76,80,85,90,95,100})</f>
        <v>100</v>
      </c>
      <c r="J422" s="4">
        <f>H422-17</f>
        <v>5</v>
      </c>
      <c r="K422" s="32">
        <f>LOOKUP(J422,{0,1,2,3,4,5,6,7,8,9,10},{0,1,2,3,4,5,6,7,8,9,10})</f>
        <v>5</v>
      </c>
      <c r="L422" s="4">
        <f t="shared" si="46"/>
        <v>105</v>
      </c>
      <c r="M422" s="4">
        <v>7.5</v>
      </c>
      <c r="N422" s="4">
        <f t="shared" si="50"/>
        <v>4.5</v>
      </c>
      <c r="O422" s="32">
        <f>LOOKUP(N422,{0,1.6,1.8,2,2.2,2.4,2.6,2.8,3,3.2,3.4,3.6,3.8,4,4.2,4.4,4.6,4.7,4.8,4.9,5},{0,10,20,30,40,50,60,62,64,66,68,70,72,74,76,78,80,85,90,95,100})</f>
        <v>78</v>
      </c>
      <c r="P422" s="4">
        <v>4.08</v>
      </c>
      <c r="Q422" s="4">
        <f t="shared" si="47"/>
        <v>5.92</v>
      </c>
      <c r="R422" s="32">
        <f>LOOKUP(Q422,{0,3.8,4,4.6,4.8,5,5.6,5.65,5.7,5.75,5.8,5.85,5.9,5.95,6,6.45,6.5,6.58,6.65,6.7,6.75},{0,10,20,30,40,50,60,62,64,66,68,70,72,74,76,78,80,85,90,95,100})</f>
        <v>72</v>
      </c>
      <c r="U422" s="4">
        <f t="shared" si="48"/>
        <v>72</v>
      </c>
      <c r="W422" s="5">
        <f t="shared" si="49"/>
        <v>54.6</v>
      </c>
      <c r="X422" s="20">
        <f t="shared" si="45"/>
        <v>83</v>
      </c>
    </row>
    <row r="423" ht="15.6" hidden="1" spans="1:24">
      <c r="A423" s="4">
        <v>206</v>
      </c>
      <c r="B423" s="24" t="s">
        <v>277</v>
      </c>
      <c r="C423" s="25" t="s">
        <v>11</v>
      </c>
      <c r="D423" s="4">
        <v>6.1</v>
      </c>
      <c r="E423" s="32">
        <f>LOOKUP(D423,{0,-2.9,-1.9,-0.9,0.1,1.1,2.1,3.5,4.9,6.3,7.7,9.1,10.5,11.9,13.3,14.7,16.1,18.3,20.5,22.4,24.3},{0,10,20,30,40,50,60,62,64,66,68,70,72,74,76,78,80,85,90,95,100})</f>
        <v>64</v>
      </c>
      <c r="F423" s="4">
        <v>185</v>
      </c>
      <c r="G423" s="32">
        <f>LOOKUP(F423,{0,175,180,185,190,195,200,204,208,212,216,220,224,228,232,236,240,248,255,260,265},{0,10,20,30,40,50,60,62,64,66,68,70,72,74,76,78,80,85,90,95,100})</f>
        <v>30</v>
      </c>
      <c r="H423" s="4">
        <v>4</v>
      </c>
      <c r="I423" s="32">
        <f>LOOKUP(H423,{0,3,4,5,6,7,8,9,10,11,12,13,14,15,16,17},{0,10,20,30,40,50,60,64,68,72,76,80,85,90,95,100})</f>
        <v>20</v>
      </c>
      <c r="L423" s="4">
        <f t="shared" si="46"/>
        <v>20</v>
      </c>
      <c r="M423" s="4">
        <v>7.5</v>
      </c>
      <c r="N423" s="4">
        <f t="shared" si="50"/>
        <v>4.5</v>
      </c>
      <c r="O423" s="32">
        <f>LOOKUP(N423,{0,1.6,1.8,2,2.2,2.4,2.6,2.8,3,3.2,3.4,3.6,3.8,4,4.2,4.4,4.6,4.7,4.8,4.9,5},{0,10,20,30,40,50,60,62,64,66,68,70,72,74,76,78,80,85,90,95,100})</f>
        <v>78</v>
      </c>
      <c r="P423" s="4">
        <v>4.08</v>
      </c>
      <c r="Q423" s="4">
        <f t="shared" si="47"/>
        <v>5.92</v>
      </c>
      <c r="R423" s="32">
        <f>LOOKUP(Q423,{0,3.8,4,4.6,4.8,5,5.6,5.65,5.7,5.75,5.8,5.85,5.9,5.95,6,6.45,6.5,6.58,6.65,6.7,6.75},{0,10,20,30,40,50,60,62,64,66,68,70,72,74,76,78,80,85,90,95,100})</f>
        <v>72</v>
      </c>
      <c r="U423" s="4">
        <f t="shared" si="48"/>
        <v>72</v>
      </c>
      <c r="W423" s="5">
        <f t="shared" si="49"/>
        <v>41.4</v>
      </c>
      <c r="X423" s="20">
        <f t="shared" si="45"/>
        <v>59.1428571428571</v>
      </c>
    </row>
    <row r="424" ht="15.6" hidden="1" spans="1:24">
      <c r="A424" s="4">
        <v>202</v>
      </c>
      <c r="B424" s="24" t="s">
        <v>103</v>
      </c>
      <c r="C424" s="25" t="s">
        <v>53</v>
      </c>
      <c r="D424" s="4">
        <v>26</v>
      </c>
      <c r="E424" s="32">
        <f>LOOKUP(D424,{0,1,1.8,2.6,3.4,4.2,5,6.3,7.6,8.9,10.2,11.5,12.8,14.1,15.4,16.7,18,19.7,21.4,23.1,24.8},{0,10,20,30,40,50,60,62,64,66,68,70,72,74,76,78,80,85,90,95,100})</f>
        <v>100</v>
      </c>
      <c r="F424" s="4">
        <v>172</v>
      </c>
      <c r="G424" s="32">
        <f>LOOKUP(F424,{0,124,129,134,139,144,149,152,155,158,161,164,167,170,173,176,179,186,193,199,205},{0,10,20,30,40,50,60,62,64,66,68,70,72,74,76,78,80,85,90,95,100})</f>
        <v>74</v>
      </c>
      <c r="H424" s="4">
        <v>51</v>
      </c>
      <c r="I424" s="32">
        <f>LOOKUP(H424,{0,14,16,18,20,22,24,26,28,30,32,34,36,38,40,42,44,47,50,52,54},{0,10,20,30,40,50,60,62,64,66,68,70,72,74,76,78,80,85,90,95,100})</f>
        <v>90</v>
      </c>
      <c r="L424" s="4">
        <f t="shared" si="46"/>
        <v>90</v>
      </c>
      <c r="M424" s="4">
        <v>8.7</v>
      </c>
      <c r="N424" s="4">
        <f t="shared" si="50"/>
        <v>3.3</v>
      </c>
      <c r="O424" s="32">
        <f>LOOKUP(N424,{0,0.5,0.7,0.9,1.1,1.3,1.5,1.7,1.9,2.1,2.3,2.5,2.7,2.9,3.1,3.3,3.5,3.8,4.1,4.2,4.3},{0,10,20,30,40,50,60,62,64,66,68,70,72,74,76,78,80,85,90,95,100})</f>
        <v>78</v>
      </c>
      <c r="P424" s="4">
        <v>3.42</v>
      </c>
      <c r="Q424" s="4">
        <f t="shared" si="47"/>
        <v>6.58</v>
      </c>
      <c r="R424" s="32">
        <f>LOOKUP(Q424,{0,4.72,4.82,4.92,5.42,5.52,5.62,5.67,5.72,5.77,5.82,5.87,5.92,5.97,6.42,6.47,6.52,6.59,6.66,6.72,6.78},{0,10,20,30,40,50,60,62,64,66,68,70,72,74,76,78,80,85,90,95,100})</f>
        <v>80</v>
      </c>
      <c r="U424" s="4">
        <f t="shared" si="48"/>
        <v>80</v>
      </c>
      <c r="W424" s="5">
        <f t="shared" si="49"/>
        <v>58</v>
      </c>
      <c r="X424" s="20">
        <f t="shared" si="45"/>
        <v>82.8571428571429</v>
      </c>
    </row>
    <row r="425" ht="15.6" hidden="1" spans="1:24">
      <c r="A425" s="4">
        <v>206</v>
      </c>
      <c r="B425" s="24" t="s">
        <v>320</v>
      </c>
      <c r="C425" s="25" t="s">
        <v>53</v>
      </c>
      <c r="D425" s="4">
        <v>14.5</v>
      </c>
      <c r="E425" s="32">
        <f>LOOKUP(D425,{0,1,1.8,2.6,3.4,4.2,5,6.3,7.6,8.9,10.2,11.5,12.8,14.1,15.4,16.7,18,19.7,21.4,23.1,24.8},{0,10,20,30,40,50,60,62,64,66,68,70,72,74,76,78,80,85,90,95,100})</f>
        <v>74</v>
      </c>
      <c r="F425" s="4">
        <v>180</v>
      </c>
      <c r="G425" s="32">
        <f>LOOKUP(F425,{0,124,129,134,139,144,149,152,155,158,161,164,167,170,173,176,179,186,193,199,205},{0,10,20,30,40,50,60,62,64,66,68,70,72,74,76,78,80,85,90,95,100})</f>
        <v>80</v>
      </c>
      <c r="H425" s="4">
        <v>53</v>
      </c>
      <c r="I425" s="32">
        <f>LOOKUP(H425,{0,14,16,18,20,22,24,26,28,30,32,34,36,38,40,42,44,47,50,52,54},{0,10,20,30,40,50,60,62,64,66,68,70,72,74,76,78,80,85,90,95,100})</f>
        <v>95</v>
      </c>
      <c r="L425" s="4">
        <f t="shared" si="46"/>
        <v>95</v>
      </c>
      <c r="M425" s="4">
        <v>8.3</v>
      </c>
      <c r="N425" s="4">
        <f t="shared" si="50"/>
        <v>3.7</v>
      </c>
      <c r="O425" s="32">
        <f>LOOKUP(N425,{0,0.5,0.7,0.9,1.1,1.3,1.5,1.7,1.9,2.1,2.3,2.5,2.7,2.9,3.1,3.3,3.5,3.8,4.1,4.2,4.3},{0,10,20,30,40,50,60,62,64,66,68,70,72,74,76,78,80,85,90,95,100})</f>
        <v>80</v>
      </c>
      <c r="P425" s="4">
        <v>3.4</v>
      </c>
      <c r="Q425" s="4">
        <f t="shared" si="47"/>
        <v>6.6</v>
      </c>
      <c r="R425" s="32">
        <f>LOOKUP(Q425,{0,4.72,4.82,4.92,5.42,5.52,5.62,5.67,5.72,5.77,5.82,5.87,5.92,5.97,6.42,6.47,6.52,6.59,6.66,6.72,6.78},{0,10,20,30,40,50,60,62,64,66,68,70,72,74,76,78,80,85,90,95,100})</f>
        <v>85</v>
      </c>
      <c r="U425" s="4">
        <f t="shared" si="48"/>
        <v>85</v>
      </c>
      <c r="W425" s="5">
        <f t="shared" si="49"/>
        <v>57.9</v>
      </c>
      <c r="X425" s="20">
        <f t="shared" si="45"/>
        <v>82.7142857142857</v>
      </c>
    </row>
    <row r="426" ht="15.6" hidden="1" spans="1:24">
      <c r="A426" s="4">
        <v>211</v>
      </c>
      <c r="B426" s="24" t="s">
        <v>592</v>
      </c>
      <c r="C426" s="25" t="s">
        <v>53</v>
      </c>
      <c r="D426" s="4">
        <v>14</v>
      </c>
      <c r="E426" s="32">
        <f>LOOKUP(D426,{0,1,1.8,2.6,3.4,4.2,5,6.3,7.6,8.9,10.2,11.5,12.8,14.1,15.4,16.7,18,19.7,21.4,23.1,24.8},{0,10,20,30,40,50,60,62,64,66,68,70,72,74,76,78,80,85,90,95,100})</f>
        <v>72</v>
      </c>
      <c r="F426" s="4">
        <v>180</v>
      </c>
      <c r="G426" s="32">
        <f>LOOKUP(F426,{0,124,129,134,139,144,149,152,155,158,161,164,167,170,173,176,179,186,193,199,205},{0,10,20,30,40,50,60,62,64,66,68,70,72,74,76,78,80,85,90,95,100})</f>
        <v>80</v>
      </c>
      <c r="H426" s="4">
        <v>49</v>
      </c>
      <c r="I426" s="32">
        <f>LOOKUP(H426,{0,14,16,18,20,22,24,26,28,30,32,34,36,38,40,42,44,47,50,52,54},{0,10,20,30,40,50,60,62,64,66,68,70,72,74,76,78,80,85,90,95,100})</f>
        <v>85</v>
      </c>
      <c r="L426" s="4">
        <f t="shared" si="46"/>
        <v>85</v>
      </c>
      <c r="M426" s="4">
        <v>8.5</v>
      </c>
      <c r="N426" s="4">
        <f t="shared" si="50"/>
        <v>3.5</v>
      </c>
      <c r="O426" s="32">
        <f>LOOKUP(N426,{0,0.5,0.7,0.9,1.1,1.3,1.5,1.7,1.9,2.1,2.3,2.5,2.7,2.9,3.1,3.3,3.5,3.8,4.1,4.2,4.3},{0,10,20,30,40,50,60,62,64,66,68,70,72,74,76,78,80,85,90,95,100})</f>
        <v>80</v>
      </c>
      <c r="P426" s="4">
        <v>3.29</v>
      </c>
      <c r="Q426" s="4">
        <f t="shared" si="47"/>
        <v>6.71</v>
      </c>
      <c r="R426" s="32">
        <f>LOOKUP(Q426,{0,4.72,4.82,4.92,5.42,5.52,5.62,5.67,5.72,5.77,5.82,5.87,5.92,5.97,6.42,6.47,6.52,6.59,6.66,6.72,6.78},{0,10,20,30,40,50,60,62,64,66,68,70,72,74,76,78,80,85,90,95,100})</f>
        <v>90</v>
      </c>
      <c r="U426" s="4">
        <f t="shared" si="48"/>
        <v>90</v>
      </c>
      <c r="W426" s="5">
        <f t="shared" si="49"/>
        <v>57.7</v>
      </c>
      <c r="X426" s="20">
        <f t="shared" si="45"/>
        <v>82.4285714285714</v>
      </c>
    </row>
    <row r="427" ht="15.6" hidden="1" spans="1:24">
      <c r="A427" s="4">
        <v>213</v>
      </c>
      <c r="B427" s="33" t="s">
        <v>702</v>
      </c>
      <c r="C427" s="25" t="s">
        <v>53</v>
      </c>
      <c r="D427" s="4">
        <v>21.4</v>
      </c>
      <c r="E427" s="32">
        <f>LOOKUP(D427,{0,1,1.8,2.6,3.4,4.2,5,6.3,7.6,8.9,10.2,11.5,12.8,14.1,15.4,16.7,18,19.7,21.4,23.1,24.8},{0,10,20,30,40,50,60,62,64,66,68,70,72,74,76,78,80,85,90,95,100})</f>
        <v>90</v>
      </c>
      <c r="F427" s="4">
        <v>167</v>
      </c>
      <c r="G427" s="32">
        <f>LOOKUP(F427,{0,124,129,134,139,144,149,152,155,158,161,164,167,170,173,176,179,186,193,199,205},{0,10,20,30,40,50,60,62,64,66,68,70,72,74,76,78,80,85,90,95,100})</f>
        <v>72</v>
      </c>
      <c r="H427" s="4">
        <v>53</v>
      </c>
      <c r="I427" s="32">
        <f>LOOKUP(H427,{0,14,16,18,20,22,24,26,28,30,32,34,36,38,40,42,44,47,50,52,54},{0,10,20,30,40,50,60,62,64,66,68,70,72,74,76,78,80,85,90,95,100})</f>
        <v>95</v>
      </c>
      <c r="L427" s="4">
        <f t="shared" si="46"/>
        <v>95</v>
      </c>
      <c r="M427" s="4">
        <v>9.4</v>
      </c>
      <c r="N427" s="4">
        <f t="shared" si="50"/>
        <v>2.6</v>
      </c>
      <c r="O427" s="32">
        <f>LOOKUP(N427,{0,0.5,0.7,0.9,1.1,1.3,1.5,1.7,1.9,2.1,2.3,2.5,2.7,2.9,3.1,3.3,3.5,3.8,4.1,4.2,4.3},{0,10,20,30,40,50,60,62,64,66,68,70,72,74,76,78,80,85,90,95,100})</f>
        <v>70</v>
      </c>
      <c r="P427" s="4">
        <v>3.32</v>
      </c>
      <c r="Q427" s="4">
        <f t="shared" si="47"/>
        <v>6.68</v>
      </c>
      <c r="R427" s="32">
        <f>LOOKUP(Q427,{0,4.72,4.82,4.92,5.42,5.52,5.62,5.67,5.72,5.77,5.82,5.87,5.92,5.97,6.42,6.47,6.52,6.59,6.66,6.72,6.78},{0,10,20,30,40,50,60,62,64,66,68,70,72,74,76,78,80,85,90,95,100})</f>
        <v>90</v>
      </c>
      <c r="U427" s="4">
        <f t="shared" si="48"/>
        <v>90</v>
      </c>
      <c r="W427" s="5">
        <f t="shared" si="49"/>
        <v>57.7</v>
      </c>
      <c r="X427" s="20">
        <f t="shared" si="45"/>
        <v>82.4285714285714</v>
      </c>
    </row>
    <row r="428" ht="15.6" hidden="1" spans="1:24">
      <c r="A428" s="4">
        <v>214</v>
      </c>
      <c r="B428" s="24" t="s">
        <v>772</v>
      </c>
      <c r="C428" s="25" t="s">
        <v>53</v>
      </c>
      <c r="D428" s="4">
        <v>16.6</v>
      </c>
      <c r="E428" s="32">
        <f>LOOKUP(D428,{0,1,1.8,2.6,3.4,4.2,5,6.3,7.6,8.9,10.2,11.5,12.8,14.1,15.4,16.7,18,19.7,21.4,23.1,24.8},{0,10,20,30,40,50,60,62,64,66,68,70,72,74,76,78,80,85,90,95,100})</f>
        <v>76</v>
      </c>
      <c r="F428" s="4">
        <v>201</v>
      </c>
      <c r="G428" s="32">
        <f>LOOKUP(F428,{0,124,129,134,139,144,149,152,155,158,161,164,167,170,173,176,179,186,193,199,205},{0,10,20,30,40,50,60,62,64,66,68,70,72,74,76,78,80,85,90,95,100})</f>
        <v>95</v>
      </c>
      <c r="H428" s="4">
        <v>34</v>
      </c>
      <c r="I428" s="32">
        <f>LOOKUP(H428,{0,14,16,18,20,22,24,26,28,30,32,34,36,38,40,42,44,47,50,52,54},{0,10,20,30,40,50,60,62,64,66,68,70,72,74,76,78,80,85,90,95,100})</f>
        <v>70</v>
      </c>
      <c r="K428" s="35"/>
      <c r="L428" s="4">
        <f t="shared" si="46"/>
        <v>70</v>
      </c>
      <c r="M428" s="4">
        <v>8.6</v>
      </c>
      <c r="N428" s="4">
        <f t="shared" si="50"/>
        <v>3.4</v>
      </c>
      <c r="O428" s="32">
        <f>LOOKUP(N428,{0,0.5,0.7,0.9,1.1,1.3,1.5,1.7,1.9,2.1,2.3,2.5,2.7,2.9,3.1,3.3,3.5,3.8,4.1,4.2,4.3},{0,10,20,30,40,50,60,62,64,66,68,70,72,74,76,78,80,85,90,95,100})</f>
        <v>78</v>
      </c>
      <c r="P428" s="4">
        <v>3.34</v>
      </c>
      <c r="Q428" s="4">
        <f t="shared" si="47"/>
        <v>6.66</v>
      </c>
      <c r="R428" s="32">
        <f>LOOKUP(Q428,{0,4.72,4.82,4.92,5.42,5.52,5.62,5.67,5.72,5.77,5.82,5.87,5.92,5.97,6.42,6.47,6.52,6.59,6.66,6.72,6.78},{0,10,20,30,40,50,60,62,64,66,68,70,72,74,76,78,80,85,90,95,100})</f>
        <v>90</v>
      </c>
      <c r="U428" s="4">
        <f t="shared" si="48"/>
        <v>90</v>
      </c>
      <c r="W428" s="5">
        <f t="shared" si="49"/>
        <v>57.7</v>
      </c>
      <c r="X428" s="20">
        <f t="shared" si="45"/>
        <v>82.4285714285714</v>
      </c>
    </row>
    <row r="429" ht="15.6" hidden="1" spans="1:24">
      <c r="A429" s="4">
        <v>204</v>
      </c>
      <c r="B429" s="24" t="s">
        <v>208</v>
      </c>
      <c r="C429" s="25" t="s">
        <v>53</v>
      </c>
      <c r="D429" s="4">
        <v>23</v>
      </c>
      <c r="E429" s="32">
        <f>LOOKUP(D429,{0,1,1.8,2.6,3.4,4.2,5,6.3,7.6,8.9,10.2,11.5,12.8,14.1,15.4,16.7,18,19.7,21.4,23.1,24.8},{0,10,20,30,40,50,60,62,64,66,68,70,72,74,76,78,80,85,90,95,100})</f>
        <v>90</v>
      </c>
      <c r="F429" s="4">
        <v>186</v>
      </c>
      <c r="G429" s="32">
        <f>LOOKUP(F429,{0,124,129,134,139,144,149,152,155,158,161,164,167,170,173,176,179,186,193,199,205},{0,10,20,30,40,50,60,62,64,66,68,70,72,74,76,78,80,85,90,95,100})</f>
        <v>85</v>
      </c>
      <c r="H429" s="4">
        <v>51</v>
      </c>
      <c r="I429" s="32">
        <f>LOOKUP(H429,{0,14,16,18,20,22,24,26,28,30,32,34,36,38,40,42,44,47,50,52,54},{0,10,20,30,40,50,60,62,64,66,68,70,72,74,76,78,80,85,90,95,100})</f>
        <v>90</v>
      </c>
      <c r="L429" s="4">
        <f t="shared" si="46"/>
        <v>90</v>
      </c>
      <c r="M429" s="4">
        <v>8.9</v>
      </c>
      <c r="N429" s="4">
        <f t="shared" si="50"/>
        <v>3.1</v>
      </c>
      <c r="O429" s="32">
        <f>LOOKUP(N429,{0,0.5,0.7,0.9,1.1,1.3,1.5,1.7,1.9,2.1,2.3,2.5,2.7,2.9,3.1,3.3,3.5,3.8,4.1,4.2,4.3},{0,10,20,30,40,50,60,62,64,66,68,70,72,74,76,78,80,85,90,95,100})</f>
        <v>76</v>
      </c>
      <c r="P429" s="4">
        <v>3.42</v>
      </c>
      <c r="Q429" s="4">
        <f t="shared" si="47"/>
        <v>6.58</v>
      </c>
      <c r="R429" s="32">
        <f>LOOKUP(Q429,{0,4.72,4.82,4.92,5.42,5.52,5.62,5.67,5.72,5.77,5.82,5.87,5.92,5.97,6.42,6.47,6.52,6.59,6.66,6.72,6.78},{0,10,20,30,40,50,60,62,64,66,68,70,72,74,76,78,80,85,90,95,100})</f>
        <v>80</v>
      </c>
      <c r="U429" s="4">
        <f t="shared" si="48"/>
        <v>80</v>
      </c>
      <c r="W429" s="5">
        <f t="shared" si="49"/>
        <v>57.7</v>
      </c>
      <c r="X429" s="20">
        <f t="shared" si="45"/>
        <v>82.4285714285714</v>
      </c>
    </row>
    <row r="430" ht="15.6" hidden="1" spans="1:24">
      <c r="A430" s="4">
        <v>207</v>
      </c>
      <c r="B430" s="24" t="s">
        <v>375</v>
      </c>
      <c r="C430" s="25" t="s">
        <v>53</v>
      </c>
      <c r="D430" s="4">
        <v>23</v>
      </c>
      <c r="E430" s="32">
        <f>LOOKUP(D430,{0,1,1.8,2.6,3.4,4.2,5,6.3,7.6,8.9,10.2,11.5,12.8,14.1,15.4,16.7,18,19.7,21.4,23.1,24.8},{0,10,20,30,40,50,60,62,64,66,68,70,72,74,76,78,80,85,90,95,100})</f>
        <v>90</v>
      </c>
      <c r="F430" s="4">
        <v>180</v>
      </c>
      <c r="G430" s="32">
        <f>LOOKUP(F430,{0,124,129,134,139,144,149,152,155,158,161,164,167,170,173,176,179,186,193,199,205},{0,10,20,30,40,50,60,62,64,66,68,70,72,74,76,78,80,85,90,95,100})</f>
        <v>80</v>
      </c>
      <c r="H430" s="4">
        <v>56</v>
      </c>
      <c r="I430" s="32">
        <f>LOOKUP(H430,{0,14,16,18,20,22,24,26,28,30,32,34,36,38,40,42,44,47,50,52,54},{0,10,20,30,40,50,60,62,64,66,68,70,72,74,76,78,80,85,90,95,100})</f>
        <v>100</v>
      </c>
      <c r="J430" s="4">
        <f>H430-54</f>
        <v>2</v>
      </c>
      <c r="K430" s="34">
        <f>LOOKUP(J430,{0,2,4,6,7,8,9,10,11,12,13},{0,1,2,3,4,5,6,7,8,9,10})</f>
        <v>1</v>
      </c>
      <c r="L430" s="4">
        <f t="shared" si="46"/>
        <v>101</v>
      </c>
      <c r="M430" s="4">
        <v>8.6</v>
      </c>
      <c r="N430" s="4">
        <f t="shared" si="50"/>
        <v>3.4</v>
      </c>
      <c r="O430" s="32">
        <f>LOOKUP(N430,{0,0.5,0.7,0.9,1.1,1.3,1.5,1.7,1.9,2.1,2.3,2.5,2.7,2.9,3.1,3.3,3.5,3.8,4.1,4.2,4.3},{0,10,20,30,40,50,60,62,64,66,68,70,72,74,76,78,80,85,90,95,100})</f>
        <v>78</v>
      </c>
      <c r="P430" s="4">
        <v>4.05</v>
      </c>
      <c r="Q430" s="4">
        <f t="shared" si="47"/>
        <v>5.95</v>
      </c>
      <c r="R430" s="32">
        <f>LOOKUP(Q430,{0,4.72,4.82,4.92,5.42,5.52,5.62,5.67,5.72,5.77,5.82,5.87,5.92,5.97,6.42,6.47,6.52,6.59,6.66,6.72,6.78},{0,10,20,30,40,50,60,62,64,66,68,70,72,74,76,78,80,85,90,95,100})</f>
        <v>72</v>
      </c>
      <c r="U430" s="4">
        <f t="shared" si="48"/>
        <v>72</v>
      </c>
      <c r="W430" s="5">
        <f t="shared" si="49"/>
        <v>57</v>
      </c>
      <c r="X430" s="20">
        <f t="shared" si="45"/>
        <v>82.4285714285714</v>
      </c>
    </row>
    <row r="431" s="3" customFormat="1" ht="15.6" hidden="1" spans="1:24">
      <c r="A431" s="4">
        <v>215</v>
      </c>
      <c r="B431" s="24" t="s">
        <v>834</v>
      </c>
      <c r="C431" s="25" t="s">
        <v>53</v>
      </c>
      <c r="D431" s="4">
        <v>23</v>
      </c>
      <c r="E431" s="32">
        <f>LOOKUP(D431,{0,1,1.8,2.6,3.4,4.2,5,6.3,7.6,8.9,10.2,11.5,12.8,14.1,15.4,16.7,18,19.7,21.4,23.1,24.8},{0,10,20,30,40,50,60,62,64,66,68,70,72,74,76,78,80,85,90,95,100})</f>
        <v>90</v>
      </c>
      <c r="F431" s="4">
        <v>162</v>
      </c>
      <c r="G431" s="32">
        <f>LOOKUP(F431,{0,124,129,134,139,144,149,152,155,158,161,164,167,170,173,176,179,186,193,199,205},{0,10,20,30,40,50,60,62,64,66,68,70,72,74,76,78,80,85,90,95,100})</f>
        <v>68</v>
      </c>
      <c r="H431" s="4">
        <v>55</v>
      </c>
      <c r="I431" s="32">
        <f>LOOKUP(H431,{0,14,16,18,20,22,24,26,28,30,32,34,36,38,40,42,44,47,50,52,54},{0,10,20,30,40,50,60,62,64,66,68,70,72,74,76,78,80,85,90,95,100})</f>
        <v>100</v>
      </c>
      <c r="J431" s="4">
        <f>H431-54</f>
        <v>1</v>
      </c>
      <c r="K431" s="32">
        <f>LOOKUP(J431,{0,2,4,6,7,8,9,10,11,12,13},{0,1,2,3,4,5,6,7,8,9,10})</f>
        <v>0</v>
      </c>
      <c r="L431" s="4">
        <f t="shared" si="46"/>
        <v>100</v>
      </c>
      <c r="M431" s="4">
        <v>9</v>
      </c>
      <c r="N431" s="4">
        <f t="shared" si="50"/>
        <v>3</v>
      </c>
      <c r="O431" s="32">
        <f>LOOKUP(N431,{0,0.5,0.7,0.9,1.1,1.3,1.5,1.7,1.9,2.1,2.3,2.5,2.7,2.9,3.1,3.3,3.5,3.8,4.1,4.2,4.3},{0,10,20,30,40,50,60,62,64,66,68,70,72,74,76,78,80,85,90,95,100})</f>
        <v>74</v>
      </c>
      <c r="P431" s="4">
        <v>3.4</v>
      </c>
      <c r="Q431" s="4">
        <f t="shared" si="47"/>
        <v>6.6</v>
      </c>
      <c r="R431" s="32">
        <f>LOOKUP(Q431,{0,4.72,4.82,4.92,5.42,5.52,5.62,5.67,5.72,5.77,5.82,5.87,5.92,5.97,6.42,6.47,6.52,6.59,6.66,6.72,6.78},{0,10,20,30,40,50,60,62,64,66,68,70,72,74,76,78,80,85,90,95,100})</f>
        <v>85</v>
      </c>
      <c r="S431" s="4"/>
      <c r="T431" s="4"/>
      <c r="U431" s="4">
        <f t="shared" si="48"/>
        <v>85</v>
      </c>
      <c r="V431" s="4"/>
      <c r="W431" s="5">
        <f t="shared" si="49"/>
        <v>57.6</v>
      </c>
      <c r="X431" s="20">
        <f t="shared" si="45"/>
        <v>82.2857142857143</v>
      </c>
    </row>
    <row r="432" ht="15.6" hidden="1" spans="1:24">
      <c r="A432" s="4">
        <v>213</v>
      </c>
      <c r="B432" s="24" t="s">
        <v>677</v>
      </c>
      <c r="C432" s="25" t="s">
        <v>53</v>
      </c>
      <c r="D432" s="4">
        <v>18</v>
      </c>
      <c r="E432" s="32">
        <f>LOOKUP(D432,{0,1,1.8,2.6,3.4,4.2,5,6.3,7.6,8.9,10.2,11.5,12.8,14.1,15.4,16.7,18,19.7,21.4,23.1,24.8},{0,10,20,30,40,50,60,62,64,66,68,70,72,74,76,78,80,85,90,95,100})</f>
        <v>80</v>
      </c>
      <c r="F432" s="4">
        <v>196</v>
      </c>
      <c r="G432" s="32">
        <f>LOOKUP(F432,{0,124,129,134,139,144,149,152,155,158,161,164,167,170,173,176,179,186,193,199,205},{0,10,20,30,40,50,60,62,64,66,68,70,72,74,76,78,80,85,90,95,100})</f>
        <v>90</v>
      </c>
      <c r="H432" s="4">
        <v>46</v>
      </c>
      <c r="I432" s="32">
        <f>LOOKUP(H432,{0,14,16,18,20,22,24,26,28,30,32,34,36,38,40,42,44,47,50,52,54},{0,10,20,30,40,50,60,62,64,66,68,70,72,74,76,78,80,85,90,95,100})</f>
        <v>80</v>
      </c>
      <c r="L432" s="4">
        <f t="shared" si="46"/>
        <v>80</v>
      </c>
      <c r="M432" s="4">
        <v>8.7</v>
      </c>
      <c r="N432" s="4">
        <f t="shared" si="50"/>
        <v>3.3</v>
      </c>
      <c r="O432" s="32">
        <f>LOOKUP(N432,{0,0.5,0.7,0.9,1.1,1.3,1.5,1.7,1.9,2.1,2.3,2.5,2.7,2.9,3.1,3.3,3.5,3.8,4.1,4.2,4.3},{0,10,20,30,40,50,60,62,64,66,68,70,72,74,76,78,80,85,90,95,100})</f>
        <v>78</v>
      </c>
      <c r="P432" s="4">
        <v>3.41</v>
      </c>
      <c r="Q432" s="4">
        <f t="shared" si="47"/>
        <v>6.59</v>
      </c>
      <c r="R432" s="32">
        <f>LOOKUP(Q432,{0,4.72,4.82,4.92,5.42,5.52,5.62,5.67,5.72,5.77,5.82,5.87,5.92,5.97,6.42,6.47,6.52,6.59,6.66,6.72,6.78},{0,10,20,30,40,50,60,62,64,66,68,70,72,74,76,78,80,85,90,95,100})</f>
        <v>85</v>
      </c>
      <c r="U432" s="4">
        <f t="shared" si="48"/>
        <v>85</v>
      </c>
      <c r="W432" s="5">
        <f t="shared" si="49"/>
        <v>57.6</v>
      </c>
      <c r="X432" s="20">
        <f t="shared" si="45"/>
        <v>82.2857142857143</v>
      </c>
    </row>
    <row r="433" ht="15.6" hidden="1" spans="1:24">
      <c r="A433" s="4">
        <v>204</v>
      </c>
      <c r="B433" s="24" t="s">
        <v>184</v>
      </c>
      <c r="C433" s="25" t="s">
        <v>53</v>
      </c>
      <c r="D433" s="4">
        <v>14.1</v>
      </c>
      <c r="E433" s="32">
        <f>LOOKUP(D433,{0,1,1.8,2.6,3.4,4.2,5,6.3,7.6,8.9,10.2,11.5,12.8,14.1,15.4,16.7,18,19.7,21.4,23.1,24.8},{0,10,20,30,40,50,60,62,64,66,68,70,72,74,76,78,80,85,90,95,100})</f>
        <v>74</v>
      </c>
      <c r="F433" s="4">
        <v>163</v>
      </c>
      <c r="G433" s="32">
        <f>LOOKUP(F433,{0,124,129,134,139,144,149,152,155,158,161,164,167,170,173,176,179,186,193,199,205},{0,10,20,30,40,50,60,62,64,66,68,70,72,74,76,78,80,85,90,95,100})</f>
        <v>68</v>
      </c>
      <c r="H433" s="4">
        <v>58</v>
      </c>
      <c r="I433" s="32">
        <f>LOOKUP(H433,{0,14,16,18,20,22,24,26,28,30,32,34,36,38,40,42,44,47,50,52,54},{0,10,20,30,40,50,60,62,64,66,68,70,72,74,76,78,80,85,90,95,100})</f>
        <v>100</v>
      </c>
      <c r="J433" s="4">
        <f>H433-54</f>
        <v>4</v>
      </c>
      <c r="K433" s="32">
        <f>LOOKUP(J433,{0,2,4,6,7,8,9,10,11,12,13},{0,1,2,3,4,5,6,7,8,9,10})</f>
        <v>2</v>
      </c>
      <c r="L433" s="4">
        <f t="shared" si="46"/>
        <v>102</v>
      </c>
      <c r="M433" s="4">
        <v>8.4</v>
      </c>
      <c r="N433" s="4">
        <f t="shared" si="50"/>
        <v>3.6</v>
      </c>
      <c r="O433" s="32">
        <f>LOOKUP(N433,{0,0.5,0.7,0.9,1.1,1.3,1.5,1.7,1.9,2.1,2.3,2.5,2.7,2.9,3.1,3.3,3.5,3.8,4.1,4.2,4.3},{0,10,20,30,40,50,60,62,64,66,68,70,72,74,76,78,80,85,90,95,100})</f>
        <v>80</v>
      </c>
      <c r="P433" s="4">
        <v>3.45</v>
      </c>
      <c r="Q433" s="4">
        <f t="shared" si="47"/>
        <v>6.55</v>
      </c>
      <c r="R433" s="32">
        <f>LOOKUP(Q433,{0,4.72,4.82,4.92,5.42,5.52,5.62,5.67,5.72,5.77,5.82,5.87,5.92,5.97,6.42,6.47,6.52,6.59,6.66,6.72,6.78},{0,10,20,30,40,50,60,62,64,66,68,70,72,74,76,78,80,85,90,95,100})</f>
        <v>80</v>
      </c>
      <c r="U433" s="4">
        <f t="shared" si="48"/>
        <v>80</v>
      </c>
      <c r="W433" s="5">
        <f t="shared" si="49"/>
        <v>56.2</v>
      </c>
      <c r="X433" s="20">
        <f t="shared" si="45"/>
        <v>82.2857142857143</v>
      </c>
    </row>
    <row r="434" ht="15.6" hidden="1" spans="1:24">
      <c r="A434" s="4">
        <v>213</v>
      </c>
      <c r="B434" s="24" t="s">
        <v>695</v>
      </c>
      <c r="C434" s="25" t="s">
        <v>53</v>
      </c>
      <c r="D434" s="4">
        <v>22.5</v>
      </c>
      <c r="E434" s="32">
        <f>LOOKUP(D434,{0,1,1.8,2.6,3.4,4.2,5,6.3,7.6,8.9,10.2,11.5,12.8,14.1,15.4,16.7,18,19.7,21.4,23.1,24.8},{0,10,20,30,40,50,60,62,64,66,68,70,72,74,76,78,80,85,90,95,100})</f>
        <v>90</v>
      </c>
      <c r="F434" s="4">
        <v>200</v>
      </c>
      <c r="G434" s="32">
        <f>LOOKUP(F434,{0,124,129,134,139,144,149,152,155,158,161,164,167,170,173,176,179,186,193,199,205},{0,10,20,30,40,50,60,62,64,66,68,70,72,74,76,78,80,85,90,95,100})</f>
        <v>95</v>
      </c>
      <c r="H434" s="4">
        <v>25</v>
      </c>
      <c r="I434" s="32">
        <f>LOOKUP(H434,{0,14,16,18,20,22,24,26,28,30,32,34,36,38,40,42,44,47,50,52,54},{0,10,20,30,40,50,60,62,64,66,68,70,72,74,76,78,80,85,90,95,100})</f>
        <v>60</v>
      </c>
      <c r="L434" s="4">
        <f t="shared" si="46"/>
        <v>60</v>
      </c>
      <c r="M434" s="4">
        <v>8.3</v>
      </c>
      <c r="N434" s="4">
        <f t="shared" si="50"/>
        <v>3.7</v>
      </c>
      <c r="O434" s="32">
        <f>LOOKUP(N434,{0,0.5,0.7,0.9,1.1,1.3,1.5,1.7,1.9,2.1,2.3,2.5,2.7,2.9,3.1,3.3,3.5,3.8,4.1,4.2,4.3},{0,10,20,30,40,50,60,62,64,66,68,70,72,74,76,78,80,85,90,95,100})</f>
        <v>80</v>
      </c>
      <c r="P434" s="4">
        <v>3.39</v>
      </c>
      <c r="Q434" s="4">
        <f t="shared" si="47"/>
        <v>6.61</v>
      </c>
      <c r="R434" s="32">
        <f>LOOKUP(Q434,{0,4.72,4.82,4.92,5.42,5.52,5.62,5.67,5.72,5.77,5.82,5.87,5.92,5.97,6.42,6.47,6.52,6.59,6.66,6.72,6.78},{0,10,20,30,40,50,60,62,64,66,68,70,72,74,76,78,80,85,90,95,100})</f>
        <v>85</v>
      </c>
      <c r="U434" s="4">
        <f t="shared" si="48"/>
        <v>85</v>
      </c>
      <c r="W434" s="5">
        <f t="shared" si="49"/>
        <v>57.5</v>
      </c>
      <c r="X434" s="20">
        <f t="shared" si="45"/>
        <v>82.1428571428572</v>
      </c>
    </row>
    <row r="435" ht="15.6" hidden="1" spans="1:24">
      <c r="A435" s="4">
        <v>212</v>
      </c>
      <c r="B435" s="24" t="s">
        <v>626</v>
      </c>
      <c r="C435" s="25" t="s">
        <v>11</v>
      </c>
      <c r="D435" s="4">
        <v>10.4</v>
      </c>
      <c r="E435" s="32">
        <f>LOOKUP(D435,{0,-2.9,-1.9,-0.9,0.1,1.1,2.1,3.5,4.9,6.3,7.7,9.1,10.5,11.9,13.3,14.7,16.1,18.3,20.5,22.4,24.3},{0,10,20,30,40,50,60,62,64,66,68,70,72,74,76,78,80,85,90,95,100})</f>
        <v>70</v>
      </c>
      <c r="F435" s="4">
        <v>220</v>
      </c>
      <c r="G435" s="32">
        <f>LOOKUP(F435,{0,175,180,185,190,195,200,204,208,212,216,220,224,228,232,236,240,248,255,260,265},{0,10,20,30,40,50,60,62,64,66,68,70,72,74,76,78,80,85,90,95,100})</f>
        <v>70</v>
      </c>
      <c r="H435" s="4">
        <v>0</v>
      </c>
      <c r="I435" s="32">
        <f>LOOKUP(H435,{0,3,4,5,6,7,8,9,10,11,12,13,14,15,16,17},{0,10,20,30,40,50,60,64,68,72,76,80,85,90,95,100})</f>
        <v>0</v>
      </c>
      <c r="L435" s="4">
        <f t="shared" si="46"/>
        <v>0</v>
      </c>
      <c r="M435" s="4">
        <v>7.5</v>
      </c>
      <c r="N435" s="4">
        <f t="shared" si="50"/>
        <v>4.5</v>
      </c>
      <c r="O435" s="32">
        <f>LOOKUP(N435,{0,1.6,1.8,2,2.2,2.4,2.6,2.8,3,3.2,3.4,3.6,3.8,4,4.2,4.4,4.6,4.7,4.8,4.9,5},{0,10,20,30,40,50,60,62,64,66,68,70,72,74,76,78,80,85,90,95,100})</f>
        <v>78</v>
      </c>
      <c r="P435" s="4">
        <v>4.08</v>
      </c>
      <c r="Q435" s="4">
        <f t="shared" si="47"/>
        <v>5.92</v>
      </c>
      <c r="R435" s="32">
        <f>LOOKUP(Q435,{0,3.8,4,4.6,4.8,5,5.6,5.65,5.7,5.75,5.8,5.85,5.9,5.95,6,6.45,6.5,6.58,6.65,6.7,6.75},{0,10,20,30,40,50,60,62,64,66,68,70,72,74,76,78,80,85,90,95,100})</f>
        <v>72</v>
      </c>
      <c r="U435" s="4">
        <f t="shared" si="48"/>
        <v>72</v>
      </c>
      <c r="W435" s="5">
        <f t="shared" si="49"/>
        <v>44</v>
      </c>
      <c r="X435" s="20">
        <f t="shared" si="45"/>
        <v>62.8571428571429</v>
      </c>
    </row>
    <row r="436" ht="15.6" hidden="1" spans="1:24">
      <c r="A436" s="4">
        <v>209</v>
      </c>
      <c r="B436" s="24" t="s">
        <v>461</v>
      </c>
      <c r="C436" s="25" t="s">
        <v>11</v>
      </c>
      <c r="D436" s="4">
        <v>17</v>
      </c>
      <c r="E436" s="32">
        <f>LOOKUP(D436,{0,-2.9,-1.9,-0.9,0.1,1.1,2.1,3.5,4.9,6.3,7.7,9.1,10.5,11.9,13.3,14.7,16.1,18.3,20.5,22.4,24.3},{0,10,20,30,40,50,60,62,64,66,68,70,72,74,76,78,80,85,90,95,100})</f>
        <v>80</v>
      </c>
      <c r="F436" s="4">
        <v>205</v>
      </c>
      <c r="G436" s="32">
        <f>LOOKUP(F436,{0,175,180,185,190,195,200,204,208,212,216,220,224,228,232,236,240,248,255,260,265},{0,10,20,30,40,50,60,62,64,66,68,70,72,74,76,78,80,85,90,95,100})</f>
        <v>62</v>
      </c>
      <c r="H436" s="4">
        <v>3</v>
      </c>
      <c r="I436" s="32">
        <f>LOOKUP(H436,{0,3,4,5,6,7,8,9,10,11,12,13,14,15,16,17},{0,10,20,30,40,50,60,64,68,72,76,80,85,90,95,100})</f>
        <v>10</v>
      </c>
      <c r="L436" s="4">
        <f t="shared" si="46"/>
        <v>10</v>
      </c>
      <c r="M436" s="4">
        <v>7.7</v>
      </c>
      <c r="N436" s="4">
        <f t="shared" si="50"/>
        <v>4.3</v>
      </c>
      <c r="O436" s="32">
        <f>LOOKUP(N436,{0,1.6,1.8,2,2.2,2.4,2.6,2.8,3,3.2,3.4,3.6,3.8,4,4.2,4.4,4.6,4.7,4.8,4.9,5},{0,10,20,30,40,50,60,62,64,66,68,70,72,74,76,78,80,85,90,95,100})</f>
        <v>76</v>
      </c>
      <c r="P436" s="4">
        <v>4.08</v>
      </c>
      <c r="Q436" s="4">
        <f t="shared" si="47"/>
        <v>5.92</v>
      </c>
      <c r="R436" s="32">
        <f>LOOKUP(Q436,{0,3.8,4,4.6,4.8,5,5.6,5.65,5.7,5.75,5.8,5.85,5.9,5.95,6,6.45,6.5,6.58,6.65,6.7,6.75},{0,10,20,30,40,50,60,62,64,66,68,70,72,74,76,78,80,85,90,95,100})</f>
        <v>72</v>
      </c>
      <c r="U436" s="4">
        <f t="shared" si="48"/>
        <v>72</v>
      </c>
      <c r="W436" s="5">
        <f t="shared" si="49"/>
        <v>44.8</v>
      </c>
      <c r="X436" s="20">
        <f t="shared" si="45"/>
        <v>64</v>
      </c>
    </row>
    <row r="437" s="3" customFormat="1" ht="15.6" hidden="1" spans="1:24">
      <c r="A437" s="4">
        <v>205</v>
      </c>
      <c r="B437" s="24" t="s">
        <v>228</v>
      </c>
      <c r="C437" s="25" t="s">
        <v>11</v>
      </c>
      <c r="D437" s="4">
        <v>2</v>
      </c>
      <c r="E437" s="32">
        <f>LOOKUP(D437,{0,-2.9,-1.9,-0.9,0.1,1.1,2.1,3.5,4.9,6.3,7.7,9.1,10.5,11.9,13.3,14.7,16.1,18.3,20.5,22.4,24.3},{0,10,20,30,40,50,60,62,64,66,68,70,72,74,76,78,80,85,90,95,100})</f>
        <v>50</v>
      </c>
      <c r="F437" s="4">
        <v>210</v>
      </c>
      <c r="G437" s="32">
        <f>LOOKUP(F437,{0,175,180,185,190,195,200,204,208,212,216,220,224,228,232,236,240,248,255,260,265},{0,10,20,30,40,50,60,62,64,66,68,70,72,74,76,78,80,85,90,95,100})</f>
        <v>64</v>
      </c>
      <c r="H437" s="4">
        <v>5</v>
      </c>
      <c r="I437" s="32">
        <f>LOOKUP(H437,{0,3,4,5,6,7,8,9,10,11,12,13,14,15,16,17},{0,10,20,30,40,50,60,64,68,72,76,80,85,90,95,100})</f>
        <v>30</v>
      </c>
      <c r="J437" s="4"/>
      <c r="K437" s="4"/>
      <c r="L437" s="4">
        <f t="shared" si="46"/>
        <v>30</v>
      </c>
      <c r="M437" s="4">
        <v>7.4</v>
      </c>
      <c r="N437" s="4">
        <f t="shared" si="50"/>
        <v>4.6</v>
      </c>
      <c r="O437" s="32">
        <f>LOOKUP(N437,{0,1.6,1.8,2,2.2,2.4,2.6,2.8,3,3.2,3.4,3.6,3.8,4,4.2,4.4,4.6,4.7,4.8,4.9,5},{0,10,20,30,40,50,60,62,64,66,68,70,72,74,76,78,80,85,90,95,100})</f>
        <v>80</v>
      </c>
      <c r="P437" s="4">
        <v>4.09</v>
      </c>
      <c r="Q437" s="4">
        <f t="shared" si="47"/>
        <v>5.91</v>
      </c>
      <c r="R437" s="32">
        <f>LOOKUP(Q437,{0,3.8,4,4.6,4.8,5,5.6,5.65,5.7,5.75,5.8,5.85,5.9,5.95,6,6.45,6.5,6.58,6.65,6.7,6.75},{0,10,20,30,40,50,60,62,64,66,68,70,72,74,76,78,80,85,90,95,100})</f>
        <v>72</v>
      </c>
      <c r="S437" s="4"/>
      <c r="T437" s="35"/>
      <c r="U437" s="4">
        <f t="shared" si="48"/>
        <v>72</v>
      </c>
      <c r="V437" s="4"/>
      <c r="W437" s="5">
        <f t="shared" si="49"/>
        <v>44.8</v>
      </c>
      <c r="X437" s="20">
        <f t="shared" si="45"/>
        <v>64</v>
      </c>
    </row>
    <row r="438" ht="15.6" hidden="1" spans="1:24">
      <c r="A438" s="4">
        <v>203</v>
      </c>
      <c r="B438" s="24" t="s">
        <v>144</v>
      </c>
      <c r="C438" s="25" t="s">
        <v>11</v>
      </c>
      <c r="D438" s="4">
        <v>11</v>
      </c>
      <c r="E438" s="32">
        <f>LOOKUP(D438,{0,-2.9,-1.9,-0.9,0.1,1.1,2.1,3.5,4.9,6.3,7.7,9.1,10.5,11.9,13.3,14.7,16.1,18.3,20.5,22.4,24.3},{0,10,20,30,40,50,60,62,64,66,68,70,72,74,76,78,80,85,90,95,100})</f>
        <v>72</v>
      </c>
      <c r="F438" s="4">
        <v>195</v>
      </c>
      <c r="G438" s="32">
        <f>LOOKUP(F438,{0,175,180,185,190,195,200,204,208,212,216,220,224,228,232,236,240,248,255,260,265},{0,10,20,30,40,50,60,62,64,66,68,70,72,74,76,78,80,85,90,95,100})</f>
        <v>50</v>
      </c>
      <c r="H438" s="4">
        <v>3</v>
      </c>
      <c r="I438" s="32">
        <f>LOOKUP(H438,{0,3,4,5,6,7,8,9,10,11,12,13,14,15,16,17},{0,10,20,30,40,50,60,64,68,72,76,80,85,90,95,100})</f>
        <v>10</v>
      </c>
      <c r="L438" s="4">
        <f t="shared" si="46"/>
        <v>10</v>
      </c>
      <c r="M438" s="4">
        <v>7.5</v>
      </c>
      <c r="N438" s="4">
        <f t="shared" si="50"/>
        <v>4.5</v>
      </c>
      <c r="O438" s="32">
        <f>LOOKUP(N438,{0,1.6,1.8,2,2.2,2.4,2.6,2.8,3,3.2,3.4,3.6,3.8,4,4.2,4.4,4.6,4.7,4.8,4.9,5},{0,10,20,30,40,50,60,62,64,66,68,70,72,74,76,78,80,85,90,95,100})</f>
        <v>78</v>
      </c>
      <c r="P438" s="4">
        <v>4.09</v>
      </c>
      <c r="Q438" s="4">
        <f t="shared" si="47"/>
        <v>5.91</v>
      </c>
      <c r="R438" s="32">
        <f>LOOKUP(Q438,{0,3.8,4,4.6,4.8,5,5.6,5.65,5.7,5.75,5.8,5.85,5.9,5.95,6,6.45,6.5,6.58,6.65,6.7,6.75},{0,10,20,30,40,50,60,62,64,66,68,70,72,74,76,78,80,85,90,95,100})</f>
        <v>72</v>
      </c>
      <c r="U438" s="4">
        <f t="shared" si="48"/>
        <v>72</v>
      </c>
      <c r="W438" s="5">
        <f t="shared" si="49"/>
        <v>43.2</v>
      </c>
      <c r="X438" s="20">
        <f t="shared" si="45"/>
        <v>61.7142857142857</v>
      </c>
    </row>
    <row r="439" ht="15.6" hidden="1" spans="1:24">
      <c r="A439" s="4">
        <v>201</v>
      </c>
      <c r="B439" s="24" t="s">
        <v>32</v>
      </c>
      <c r="C439" s="25" t="s">
        <v>11</v>
      </c>
      <c r="D439" s="4">
        <v>8.7</v>
      </c>
      <c r="E439" s="32">
        <f>LOOKUP(D439,{0,-2.9,-1.9,-0.9,0.1,1.1,2.1,3.5,4.9,6.3,7.7,9.1,10.5,11.9,13.3,14.7,16.1,18.3,20.5,22.4,24.3},{0,10,20,30,40,50,60,62,64,66,68,70,72,74,76,78,80,85,90,95,100})</f>
        <v>68</v>
      </c>
      <c r="F439" s="4">
        <v>236</v>
      </c>
      <c r="G439" s="32">
        <f>LOOKUP(F439,{0,175,180,185,190,195,200,204,208,212,216,220,224,228,232,236,240,248,255,260,265},{0,10,20,30,40,50,60,62,64,66,68,70,72,74,76,78,80,85,90,95,100})</f>
        <v>78</v>
      </c>
      <c r="H439" s="4">
        <v>0</v>
      </c>
      <c r="I439" s="32">
        <f>LOOKUP(H439,{0,3,4,5,6,7,8,9,10,11,12,13,14,15,16,17},{0,10,20,30,40,50,60,64,68,72,76,80,85,90,95,100})</f>
        <v>0</v>
      </c>
      <c r="L439" s="4">
        <f t="shared" si="46"/>
        <v>0</v>
      </c>
      <c r="M439" s="4">
        <v>7.6</v>
      </c>
      <c r="N439" s="4">
        <f t="shared" si="50"/>
        <v>4.4</v>
      </c>
      <c r="O439" s="32">
        <f>LOOKUP(N439,{0,1.6,1.8,2,2.2,2.4,2.6,2.8,3,3.2,3.4,3.6,3.8,4,4.2,4.4,4.6,4.7,4.8,4.9,5},{0,10,20,30,40,50,60,62,64,66,68,70,72,74,76,78,80,85,90,95,100})</f>
        <v>78</v>
      </c>
      <c r="P439" s="4">
        <v>4.09</v>
      </c>
      <c r="Q439" s="4">
        <f t="shared" si="47"/>
        <v>5.91</v>
      </c>
      <c r="R439" s="32">
        <f>LOOKUP(Q439,{0,3.8,4,4.6,4.8,5,5.6,5.65,5.7,5.75,5.8,5.85,5.9,5.95,6,6.45,6.5,6.58,6.65,6.7,6.75},{0,10,20,30,40,50,60,62,64,66,68,70,72,74,76,78,80,85,90,95,100})</f>
        <v>72</v>
      </c>
      <c r="T439" s="35"/>
      <c r="U439" s="4">
        <f t="shared" si="48"/>
        <v>72</v>
      </c>
      <c r="W439" s="5">
        <f t="shared" si="49"/>
        <v>44.6</v>
      </c>
      <c r="X439" s="20">
        <f t="shared" ref="X439:X453" si="51">W439/0.7+K439+T439</f>
        <v>63.7142857142857</v>
      </c>
    </row>
    <row r="440" ht="15.6" hidden="1" spans="1:24">
      <c r="A440" s="4">
        <v>208</v>
      </c>
      <c r="B440" s="24" t="s">
        <v>410</v>
      </c>
      <c r="C440" s="25" t="s">
        <v>11</v>
      </c>
      <c r="D440" s="4">
        <v>6.4</v>
      </c>
      <c r="E440" s="32">
        <f>LOOKUP(D440,{0,-2.9,-1.9,-0.9,0.1,1.1,2.1,3.5,4.9,6.3,7.7,9.1,10.5,11.9,13.3,14.7,16.1,18.3,20.5,22.4,24.3},{0,10,20,30,40,50,60,62,64,66,68,70,72,74,76,78,80,85,90,95,100})</f>
        <v>66</v>
      </c>
      <c r="F440" s="4">
        <v>180</v>
      </c>
      <c r="G440" s="32">
        <f>LOOKUP(F440,{0,175,180,185,190,195,200,204,208,212,216,220,224,228,232,236,240,248,255,260,265},{0,10,20,30,40,50,60,62,64,66,68,70,72,74,76,78,80,85,90,95,100})</f>
        <v>20</v>
      </c>
      <c r="H440" s="4">
        <v>0</v>
      </c>
      <c r="I440" s="32">
        <f>LOOKUP(H440,{0,3,4,5,6,7,8,9,10,11,12,13,14,15,16,17},{0,10,20,30,40,50,60,64,68,72,76,80,85,90,95,100})</f>
        <v>0</v>
      </c>
      <c r="L440" s="4">
        <f t="shared" si="46"/>
        <v>0</v>
      </c>
      <c r="M440" s="4">
        <v>7.6</v>
      </c>
      <c r="N440" s="4">
        <f t="shared" si="50"/>
        <v>4.4</v>
      </c>
      <c r="O440" s="32">
        <f>LOOKUP(N440,{0,1.6,1.8,2,2.2,2.4,2.6,2.8,3,3.2,3.4,3.6,3.8,4,4.2,4.4,4.6,4.7,4.8,4.9,5},{0,10,20,30,40,50,60,62,64,66,68,70,72,74,76,78,80,85,90,95,100})</f>
        <v>78</v>
      </c>
      <c r="P440" s="4">
        <v>4.09</v>
      </c>
      <c r="Q440" s="4">
        <f t="shared" si="47"/>
        <v>5.91</v>
      </c>
      <c r="R440" s="32">
        <f>LOOKUP(Q440,{0,3.8,4,4.6,4.8,5,5.6,5.65,5.7,5.75,5.8,5.85,5.9,5.95,6,6.45,6.5,6.58,6.65,6.7,6.75},{0,10,20,30,40,50,60,62,64,66,68,70,72,74,76,78,80,85,90,95,100})</f>
        <v>72</v>
      </c>
      <c r="U440" s="4">
        <f t="shared" si="48"/>
        <v>72</v>
      </c>
      <c r="W440" s="5">
        <f t="shared" si="49"/>
        <v>38.6</v>
      </c>
      <c r="X440" s="20">
        <f t="shared" si="51"/>
        <v>55.1428571428571</v>
      </c>
    </row>
    <row r="441" ht="15.6" hidden="1" spans="1:24">
      <c r="A441" s="4">
        <v>203</v>
      </c>
      <c r="B441" s="24" t="s">
        <v>135</v>
      </c>
      <c r="C441" s="25" t="s">
        <v>11</v>
      </c>
      <c r="D441" s="4">
        <v>4</v>
      </c>
      <c r="E441" s="32">
        <f>LOOKUP(D441,{0,-2.9,-1.9,-0.9,0.1,1.1,2.1,3.5,4.9,6.3,7.7,9.1,10.5,11.9,13.3,14.7,16.1,18.3,20.5,22.4,24.3},{0,10,20,30,40,50,60,62,64,66,68,70,72,74,76,78,80,85,90,95,100})</f>
        <v>62</v>
      </c>
      <c r="F441" s="4">
        <v>201</v>
      </c>
      <c r="G441" s="32">
        <f>LOOKUP(F441,{0,175,180,185,190,195,200,204,208,212,216,220,224,228,232,236,240,248,255,260,265},{0,10,20,30,40,50,60,62,64,66,68,70,72,74,76,78,80,85,90,95,100})</f>
        <v>60</v>
      </c>
      <c r="H441" s="4">
        <v>6</v>
      </c>
      <c r="I441" s="32">
        <f>LOOKUP(H441,{0,3,4,5,6,7,8,9,10,11,12,13,14,15,16,17},{0,10,20,30,40,50,60,64,68,72,76,80,85,90,95,100})</f>
        <v>40</v>
      </c>
      <c r="L441" s="4">
        <f t="shared" si="46"/>
        <v>40</v>
      </c>
      <c r="M441" s="4">
        <v>7.9</v>
      </c>
      <c r="N441" s="4">
        <f t="shared" si="50"/>
        <v>4.1</v>
      </c>
      <c r="O441" s="32">
        <f>LOOKUP(N441,{0,1.6,1.8,2,2.2,2.4,2.6,2.8,3,3.2,3.4,3.6,3.8,4,4.2,4.4,4.6,4.7,4.8,4.9,5},{0,10,20,30,40,50,60,62,64,66,68,70,72,74,76,78,80,85,90,95,100})</f>
        <v>74</v>
      </c>
      <c r="P441" s="4">
        <v>4.09</v>
      </c>
      <c r="Q441" s="4">
        <f t="shared" si="47"/>
        <v>5.91</v>
      </c>
      <c r="R441" s="32">
        <f>LOOKUP(Q441,{0,3.8,4,4.6,4.8,5,5.6,5.65,5.7,5.75,5.8,5.85,5.9,5.95,6,6.45,6.5,6.58,6.65,6.7,6.75},{0,10,20,30,40,50,60,62,64,66,68,70,72,74,76,78,80,85,90,95,100})</f>
        <v>72</v>
      </c>
      <c r="U441" s="4">
        <f t="shared" si="48"/>
        <v>72</v>
      </c>
      <c r="W441" s="5">
        <f t="shared" si="49"/>
        <v>45.4</v>
      </c>
      <c r="X441" s="20">
        <f t="shared" si="51"/>
        <v>64.8571428571429</v>
      </c>
    </row>
    <row r="442" s="1" customFormat="1" ht="15.6" hidden="1" spans="1:24">
      <c r="A442" s="4">
        <v>205</v>
      </c>
      <c r="B442" s="24" t="s">
        <v>236</v>
      </c>
      <c r="C442" s="25" t="s">
        <v>11</v>
      </c>
      <c r="D442" s="4"/>
      <c r="E442" s="32"/>
      <c r="F442" s="4">
        <v>236</v>
      </c>
      <c r="G442" s="32">
        <f>LOOKUP(F442,{0,175,180,185,190,195,200,204,208,212,216,220,224,228,232,236,240,248,255,260,265},{0,10,20,30,40,50,60,62,64,66,68,70,72,74,76,78,80,85,90,95,100})</f>
        <v>78</v>
      </c>
      <c r="H442" s="4">
        <v>15</v>
      </c>
      <c r="I442" s="32">
        <f>LOOKUP(H442,{0,3,4,5,6,7,8,9,10,11,12,13,14,15,16,17},{0,10,20,30,40,50,60,64,68,72,76,80,85,90,95,100})</f>
        <v>90</v>
      </c>
      <c r="J442" s="4"/>
      <c r="K442" s="4"/>
      <c r="L442" s="4">
        <f t="shared" si="46"/>
        <v>90</v>
      </c>
      <c r="M442" s="4">
        <v>7</v>
      </c>
      <c r="N442" s="4">
        <f t="shared" si="50"/>
        <v>5</v>
      </c>
      <c r="O442" s="32">
        <f>LOOKUP(N442,{0,1.6,1.8,2,2.2,2.4,2.6,2.8,3,3.2,3.4,3.6,3.8,4,4.2,4.4,4.6,4.7,4.8,4.9,5},{0,10,20,30,40,50,60,62,64,66,68,70,72,74,76,78,80,85,90,95,100})</f>
        <v>100</v>
      </c>
      <c r="P442" s="4">
        <v>4.1</v>
      </c>
      <c r="Q442" s="4">
        <f t="shared" si="47"/>
        <v>5.9</v>
      </c>
      <c r="R442" s="32">
        <f>LOOKUP(Q442,{0,3.8,4,4.6,4.8,5,5.6,5.65,5.7,5.75,5.8,5.85,5.9,5.95,6,6.45,6.5,6.58,6.65,6.7,6.75},{0,10,20,30,40,50,60,62,64,66,68,70,72,74,76,78,80,85,90,95,100})</f>
        <v>72</v>
      </c>
      <c r="S442" s="4"/>
      <c r="T442" s="4"/>
      <c r="U442" s="4">
        <f t="shared" si="48"/>
        <v>72</v>
      </c>
      <c r="V442" s="4" t="s">
        <v>146</v>
      </c>
      <c r="W442" s="5">
        <f t="shared" si="49"/>
        <v>51.2</v>
      </c>
      <c r="X442" s="20">
        <f t="shared" si="51"/>
        <v>73.1428571428571</v>
      </c>
    </row>
    <row r="443" s="30" customFormat="1" ht="15.6" spans="1:24">
      <c r="A443" s="40">
        <v>211</v>
      </c>
      <c r="B443" s="41" t="s">
        <v>554</v>
      </c>
      <c r="C443" s="42" t="s">
        <v>11</v>
      </c>
      <c r="D443" s="40">
        <v>7.4</v>
      </c>
      <c r="E443" s="43">
        <f>LOOKUP(D443,{0,-2.9,-1.9,-0.9,0.1,1.1,2.1,3.5,4.9,6.3,7.7,9.1,10.5,11.9,13.3,14.7,16.1,18.3,20.5,22.4,24.3},{0,10,20,30,40,50,60,62,64,66,68,70,72,74,76,78,80,85,90,95,100})</f>
        <v>66</v>
      </c>
      <c r="F443" s="40">
        <v>228</v>
      </c>
      <c r="G443" s="43">
        <f>LOOKUP(F443,{0,175,180,185,190,195,200,204,208,212,216,220,224,228,232,236,240,248,255,260,265},{0,10,20,30,40,50,60,62,64,66,68,70,72,74,76,78,80,85,90,95,100})</f>
        <v>74</v>
      </c>
      <c r="H443" s="40">
        <v>22</v>
      </c>
      <c r="I443" s="43">
        <f>LOOKUP(H443,{0,3,4,5,6,7,8,9,10,11,12,13,14,15,16,17},{0,10,20,30,40,50,60,64,68,72,76,80,85,90,95,100})</f>
        <v>100</v>
      </c>
      <c r="J443" s="40">
        <f>H443-17</f>
        <v>5</v>
      </c>
      <c r="K443" s="43">
        <f>LOOKUP(J443,{0,1,2,3,4,5,6,7,8,9,10},{0,1,2,3,4,5,6,7,8,9,10})</f>
        <v>5</v>
      </c>
      <c r="L443" s="40">
        <f t="shared" si="46"/>
        <v>105</v>
      </c>
      <c r="M443" s="40">
        <v>7.2</v>
      </c>
      <c r="N443" s="40">
        <f t="shared" si="50"/>
        <v>4.8</v>
      </c>
      <c r="O443" s="43">
        <f>LOOKUP(N443,{0,1.6,1.8,2,2.2,2.4,2.6,2.8,3,3.2,3.4,3.6,3.8,4,4.2,4.4,4.6,4.7,4.8,4.9,5},{0,10,20,30,40,50,60,62,64,66,68,70,72,74,76,78,80,85,90,95,100})</f>
        <v>90</v>
      </c>
      <c r="P443" s="40">
        <v>3.13</v>
      </c>
      <c r="Q443" s="40">
        <f t="shared" si="47"/>
        <v>6.87</v>
      </c>
      <c r="R443" s="43">
        <f>LOOKUP(Q443,{0,3.8,4,4.6,4.8,5,5.6,5.65,5.7,5.75,5.8,5.85,5.9,5.95,6,6.45,6.5,6.58,6.65,6.7,6.75},{0,10,20,30,40,50,60,62,64,66,68,70,72,74,76,78,80,85,90,95,100})</f>
        <v>100</v>
      </c>
      <c r="S443" s="40"/>
      <c r="T443" s="40"/>
      <c r="U443" s="40">
        <f t="shared" si="48"/>
        <v>100</v>
      </c>
      <c r="V443" s="40"/>
      <c r="W443" s="30">
        <f t="shared" si="49"/>
        <v>62</v>
      </c>
      <c r="X443" s="23">
        <f t="shared" si="51"/>
        <v>93.5714285714286</v>
      </c>
    </row>
    <row r="444" ht="15.6" hidden="1" spans="1:24">
      <c r="A444" s="4">
        <v>208</v>
      </c>
      <c r="B444" s="24" t="s">
        <v>386</v>
      </c>
      <c r="C444" s="25" t="s">
        <v>11</v>
      </c>
      <c r="D444" s="4">
        <v>26.5</v>
      </c>
      <c r="E444" s="32">
        <f>LOOKUP(D444,{0,-2.9,-1.9,-0.9,0.1,1.1,2.1,3.5,4.9,6.3,7.7,9.1,10.5,11.9,13.3,14.7,16.1,18.3,20.5,22.4,24.3},{0,10,20,30,40,50,60,62,64,66,68,70,72,74,76,78,80,85,90,95,100})</f>
        <v>100</v>
      </c>
      <c r="F444" s="4">
        <v>265</v>
      </c>
      <c r="G444" s="32">
        <f>LOOKUP(F444,{0,175,180,185,190,195,200,204,208,212,216,220,224,228,232,236,240,248,255,260,265},{0,10,20,30,40,50,60,62,64,66,68,70,72,74,76,78,80,85,90,95,100})</f>
        <v>100</v>
      </c>
      <c r="H444" s="4">
        <v>27</v>
      </c>
      <c r="I444" s="32">
        <f>LOOKUP(H444,{0,3,4,5,6,7,8,9,10,11,12,13,14,15,16,17},{0,10,20,30,40,50,60,64,68,72,76,80,85,90,95,100})</f>
        <v>100</v>
      </c>
      <c r="J444" s="4">
        <f>H444-17</f>
        <v>10</v>
      </c>
      <c r="K444" s="32">
        <f>LOOKUP(J444,{0,1,2,3,4,5,6,7,8,9,10},{0,1,2,3,4,5,6,7,8,9,10})</f>
        <v>10</v>
      </c>
      <c r="L444" s="4">
        <f t="shared" si="46"/>
        <v>110</v>
      </c>
      <c r="M444" s="4">
        <v>7.3</v>
      </c>
      <c r="N444" s="4">
        <f t="shared" si="50"/>
        <v>4.7</v>
      </c>
      <c r="O444" s="32">
        <f>LOOKUP(N444,{0,1.6,1.8,2,2.2,2.4,2.6,2.8,3,3.2,3.4,3.6,3.8,4,4.2,4.4,4.6,4.7,4.8,4.9,5},{0,10,20,30,40,50,60,62,64,66,68,70,72,74,76,78,80,85,90,95,100})</f>
        <v>85</v>
      </c>
      <c r="P444" s="4">
        <v>4.1</v>
      </c>
      <c r="Q444" s="4">
        <f t="shared" si="47"/>
        <v>5.9</v>
      </c>
      <c r="R444" s="32">
        <f>LOOKUP(Q444,{0,3.8,4,4.6,4.8,5,5.6,5.65,5.7,5.75,5.8,5.85,5.9,5.95,6,6.45,6.5,6.58,6.65,6.7,6.75},{0,10,20,30,40,50,60,62,64,66,68,70,72,74,76,78,80,85,90,95,100})</f>
        <v>72</v>
      </c>
      <c r="T444" s="35"/>
      <c r="U444" s="4">
        <f t="shared" si="48"/>
        <v>72</v>
      </c>
      <c r="W444" s="5">
        <f t="shared" si="49"/>
        <v>61.4</v>
      </c>
      <c r="X444" s="20">
        <f t="shared" si="51"/>
        <v>97.7142857142857</v>
      </c>
    </row>
    <row r="445" ht="15.6" hidden="1" spans="1:24">
      <c r="A445" s="4">
        <v>205</v>
      </c>
      <c r="B445" s="33" t="s">
        <v>235</v>
      </c>
      <c r="C445" s="25" t="s">
        <v>11</v>
      </c>
      <c r="D445" s="4">
        <v>-7</v>
      </c>
      <c r="E445" s="32">
        <v>0</v>
      </c>
      <c r="F445" s="4">
        <v>237</v>
      </c>
      <c r="G445" s="32">
        <f>LOOKUP(F445,{0,175,180,185,190,195,200,204,208,212,216,220,224,228,232,236,240,248,255,260,265},{0,10,20,30,40,50,60,62,64,66,68,70,72,74,76,78,80,85,90,95,100})</f>
        <v>78</v>
      </c>
      <c r="H445" s="4">
        <v>2</v>
      </c>
      <c r="I445" s="32">
        <f>LOOKUP(H445,{0,3,4,5,6,7,8,9,10,11,12,13,14,15,16,17},{0,10,20,30,40,50,60,64,68,72,76,80,85,90,95,100})</f>
        <v>0</v>
      </c>
      <c r="L445" s="4">
        <f t="shared" si="46"/>
        <v>0</v>
      </c>
      <c r="M445" s="4">
        <v>7.5</v>
      </c>
      <c r="N445" s="4">
        <f t="shared" si="50"/>
        <v>4.5</v>
      </c>
      <c r="O445" s="32">
        <f>LOOKUP(N445,{0,1.6,1.8,2,2.2,2.4,2.6,2.8,3,3.2,3.4,3.6,3.8,4,4.2,4.4,4.6,4.7,4.8,4.9,5},{0,10,20,30,40,50,60,62,64,66,68,70,72,74,76,78,80,85,90,95,100})</f>
        <v>78</v>
      </c>
      <c r="P445" s="4">
        <v>4.1</v>
      </c>
      <c r="Q445" s="4">
        <f t="shared" si="47"/>
        <v>5.9</v>
      </c>
      <c r="R445" s="32">
        <f>LOOKUP(Q445,{0,3.8,4,4.6,4.8,5,5.6,5.65,5.7,5.75,5.8,5.85,5.9,5.95,6,6.45,6.5,6.58,6.65,6.7,6.75},{0,10,20,30,40,50,60,62,64,66,68,70,72,74,76,78,80,85,90,95,100})</f>
        <v>72</v>
      </c>
      <c r="T445" s="35"/>
      <c r="U445" s="4">
        <f t="shared" si="48"/>
        <v>72</v>
      </c>
      <c r="W445" s="5">
        <f t="shared" si="49"/>
        <v>37.8</v>
      </c>
      <c r="X445" s="20">
        <f t="shared" si="51"/>
        <v>54</v>
      </c>
    </row>
    <row r="446" ht="15.6" hidden="1" spans="1:24">
      <c r="A446" s="4">
        <v>213</v>
      </c>
      <c r="B446" s="24" t="s">
        <v>668</v>
      </c>
      <c r="C446" s="25" t="s">
        <v>11</v>
      </c>
      <c r="D446" s="4">
        <v>14.5</v>
      </c>
      <c r="E446" s="32">
        <f>LOOKUP(D446,{0,-2.9,-1.9,-0.9,0.1,1.1,2.1,3.5,4.9,6.3,7.7,9.1,10.5,11.9,13.3,14.7,16.1,18.3,20.5,22.4,24.3},{0,10,20,30,40,50,60,62,64,66,68,70,72,74,76,78,80,85,90,95,100})</f>
        <v>76</v>
      </c>
      <c r="F446" s="4">
        <v>224</v>
      </c>
      <c r="G446" s="32">
        <f>LOOKUP(F446,{0,175,180,185,190,195,200,204,208,212,216,220,224,228,232,236,240,248,255,260,265},{0,10,20,30,40,50,60,62,64,66,68,70,72,74,76,78,80,85,90,95,100})</f>
        <v>72</v>
      </c>
      <c r="H446" s="4">
        <v>0</v>
      </c>
      <c r="I446" s="32">
        <f>LOOKUP(H446,{0,3,4,5,6,7,8,9,10,11,12,13,14,15,16,17},{0,10,20,30,40,50,60,64,68,72,76,80,85,90,95,100})</f>
        <v>0</v>
      </c>
      <c r="L446" s="4">
        <f t="shared" si="46"/>
        <v>0</v>
      </c>
      <c r="M446" s="4">
        <v>7.5</v>
      </c>
      <c r="N446" s="4">
        <f t="shared" si="50"/>
        <v>4.5</v>
      </c>
      <c r="O446" s="32">
        <f>LOOKUP(N446,{0,1.6,1.8,2,2.2,2.4,2.6,2.8,3,3.2,3.4,3.6,3.8,4,4.2,4.4,4.6,4.7,4.8,4.9,5},{0,10,20,30,40,50,60,62,64,66,68,70,72,74,76,78,80,85,90,95,100})</f>
        <v>78</v>
      </c>
      <c r="P446" s="4">
        <v>4.1</v>
      </c>
      <c r="Q446" s="4">
        <f t="shared" si="47"/>
        <v>5.9</v>
      </c>
      <c r="R446" s="32">
        <f>LOOKUP(Q446,{0,3.8,4,4.6,4.8,5,5.6,5.65,5.7,5.75,5.8,5.85,5.9,5.95,6,6.45,6.5,6.58,6.65,6.7,6.75},{0,10,20,30,40,50,60,62,64,66,68,70,72,74,76,78,80,85,90,95,100})</f>
        <v>72</v>
      </c>
      <c r="U446" s="4">
        <f t="shared" si="48"/>
        <v>72</v>
      </c>
      <c r="W446" s="5">
        <f t="shared" si="49"/>
        <v>44.8</v>
      </c>
      <c r="X446" s="20">
        <f t="shared" si="51"/>
        <v>64</v>
      </c>
    </row>
    <row r="447" ht="15.6" hidden="1" spans="1:24">
      <c r="A447" s="4">
        <v>212</v>
      </c>
      <c r="B447" s="24" t="s">
        <v>638</v>
      </c>
      <c r="C447" s="25" t="s">
        <v>11</v>
      </c>
      <c r="D447" s="4">
        <v>12.1</v>
      </c>
      <c r="E447" s="32">
        <f>LOOKUP(D447,{0,-2.9,-1.9,-0.9,0.1,1.1,2.1,3.5,4.9,6.3,7.7,9.1,10.5,11.9,13.3,14.7,16.1,18.3,20.5,22.4,24.3},{0,10,20,30,40,50,60,62,64,66,68,70,72,74,76,78,80,85,90,95,100})</f>
        <v>74</v>
      </c>
      <c r="F447" s="4">
        <v>240</v>
      </c>
      <c r="G447" s="32">
        <f>LOOKUP(F447,{0,175,180,185,190,195,200,204,208,212,216,220,224,228,232,236,240,248,255,260,265},{0,10,20,30,40,50,60,62,64,66,68,70,72,74,76,78,80,85,90,95,100})</f>
        <v>80</v>
      </c>
      <c r="H447" s="4">
        <v>1</v>
      </c>
      <c r="I447" s="32">
        <f>LOOKUP(H447,{0,3,4,5,6,7,8,9,10,11,12,13,14,15,16,17},{0,10,20,30,40,50,60,64,68,72,76,80,85,90,95,100})</f>
        <v>0</v>
      </c>
      <c r="L447" s="4">
        <f t="shared" si="46"/>
        <v>0</v>
      </c>
      <c r="M447" s="4">
        <v>8</v>
      </c>
      <c r="N447" s="4">
        <f t="shared" si="50"/>
        <v>4</v>
      </c>
      <c r="O447" s="32">
        <f>LOOKUP(N447,{0,1.6,1.8,2,2.2,2.4,2.6,2.8,3,3.2,3.4,3.6,3.8,4,4.2,4.4,4.6,4.7,4.8,4.9,5},{0,10,20,30,40,50,60,62,64,66,68,70,72,74,76,78,80,85,90,95,100})</f>
        <v>74</v>
      </c>
      <c r="P447" s="4">
        <v>4.1</v>
      </c>
      <c r="Q447" s="4">
        <f t="shared" si="47"/>
        <v>5.9</v>
      </c>
      <c r="R447" s="32">
        <f>LOOKUP(Q447,{0,3.8,4,4.6,4.8,5,5.6,5.65,5.7,5.75,5.8,5.85,5.9,5.95,6,6.45,6.5,6.58,6.65,6.7,6.75},{0,10,20,30,40,50,60,62,64,66,68,70,72,74,76,78,80,85,90,95,100})</f>
        <v>72</v>
      </c>
      <c r="U447" s="4">
        <f t="shared" si="48"/>
        <v>72</v>
      </c>
      <c r="W447" s="5">
        <f t="shared" si="49"/>
        <v>44.6</v>
      </c>
      <c r="X447" s="20">
        <f t="shared" si="51"/>
        <v>63.7142857142857</v>
      </c>
    </row>
    <row r="448" ht="15.6" hidden="1" spans="1:24">
      <c r="A448" s="4">
        <v>206</v>
      </c>
      <c r="B448" s="24" t="s">
        <v>305</v>
      </c>
      <c r="C448" s="25" t="s">
        <v>11</v>
      </c>
      <c r="D448" s="4">
        <v>25</v>
      </c>
      <c r="E448" s="32">
        <f>LOOKUP(D448,{0,-2.9,-1.9,-0.9,0.1,1.1,2.1,3.5,4.9,6.3,7.7,9.1,10.5,11.9,13.3,14.7,16.1,18.3,20.5,22.4,24.3},{0,10,20,30,40,50,60,62,64,66,68,70,72,74,76,78,80,85,90,95,100})</f>
        <v>100</v>
      </c>
      <c r="F448" s="4">
        <v>260</v>
      </c>
      <c r="G448" s="32">
        <f>LOOKUP(F448,{0,175,180,185,190,195,200,204,208,212,216,220,224,228,232,236,240,248,255,260,265},{0,10,20,30,40,50,60,62,64,66,68,70,72,74,76,78,80,85,90,95,100})</f>
        <v>95</v>
      </c>
      <c r="H448" s="4">
        <v>13</v>
      </c>
      <c r="I448" s="32">
        <f>LOOKUP(H448,{0,3,4,5,6,7,8,9,10,11,12,13,14,15,16,17},{0,10,20,30,40,50,60,64,68,72,76,80,85,90,95,100})</f>
        <v>80</v>
      </c>
      <c r="L448" s="4">
        <f t="shared" si="46"/>
        <v>80</v>
      </c>
      <c r="M448" s="4">
        <v>7.1</v>
      </c>
      <c r="N448" s="4">
        <f t="shared" si="50"/>
        <v>4.9</v>
      </c>
      <c r="O448" s="32">
        <f>LOOKUP(N448,{0,1.6,1.8,2,2.2,2.4,2.6,2.8,3,3.2,3.4,3.6,3.8,4,4.2,4.4,4.6,4.7,4.8,4.9,5},{0,10,20,30,40,50,60,62,64,66,68,70,72,74,76,78,80,85,90,95,100})</f>
        <v>95</v>
      </c>
      <c r="P448" s="4">
        <v>4.11</v>
      </c>
      <c r="Q448" s="4">
        <f t="shared" si="47"/>
        <v>5.89</v>
      </c>
      <c r="R448" s="32">
        <f>LOOKUP(Q448,{0,3.8,4,4.6,4.8,5,5.6,5.65,5.7,5.75,5.8,5.85,5.9,5.95,6,6.45,6.5,6.58,6.65,6.7,6.75},{0,10,20,30,40,50,60,62,64,66,68,70,72,74,76,78,80,85,90,95,100})</f>
        <v>70</v>
      </c>
      <c r="U448" s="4">
        <f t="shared" si="48"/>
        <v>70</v>
      </c>
      <c r="W448" s="5">
        <f t="shared" si="49"/>
        <v>60.5</v>
      </c>
      <c r="X448" s="20">
        <f t="shared" si="51"/>
        <v>86.4285714285714</v>
      </c>
    </row>
    <row r="449" ht="15.6" hidden="1" spans="1:24">
      <c r="A449" s="4">
        <v>215</v>
      </c>
      <c r="B449" s="24" t="s">
        <v>791</v>
      </c>
      <c r="C449" s="25" t="s">
        <v>11</v>
      </c>
      <c r="D449" s="4">
        <v>18.3</v>
      </c>
      <c r="E449" s="32">
        <f>LOOKUP(D449,{0,-2.9,-1.9,-0.9,0.1,1.1,2.1,3.5,4.9,6.3,7.7,9.1,10.5,11.9,13.3,14.7,16.1,18.3,20.5,22.4,24.3},{0,10,20,30,40,50,60,62,64,66,68,70,72,74,76,78,80,85,90,95,100})</f>
        <v>85</v>
      </c>
      <c r="F449" s="4">
        <v>241</v>
      </c>
      <c r="G449" s="32">
        <f>LOOKUP(F449,{0,175,180,185,190,195,200,204,208,212,216,220,224,228,232,236,240,248,255,260,265},{0,10,20,30,40,50,60,62,64,66,68,70,72,74,76,78,80,85,90,95,100})</f>
        <v>80</v>
      </c>
      <c r="H449" s="4">
        <v>0</v>
      </c>
      <c r="I449" s="32">
        <f>LOOKUP(H449,{0,3,4,5,6,7,8,9,10,11,12,13,14,15,16,17},{0,10,20,30,40,50,60,64,68,72,76,80,85,90,95,100})</f>
        <v>0</v>
      </c>
      <c r="L449" s="4">
        <f t="shared" si="46"/>
        <v>0</v>
      </c>
      <c r="M449" s="4">
        <v>7.1</v>
      </c>
      <c r="N449" s="4">
        <f t="shared" si="50"/>
        <v>4.9</v>
      </c>
      <c r="O449" s="32">
        <f>LOOKUP(N449,{0,1.6,1.8,2,2.2,2.4,2.6,2.8,3,3.2,3.4,3.6,3.8,4,4.2,4.4,4.6,4.7,4.8,4.9,5},{0,10,20,30,40,50,60,62,64,66,68,70,72,74,76,78,80,85,90,95,100})</f>
        <v>95</v>
      </c>
      <c r="P449" s="4">
        <v>4.11</v>
      </c>
      <c r="Q449" s="4">
        <f t="shared" si="47"/>
        <v>5.89</v>
      </c>
      <c r="R449" s="32">
        <f>LOOKUP(Q449,{0,3.8,4,4.6,4.8,5,5.6,5.65,5.7,5.75,5.8,5.85,5.9,5.95,6,6.45,6.5,6.58,6.65,6.7,6.75},{0,10,20,30,40,50,60,62,64,66,68,70,72,74,76,78,80,85,90,95,100})</f>
        <v>70</v>
      </c>
      <c r="U449" s="4">
        <f t="shared" si="48"/>
        <v>70</v>
      </c>
      <c r="W449" s="5">
        <f t="shared" si="49"/>
        <v>49.5</v>
      </c>
      <c r="X449" s="20">
        <f t="shared" si="51"/>
        <v>70.7142857142857</v>
      </c>
    </row>
    <row r="450" ht="15.6" hidden="1" spans="1:24">
      <c r="A450" s="4">
        <v>210</v>
      </c>
      <c r="B450" s="24" t="s">
        <v>502</v>
      </c>
      <c r="C450" s="25" t="s">
        <v>11</v>
      </c>
      <c r="D450" s="4">
        <v>21.7</v>
      </c>
      <c r="E450" s="32">
        <f>LOOKUP(D450,{0,-2.9,-1.9,-0.9,0.1,1.1,2.1,3.5,4.9,6.3,7.7,9.1,10.5,11.9,13.3,14.7,16.1,18.3,20.5,22.4,24.3},{0,10,20,30,40,50,60,62,64,66,68,70,72,74,76,78,80,85,90,95,100})</f>
        <v>90</v>
      </c>
      <c r="F450" s="4">
        <v>229</v>
      </c>
      <c r="G450" s="32">
        <f>LOOKUP(F450,{0,175,180,185,190,195,200,204,208,212,216,220,224,228,232,236,240,248,255,260,265},{0,10,20,30,40,50,60,62,64,66,68,70,72,74,76,78,80,85,90,95,100})</f>
        <v>74</v>
      </c>
      <c r="H450" s="4">
        <v>7</v>
      </c>
      <c r="I450" s="32">
        <f>LOOKUP(H450,{0,3,4,5,6,7,8,9,10,11,12,13,14,15,16,17},{0,10,20,30,40,50,60,64,68,72,76,80,85,90,95,100})</f>
        <v>50</v>
      </c>
      <c r="L450" s="4">
        <f t="shared" ref="L450:L513" si="52">I450+K450</f>
        <v>50</v>
      </c>
      <c r="M450" s="4">
        <v>8.4</v>
      </c>
      <c r="N450" s="4">
        <f t="shared" si="50"/>
        <v>3.6</v>
      </c>
      <c r="O450" s="32">
        <f>LOOKUP(N450,{0,1.6,1.8,2,2.2,2.4,2.6,2.8,3,3.2,3.4,3.6,3.8,4,4.2,4.4,4.6,4.7,4.8,4.9,5},{0,10,20,30,40,50,60,62,64,66,68,70,72,74,76,78,80,85,90,95,100})</f>
        <v>70</v>
      </c>
      <c r="P450" s="4">
        <v>4.11</v>
      </c>
      <c r="Q450" s="4">
        <f t="shared" ref="Q450:Q513" si="53">10-P450</f>
        <v>5.89</v>
      </c>
      <c r="R450" s="32">
        <f>LOOKUP(Q450,{0,3.8,4,4.6,4.8,5,5.6,5.65,5.7,5.75,5.8,5.85,5.9,5.95,6,6.45,6.5,6.58,6.65,6.7,6.75},{0,10,20,30,40,50,60,62,64,66,68,70,72,74,76,78,80,85,90,95,100})</f>
        <v>70</v>
      </c>
      <c r="U450" s="4">
        <f t="shared" ref="U450:U513" si="54">R450+T450</f>
        <v>70</v>
      </c>
      <c r="W450" s="5">
        <f t="shared" ref="W450:W513" si="55">E450*0.1+G450*0.1+I450*0.1+O450*0.2+R450*0.2</f>
        <v>49.4</v>
      </c>
      <c r="X450" s="20">
        <f t="shared" si="51"/>
        <v>70.5714285714286</v>
      </c>
    </row>
    <row r="451" ht="15.6" hidden="1" spans="1:24">
      <c r="A451" s="4">
        <v>205</v>
      </c>
      <c r="B451" s="24" t="s">
        <v>232</v>
      </c>
      <c r="C451" s="25" t="s">
        <v>11</v>
      </c>
      <c r="D451" s="4">
        <v>17</v>
      </c>
      <c r="E451" s="32">
        <f>LOOKUP(D451,{0,-2.9,-1.9,-0.9,0.1,1.1,2.1,3.5,4.9,6.3,7.7,9.1,10.5,11.9,13.3,14.7,16.1,18.3,20.5,22.4,24.3},{0,10,20,30,40,50,60,62,64,66,68,70,72,74,76,78,80,85,90,95,100})</f>
        <v>80</v>
      </c>
      <c r="F451" s="4">
        <v>225</v>
      </c>
      <c r="G451" s="32">
        <f>LOOKUP(F451,{0,175,180,185,190,195,200,204,208,212,216,220,224,228,232,236,240,248,255,260,265},{0,10,20,30,40,50,60,62,64,66,68,70,72,74,76,78,80,85,90,95,100})</f>
        <v>72</v>
      </c>
      <c r="H451" s="4">
        <v>17</v>
      </c>
      <c r="I451" s="32">
        <f>LOOKUP(H451,{0,3,4,5,6,7,8,9,10,11,12,13,14,15,16,17},{0,10,20,30,40,50,60,64,68,72,76,80,85,90,95,100})</f>
        <v>100</v>
      </c>
      <c r="J451" s="4">
        <f>H451-17</f>
        <v>0</v>
      </c>
      <c r="K451" s="32">
        <f>LOOKUP(J451,{0,1,2,3,4,5,6,7,8,9,10},{0,1,2,3,4,5,6,7,8,9,10})</f>
        <v>0</v>
      </c>
      <c r="L451" s="4">
        <f t="shared" si="52"/>
        <v>100</v>
      </c>
      <c r="M451" s="4">
        <v>7.2</v>
      </c>
      <c r="N451" s="4">
        <f t="shared" si="50"/>
        <v>4.8</v>
      </c>
      <c r="O451" s="32">
        <f>LOOKUP(N451,{0,1.6,1.8,2,2.2,2.4,2.6,2.8,3,3.2,3.4,3.6,3.8,4,4.2,4.4,4.6,4.7,4.8,4.9,5},{0,10,20,30,40,50,60,62,64,66,68,70,72,74,76,78,80,85,90,95,100})</f>
        <v>90</v>
      </c>
      <c r="P451" s="4">
        <v>4.12</v>
      </c>
      <c r="Q451" s="4">
        <f t="shared" si="53"/>
        <v>5.88</v>
      </c>
      <c r="R451" s="32">
        <f>LOOKUP(Q451,{0,3.8,4,4.6,4.8,5,5.6,5.65,5.7,5.75,5.8,5.85,5.9,5.95,6,6.45,6.5,6.58,6.65,6.7,6.75},{0,10,20,30,40,50,60,62,64,66,68,70,72,74,76,78,80,85,90,95,100})</f>
        <v>70</v>
      </c>
      <c r="U451" s="4">
        <f t="shared" si="54"/>
        <v>70</v>
      </c>
      <c r="W451" s="5">
        <f t="shared" si="55"/>
        <v>57.2</v>
      </c>
      <c r="X451" s="20">
        <f t="shared" si="51"/>
        <v>81.7142857142857</v>
      </c>
    </row>
    <row r="452" ht="15.6" hidden="1" spans="1:24">
      <c r="A452" s="4">
        <v>208</v>
      </c>
      <c r="B452" s="24" t="s">
        <v>412</v>
      </c>
      <c r="C452" s="25" t="s">
        <v>11</v>
      </c>
      <c r="D452" s="4">
        <v>11.7</v>
      </c>
      <c r="E452" s="32">
        <f>LOOKUP(D452,{0,-2.9,-1.9,-0.9,0.1,1.1,2.1,3.5,4.9,6.3,7.7,9.1,10.5,11.9,13.3,14.7,16.1,18.3,20.5,22.4,24.3},{0,10,20,30,40,50,60,62,64,66,68,70,72,74,76,78,80,85,90,95,100})</f>
        <v>72</v>
      </c>
      <c r="F452" s="4">
        <v>246</v>
      </c>
      <c r="G452" s="32">
        <f>LOOKUP(F452,{0,175,180,185,190,195,200,204,208,212,216,220,224,228,232,236,240,248,255,260,265},{0,10,20,30,40,50,60,62,64,66,68,70,72,74,76,78,80,85,90,95,100})</f>
        <v>80</v>
      </c>
      <c r="H452" s="4">
        <v>13</v>
      </c>
      <c r="I452" s="32">
        <f>LOOKUP(H452,{0,3,4,5,6,7,8,9,10,11,12,13,14,15,16,17},{0,10,20,30,40,50,60,64,68,72,76,80,85,90,95,100})</f>
        <v>80</v>
      </c>
      <c r="L452" s="4">
        <f t="shared" si="52"/>
        <v>80</v>
      </c>
      <c r="M452" s="4">
        <v>7.5</v>
      </c>
      <c r="N452" s="4">
        <f t="shared" si="50"/>
        <v>4.5</v>
      </c>
      <c r="O452" s="32">
        <f>LOOKUP(N452,{0,1.6,1.8,2,2.2,2.4,2.6,2.8,3,3.2,3.4,3.6,3.8,4,4.2,4.4,4.6,4.7,4.8,4.9,5},{0,10,20,30,40,50,60,62,64,66,68,70,72,74,76,78,80,85,90,95,100})</f>
        <v>78</v>
      </c>
      <c r="P452" s="4">
        <v>4.12</v>
      </c>
      <c r="Q452" s="4">
        <f t="shared" si="53"/>
        <v>5.88</v>
      </c>
      <c r="R452" s="32">
        <f>LOOKUP(Q452,{0,3.8,4,4.6,4.8,5,5.6,5.65,5.7,5.75,5.8,5.85,5.9,5.95,6,6.45,6.5,6.58,6.65,6.7,6.75},{0,10,20,30,40,50,60,62,64,66,68,70,72,74,76,78,80,85,90,95,100})</f>
        <v>70</v>
      </c>
      <c r="T452" s="35"/>
      <c r="U452" s="4">
        <f t="shared" si="54"/>
        <v>70</v>
      </c>
      <c r="W452" s="5">
        <f t="shared" si="55"/>
        <v>52.8</v>
      </c>
      <c r="X452" s="20">
        <f t="shared" si="51"/>
        <v>75.4285714285714</v>
      </c>
    </row>
    <row r="453" ht="15.6" hidden="1" spans="1:24">
      <c r="A453" s="4">
        <v>207</v>
      </c>
      <c r="B453" s="24" t="s">
        <v>362</v>
      </c>
      <c r="C453" s="25" t="s">
        <v>11</v>
      </c>
      <c r="D453" s="4">
        <v>13.5</v>
      </c>
      <c r="E453" s="32">
        <f>LOOKUP(D453,{0,-2.9,-1.9,-0.9,0.1,1.1,2.1,3.5,4.9,6.3,7.7,9.1,10.5,11.9,13.3,14.7,16.1,18.3,20.5,22.4,24.3},{0,10,20,30,40,50,60,62,64,66,68,70,72,74,76,78,80,85,90,95,100})</f>
        <v>76</v>
      </c>
      <c r="F453" s="4">
        <v>251</v>
      </c>
      <c r="G453" s="32">
        <f>LOOKUP(F453,{0,175,180,185,190,195,200,204,208,212,216,220,224,228,232,236,240,248,255,260,265},{0,10,20,30,40,50,60,62,64,66,68,70,72,74,76,78,80,85,90,95,100})</f>
        <v>85</v>
      </c>
      <c r="H453" s="4">
        <v>17</v>
      </c>
      <c r="I453" s="32">
        <f>LOOKUP(H453,{0,3,4,5,6,7,8,9,10,11,12,13,14,15,16,17},{0,10,20,30,40,50,60,64,68,72,76,80,85,90,95,100})</f>
        <v>100</v>
      </c>
      <c r="J453" s="4">
        <f>H453-17</f>
        <v>0</v>
      </c>
      <c r="K453" s="32">
        <f>LOOKUP(J453,{0,1,2,3,4,5,6,7,8,9,10},{0,1,2,3,4,5,6,7,8,9,10})</f>
        <v>0</v>
      </c>
      <c r="L453" s="4">
        <f t="shared" si="52"/>
        <v>100</v>
      </c>
      <c r="M453" s="4">
        <v>7.6</v>
      </c>
      <c r="N453" s="4">
        <f t="shared" si="50"/>
        <v>4.4</v>
      </c>
      <c r="O453" s="32">
        <f>LOOKUP(N453,{0,1.6,1.8,2,2.2,2.4,2.6,2.8,3,3.2,3.4,3.6,3.8,4,4.2,4.4,4.6,4.7,4.8,4.9,5},{0,10,20,30,40,50,60,62,64,66,68,70,72,74,76,78,80,85,90,95,100})</f>
        <v>78</v>
      </c>
      <c r="P453" s="4">
        <v>4.12</v>
      </c>
      <c r="Q453" s="4">
        <f t="shared" si="53"/>
        <v>5.88</v>
      </c>
      <c r="R453" s="32">
        <f>LOOKUP(Q453,{0,3.8,4,4.6,4.8,5,5.6,5.65,5.7,5.75,5.8,5.85,5.9,5.95,6,6.45,6.5,6.58,6.65,6.7,6.75},{0,10,20,30,40,50,60,62,64,66,68,70,72,74,76,78,80,85,90,95,100})</f>
        <v>70</v>
      </c>
      <c r="T453" s="35"/>
      <c r="U453" s="4">
        <f t="shared" si="54"/>
        <v>70</v>
      </c>
      <c r="W453" s="5">
        <f t="shared" si="55"/>
        <v>55.7</v>
      </c>
      <c r="X453" s="20">
        <f t="shared" si="51"/>
        <v>79.5714285714286</v>
      </c>
    </row>
    <row r="454" ht="15.6" hidden="1" spans="1:24">
      <c r="A454" s="4">
        <v>206</v>
      </c>
      <c r="B454" s="24" t="s">
        <v>293</v>
      </c>
      <c r="C454" s="25" t="s">
        <v>11</v>
      </c>
      <c r="D454" s="4">
        <v>9</v>
      </c>
      <c r="E454" s="32">
        <f>LOOKUP(D454,{0,-2.9,-1.9,-0.9,0.1,1.1,2.1,3.5,4.9,6.3,7.7,9.1,10.5,11.9,13.3,14.7,16.1,18.3,20.5,22.4,24.3},{0,10,20,30,40,50,60,62,64,66,68,70,72,74,76,78,80,85,90,95,100})</f>
        <v>68</v>
      </c>
      <c r="F454" s="4">
        <v>188</v>
      </c>
      <c r="G454" s="32">
        <f>LOOKUP(F454,{0,175,180,185,190,195,200,204,208,212,216,220,224,228,232,236,240,248,255,260,265},{0,10,20,30,40,50,60,62,64,66,68,70,72,74,76,78,80,85,90,95,100})</f>
        <v>30</v>
      </c>
      <c r="H454" s="4">
        <v>16</v>
      </c>
      <c r="I454" s="32">
        <f>LOOKUP(H454,{0,3,4,5,6,7,8,9,10,11,12,13,14,15,16,17},{0,10,20,30,40,50,60,64,68,72,76,80,85,90,95,100})</f>
        <v>95</v>
      </c>
      <c r="L454" s="4">
        <f t="shared" si="52"/>
        <v>95</v>
      </c>
      <c r="O454" s="32"/>
      <c r="P454" s="4">
        <v>4.12</v>
      </c>
      <c r="Q454" s="4">
        <f t="shared" si="53"/>
        <v>5.88</v>
      </c>
      <c r="R454" s="32">
        <f>LOOKUP(Q454,{0,3.8,4,4.6,4.8,5,5.6,5.65,5.7,5.75,5.8,5.85,5.9,5.95,6,6.45,6.5,6.58,6.65,6.7,6.75},{0,10,20,30,40,50,60,62,64,66,68,70,72,74,76,78,80,85,90,95,100})</f>
        <v>70</v>
      </c>
      <c r="U454" s="4">
        <f t="shared" si="54"/>
        <v>70</v>
      </c>
      <c r="W454" s="5">
        <f t="shared" si="55"/>
        <v>33.3</v>
      </c>
      <c r="X454" s="23">
        <v>50</v>
      </c>
    </row>
    <row r="455" ht="15.6" hidden="1" spans="1:24">
      <c r="A455" s="4">
        <v>209</v>
      </c>
      <c r="B455" s="24" t="s">
        <v>463</v>
      </c>
      <c r="C455" s="25" t="s">
        <v>11</v>
      </c>
      <c r="D455" s="4">
        <v>18.4</v>
      </c>
      <c r="E455" s="32">
        <f>LOOKUP(D455,{0,-2.9,-1.9,-0.9,0.1,1.1,2.1,3.5,4.9,6.3,7.7,9.1,10.5,11.9,13.3,14.7,16.1,18.3,20.5,22.4,24.3},{0,10,20,30,40,50,60,62,64,66,68,70,72,74,76,78,80,85,90,95,100})</f>
        <v>85</v>
      </c>
      <c r="F455" s="4">
        <v>260</v>
      </c>
      <c r="G455" s="32">
        <f>LOOKUP(F455,{0,175,180,185,190,195,200,204,208,212,216,220,224,228,232,236,240,248,255,260,265},{0,10,20,30,40,50,60,62,64,66,68,70,72,74,76,78,80,85,90,95,100})</f>
        <v>95</v>
      </c>
      <c r="H455" s="4">
        <v>5</v>
      </c>
      <c r="I455" s="32">
        <f>LOOKUP(H455,{0,3,4,5,6,7,8,9,10,11,12,13,14,15,16,17},{0,10,20,30,40,50,60,64,68,72,76,80,85,90,95,100})</f>
        <v>30</v>
      </c>
      <c r="L455" s="4">
        <f t="shared" si="52"/>
        <v>30</v>
      </c>
      <c r="O455" s="32"/>
      <c r="P455" s="4">
        <v>4.12</v>
      </c>
      <c r="Q455" s="4">
        <f t="shared" si="53"/>
        <v>5.88</v>
      </c>
      <c r="R455" s="32">
        <f>LOOKUP(Q455,{0,3.8,4,4.6,4.8,5,5.6,5.65,5.7,5.75,5.8,5.85,5.9,5.95,6,6.45,6.5,6.58,6.65,6.7,6.75},{0,10,20,30,40,50,60,62,64,66,68,70,72,74,76,78,80,85,90,95,100})</f>
        <v>70</v>
      </c>
      <c r="T455" s="35"/>
      <c r="U455" s="4">
        <f t="shared" si="54"/>
        <v>70</v>
      </c>
      <c r="W455" s="5">
        <f t="shared" si="55"/>
        <v>35</v>
      </c>
      <c r="X455" s="20">
        <f>W455/0.7+K455+T455</f>
        <v>50</v>
      </c>
    </row>
    <row r="456" s="1" customFormat="1" ht="15.6" hidden="1" spans="1:24">
      <c r="A456" s="4">
        <v>209</v>
      </c>
      <c r="B456" s="24" t="s">
        <v>450</v>
      </c>
      <c r="C456" s="25" t="s">
        <v>11</v>
      </c>
      <c r="D456" s="4">
        <v>0</v>
      </c>
      <c r="E456" s="32">
        <f>LOOKUP(D456,{0,-2.9,-1.9,-0.9,0.1,1.1,2.1,3.5,4.9,6.3,7.7,9.1,10.5,11.9,13.3,14.7,16.1,18.3,20.5,22.4,24.3},{0,10,20,30,40,50,60,62,64,66,68,70,72,74,76,78,80,85,90,95,100})</f>
        <v>30</v>
      </c>
      <c r="F456" s="4">
        <v>265</v>
      </c>
      <c r="G456" s="32">
        <f>LOOKUP(F456,{0,175,180,185,190,195,200,204,208,212,216,220,224,228,232,236,240,248,255,260,265},{0,10,20,30,40,50,60,62,64,66,68,70,72,74,76,78,80,85,90,95,100})</f>
        <v>100</v>
      </c>
      <c r="H456" s="4">
        <v>20</v>
      </c>
      <c r="I456" s="32">
        <f>LOOKUP(H456,{0,3,4,5,6,7,8,9,10,11,12,13,14,15,16,17},{0,10,20,30,40,50,60,64,68,72,76,80,85,90,95,100})</f>
        <v>100</v>
      </c>
      <c r="J456" s="4">
        <f>H456-17</f>
        <v>3</v>
      </c>
      <c r="K456" s="32">
        <f>LOOKUP(J456,{0,1,2,3,4,5,6,7,8,9,10},{0,1,2,3,4,5,6,7,8,9,10})</f>
        <v>3</v>
      </c>
      <c r="L456" s="4">
        <f t="shared" si="52"/>
        <v>103</v>
      </c>
      <c r="M456" s="4">
        <v>6.6</v>
      </c>
      <c r="N456" s="4">
        <f>12-M456</f>
        <v>5.4</v>
      </c>
      <c r="O456" s="32">
        <f>LOOKUP(N456,{0,1.6,1.8,2,2.2,2.4,2.6,2.8,3,3.2,3.4,3.6,3.8,4,4.2,4.4,4.6,4.7,4.8,4.9,5},{0,10,20,30,40,50,60,62,64,66,68,70,72,74,76,78,80,85,90,95,100})</f>
        <v>100</v>
      </c>
      <c r="P456" s="4">
        <v>4.13</v>
      </c>
      <c r="Q456" s="4">
        <f t="shared" si="53"/>
        <v>5.87</v>
      </c>
      <c r="R456" s="32">
        <f>LOOKUP(Q456,{0,3.8,4,4.6,4.8,5,5.6,5.65,5.7,5.75,5.8,5.85,5.9,5.95,6,6.45,6.5,6.58,6.65,6.7,6.75},{0,10,20,30,40,50,60,62,64,66,68,70,72,74,76,78,80,85,90,95,100})</f>
        <v>70</v>
      </c>
      <c r="S456" s="4"/>
      <c r="T456" s="35"/>
      <c r="U456" s="4">
        <f t="shared" si="54"/>
        <v>70</v>
      </c>
      <c r="V456" s="4"/>
      <c r="W456" s="5">
        <f t="shared" si="55"/>
        <v>57</v>
      </c>
      <c r="X456" s="20">
        <f>W456/0.7+K456+T456</f>
        <v>84.4285714285714</v>
      </c>
    </row>
    <row r="457" ht="15.6" spans="1:24">
      <c r="A457" s="4">
        <v>211</v>
      </c>
      <c r="B457" s="24" t="s">
        <v>553</v>
      </c>
      <c r="C457" s="25" t="s">
        <v>11</v>
      </c>
      <c r="D457" s="4">
        <v>23.5</v>
      </c>
      <c r="E457" s="32">
        <f>LOOKUP(D457,{0,-2.9,-1.9,-0.9,0.1,1.1,2.1,3.5,4.9,6.3,7.7,9.1,10.5,11.9,13.3,14.7,16.1,18.3,20.5,22.4,24.3},{0,10,20,30,40,50,60,62,64,66,68,70,72,74,76,78,80,85,90,95,100})</f>
        <v>95</v>
      </c>
      <c r="F457" s="4">
        <v>260</v>
      </c>
      <c r="G457" s="32">
        <f>LOOKUP(F457,{0,175,180,185,190,195,200,204,208,212,216,220,224,228,232,236,240,248,255,260,265},{0,10,20,30,40,50,60,62,64,66,68,70,72,74,76,78,80,85,90,95,100})</f>
        <v>95</v>
      </c>
      <c r="H457" s="4">
        <v>18</v>
      </c>
      <c r="I457" s="32">
        <f>LOOKUP(H457,{0,3,4,5,6,7,8,9,10,11,12,13,14,15,16,17},{0,10,20,30,40,50,60,64,68,72,76,80,85,90,95,100})</f>
        <v>100</v>
      </c>
      <c r="J457" s="4">
        <f>H457-17</f>
        <v>1</v>
      </c>
      <c r="K457" s="32">
        <f>LOOKUP(J457,{0,1,2,3,4,5,6,7,8,9,10},{0,1,2,3,4,5,6,7,8,9,10})</f>
        <v>1</v>
      </c>
      <c r="L457" s="4">
        <f t="shared" si="52"/>
        <v>101</v>
      </c>
      <c r="M457" s="4">
        <v>7.4</v>
      </c>
      <c r="N457" s="4">
        <f>12-M457</f>
        <v>4.6</v>
      </c>
      <c r="O457" s="32">
        <f>LOOKUP(N457,{0,1.6,1.8,2,2.2,2.4,2.6,2.8,3,3.2,3.4,3.6,3.8,4,4.2,4.4,4.6,4.7,4.8,4.9,5},{0,10,20,30,40,50,60,62,64,66,68,70,72,74,76,78,80,85,90,95,100})</f>
        <v>80</v>
      </c>
      <c r="P457" s="4">
        <v>4.13</v>
      </c>
      <c r="Q457" s="4">
        <f t="shared" si="53"/>
        <v>5.87</v>
      </c>
      <c r="R457" s="32">
        <f>LOOKUP(Q457,{0,3.8,4,4.6,4.8,5,5.6,5.65,5.7,5.75,5.8,5.85,5.9,5.95,6,6.45,6.5,6.58,6.65,6.7,6.75},{0,10,20,30,40,50,60,62,64,66,68,70,72,74,76,78,80,85,90,95,100})</f>
        <v>70</v>
      </c>
      <c r="U457" s="4">
        <f t="shared" si="54"/>
        <v>70</v>
      </c>
      <c r="W457" s="5">
        <f t="shared" si="55"/>
        <v>59</v>
      </c>
      <c r="X457" s="20">
        <f>W457/0.7+K457+T457</f>
        <v>85.2857142857143</v>
      </c>
    </row>
    <row r="458" ht="15.6" hidden="1" spans="1:24">
      <c r="A458" s="4">
        <v>208</v>
      </c>
      <c r="B458" s="33" t="s">
        <v>393</v>
      </c>
      <c r="C458" s="25" t="s">
        <v>11</v>
      </c>
      <c r="D458" s="4">
        <v>7.9</v>
      </c>
      <c r="E458" s="32">
        <f>LOOKUP(D458,{0,-2.9,-1.9,-0.9,0.1,1.1,2.1,3.5,4.9,6.3,7.7,9.1,10.5,11.9,13.3,14.7,16.1,18.3,20.5,22.4,24.3},{0,10,20,30,40,50,60,62,64,66,68,70,72,74,76,78,80,85,90,95,100})</f>
        <v>68</v>
      </c>
      <c r="F458" s="4">
        <v>201</v>
      </c>
      <c r="G458" s="32">
        <f>LOOKUP(F458,{0,175,180,185,190,195,200,204,208,212,216,220,224,228,232,236,240,248,255,260,265},{0,10,20,30,40,50,60,62,64,66,68,70,72,74,76,78,80,85,90,95,100})</f>
        <v>60</v>
      </c>
      <c r="H458" s="4">
        <v>1</v>
      </c>
      <c r="I458" s="32">
        <f>LOOKUP(H458,{0,3,4,5,6,7,8,9,10,11,12,13,14,15,16,17},{0,10,20,30,40,50,60,64,68,72,76,80,85,90,95,100})</f>
        <v>0</v>
      </c>
      <c r="L458" s="4">
        <f t="shared" si="52"/>
        <v>0</v>
      </c>
      <c r="O458" s="32"/>
      <c r="P458" s="4">
        <v>4.13</v>
      </c>
      <c r="Q458" s="4">
        <f t="shared" si="53"/>
        <v>5.87</v>
      </c>
      <c r="R458" s="32">
        <f>LOOKUP(Q458,{0,3.8,4,4.6,4.8,5,5.6,5.65,5.7,5.75,5.8,5.85,5.9,5.95,6,6.45,6.5,6.58,6.65,6.7,6.75},{0,10,20,30,40,50,60,62,64,66,68,70,72,74,76,78,80,85,90,95,100})</f>
        <v>70</v>
      </c>
      <c r="U458" s="4">
        <f t="shared" si="54"/>
        <v>70</v>
      </c>
      <c r="W458" s="5">
        <f t="shared" si="55"/>
        <v>26.8</v>
      </c>
      <c r="X458" s="23">
        <v>50</v>
      </c>
    </row>
    <row r="459" ht="15.6" hidden="1" spans="1:24">
      <c r="A459" s="4">
        <v>201</v>
      </c>
      <c r="B459" s="24" t="s">
        <v>17</v>
      </c>
      <c r="C459" s="25" t="s">
        <v>11</v>
      </c>
      <c r="D459" s="4">
        <v>11</v>
      </c>
      <c r="E459" s="32">
        <f>LOOKUP(D459,{0,-2.9,-1.9,-0.9,0.1,1.1,2.1,3.5,4.9,6.3,7.7,9.1,10.5,11.9,13.3,14.7,16.1,18.3,20.5,22.4,24.3},{0,10,20,30,40,50,60,62,64,66,68,70,72,74,76,78,80,85,90,95,100})</f>
        <v>72</v>
      </c>
      <c r="F459" s="4">
        <v>230</v>
      </c>
      <c r="G459" s="32">
        <f>LOOKUP(F459,{0,175,180,185,190,195,200,204,208,212,216,220,224,228,232,236,240,248,255,260,265},{0,10,20,30,40,50,60,62,64,66,68,70,72,74,76,78,80,85,90,95,100})</f>
        <v>74</v>
      </c>
      <c r="H459" s="4">
        <v>3</v>
      </c>
      <c r="I459" s="32">
        <f>LOOKUP(H459,{0,3,4,5,6,7,8,9,10,11,12,13,14,15,16,17},{0,10,20,30,40,50,60,64,68,72,76,80,85,90,95,100})</f>
        <v>10</v>
      </c>
      <c r="L459" s="4">
        <f t="shared" si="52"/>
        <v>10</v>
      </c>
      <c r="M459" s="4">
        <v>7.2</v>
      </c>
      <c r="N459" s="4">
        <f t="shared" ref="N459:N486" si="56">12-M459</f>
        <v>4.8</v>
      </c>
      <c r="O459" s="32">
        <f>LOOKUP(N459,{0,1.6,1.8,2,2.2,2.4,2.6,2.8,3,3.2,3.4,3.6,3.8,4,4.2,4.4,4.6,4.7,4.8,4.9,5},{0,10,20,30,40,50,60,62,64,66,68,70,72,74,76,78,80,85,90,95,100})</f>
        <v>90</v>
      </c>
      <c r="P459" s="4">
        <v>4.14</v>
      </c>
      <c r="Q459" s="4">
        <f t="shared" si="53"/>
        <v>5.86</v>
      </c>
      <c r="R459" s="32">
        <f>LOOKUP(Q459,{0,3.8,4,4.6,4.8,5,5.6,5.65,5.7,5.75,5.8,5.85,5.9,5.95,6,6.45,6.5,6.58,6.65,6.7,6.75},{0,10,20,30,40,50,60,62,64,66,68,70,72,74,76,78,80,85,90,95,100})</f>
        <v>70</v>
      </c>
      <c r="T459" s="35"/>
      <c r="U459" s="4">
        <f t="shared" si="54"/>
        <v>70</v>
      </c>
      <c r="W459" s="5">
        <f t="shared" si="55"/>
        <v>47.6</v>
      </c>
      <c r="X459" s="20">
        <f t="shared" ref="X459:X486" si="57">W459/0.7+K459+T459</f>
        <v>68</v>
      </c>
    </row>
    <row r="460" ht="15.6" hidden="1" spans="1:24">
      <c r="A460" s="4">
        <v>205</v>
      </c>
      <c r="B460" s="24" t="s">
        <v>226</v>
      </c>
      <c r="C460" s="25" t="s">
        <v>11</v>
      </c>
      <c r="D460" s="4">
        <v>14</v>
      </c>
      <c r="E460" s="32">
        <f>LOOKUP(D460,{0,-2.9,-1.9,-0.9,0.1,1.1,2.1,3.5,4.9,6.3,7.7,9.1,10.5,11.9,13.3,14.7,16.1,18.3,20.5,22.4,24.3},{0,10,20,30,40,50,60,62,64,66,68,70,72,74,76,78,80,85,90,95,100})</f>
        <v>76</v>
      </c>
      <c r="F460" s="4">
        <v>223</v>
      </c>
      <c r="G460" s="32">
        <f>LOOKUP(F460,{0,175,180,185,190,195,200,204,208,212,216,220,224,228,232,236,240,248,255,260,265},{0,10,20,30,40,50,60,62,64,66,68,70,72,74,76,78,80,85,90,95,100})</f>
        <v>70</v>
      </c>
      <c r="H460" s="4">
        <v>5</v>
      </c>
      <c r="I460" s="32">
        <f>LOOKUP(H460,{0,3,4,5,6,7,8,9,10,11,12,13,14,15,16,17},{0,10,20,30,40,50,60,64,68,72,76,80,85,90,95,100})</f>
        <v>30</v>
      </c>
      <c r="L460" s="4">
        <f t="shared" si="52"/>
        <v>30</v>
      </c>
      <c r="M460" s="4">
        <v>7.3</v>
      </c>
      <c r="N460" s="4">
        <f t="shared" si="56"/>
        <v>4.7</v>
      </c>
      <c r="O460" s="32">
        <f>LOOKUP(N460,{0,1.6,1.8,2,2.2,2.4,2.6,2.8,3,3.2,3.4,3.6,3.8,4,4.2,4.4,4.6,4.7,4.8,4.9,5},{0,10,20,30,40,50,60,62,64,66,68,70,72,74,76,78,80,85,90,95,100})</f>
        <v>85</v>
      </c>
      <c r="P460" s="4">
        <v>4.14</v>
      </c>
      <c r="Q460" s="4">
        <f t="shared" si="53"/>
        <v>5.86</v>
      </c>
      <c r="R460" s="32">
        <f>LOOKUP(Q460,{0,3.8,4,4.6,4.8,5,5.6,5.65,5.7,5.75,5.8,5.85,5.9,5.95,6,6.45,6.5,6.58,6.65,6.7,6.75},{0,10,20,30,40,50,60,62,64,66,68,70,72,74,76,78,80,85,90,95,100})</f>
        <v>70</v>
      </c>
      <c r="T460" s="35"/>
      <c r="U460" s="4">
        <f t="shared" si="54"/>
        <v>70</v>
      </c>
      <c r="W460" s="5">
        <f t="shared" si="55"/>
        <v>48.6</v>
      </c>
      <c r="X460" s="20">
        <f t="shared" si="57"/>
        <v>69.4285714285714</v>
      </c>
    </row>
    <row r="461" ht="15.6" hidden="1" spans="1:24">
      <c r="A461" s="4">
        <v>212</v>
      </c>
      <c r="B461" s="24" t="s">
        <v>632</v>
      </c>
      <c r="C461" s="25" t="s">
        <v>11</v>
      </c>
      <c r="D461" s="4">
        <v>23.5</v>
      </c>
      <c r="E461" s="32">
        <f>LOOKUP(D461,{0,-2.9,-1.9,-0.9,0.1,1.1,2.1,3.5,4.9,6.3,7.7,9.1,10.5,11.9,13.3,14.7,16.1,18.3,20.5,22.4,24.3},{0,10,20,30,40,50,60,62,64,66,68,70,72,74,76,78,80,85,90,95,100})</f>
        <v>95</v>
      </c>
      <c r="F461" s="4">
        <v>260</v>
      </c>
      <c r="G461" s="32">
        <f>LOOKUP(F461,{0,175,180,185,190,195,200,204,208,212,216,220,224,228,232,236,240,248,255,260,265},{0,10,20,30,40,50,60,62,64,66,68,70,72,74,76,78,80,85,90,95,100})</f>
        <v>95</v>
      </c>
      <c r="H461" s="4">
        <v>17</v>
      </c>
      <c r="I461" s="32">
        <f>LOOKUP(H461,{0,3,4,5,6,7,8,9,10,11,12,13,14,15,16,17},{0,10,20,30,40,50,60,64,68,72,76,80,85,90,95,100})</f>
        <v>100</v>
      </c>
      <c r="J461" s="4">
        <f>H461-17</f>
        <v>0</v>
      </c>
      <c r="K461" s="32">
        <f>LOOKUP(J461,{0,1,2,3,4,5,6,7,8,9,10},{0,1,2,3,4,5,6,7,8,9,10})</f>
        <v>0</v>
      </c>
      <c r="L461" s="4">
        <f t="shared" si="52"/>
        <v>100</v>
      </c>
      <c r="M461" s="4">
        <v>7.6</v>
      </c>
      <c r="N461" s="4">
        <f t="shared" si="56"/>
        <v>4.4</v>
      </c>
      <c r="O461" s="32">
        <f>LOOKUP(N461,{0,1.6,1.8,2,2.2,2.4,2.6,2.8,3,3.2,3.4,3.6,3.8,4,4.2,4.4,4.6,4.7,4.8,4.9,5},{0,10,20,30,40,50,60,62,64,66,68,70,72,74,76,78,80,85,90,95,100})</f>
        <v>78</v>
      </c>
      <c r="P461" s="4">
        <v>4.14</v>
      </c>
      <c r="Q461" s="4">
        <f t="shared" si="53"/>
        <v>5.86</v>
      </c>
      <c r="R461" s="32">
        <f>LOOKUP(Q461,{0,3.8,4,4.6,4.8,5,5.6,5.65,5.7,5.75,5.8,5.85,5.9,5.95,6,6.45,6.5,6.58,6.65,6.7,6.75},{0,10,20,30,40,50,60,62,64,66,68,70,72,74,76,78,80,85,90,95,100})</f>
        <v>70</v>
      </c>
      <c r="U461" s="4">
        <f t="shared" si="54"/>
        <v>70</v>
      </c>
      <c r="W461" s="5">
        <f t="shared" si="55"/>
        <v>58.6</v>
      </c>
      <c r="X461" s="20">
        <f t="shared" si="57"/>
        <v>83.7142857142857</v>
      </c>
    </row>
    <row r="462" ht="15.6" hidden="1" spans="1:24">
      <c r="A462" s="4">
        <v>213</v>
      </c>
      <c r="B462" s="24" t="s">
        <v>670</v>
      </c>
      <c r="C462" s="25" t="s">
        <v>11</v>
      </c>
      <c r="D462" s="4">
        <v>16.9</v>
      </c>
      <c r="E462" s="32">
        <f>LOOKUP(D462,{0,-2.9,-1.9,-0.9,0.1,1.1,2.1,3.5,4.9,6.3,7.7,9.1,10.5,11.9,13.3,14.7,16.1,18.3,20.5,22.4,24.3},{0,10,20,30,40,50,60,62,64,66,68,70,72,74,76,78,80,85,90,95,100})</f>
        <v>80</v>
      </c>
      <c r="F462" s="4">
        <v>226</v>
      </c>
      <c r="G462" s="32">
        <f>LOOKUP(F462,{0,175,180,185,190,195,200,204,208,212,216,220,224,228,232,236,240,248,255,260,265},{0,10,20,30,40,50,60,62,64,66,68,70,72,74,76,78,80,85,90,95,100})</f>
        <v>72</v>
      </c>
      <c r="H462" s="4">
        <v>0</v>
      </c>
      <c r="I462" s="32">
        <f>LOOKUP(H462,{0,3,4,5,6,7,8,9,10,11,12,13,14,15,16,17},{0,10,20,30,40,50,60,64,68,72,76,80,85,90,95,100})</f>
        <v>0</v>
      </c>
      <c r="L462" s="4">
        <f t="shared" si="52"/>
        <v>0</v>
      </c>
      <c r="M462" s="4">
        <v>7.2</v>
      </c>
      <c r="N462" s="4">
        <f t="shared" si="56"/>
        <v>4.8</v>
      </c>
      <c r="O462" s="32">
        <f>LOOKUP(N462,{0,1.6,1.8,2,2.2,2.4,2.6,2.8,3,3.2,3.4,3.6,3.8,4,4.2,4.4,4.6,4.7,4.8,4.9,5},{0,10,20,30,40,50,60,62,64,66,68,70,72,74,76,78,80,85,90,95,100})</f>
        <v>90</v>
      </c>
      <c r="P462" s="4">
        <v>4.15</v>
      </c>
      <c r="Q462" s="4">
        <f t="shared" si="53"/>
        <v>5.85</v>
      </c>
      <c r="R462" s="32">
        <f>LOOKUP(Q462,{0,3.8,4,4.6,4.8,5,5.6,5.65,5.7,5.75,5.8,5.85,5.9,5.95,6,6.45,6.5,6.58,6.65,6.7,6.75},{0,10,20,30,40,50,60,62,64,66,68,70,72,74,76,78,80,85,90,95,100})</f>
        <v>70</v>
      </c>
      <c r="U462" s="4">
        <f t="shared" si="54"/>
        <v>70</v>
      </c>
      <c r="W462" s="5">
        <f t="shared" si="55"/>
        <v>47.2</v>
      </c>
      <c r="X462" s="20">
        <f t="shared" si="57"/>
        <v>67.4285714285714</v>
      </c>
    </row>
    <row r="463" ht="15.6" hidden="1" spans="1:24">
      <c r="A463" s="4">
        <v>207</v>
      </c>
      <c r="B463" s="24" t="s">
        <v>333</v>
      </c>
      <c r="C463" s="25" t="s">
        <v>11</v>
      </c>
      <c r="D463" s="4">
        <v>13</v>
      </c>
      <c r="E463" s="32">
        <f>LOOKUP(D463,{0,-2.9,-1.9,-0.9,0.1,1.1,2.1,3.5,4.9,6.3,7.7,9.1,10.5,11.9,13.3,14.7,16.1,18.3,20.5,22.4,24.3},{0,10,20,30,40,50,60,62,64,66,68,70,72,74,76,78,80,85,90,95,100})</f>
        <v>74</v>
      </c>
      <c r="F463" s="4">
        <v>255</v>
      </c>
      <c r="G463" s="32">
        <f>LOOKUP(F463,{0,175,180,185,190,195,200,204,208,212,216,220,224,228,232,236,240,248,255,260,265},{0,10,20,30,40,50,60,62,64,66,68,70,72,74,76,78,80,85,90,95,100})</f>
        <v>90</v>
      </c>
      <c r="H463" s="4">
        <v>23</v>
      </c>
      <c r="I463" s="32">
        <f>LOOKUP(H463,{0,3,4,5,6,7,8,9,10,11,12,13,14,15,16,17},{0,10,20,30,40,50,60,64,68,72,76,80,85,90,95,100})</f>
        <v>100</v>
      </c>
      <c r="J463" s="4">
        <f>H463-17</f>
        <v>6</v>
      </c>
      <c r="K463" s="32">
        <f>LOOKUP(J463,{0,1,2,3,4,5,6,7,8,9,10},{0,1,2,3,4,5,6,7,8,9,10})</f>
        <v>6</v>
      </c>
      <c r="L463" s="4">
        <f t="shared" si="52"/>
        <v>106</v>
      </c>
      <c r="M463" s="4">
        <v>7.5</v>
      </c>
      <c r="N463" s="4">
        <f t="shared" si="56"/>
        <v>4.5</v>
      </c>
      <c r="O463" s="32">
        <f>LOOKUP(N463,{0,1.6,1.8,2,2.2,2.4,2.6,2.8,3,3.2,3.4,3.6,3.8,4,4.2,4.4,4.6,4.7,4.8,4.9,5},{0,10,20,30,40,50,60,62,64,66,68,70,72,74,76,78,80,85,90,95,100})</f>
        <v>78</v>
      </c>
      <c r="P463" s="4">
        <v>4.15</v>
      </c>
      <c r="Q463" s="4">
        <f t="shared" si="53"/>
        <v>5.85</v>
      </c>
      <c r="R463" s="32">
        <f>LOOKUP(Q463,{0,3.8,4,4.6,4.8,5,5.6,5.65,5.7,5.75,5.8,5.85,5.9,5.95,6,6.45,6.5,6.58,6.65,6.7,6.75},{0,10,20,30,40,50,60,62,64,66,68,70,72,74,76,78,80,85,90,95,100})</f>
        <v>70</v>
      </c>
      <c r="T463" s="35"/>
      <c r="U463" s="4">
        <f t="shared" si="54"/>
        <v>70</v>
      </c>
      <c r="W463" s="5">
        <f t="shared" si="55"/>
        <v>56</v>
      </c>
      <c r="X463" s="20">
        <f t="shared" si="57"/>
        <v>86</v>
      </c>
    </row>
    <row r="464" ht="15.6" hidden="1" spans="1:24">
      <c r="A464" s="4">
        <v>201</v>
      </c>
      <c r="B464" s="24" t="s">
        <v>44</v>
      </c>
      <c r="C464" s="25" t="s">
        <v>11</v>
      </c>
      <c r="D464" s="4">
        <v>11.8</v>
      </c>
      <c r="E464" s="32">
        <f>LOOKUP(D464,{0,-2.9,-1.9,-0.9,0.1,1.1,2.1,3.5,4.9,6.3,7.7,9.1,10.5,11.9,13.3,14.7,16.1,18.3,20.5,22.4,24.3},{0,10,20,30,40,50,60,62,64,66,68,70,72,74,76,78,80,85,90,95,100})</f>
        <v>72</v>
      </c>
      <c r="F464" s="4">
        <v>193</v>
      </c>
      <c r="G464" s="32">
        <f>LOOKUP(F464,{0,175,180,185,190,195,200,204,208,212,216,220,224,228,232,236,240,248,255,260,265},{0,10,20,30,40,50,60,62,64,66,68,70,72,74,76,78,80,85,90,95,100})</f>
        <v>40</v>
      </c>
      <c r="H464" s="4">
        <v>6</v>
      </c>
      <c r="I464" s="32">
        <f>LOOKUP(H464,{0,3,4,5,6,7,8,9,10,11,12,13,14,15,16,17},{0,10,20,30,40,50,60,64,68,72,76,80,85,90,95,100})</f>
        <v>40</v>
      </c>
      <c r="L464" s="4">
        <f t="shared" si="52"/>
        <v>40</v>
      </c>
      <c r="M464" s="4">
        <v>7.6</v>
      </c>
      <c r="N464" s="4">
        <f t="shared" si="56"/>
        <v>4.4</v>
      </c>
      <c r="O464" s="32">
        <f>LOOKUP(N464,{0,1.6,1.8,2,2.2,2.4,2.6,2.8,3,3.2,3.4,3.6,3.8,4,4.2,4.4,4.6,4.7,4.8,4.9,5},{0,10,20,30,40,50,60,62,64,66,68,70,72,74,76,78,80,85,90,95,100})</f>
        <v>78</v>
      </c>
      <c r="P464" s="4">
        <v>4.15</v>
      </c>
      <c r="Q464" s="4">
        <f t="shared" si="53"/>
        <v>5.85</v>
      </c>
      <c r="R464" s="32">
        <f>LOOKUP(Q464,{0,3.8,4,4.6,4.8,5,5.6,5.65,5.7,5.75,5.8,5.85,5.9,5.95,6,6.45,6.5,6.58,6.65,6.7,6.75},{0,10,20,30,40,50,60,62,64,66,68,70,72,74,76,78,80,85,90,95,100})</f>
        <v>70</v>
      </c>
      <c r="U464" s="4">
        <f t="shared" si="54"/>
        <v>70</v>
      </c>
      <c r="W464" s="5">
        <f t="shared" si="55"/>
        <v>44.8</v>
      </c>
      <c r="X464" s="20">
        <f t="shared" si="57"/>
        <v>64</v>
      </c>
    </row>
    <row r="465" ht="15.6" hidden="1" spans="1:24">
      <c r="A465" s="4">
        <v>206</v>
      </c>
      <c r="B465" s="33" t="s">
        <v>280</v>
      </c>
      <c r="C465" s="25" t="s">
        <v>11</v>
      </c>
      <c r="D465" s="4">
        <v>6.8</v>
      </c>
      <c r="E465" s="32">
        <f>LOOKUP(D465,{0,-2.9,-1.9,-0.9,0.1,1.1,2.1,3.5,4.9,6.3,7.7,9.1,10.5,11.9,13.3,14.7,16.1,18.3,20.5,22.4,24.3},{0,10,20,30,40,50,60,62,64,66,68,70,72,74,76,78,80,85,90,95,100})</f>
        <v>66</v>
      </c>
      <c r="F465" s="4">
        <v>194</v>
      </c>
      <c r="G465" s="32">
        <f>LOOKUP(F465,{0,175,180,185,190,195,200,204,208,212,216,220,224,228,232,236,240,248,255,260,265},{0,10,20,30,40,50,60,62,64,66,68,70,72,74,76,78,80,85,90,95,100})</f>
        <v>40</v>
      </c>
      <c r="H465" s="4">
        <v>5</v>
      </c>
      <c r="I465" s="32">
        <f>LOOKUP(H465,{0,3,4,5,6,7,8,9,10,11,12,13,14,15,16,17},{0,10,20,30,40,50,60,64,68,72,76,80,85,90,95,100})</f>
        <v>30</v>
      </c>
      <c r="L465" s="4">
        <f t="shared" si="52"/>
        <v>30</v>
      </c>
      <c r="M465" s="4">
        <v>8</v>
      </c>
      <c r="N465" s="4">
        <f t="shared" si="56"/>
        <v>4</v>
      </c>
      <c r="O465" s="32">
        <f>LOOKUP(N465,{0,1.6,1.8,2,2.2,2.4,2.6,2.8,3,3.2,3.4,3.6,3.8,4,4.2,4.4,4.6,4.7,4.8,4.9,5},{0,10,20,30,40,50,60,62,64,66,68,70,72,74,76,78,80,85,90,95,100})</f>
        <v>74</v>
      </c>
      <c r="P465" s="4">
        <v>4.16</v>
      </c>
      <c r="Q465" s="4">
        <f t="shared" si="53"/>
        <v>5.84</v>
      </c>
      <c r="R465" s="32">
        <f>LOOKUP(Q465,{0,3.8,4,4.6,4.8,5,5.6,5.65,5.7,5.75,5.8,5.85,5.9,5.95,6,6.45,6.5,6.58,6.65,6.7,6.75},{0,10,20,30,40,50,60,62,64,66,68,70,72,74,76,78,80,85,90,95,100})</f>
        <v>68</v>
      </c>
      <c r="U465" s="4">
        <f t="shared" si="54"/>
        <v>68</v>
      </c>
      <c r="W465" s="5">
        <f t="shared" si="55"/>
        <v>42</v>
      </c>
      <c r="X465" s="20">
        <f t="shared" si="57"/>
        <v>60</v>
      </c>
    </row>
    <row r="466" ht="15.6" hidden="1" spans="1:24">
      <c r="A466" s="4">
        <v>209</v>
      </c>
      <c r="B466" s="33" t="s">
        <v>447</v>
      </c>
      <c r="C466" s="25" t="s">
        <v>11</v>
      </c>
      <c r="D466" s="4">
        <v>8.8</v>
      </c>
      <c r="E466" s="32">
        <f>LOOKUP(D466,{0,-2.9,-1.9,-0.9,0.1,1.1,2.1,3.5,4.9,6.3,7.7,9.1,10.5,11.9,13.3,14.7,16.1,18.3,20.5,22.4,24.3},{0,10,20,30,40,50,60,62,64,66,68,70,72,74,76,78,80,85,90,95,100})</f>
        <v>68</v>
      </c>
      <c r="F466" s="4">
        <v>205</v>
      </c>
      <c r="G466" s="32">
        <f>LOOKUP(F466,{0,175,180,185,190,195,200,204,208,212,216,220,224,228,232,236,240,248,255,260,265},{0,10,20,30,40,50,60,62,64,66,68,70,72,74,76,78,80,85,90,95,100})</f>
        <v>62</v>
      </c>
      <c r="H466" s="4">
        <v>11</v>
      </c>
      <c r="I466" s="32">
        <f>LOOKUP(H466,{0,3,4,5,6,7,8,9,10,11,12,13,14,15,16,17},{0,10,20,30,40,50,60,64,68,72,76,80,85,90,95,100})</f>
        <v>72</v>
      </c>
      <c r="L466" s="4">
        <f t="shared" si="52"/>
        <v>72</v>
      </c>
      <c r="M466" s="4">
        <v>7.7</v>
      </c>
      <c r="N466" s="4">
        <f t="shared" si="56"/>
        <v>4.3</v>
      </c>
      <c r="O466" s="32">
        <f>LOOKUP(N466,{0,1.6,1.8,2,2.2,2.4,2.6,2.8,3,3.2,3.4,3.6,3.8,4,4.2,4.4,4.6,4.7,4.8,4.9,5},{0,10,20,30,40,50,60,62,64,66,68,70,72,74,76,78,80,85,90,95,100})</f>
        <v>76</v>
      </c>
      <c r="P466" s="4">
        <v>4.17</v>
      </c>
      <c r="Q466" s="4">
        <f t="shared" si="53"/>
        <v>5.83</v>
      </c>
      <c r="R466" s="32">
        <f>LOOKUP(Q466,{0,3.8,4,4.6,4.8,5,5.6,5.65,5.7,5.75,5.8,5.85,5.9,5.95,6,6.45,6.5,6.58,6.65,6.7,6.75},{0,10,20,30,40,50,60,62,64,66,68,70,72,74,76,78,80,85,90,95,100})</f>
        <v>68</v>
      </c>
      <c r="U466" s="4">
        <f t="shared" si="54"/>
        <v>68</v>
      </c>
      <c r="W466" s="5">
        <f t="shared" si="55"/>
        <v>49</v>
      </c>
      <c r="X466" s="20">
        <f t="shared" si="57"/>
        <v>70</v>
      </c>
    </row>
    <row r="467" ht="15.6" hidden="1" spans="1:24">
      <c r="A467" s="4">
        <v>205</v>
      </c>
      <c r="B467" s="24" t="s">
        <v>243</v>
      </c>
      <c r="C467" s="25" t="s">
        <v>11</v>
      </c>
      <c r="D467" s="4">
        <v>18.5</v>
      </c>
      <c r="E467" s="32">
        <f>LOOKUP(D467,{0,-2.9,-1.9,-0.9,0.1,1.1,2.1,3.5,4.9,6.3,7.7,9.1,10.5,11.9,13.3,14.7,16.1,18.3,20.5,22.4,24.3},{0,10,20,30,40,50,60,62,64,66,68,70,72,74,76,78,80,85,90,95,100})</f>
        <v>85</v>
      </c>
      <c r="F467" s="4">
        <v>198</v>
      </c>
      <c r="G467" s="32">
        <f>LOOKUP(F467,{0,175,180,185,190,195,200,204,208,212,216,220,224,228,232,236,240,248,255,260,265},{0,10,20,30,40,50,60,62,64,66,68,70,72,74,76,78,80,85,90,95,100})</f>
        <v>50</v>
      </c>
      <c r="H467" s="4">
        <v>5</v>
      </c>
      <c r="I467" s="32">
        <f>LOOKUP(H467,{0,3,4,5,6,7,8,9,10,11,12,13,14,15,16,17},{0,10,20,30,40,50,60,64,68,72,76,80,85,90,95,100})</f>
        <v>30</v>
      </c>
      <c r="L467" s="4">
        <f t="shared" si="52"/>
        <v>30</v>
      </c>
      <c r="M467" s="4">
        <v>9.2</v>
      </c>
      <c r="N467" s="4">
        <f t="shared" si="56"/>
        <v>2.8</v>
      </c>
      <c r="O467" s="32">
        <f>LOOKUP(N467,{0,1.6,1.8,2,2.2,2.4,2.6,2.8,3,3.2,3.4,3.6,3.8,4,4.2,4.4,4.6,4.7,4.8,4.9,5},{0,10,20,30,40,50,60,62,64,66,68,70,72,74,76,78,80,85,90,95,100})</f>
        <v>62</v>
      </c>
      <c r="P467" s="4">
        <v>4.17</v>
      </c>
      <c r="Q467" s="4">
        <f t="shared" si="53"/>
        <v>5.83</v>
      </c>
      <c r="R467" s="32">
        <f>LOOKUP(Q467,{0,3.8,4,4.6,4.8,5,5.6,5.65,5.7,5.75,5.8,5.85,5.9,5.95,6,6.45,6.5,6.58,6.65,6.7,6.75},{0,10,20,30,40,50,60,62,64,66,68,70,72,74,76,78,80,85,90,95,100})</f>
        <v>68</v>
      </c>
      <c r="U467" s="4">
        <f t="shared" si="54"/>
        <v>68</v>
      </c>
      <c r="W467" s="5">
        <f t="shared" si="55"/>
        <v>42.5</v>
      </c>
      <c r="X467" s="20">
        <f t="shared" si="57"/>
        <v>60.7142857142857</v>
      </c>
    </row>
    <row r="468" ht="15.6" hidden="1" spans="1:24">
      <c r="A468" s="4">
        <v>206</v>
      </c>
      <c r="B468" s="33" t="s">
        <v>269</v>
      </c>
      <c r="C468" s="25" t="s">
        <v>11</v>
      </c>
      <c r="D468" s="4">
        <v>13</v>
      </c>
      <c r="E468" s="32">
        <f>LOOKUP(D468,{0,-2.9,-1.9,-0.9,0.1,1.1,2.1,3.5,4.9,6.3,7.7,9.1,10.5,11.9,13.3,14.7,16.1,18.3,20.5,22.4,24.3},{0,10,20,30,40,50,60,62,64,66,68,70,72,74,76,78,80,85,90,95,100})</f>
        <v>74</v>
      </c>
      <c r="F468" s="4">
        <v>253</v>
      </c>
      <c r="G468" s="32">
        <f>LOOKUP(F468,{0,175,180,185,190,195,200,204,208,212,216,220,224,228,232,236,240,248,255,260,265},{0,10,20,30,40,50,60,62,64,66,68,70,72,74,76,78,80,85,90,95,100})</f>
        <v>85</v>
      </c>
      <c r="H468" s="4">
        <v>20</v>
      </c>
      <c r="I468" s="32">
        <f>LOOKUP(H468,{0,3,4,5,6,7,8,9,10,11,12,13,14,15,16,17},{0,10,20,30,40,50,60,64,68,72,76,80,85,90,95,100})</f>
        <v>100</v>
      </c>
      <c r="J468" s="4">
        <f>H468-17</f>
        <v>3</v>
      </c>
      <c r="K468" s="32">
        <f>LOOKUP(J468,{0,1,2,3,4,5,6,7,8,9,10},{0,1,2,3,4,5,6,7,8,9,10})</f>
        <v>3</v>
      </c>
      <c r="L468" s="4">
        <f t="shared" si="52"/>
        <v>103</v>
      </c>
      <c r="M468" s="4">
        <v>7.3</v>
      </c>
      <c r="N468" s="4">
        <f t="shared" si="56"/>
        <v>4.7</v>
      </c>
      <c r="O468" s="32">
        <f>LOOKUP(N468,{0,1.6,1.8,2,2.2,2.4,2.6,2.8,3,3.2,3.4,3.6,3.8,4,4.2,4.4,4.6,4.7,4.8,4.9,5},{0,10,20,30,40,50,60,62,64,66,68,70,72,74,76,78,80,85,90,95,100})</f>
        <v>85</v>
      </c>
      <c r="P468" s="4">
        <v>4.18</v>
      </c>
      <c r="Q468" s="4">
        <f t="shared" si="53"/>
        <v>5.82</v>
      </c>
      <c r="R468" s="32">
        <f>LOOKUP(Q468,{0,3.8,4,4.6,4.8,5,5.6,5.65,5.7,5.75,5.8,5.85,5.9,5.95,6,6.45,6.5,6.58,6.65,6.7,6.75},{0,10,20,30,40,50,60,62,64,66,68,70,72,74,76,78,80,85,90,95,100})</f>
        <v>68</v>
      </c>
      <c r="T468" s="35"/>
      <c r="U468" s="4">
        <f t="shared" si="54"/>
        <v>68</v>
      </c>
      <c r="W468" s="5">
        <f t="shared" si="55"/>
        <v>56.5</v>
      </c>
      <c r="X468" s="20">
        <f t="shared" si="57"/>
        <v>83.7142857142857</v>
      </c>
    </row>
    <row r="469" ht="15.6" hidden="1" spans="1:24">
      <c r="A469" s="4">
        <v>215</v>
      </c>
      <c r="B469" s="24" t="s">
        <v>793</v>
      </c>
      <c r="C469" s="25" t="s">
        <v>11</v>
      </c>
      <c r="D469" s="4">
        <v>8.4</v>
      </c>
      <c r="E469" s="32">
        <f>LOOKUP(D469,{0,-2.9,-1.9,-0.9,0.1,1.1,2.1,3.5,4.9,6.3,7.7,9.1,10.5,11.9,13.3,14.7,16.1,18.3,20.5,22.4,24.3},{0,10,20,30,40,50,60,62,64,66,68,70,72,74,76,78,80,85,90,95,100})</f>
        <v>68</v>
      </c>
      <c r="F469" s="4">
        <v>218</v>
      </c>
      <c r="G469" s="32">
        <f>LOOKUP(F469,{0,175,180,185,190,195,200,204,208,212,216,220,224,228,232,236,240,248,255,260,265},{0,10,20,30,40,50,60,62,64,66,68,70,72,74,76,78,80,85,90,95,100})</f>
        <v>68</v>
      </c>
      <c r="H469" s="4">
        <v>8</v>
      </c>
      <c r="I469" s="32">
        <f>LOOKUP(H469,{0,3,4,5,6,7,8,9,10,11,12,13,14,15,16,17},{0,10,20,30,40,50,60,64,68,72,76,80,85,90,95,100})</f>
        <v>60</v>
      </c>
      <c r="L469" s="4">
        <f t="shared" si="52"/>
        <v>60</v>
      </c>
      <c r="M469" s="4">
        <v>7.7</v>
      </c>
      <c r="N469" s="4">
        <f t="shared" si="56"/>
        <v>4.3</v>
      </c>
      <c r="O469" s="32">
        <f>LOOKUP(N469,{0,1.6,1.8,2,2.2,2.4,2.6,2.8,3,3.2,3.4,3.6,3.8,4,4.2,4.4,4.6,4.7,4.8,4.9,5},{0,10,20,30,40,50,60,62,64,66,68,70,72,74,76,78,80,85,90,95,100})</f>
        <v>76</v>
      </c>
      <c r="P469" s="4">
        <v>4.2</v>
      </c>
      <c r="Q469" s="4">
        <f t="shared" si="53"/>
        <v>5.8</v>
      </c>
      <c r="R469" s="32">
        <f>LOOKUP(Q469,{0,3.8,4,4.6,4.8,5,5.6,5.65,5.7,5.75,5.8,5.85,5.9,5.95,6,6.45,6.5,6.58,6.65,6.7,6.75},{0,10,20,30,40,50,60,62,64,66,68,70,72,74,76,78,80,85,90,95,100})</f>
        <v>68</v>
      </c>
      <c r="T469" s="35"/>
      <c r="U469" s="4">
        <f t="shared" si="54"/>
        <v>68</v>
      </c>
      <c r="W469" s="5">
        <f t="shared" si="55"/>
        <v>48.4</v>
      </c>
      <c r="X469" s="20">
        <f t="shared" si="57"/>
        <v>69.1428571428572</v>
      </c>
    </row>
    <row r="470" ht="15.6" hidden="1" spans="1:24">
      <c r="A470" s="4">
        <v>213</v>
      </c>
      <c r="B470" s="33" t="s">
        <v>715</v>
      </c>
      <c r="C470" s="25" t="s">
        <v>53</v>
      </c>
      <c r="D470" s="4">
        <v>17</v>
      </c>
      <c r="E470" s="32">
        <f>LOOKUP(D470,{0,1,1.8,2.6,3.4,4.2,5,6.3,7.6,8.9,10.2,11.5,12.8,14.1,15.4,16.7,18,19.7,21.4,23.1,24.8},{0,10,20,30,40,50,60,62,64,66,68,70,72,74,76,78,80,85,90,95,100})</f>
        <v>78</v>
      </c>
      <c r="F470" s="4">
        <v>175</v>
      </c>
      <c r="G470" s="32">
        <f>LOOKUP(F470,{0,124,129,134,139,144,149,152,155,158,161,164,167,170,173,176,179,186,193,199,205},{0,10,20,30,40,50,60,62,64,66,68,70,72,74,76,78,80,85,90,95,100})</f>
        <v>76</v>
      </c>
      <c r="H470" s="4">
        <v>50</v>
      </c>
      <c r="I470" s="32">
        <f>LOOKUP(H470,{0,14,16,18,20,22,24,26,28,30,32,34,36,38,40,42,44,47,50,52,54},{0,10,20,30,40,50,60,62,64,66,68,70,72,74,76,78,80,85,90,95,100})</f>
        <v>90</v>
      </c>
      <c r="L470" s="4">
        <f t="shared" si="52"/>
        <v>90</v>
      </c>
      <c r="M470" s="4">
        <v>8.4</v>
      </c>
      <c r="N470" s="4">
        <f t="shared" si="56"/>
        <v>3.6</v>
      </c>
      <c r="O470" s="32">
        <f>LOOKUP(N470,{0,0.5,0.7,0.9,1.1,1.3,1.5,1.7,1.9,2.1,2.3,2.5,2.7,2.9,3.1,3.3,3.5,3.8,4.1,4.2,4.3},{0,10,20,30,40,50,60,62,64,66,68,70,72,74,76,78,80,85,90,95,100})</f>
        <v>80</v>
      </c>
      <c r="P470" s="4">
        <v>3.37</v>
      </c>
      <c r="Q470" s="4">
        <f t="shared" si="53"/>
        <v>6.63</v>
      </c>
      <c r="R470" s="32">
        <f>LOOKUP(Q470,{0,4.72,4.82,4.92,5.42,5.52,5.62,5.67,5.72,5.77,5.82,5.87,5.92,5.97,6.42,6.47,6.52,6.59,6.66,6.72,6.78},{0,10,20,30,40,50,60,62,64,66,68,70,72,74,76,78,80,85,90,95,100})</f>
        <v>85</v>
      </c>
      <c r="U470" s="4">
        <f t="shared" si="54"/>
        <v>85</v>
      </c>
      <c r="W470" s="5">
        <f t="shared" si="55"/>
        <v>57.4</v>
      </c>
      <c r="X470" s="20">
        <f t="shared" si="57"/>
        <v>82</v>
      </c>
    </row>
    <row r="471" ht="15.6" hidden="1" spans="1:24">
      <c r="A471" s="4">
        <v>212</v>
      </c>
      <c r="B471" s="24" t="s">
        <v>642</v>
      </c>
      <c r="C471" s="25" t="s">
        <v>53</v>
      </c>
      <c r="D471" s="4">
        <v>23.5</v>
      </c>
      <c r="E471" s="32">
        <f>LOOKUP(D471,{0,1,1.8,2.6,3.4,4.2,5,6.3,7.6,8.9,10.2,11.5,12.8,14.1,15.4,16.7,18,19.7,21.4,23.1,24.8},{0,10,20,30,40,50,60,62,64,66,68,70,72,74,76,78,80,85,90,95,100})</f>
        <v>95</v>
      </c>
      <c r="F471" s="4">
        <v>171</v>
      </c>
      <c r="G471" s="32">
        <f>LOOKUP(F471,{0,124,129,134,139,144,149,152,155,158,161,164,167,170,173,176,179,186,193,199,205},{0,10,20,30,40,50,60,62,64,66,68,70,72,74,76,78,80,85,90,95,100})</f>
        <v>74</v>
      </c>
      <c r="H471" s="4">
        <v>48</v>
      </c>
      <c r="I471" s="32">
        <f>LOOKUP(H471,{0,14,16,18,20,22,24,26,28,30,32,34,36,38,40,42,44,47,50,52,54},{0,10,20,30,40,50,60,62,64,66,68,70,72,74,76,78,80,85,90,95,100})</f>
        <v>85</v>
      </c>
      <c r="L471" s="4">
        <f t="shared" si="52"/>
        <v>85</v>
      </c>
      <c r="M471" s="4">
        <v>8.4</v>
      </c>
      <c r="N471" s="4">
        <f t="shared" si="56"/>
        <v>3.6</v>
      </c>
      <c r="O471" s="32">
        <f>LOOKUP(N471,{0,0.5,0.7,0.9,1.1,1.3,1.5,1.7,1.9,2.1,2.3,2.5,2.7,2.9,3.1,3.3,3.5,3.8,4.1,4.2,4.3},{0,10,20,30,40,50,60,62,64,66,68,70,72,74,76,78,80,85,90,95,100})</f>
        <v>80</v>
      </c>
      <c r="P471" s="4">
        <v>3.46</v>
      </c>
      <c r="Q471" s="4">
        <f t="shared" si="53"/>
        <v>6.54</v>
      </c>
      <c r="R471" s="32">
        <f>LOOKUP(Q471,{0,4.72,4.82,4.92,5.42,5.52,5.62,5.67,5.72,5.77,5.82,5.87,5.92,5.97,6.42,6.47,6.52,6.59,6.66,6.72,6.78},{0,10,20,30,40,50,60,62,64,66,68,70,72,74,76,78,80,85,90,95,100})</f>
        <v>80</v>
      </c>
      <c r="U471" s="4">
        <f t="shared" si="54"/>
        <v>80</v>
      </c>
      <c r="W471" s="5">
        <f t="shared" si="55"/>
        <v>57.4</v>
      </c>
      <c r="X471" s="20">
        <f t="shared" si="57"/>
        <v>82</v>
      </c>
    </row>
    <row r="472" ht="15.6" hidden="1" spans="1:24">
      <c r="A472" s="4">
        <v>210</v>
      </c>
      <c r="B472" s="24" t="s">
        <v>536</v>
      </c>
      <c r="C472" s="25" t="s">
        <v>53</v>
      </c>
      <c r="D472" s="4">
        <v>23.5</v>
      </c>
      <c r="E472" s="32">
        <f>LOOKUP(D472,{0,1,1.8,2.6,3.4,4.2,5,6.3,7.6,8.9,10.2,11.5,12.8,14.1,15.4,16.7,18,19.7,21.4,23.1,24.8},{0,10,20,30,40,50,60,62,64,66,68,70,72,74,76,78,80,85,90,95,100})</f>
        <v>95</v>
      </c>
      <c r="F472" s="4">
        <v>175</v>
      </c>
      <c r="G472" s="32">
        <f>LOOKUP(F472,{0,124,129,134,139,144,149,152,155,158,161,164,167,170,173,176,179,186,193,199,205},{0,10,20,30,40,50,60,62,64,66,68,70,72,74,76,78,80,85,90,95,100})</f>
        <v>76</v>
      </c>
      <c r="H472" s="4">
        <v>51</v>
      </c>
      <c r="I472" s="32">
        <f>LOOKUP(H472,{0,14,16,18,20,22,24,26,28,30,32,34,36,38,40,42,44,47,50,52,54},{0,10,20,30,40,50,60,62,64,66,68,70,72,74,76,78,80,85,90,95,100})</f>
        <v>90</v>
      </c>
      <c r="L472" s="4">
        <f t="shared" si="52"/>
        <v>90</v>
      </c>
      <c r="M472" s="4">
        <v>8.6</v>
      </c>
      <c r="N472" s="4">
        <f t="shared" si="56"/>
        <v>3.4</v>
      </c>
      <c r="O472" s="32">
        <f>LOOKUP(N472,{0,0.5,0.7,0.9,1.1,1.3,1.5,1.7,1.9,2.1,2.3,2.5,2.7,2.9,3.1,3.3,3.5,3.8,4.1,4.2,4.3},{0,10,20,30,40,50,60,62,64,66,68,70,72,74,76,78,80,85,90,95,100})</f>
        <v>78</v>
      </c>
      <c r="P472" s="4">
        <v>3.5</v>
      </c>
      <c r="Q472" s="4">
        <f t="shared" si="53"/>
        <v>6.5</v>
      </c>
      <c r="R472" s="32">
        <f>LOOKUP(Q472,{0,4.72,4.82,4.92,5.42,5.52,5.62,5.67,5.72,5.77,5.82,5.87,5.92,5.97,6.42,6.47,6.52,6.59,6.66,6.72,6.78},{0,10,20,30,40,50,60,62,64,66,68,70,72,74,76,78,80,85,90,95,100})</f>
        <v>78</v>
      </c>
      <c r="T472" s="35"/>
      <c r="U472" s="4">
        <f t="shared" si="54"/>
        <v>78</v>
      </c>
      <c r="W472" s="5">
        <f t="shared" si="55"/>
        <v>57.3</v>
      </c>
      <c r="X472" s="20">
        <f t="shared" si="57"/>
        <v>81.8571428571429</v>
      </c>
    </row>
    <row r="473" ht="15.6" hidden="1" spans="1:24">
      <c r="A473" s="4">
        <v>213</v>
      </c>
      <c r="B473" s="24" t="s">
        <v>713</v>
      </c>
      <c r="C473" s="25" t="s">
        <v>53</v>
      </c>
      <c r="D473" s="4">
        <v>16.8</v>
      </c>
      <c r="E473" s="32">
        <f>LOOKUP(D473,{0,1,1.8,2.6,3.4,4.2,5,6.3,7.6,8.9,10.2,11.5,12.8,14.1,15.4,16.7,18,19.7,21.4,23.1,24.8},{0,10,20,30,40,50,60,62,64,66,68,70,72,74,76,78,80,85,90,95,100})</f>
        <v>78</v>
      </c>
      <c r="F473" s="4">
        <v>180</v>
      </c>
      <c r="G473" s="32">
        <f>LOOKUP(F473,{0,124,129,134,139,144,149,152,155,158,161,164,167,170,173,176,179,186,193,199,205},{0,10,20,30,40,50,60,62,64,66,68,70,72,74,76,78,80,85,90,95,100})</f>
        <v>80</v>
      </c>
      <c r="H473" s="4">
        <v>52</v>
      </c>
      <c r="I473" s="32">
        <f>LOOKUP(H473,{0,14,16,18,20,22,24,26,28,30,32,34,36,38,40,42,44,47,50,52,54},{0,10,20,30,40,50,60,62,64,66,68,70,72,74,76,78,80,85,90,95,100})</f>
        <v>95</v>
      </c>
      <c r="L473" s="4">
        <f t="shared" si="52"/>
        <v>95</v>
      </c>
      <c r="M473" s="4">
        <v>9.4</v>
      </c>
      <c r="N473" s="4">
        <f t="shared" si="56"/>
        <v>2.6</v>
      </c>
      <c r="O473" s="32">
        <f>LOOKUP(N473,{0,0.5,0.7,0.9,1.1,1.3,1.5,1.7,1.9,2.1,2.3,2.5,2.7,2.9,3.1,3.3,3.5,3.8,4.1,4.2,4.3},{0,10,20,30,40,50,60,62,64,66,68,70,72,74,76,78,80,85,90,95,100})</f>
        <v>70</v>
      </c>
      <c r="P473" s="4">
        <v>3.32</v>
      </c>
      <c r="Q473" s="4">
        <f t="shared" si="53"/>
        <v>6.68</v>
      </c>
      <c r="R473" s="32">
        <f>LOOKUP(Q473,{0,4.72,4.82,4.92,5.42,5.52,5.62,5.67,5.72,5.77,5.82,5.87,5.92,5.97,6.42,6.47,6.52,6.59,6.66,6.72,6.78},{0,10,20,30,40,50,60,62,64,66,68,70,72,74,76,78,80,85,90,95,100})</f>
        <v>90</v>
      </c>
      <c r="U473" s="4">
        <f t="shared" si="54"/>
        <v>90</v>
      </c>
      <c r="W473" s="5">
        <f t="shared" si="55"/>
        <v>57.3</v>
      </c>
      <c r="X473" s="20">
        <f t="shared" si="57"/>
        <v>81.8571428571429</v>
      </c>
    </row>
    <row r="474" ht="15.6" hidden="1" spans="1:24">
      <c r="A474" s="4">
        <v>209</v>
      </c>
      <c r="B474" s="24" t="s">
        <v>483</v>
      </c>
      <c r="C474" s="25" t="s">
        <v>53</v>
      </c>
      <c r="D474" s="4">
        <v>16.9</v>
      </c>
      <c r="E474" s="32">
        <f>LOOKUP(D474,{0,1,1.8,2.6,3.4,4.2,5,6.3,7.6,8.9,10.2,11.5,12.8,14.1,15.4,16.7,18,19.7,21.4,23.1,24.8},{0,10,20,30,40,50,60,62,64,66,68,70,72,74,76,78,80,85,90,95,100})</f>
        <v>78</v>
      </c>
      <c r="F474" s="4">
        <v>185</v>
      </c>
      <c r="G474" s="32">
        <f>LOOKUP(F474,{0,124,129,134,139,144,149,152,155,158,161,164,167,170,173,176,179,186,193,199,205},{0,10,20,30,40,50,60,62,64,66,68,70,72,74,76,78,80,85,90,95,100})</f>
        <v>80</v>
      </c>
      <c r="H474" s="4">
        <v>47</v>
      </c>
      <c r="I474" s="32">
        <f>LOOKUP(H474,{0,14,16,18,20,22,24,26,28,30,32,34,36,38,40,42,44,47,50,52,54},{0,10,20,30,40,50,60,62,64,66,68,70,72,74,76,78,80,85,90,95,100})</f>
        <v>85</v>
      </c>
      <c r="L474" s="4">
        <f t="shared" si="52"/>
        <v>85</v>
      </c>
      <c r="M474" s="4">
        <v>8.2</v>
      </c>
      <c r="N474" s="4">
        <f t="shared" si="56"/>
        <v>3.8</v>
      </c>
      <c r="O474" s="32">
        <f>LOOKUP(N474,{0,0.5,0.7,0.9,1.1,1.3,1.5,1.7,1.9,2.1,2.3,2.5,2.7,2.9,3.1,3.3,3.5,3.8,4.1,4.2,4.3},{0,10,20,30,40,50,60,62,64,66,68,70,72,74,76,78,80,85,90,95,100})</f>
        <v>85</v>
      </c>
      <c r="P474" s="4">
        <v>3.43</v>
      </c>
      <c r="Q474" s="4">
        <f t="shared" si="53"/>
        <v>6.57</v>
      </c>
      <c r="R474" s="32">
        <f>LOOKUP(Q474,{0,4.72,4.82,4.92,5.42,5.52,5.62,5.67,5.72,5.77,5.82,5.87,5.92,5.97,6.42,6.47,6.52,6.59,6.66,6.72,6.78},{0,10,20,30,40,50,60,62,64,66,68,70,72,74,76,78,80,85,90,95,100})</f>
        <v>80</v>
      </c>
      <c r="U474" s="4">
        <f t="shared" si="54"/>
        <v>80</v>
      </c>
      <c r="W474" s="5">
        <f t="shared" si="55"/>
        <v>57.3</v>
      </c>
      <c r="X474" s="20">
        <f t="shared" si="57"/>
        <v>81.8571428571429</v>
      </c>
    </row>
    <row r="475" ht="15.6" hidden="1" spans="1:24">
      <c r="A475" s="4">
        <v>202</v>
      </c>
      <c r="B475" s="24" t="s">
        <v>106</v>
      </c>
      <c r="C475" s="25" t="s">
        <v>53</v>
      </c>
      <c r="D475" s="4">
        <v>12</v>
      </c>
      <c r="E475" s="32">
        <f>LOOKUP(D475,{0,1,1.8,2.6,3.4,4.2,5,6.3,7.6,8.9,10.2,11.5,12.8,14.1,15.4,16.7,18,19.7,21.4,23.1,24.8},{0,10,20,30,40,50,60,62,64,66,68,70,72,74,76,78,80,85,90,95,100})</f>
        <v>70</v>
      </c>
      <c r="F475" s="4">
        <v>169</v>
      </c>
      <c r="G475" s="32">
        <f>LOOKUP(F475,{0,124,129,134,139,144,149,152,155,158,161,164,167,170,173,176,179,186,193,199,205},{0,10,20,30,40,50,60,62,64,66,68,70,72,74,76,78,80,85,90,95,100})</f>
        <v>72</v>
      </c>
      <c r="H475" s="4">
        <v>45</v>
      </c>
      <c r="I475" s="32">
        <f>LOOKUP(H475,{0,14,16,18,20,22,24,26,28,30,32,34,36,38,40,42,44,47,50,52,54},{0,10,20,30,40,50,60,62,64,66,68,70,72,74,76,78,80,85,90,95,100})</f>
        <v>80</v>
      </c>
      <c r="L475" s="4">
        <f t="shared" si="52"/>
        <v>80</v>
      </c>
      <c r="M475" s="4">
        <v>8.3</v>
      </c>
      <c r="N475" s="4">
        <f t="shared" si="56"/>
        <v>3.7</v>
      </c>
      <c r="O475" s="32">
        <f>LOOKUP(N475,{0,0.5,0.7,0.9,1.1,1.3,1.5,1.7,1.9,2.1,2.3,2.5,2.7,2.9,3.1,3.3,3.5,3.8,4.1,4.2,4.3},{0,10,20,30,40,50,60,62,64,66,68,70,72,74,76,78,80,85,90,95,100})</f>
        <v>80</v>
      </c>
      <c r="P475" s="4">
        <v>3.27</v>
      </c>
      <c r="Q475" s="4">
        <f t="shared" si="53"/>
        <v>6.73</v>
      </c>
      <c r="R475" s="32">
        <f>LOOKUP(Q475,{0,4.72,4.82,4.92,5.42,5.52,5.62,5.67,5.72,5.77,5.82,5.87,5.92,5.97,6.42,6.47,6.52,6.59,6.66,6.72,6.78},{0,10,20,30,40,50,60,62,64,66,68,70,72,74,76,78,80,85,90,95,100})</f>
        <v>95</v>
      </c>
      <c r="U475" s="4">
        <f t="shared" si="54"/>
        <v>95</v>
      </c>
      <c r="W475" s="5">
        <f t="shared" si="55"/>
        <v>57.2</v>
      </c>
      <c r="X475" s="20">
        <f t="shared" si="57"/>
        <v>81.7142857142857</v>
      </c>
    </row>
    <row r="476" ht="15.6" hidden="1" spans="1:24">
      <c r="A476" s="4">
        <v>210</v>
      </c>
      <c r="B476" s="24" t="s">
        <v>543</v>
      </c>
      <c r="C476" s="25" t="s">
        <v>53</v>
      </c>
      <c r="D476" s="4">
        <v>13</v>
      </c>
      <c r="E476" s="32">
        <f>LOOKUP(D476,{0,1,1.8,2.6,3.4,4.2,5,6.3,7.6,8.9,10.2,11.5,12.8,14.1,15.4,16.7,18,19.7,21.4,23.1,24.8},{0,10,20,30,40,50,60,62,64,66,68,70,72,74,76,78,80,85,90,95,100})</f>
        <v>72</v>
      </c>
      <c r="F476" s="4">
        <v>187</v>
      </c>
      <c r="G476" s="32">
        <f>LOOKUP(F476,{0,124,129,134,139,144,149,152,155,158,161,164,167,170,173,176,179,186,193,199,205},{0,10,20,30,40,50,60,62,64,66,68,70,72,74,76,78,80,85,90,95,100})</f>
        <v>85</v>
      </c>
      <c r="H476" s="4">
        <v>49</v>
      </c>
      <c r="I476" s="32">
        <f>LOOKUP(H476,{0,14,16,18,20,22,24,26,28,30,32,34,36,38,40,42,44,47,50,52,54},{0,10,20,30,40,50,60,62,64,66,68,70,72,74,76,78,80,85,90,95,100})</f>
        <v>85</v>
      </c>
      <c r="L476" s="4">
        <f t="shared" si="52"/>
        <v>85</v>
      </c>
      <c r="M476" s="4">
        <v>8.5</v>
      </c>
      <c r="N476" s="4">
        <f t="shared" si="56"/>
        <v>3.5</v>
      </c>
      <c r="O476" s="32">
        <f>LOOKUP(N476,{0,0.5,0.7,0.9,1.1,1.3,1.5,1.7,1.9,2.1,2.3,2.5,2.7,2.9,3.1,3.3,3.5,3.8,4.1,4.2,4.3},{0,10,20,30,40,50,60,62,64,66,68,70,72,74,76,78,80,85,90,95,100})</f>
        <v>80</v>
      </c>
      <c r="P476" s="4">
        <v>3.36</v>
      </c>
      <c r="Q476" s="4">
        <f t="shared" si="53"/>
        <v>6.64</v>
      </c>
      <c r="R476" s="32">
        <f>LOOKUP(Q476,{0,4.72,4.82,4.92,5.42,5.52,5.62,5.67,5.72,5.77,5.82,5.87,5.92,5.97,6.42,6.47,6.52,6.59,6.66,6.72,6.78},{0,10,20,30,40,50,60,62,64,66,68,70,72,74,76,78,80,85,90,95,100})</f>
        <v>85</v>
      </c>
      <c r="U476" s="4">
        <f t="shared" si="54"/>
        <v>85</v>
      </c>
      <c r="W476" s="5">
        <f t="shared" si="55"/>
        <v>57.2</v>
      </c>
      <c r="X476" s="20">
        <f t="shared" si="57"/>
        <v>81.7142857142857</v>
      </c>
    </row>
    <row r="477" s="1" customFormat="1" ht="15.6" hidden="1" spans="1:24">
      <c r="A477" s="4">
        <v>215</v>
      </c>
      <c r="B477" s="24" t="s">
        <v>818</v>
      </c>
      <c r="C477" s="25" t="s">
        <v>53</v>
      </c>
      <c r="D477" s="4">
        <v>14</v>
      </c>
      <c r="E477" s="32">
        <f>LOOKUP(D477,{0,1,1.8,2.6,3.4,4.2,5,6.3,7.6,8.9,10.2,11.5,12.8,14.1,15.4,16.7,18,19.7,21.4,23.1,24.8},{0,10,20,30,40,50,60,62,64,66,68,70,72,74,76,78,80,85,90,95,100})</f>
        <v>72</v>
      </c>
      <c r="F477" s="4">
        <v>180</v>
      </c>
      <c r="G477" s="32">
        <f>LOOKUP(F477,{0,124,129,134,139,144,149,152,155,158,161,164,167,170,173,176,179,186,193,199,205},{0,10,20,30,40,50,60,62,64,66,68,70,72,74,76,78,80,85,90,95,100})</f>
        <v>80</v>
      </c>
      <c r="H477" s="4">
        <v>51</v>
      </c>
      <c r="I477" s="32">
        <f>LOOKUP(H477,{0,14,16,18,20,22,24,26,28,30,32,34,36,38,40,42,44,47,50,52,54},{0,10,20,30,40,50,60,62,64,66,68,70,72,74,76,78,80,85,90,95,100})</f>
        <v>90</v>
      </c>
      <c r="J477" s="4"/>
      <c r="K477" s="4"/>
      <c r="L477" s="4">
        <f t="shared" si="52"/>
        <v>90</v>
      </c>
      <c r="M477" s="4">
        <v>8.3</v>
      </c>
      <c r="N477" s="4">
        <f t="shared" si="56"/>
        <v>3.7</v>
      </c>
      <c r="O477" s="32">
        <f>LOOKUP(N477,{0,0.5,0.7,0.9,1.1,1.3,1.5,1.7,1.9,2.1,2.3,2.5,2.7,2.9,3.1,3.3,3.5,3.8,4.1,4.2,4.3},{0,10,20,30,40,50,60,62,64,66,68,70,72,74,76,78,80,85,90,95,100})</f>
        <v>80</v>
      </c>
      <c r="P477" s="4">
        <v>3.41</v>
      </c>
      <c r="Q477" s="4">
        <f t="shared" si="53"/>
        <v>6.59</v>
      </c>
      <c r="R477" s="32">
        <f>LOOKUP(Q477,{0,4.72,4.82,4.92,5.42,5.52,5.62,5.67,5.72,5.77,5.82,5.87,5.92,5.97,6.42,6.47,6.52,6.59,6.66,6.72,6.78},{0,10,20,30,40,50,60,62,64,66,68,70,72,74,76,78,80,85,90,95,100})</f>
        <v>85</v>
      </c>
      <c r="S477" s="4"/>
      <c r="T477" s="35"/>
      <c r="U477" s="4">
        <f t="shared" si="54"/>
        <v>85</v>
      </c>
      <c r="V477" s="4"/>
      <c r="W477" s="5">
        <f t="shared" si="55"/>
        <v>57.2</v>
      </c>
      <c r="X477" s="20">
        <f t="shared" si="57"/>
        <v>81.7142857142857</v>
      </c>
    </row>
    <row r="478" ht="15.6" hidden="1" spans="1:24">
      <c r="A478" s="4">
        <v>215</v>
      </c>
      <c r="B478" s="24" t="s">
        <v>831</v>
      </c>
      <c r="C478" s="25" t="s">
        <v>53</v>
      </c>
      <c r="D478" s="4">
        <v>26</v>
      </c>
      <c r="E478" s="32">
        <f>LOOKUP(D478,{0,1,1.8,2.6,3.4,4.2,5,6.3,7.6,8.9,10.2,11.5,12.8,14.1,15.4,16.7,18,19.7,21.4,23.1,24.8},{0,10,20,30,40,50,60,62,64,66,68,70,72,74,76,78,80,85,90,95,100})</f>
        <v>100</v>
      </c>
      <c r="F478" s="4">
        <v>182</v>
      </c>
      <c r="G478" s="32">
        <f>LOOKUP(F478,{0,124,129,134,139,144,149,152,155,158,161,164,167,170,173,176,179,186,193,199,205},{0,10,20,30,40,50,60,62,64,66,68,70,72,74,76,78,80,85,90,95,100})</f>
        <v>80</v>
      </c>
      <c r="H478" s="4">
        <v>40</v>
      </c>
      <c r="I478" s="32">
        <f>LOOKUP(H478,{0,14,16,18,20,22,24,26,28,30,32,34,36,38,40,42,44,47,50,52,54},{0,10,20,30,40,50,60,62,64,66,68,70,72,74,76,78,80,85,90,95,100})</f>
        <v>76</v>
      </c>
      <c r="L478" s="4">
        <f t="shared" si="52"/>
        <v>76</v>
      </c>
      <c r="M478" s="4">
        <v>8.6</v>
      </c>
      <c r="N478" s="4">
        <f t="shared" si="56"/>
        <v>3.4</v>
      </c>
      <c r="O478" s="32">
        <f>LOOKUP(N478,{0,0.5,0.7,0.9,1.1,1.3,1.5,1.7,1.9,2.1,2.3,2.5,2.7,2.9,3.1,3.3,3.5,3.8,4.1,4.2,4.3},{0,10,20,30,40,50,60,62,64,66,68,70,72,74,76,78,80,85,90,95,100})</f>
        <v>78</v>
      </c>
      <c r="P478" s="4">
        <v>3.46</v>
      </c>
      <c r="Q478" s="4">
        <f t="shared" si="53"/>
        <v>6.54</v>
      </c>
      <c r="R478" s="32">
        <f>LOOKUP(Q478,{0,4.72,4.82,4.92,5.42,5.52,5.62,5.67,5.72,5.77,5.82,5.87,5.92,5.97,6.42,6.47,6.52,6.59,6.66,6.72,6.78},{0,10,20,30,40,50,60,62,64,66,68,70,72,74,76,78,80,85,90,95,100})</f>
        <v>80</v>
      </c>
      <c r="T478" s="35"/>
      <c r="U478" s="4">
        <f t="shared" si="54"/>
        <v>80</v>
      </c>
      <c r="W478" s="5">
        <f t="shared" si="55"/>
        <v>57.2</v>
      </c>
      <c r="X478" s="20">
        <f t="shared" si="57"/>
        <v>81.7142857142857</v>
      </c>
    </row>
    <row r="479" ht="15.6" hidden="1" spans="1:24">
      <c r="A479" s="4">
        <v>210</v>
      </c>
      <c r="B479" s="24" t="s">
        <v>535</v>
      </c>
      <c r="C479" s="25" t="s">
        <v>53</v>
      </c>
      <c r="D479" s="4">
        <v>22</v>
      </c>
      <c r="E479" s="32">
        <f>LOOKUP(D479,{0,1,1.8,2.6,3.4,4.2,5,6.3,7.6,8.9,10.2,11.5,12.8,14.1,15.4,16.7,18,19.7,21.4,23.1,24.8},{0,10,20,30,40,50,60,62,64,66,68,70,72,74,76,78,80,85,90,95,100})</f>
        <v>90</v>
      </c>
      <c r="F479" s="4">
        <v>187</v>
      </c>
      <c r="G479" s="32">
        <f>LOOKUP(F479,{0,124,129,134,139,144,149,152,155,158,161,164,167,170,173,176,179,186,193,199,205},{0,10,20,30,40,50,60,62,64,66,68,70,72,74,76,78,80,85,90,95,100})</f>
        <v>85</v>
      </c>
      <c r="H479" s="4">
        <v>49</v>
      </c>
      <c r="I479" s="32">
        <f>LOOKUP(H479,{0,14,16,18,20,22,24,26,28,30,32,34,36,38,40,42,44,47,50,52,54},{0,10,20,30,40,50,60,62,64,66,68,70,72,74,76,78,80,85,90,95,100})</f>
        <v>85</v>
      </c>
      <c r="L479" s="4">
        <f t="shared" si="52"/>
        <v>85</v>
      </c>
      <c r="M479" s="4">
        <v>8.6</v>
      </c>
      <c r="N479" s="4">
        <f t="shared" si="56"/>
        <v>3.4</v>
      </c>
      <c r="O479" s="32">
        <f>LOOKUP(N479,{0,0.5,0.7,0.9,1.1,1.3,1.5,1.7,1.9,2.1,2.3,2.5,2.7,2.9,3.1,3.3,3.5,3.8,4.1,4.2,4.3},{0,10,20,30,40,50,60,62,64,66,68,70,72,74,76,78,80,85,90,95,100})</f>
        <v>78</v>
      </c>
      <c r="P479" s="4">
        <v>3.53</v>
      </c>
      <c r="Q479" s="4">
        <f t="shared" si="53"/>
        <v>6.47</v>
      </c>
      <c r="R479" s="32">
        <f>LOOKUP(Q479,{0,4.72,4.82,4.92,5.42,5.52,5.62,5.67,5.72,5.77,5.82,5.87,5.92,5.97,6.42,6.47,6.52,6.59,6.66,6.72,6.78},{0,10,20,30,40,50,60,62,64,66,68,70,72,74,76,78,80,85,90,95,100})</f>
        <v>78</v>
      </c>
      <c r="U479" s="4">
        <f t="shared" si="54"/>
        <v>78</v>
      </c>
      <c r="W479" s="5">
        <f t="shared" si="55"/>
        <v>57.2</v>
      </c>
      <c r="X479" s="20">
        <f t="shared" si="57"/>
        <v>81.7142857142857</v>
      </c>
    </row>
    <row r="480" ht="15.6" hidden="1" spans="1:24">
      <c r="A480" s="4">
        <v>215</v>
      </c>
      <c r="B480" s="24" t="s">
        <v>815</v>
      </c>
      <c r="C480" s="25" t="s">
        <v>53</v>
      </c>
      <c r="D480" s="4">
        <v>18</v>
      </c>
      <c r="E480" s="32">
        <f>LOOKUP(D480,{0,1,1.8,2.6,3.4,4.2,5,6.3,7.6,8.9,10.2,11.5,12.8,14.1,15.4,16.7,18,19.7,21.4,23.1,24.8},{0,10,20,30,40,50,60,62,64,66,68,70,72,74,76,78,80,85,90,95,100})</f>
        <v>80</v>
      </c>
      <c r="F480" s="4">
        <v>172</v>
      </c>
      <c r="G480" s="32">
        <f>LOOKUP(F480,{0,124,129,134,139,144,149,152,155,158,161,164,167,170,173,176,179,186,193,199,205},{0,10,20,30,40,50,60,62,64,66,68,70,72,74,76,78,80,85,90,95,100})</f>
        <v>74</v>
      </c>
      <c r="H480" s="4">
        <v>52</v>
      </c>
      <c r="I480" s="32">
        <f>LOOKUP(H480,{0,14,16,18,20,22,24,26,28,30,32,34,36,38,40,42,44,47,50,52,54},{0,10,20,30,40,50,60,62,64,66,68,70,72,74,76,78,80,85,90,95,100})</f>
        <v>95</v>
      </c>
      <c r="L480" s="4">
        <f t="shared" si="52"/>
        <v>95</v>
      </c>
      <c r="M480" s="4">
        <v>8.9</v>
      </c>
      <c r="N480" s="4">
        <f t="shared" si="56"/>
        <v>3.1</v>
      </c>
      <c r="O480" s="32">
        <f>LOOKUP(N480,{0,0.5,0.7,0.9,1.1,1.3,1.5,1.7,1.9,2.1,2.3,2.5,2.7,2.9,3.1,3.3,3.5,3.8,4.1,4.2,4.3},{0,10,20,30,40,50,60,62,64,66,68,70,72,74,76,78,80,85,90,95,100})</f>
        <v>76</v>
      </c>
      <c r="P480" s="4">
        <v>3.38</v>
      </c>
      <c r="Q480" s="4">
        <f t="shared" si="53"/>
        <v>6.62</v>
      </c>
      <c r="R480" s="32">
        <f>LOOKUP(Q480,{0,4.72,4.82,4.92,5.42,5.52,5.62,5.67,5.72,5.77,5.82,5.87,5.92,5.97,6.42,6.47,6.52,6.59,6.66,6.72,6.78},{0,10,20,30,40,50,60,62,64,66,68,70,72,74,76,78,80,85,90,95,100})</f>
        <v>85</v>
      </c>
      <c r="U480" s="4">
        <f t="shared" si="54"/>
        <v>85</v>
      </c>
      <c r="W480" s="5">
        <f t="shared" si="55"/>
        <v>57.1</v>
      </c>
      <c r="X480" s="20">
        <f t="shared" si="57"/>
        <v>81.5714285714286</v>
      </c>
    </row>
    <row r="481" ht="15.6" hidden="1" spans="1:24">
      <c r="A481" s="4">
        <v>215</v>
      </c>
      <c r="B481" s="24" t="s">
        <v>826</v>
      </c>
      <c r="C481" s="25" t="s">
        <v>53</v>
      </c>
      <c r="D481" s="4">
        <v>12</v>
      </c>
      <c r="E481" s="32">
        <f>LOOKUP(D481,{0,1,1.8,2.6,3.4,4.2,5,6.3,7.6,8.9,10.2,11.5,12.8,14.1,15.4,16.7,18,19.7,21.4,23.1,24.8},{0,10,20,30,40,50,60,62,64,66,68,70,72,74,76,78,80,85,90,95,100})</f>
        <v>70</v>
      </c>
      <c r="F481" s="4">
        <v>200</v>
      </c>
      <c r="G481" s="32">
        <f>LOOKUP(F481,{0,124,129,134,139,144,149,152,155,158,161,164,167,170,173,176,179,186,193,199,205},{0,10,20,30,40,50,60,62,64,66,68,70,72,74,76,78,80,85,90,95,100})</f>
        <v>95</v>
      </c>
      <c r="H481" s="4">
        <v>44</v>
      </c>
      <c r="I481" s="32">
        <f>LOOKUP(H481,{0,14,16,18,20,22,24,26,28,30,32,34,36,38,40,42,44,47,50,52,54},{0,10,20,30,40,50,60,62,64,66,68,70,72,74,76,78,80,85,90,95,100})</f>
        <v>80</v>
      </c>
      <c r="L481" s="4">
        <f t="shared" si="52"/>
        <v>80</v>
      </c>
      <c r="M481" s="4">
        <v>8.2</v>
      </c>
      <c r="N481" s="4">
        <f t="shared" si="56"/>
        <v>3.8</v>
      </c>
      <c r="O481" s="32">
        <f>LOOKUP(N481,{0,0.5,0.7,0.9,1.1,1.3,1.5,1.7,1.9,2.1,2.3,2.5,2.7,2.9,3.1,3.3,3.5,3.8,4.1,4.2,4.3},{0,10,20,30,40,50,60,62,64,66,68,70,72,74,76,78,80,85,90,95,100})</f>
        <v>85</v>
      </c>
      <c r="P481" s="4">
        <v>3.51</v>
      </c>
      <c r="Q481" s="4">
        <f t="shared" si="53"/>
        <v>6.49</v>
      </c>
      <c r="R481" s="32">
        <f>LOOKUP(Q481,{0,4.72,4.82,4.92,5.42,5.52,5.62,5.67,5.72,5.77,5.82,5.87,5.92,5.97,6.42,6.47,6.52,6.59,6.66,6.72,6.78},{0,10,20,30,40,50,60,62,64,66,68,70,72,74,76,78,80,85,90,95,100})</f>
        <v>78</v>
      </c>
      <c r="U481" s="4">
        <f t="shared" si="54"/>
        <v>78</v>
      </c>
      <c r="W481" s="5">
        <f t="shared" si="55"/>
        <v>57.1</v>
      </c>
      <c r="X481" s="20">
        <f t="shared" si="57"/>
        <v>81.5714285714286</v>
      </c>
    </row>
    <row r="482" ht="15.6" hidden="1" spans="1:24">
      <c r="A482" s="4">
        <v>207</v>
      </c>
      <c r="B482" s="24" t="s">
        <v>377</v>
      </c>
      <c r="C482" s="25" t="s">
        <v>53</v>
      </c>
      <c r="D482" s="4">
        <v>19</v>
      </c>
      <c r="E482" s="32">
        <f>LOOKUP(D482,{0,1,1.8,2.6,3.4,4.2,5,6.3,7.6,8.9,10.2,11.5,12.8,14.1,15.4,16.7,18,19.7,21.4,23.1,24.8},{0,10,20,30,40,50,60,62,64,66,68,70,72,74,76,78,80,85,90,95,100})</f>
        <v>80</v>
      </c>
      <c r="F482" s="4">
        <v>182</v>
      </c>
      <c r="G482" s="32">
        <f>LOOKUP(F482,{0,124,129,134,139,144,149,152,155,158,161,164,167,170,173,176,179,186,193,199,205},{0,10,20,30,40,50,60,62,64,66,68,70,72,74,76,78,80,85,90,95,100})</f>
        <v>80</v>
      </c>
      <c r="H482" s="4">
        <v>56</v>
      </c>
      <c r="I482" s="32">
        <f>LOOKUP(H482,{0,14,16,18,20,22,24,26,28,30,32,34,36,38,40,42,44,47,50,52,54},{0,10,20,30,40,50,60,62,64,66,68,70,72,74,76,78,80,85,90,95,100})</f>
        <v>100</v>
      </c>
      <c r="J482" s="4">
        <f>H482-54</f>
        <v>2</v>
      </c>
      <c r="K482" s="32">
        <f>LOOKUP(J482,{0,2,4,6,7,8,9,10,11,12,13},{0,1,2,3,4,5,6,7,8,9,10})</f>
        <v>1</v>
      </c>
      <c r="L482" s="4">
        <f t="shared" si="52"/>
        <v>101</v>
      </c>
      <c r="M482" s="4">
        <v>9.3</v>
      </c>
      <c r="N482" s="4">
        <f t="shared" si="56"/>
        <v>2.7</v>
      </c>
      <c r="O482" s="32">
        <f>LOOKUP(N482,{0,0.5,0.7,0.9,1.1,1.3,1.5,1.7,1.9,2.1,2.3,2.5,2.7,2.9,3.1,3.3,3.5,3.8,4.1,4.2,4.3},{0,10,20,30,40,50,60,62,64,66,68,70,72,74,76,78,80,85,90,95,100})</f>
        <v>72</v>
      </c>
      <c r="P482" s="4">
        <v>3.48</v>
      </c>
      <c r="Q482" s="4">
        <f t="shared" si="53"/>
        <v>6.52</v>
      </c>
      <c r="R482" s="32">
        <f>LOOKUP(Q482,{0,4.72,4.82,4.92,5.42,5.52,5.62,5.67,5.72,5.77,5.82,5.87,5.92,5.97,6.42,6.47,6.52,6.59,6.66,6.72,6.78},{0,10,20,30,40,50,60,62,64,66,68,70,72,74,76,78,80,85,90,95,100})</f>
        <v>80</v>
      </c>
      <c r="U482" s="4">
        <f t="shared" si="54"/>
        <v>80</v>
      </c>
      <c r="W482" s="5">
        <f t="shared" si="55"/>
        <v>56.4</v>
      </c>
      <c r="X482" s="20">
        <f t="shared" si="57"/>
        <v>81.5714285714286</v>
      </c>
    </row>
    <row r="483" ht="15.6" hidden="1" spans="1:24">
      <c r="A483" s="4">
        <v>213</v>
      </c>
      <c r="B483" s="24" t="s">
        <v>678</v>
      </c>
      <c r="C483" s="25" t="s">
        <v>53</v>
      </c>
      <c r="D483" s="4">
        <v>14.5</v>
      </c>
      <c r="E483" s="32">
        <f>LOOKUP(D483,{0,1,1.8,2.6,3.4,4.2,5,6.3,7.6,8.9,10.2,11.5,12.8,14.1,15.4,16.7,18,19.7,21.4,23.1,24.8},{0,10,20,30,40,50,60,62,64,66,68,70,72,74,76,78,80,85,90,95,100})</f>
        <v>74</v>
      </c>
      <c r="F483" s="4">
        <v>160</v>
      </c>
      <c r="G483" s="32">
        <f>LOOKUP(F483,{0,124,129,134,139,144,149,152,155,158,161,164,167,170,173,176,179,186,193,199,205},{0,10,20,30,40,50,60,62,64,66,68,70,72,74,76,78,80,85,90,95,100})</f>
        <v>66</v>
      </c>
      <c r="H483" s="4">
        <v>44</v>
      </c>
      <c r="I483" s="32">
        <f>LOOKUP(H483,{0,14,16,18,20,22,24,26,28,30,32,34,36,38,40,42,44,47,50,52,54},{0,10,20,30,40,50,60,62,64,66,68,70,72,74,76,78,80,85,90,95,100})</f>
        <v>80</v>
      </c>
      <c r="L483" s="4">
        <f t="shared" si="52"/>
        <v>80</v>
      </c>
      <c r="M483" s="4">
        <v>8.4</v>
      </c>
      <c r="N483" s="4">
        <f t="shared" si="56"/>
        <v>3.6</v>
      </c>
      <c r="O483" s="32">
        <f>LOOKUP(N483,{0,0.5,0.7,0.9,1.1,1.3,1.5,1.7,1.9,2.1,2.3,2.5,2.7,2.9,3.1,3.3,3.5,3.8,4.1,4.2,4.3},{0,10,20,30,40,50,60,62,64,66,68,70,72,74,76,78,80,85,90,95,100})</f>
        <v>80</v>
      </c>
      <c r="P483" s="4">
        <v>3.26</v>
      </c>
      <c r="Q483" s="4">
        <f t="shared" si="53"/>
        <v>6.74</v>
      </c>
      <c r="R483" s="32">
        <f>LOOKUP(Q483,{0,4.72,4.82,4.92,5.42,5.52,5.62,5.67,5.72,5.77,5.82,5.87,5.92,5.97,6.42,6.47,6.52,6.59,6.66,6.72,6.78},{0,10,20,30,40,50,60,62,64,66,68,70,72,74,76,78,80,85,90,95,100})</f>
        <v>95</v>
      </c>
      <c r="U483" s="4">
        <f t="shared" si="54"/>
        <v>95</v>
      </c>
      <c r="W483" s="5">
        <f t="shared" si="55"/>
        <v>57</v>
      </c>
      <c r="X483" s="20">
        <f t="shared" si="57"/>
        <v>81.4285714285714</v>
      </c>
    </row>
    <row r="484" ht="15.6" hidden="1" spans="1:24">
      <c r="A484" s="4">
        <v>204</v>
      </c>
      <c r="B484" s="24" t="s">
        <v>198</v>
      </c>
      <c r="C484" s="25" t="s">
        <v>53</v>
      </c>
      <c r="D484" s="4">
        <v>16.4</v>
      </c>
      <c r="E484" s="32">
        <f>LOOKUP(D484,{0,1,1.8,2.6,3.4,4.2,5,6.3,7.6,8.9,10.2,11.5,12.8,14.1,15.4,16.7,18,19.7,21.4,23.1,24.8},{0,10,20,30,40,50,60,62,64,66,68,70,72,74,76,78,80,85,90,95,100})</f>
        <v>76</v>
      </c>
      <c r="F484" s="4">
        <v>196</v>
      </c>
      <c r="G484" s="32">
        <f>LOOKUP(F484,{0,124,129,134,139,144,149,152,155,158,161,164,167,170,173,176,179,186,193,199,205},{0,10,20,30,40,50,60,62,64,66,68,70,72,74,76,78,80,85,90,95,100})</f>
        <v>90</v>
      </c>
      <c r="H484" s="4">
        <v>43</v>
      </c>
      <c r="I484" s="32">
        <f>LOOKUP(H484,{0,14,16,18,20,22,24,26,28,30,32,34,36,38,40,42,44,47,50,52,54},{0,10,20,30,40,50,60,62,64,66,68,70,72,74,76,78,80,85,90,95,100})</f>
        <v>78</v>
      </c>
      <c r="L484" s="4">
        <f t="shared" si="52"/>
        <v>78</v>
      </c>
      <c r="M484" s="4">
        <v>8.6</v>
      </c>
      <c r="N484" s="4">
        <f t="shared" si="56"/>
        <v>3.4</v>
      </c>
      <c r="O484" s="32">
        <f>LOOKUP(N484,{0,0.5,0.7,0.9,1.1,1.3,1.5,1.7,1.9,2.1,2.3,2.5,2.7,2.9,3.1,3.3,3.5,3.8,4.1,4.2,4.3},{0,10,20,30,40,50,60,62,64,66,68,70,72,74,76,78,80,85,90,95,100})</f>
        <v>78</v>
      </c>
      <c r="P484" s="4">
        <v>3.37</v>
      </c>
      <c r="Q484" s="4">
        <f t="shared" si="53"/>
        <v>6.63</v>
      </c>
      <c r="R484" s="32">
        <f>LOOKUP(Q484,{0,4.72,4.82,4.92,5.42,5.52,5.62,5.67,5.72,5.77,5.82,5.87,5.92,5.97,6.42,6.47,6.52,6.59,6.66,6.72,6.78},{0,10,20,30,40,50,60,62,64,66,68,70,72,74,76,78,80,85,90,95,100})</f>
        <v>85</v>
      </c>
      <c r="U484" s="4">
        <f t="shared" si="54"/>
        <v>85</v>
      </c>
      <c r="W484" s="5">
        <f t="shared" si="55"/>
        <v>57</v>
      </c>
      <c r="X484" s="20">
        <f t="shared" si="57"/>
        <v>81.4285714285714</v>
      </c>
    </row>
    <row r="485" ht="15.6" hidden="1" spans="1:24">
      <c r="A485" s="4">
        <v>214</v>
      </c>
      <c r="B485" s="24" t="s">
        <v>769</v>
      </c>
      <c r="C485" s="25" t="s">
        <v>53</v>
      </c>
      <c r="D485" s="4">
        <v>14.8</v>
      </c>
      <c r="E485" s="32">
        <f>LOOKUP(D485,{0,1,1.8,2.6,3.4,4.2,5,6.3,7.6,8.9,10.2,11.5,12.8,14.1,15.4,16.7,18,19.7,21.4,23.1,24.8},{0,10,20,30,40,50,60,62,64,66,68,70,72,74,76,78,80,85,90,95,100})</f>
        <v>74</v>
      </c>
      <c r="F485" s="4">
        <v>186</v>
      </c>
      <c r="G485" s="32">
        <f>LOOKUP(F485,{0,124,129,134,139,144,149,152,155,158,161,164,167,170,173,176,179,186,193,199,205},{0,10,20,30,40,50,60,62,64,66,68,70,72,74,76,78,80,85,90,95,100})</f>
        <v>85</v>
      </c>
      <c r="H485" s="4">
        <v>56</v>
      </c>
      <c r="I485" s="32">
        <f>LOOKUP(H485,{0,14,16,18,20,22,24,26,28,30,32,34,36,38,40,42,44,47,50,52,54},{0,10,20,30,40,50,60,62,64,66,68,70,72,74,76,78,80,85,90,95,100})</f>
        <v>100</v>
      </c>
      <c r="J485" s="4">
        <f>H485-54</f>
        <v>2</v>
      </c>
      <c r="K485" s="32">
        <f>LOOKUP(J485,{0,2,4,6,7,8,9,10,11,12,13},{0,1,2,3,4,5,6,7,8,9,10})</f>
        <v>1</v>
      </c>
      <c r="L485" s="4">
        <f t="shared" si="52"/>
        <v>101</v>
      </c>
      <c r="M485" s="4">
        <v>9.3</v>
      </c>
      <c r="N485" s="4">
        <f t="shared" si="56"/>
        <v>2.7</v>
      </c>
      <c r="O485" s="32">
        <f>LOOKUP(N485,{0,0.5,0.7,0.9,1.1,1.3,1.5,1.7,1.9,2.1,2.3,2.5,2.7,2.9,3.1,3.3,3.5,3.8,4.1,4.2,4.3},{0,10,20,30,40,50,60,62,64,66,68,70,72,74,76,78,80,85,90,95,100})</f>
        <v>72</v>
      </c>
      <c r="P485" s="4">
        <v>3.48</v>
      </c>
      <c r="Q485" s="4">
        <f t="shared" si="53"/>
        <v>6.52</v>
      </c>
      <c r="R485" s="32">
        <f>LOOKUP(Q485,{0,4.72,4.82,4.92,5.42,5.52,5.62,5.67,5.72,5.77,5.82,5.87,5.92,5.97,6.42,6.47,6.52,6.59,6.66,6.72,6.78},{0,10,20,30,40,50,60,62,64,66,68,70,72,74,76,78,80,85,90,95,100})</f>
        <v>80</v>
      </c>
      <c r="U485" s="4">
        <f t="shared" si="54"/>
        <v>80</v>
      </c>
      <c r="W485" s="5">
        <f t="shared" si="55"/>
        <v>56.3</v>
      </c>
      <c r="X485" s="20">
        <f t="shared" si="57"/>
        <v>81.4285714285714</v>
      </c>
    </row>
    <row r="486" ht="15.6" hidden="1" spans="1:24">
      <c r="A486" s="4">
        <v>206</v>
      </c>
      <c r="B486" s="24" t="s">
        <v>270</v>
      </c>
      <c r="C486" s="25" t="s">
        <v>11</v>
      </c>
      <c r="D486" s="4">
        <v>8.5</v>
      </c>
      <c r="E486" s="32">
        <f>LOOKUP(D486,{0,-2.9,-1.9,-0.9,0.1,1.1,2.1,3.5,4.9,6.3,7.7,9.1,10.5,11.9,13.3,14.7,16.1,18.3,20.5,22.4,24.3},{0,10,20,30,40,50,60,62,64,66,68,70,72,74,76,78,80,85,90,95,100})</f>
        <v>68</v>
      </c>
      <c r="F486" s="4">
        <v>237</v>
      </c>
      <c r="G486" s="32">
        <f>LOOKUP(F486,{0,175,180,185,190,195,200,204,208,212,216,220,224,228,232,236,240,248,255,260,265},{0,10,20,30,40,50,60,62,64,66,68,70,72,74,76,78,80,85,90,95,100})</f>
        <v>78</v>
      </c>
      <c r="H486" s="4">
        <v>3</v>
      </c>
      <c r="I486" s="32">
        <f>LOOKUP(H486,{0,3,4,5,6,7,8,9,10,11,12,13,14,15,16,17},{0,10,20,30,40,50,60,64,68,72,76,80,85,90,95,100})</f>
        <v>10</v>
      </c>
      <c r="L486" s="4">
        <f t="shared" si="52"/>
        <v>10</v>
      </c>
      <c r="M486" s="4">
        <v>7.1</v>
      </c>
      <c r="N486" s="4">
        <f t="shared" si="56"/>
        <v>4.9</v>
      </c>
      <c r="O486" s="32">
        <f>LOOKUP(N486,{0,1.6,1.8,2,2.2,2.4,2.6,2.8,3,3.2,3.4,3.6,3.8,4,4.2,4.4,4.6,4.7,4.8,4.9,5},{0,10,20,30,40,50,60,62,64,66,68,70,72,74,76,78,80,85,90,95,100})</f>
        <v>95</v>
      </c>
      <c r="P486" s="4">
        <v>4.21</v>
      </c>
      <c r="Q486" s="4">
        <f t="shared" si="53"/>
        <v>5.79</v>
      </c>
      <c r="R486" s="32">
        <f>LOOKUP(Q486,{0,3.8,4,4.6,4.8,5,5.6,5.65,5.7,5.75,5.8,5.85,5.9,5.95,6,6.45,6.5,6.58,6.65,6.7,6.75},{0,10,20,30,40,50,60,62,64,66,68,70,72,74,76,78,80,85,90,95,100})</f>
        <v>66</v>
      </c>
      <c r="U486" s="4">
        <f t="shared" si="54"/>
        <v>66</v>
      </c>
      <c r="W486" s="5">
        <f t="shared" si="55"/>
        <v>47.8</v>
      </c>
      <c r="X486" s="20">
        <f t="shared" si="57"/>
        <v>68.2857142857143</v>
      </c>
    </row>
    <row r="487" ht="15.6" hidden="1" spans="1:24">
      <c r="A487" s="4">
        <v>201</v>
      </c>
      <c r="B487" s="24" t="s">
        <v>35</v>
      </c>
      <c r="C487" s="25" t="s">
        <v>11</v>
      </c>
      <c r="D487" s="4">
        <v>12.1</v>
      </c>
      <c r="E487" s="32">
        <f>LOOKUP(D487,{0,-2.9,-1.9,-0.9,0.1,1.1,2.1,3.5,4.9,6.3,7.7,9.1,10.5,11.9,13.3,14.7,16.1,18.3,20.5,22.4,24.3},{0,10,20,30,40,50,60,62,64,66,68,70,72,74,76,78,80,85,90,95,100})</f>
        <v>74</v>
      </c>
      <c r="F487" s="4">
        <v>216</v>
      </c>
      <c r="G487" s="32">
        <f>LOOKUP(F487,{0,175,180,185,190,195,200,204,208,212,216,220,224,228,232,236,240,248,255,260,265},{0,10,20,30,40,50,60,62,64,66,68,70,72,74,76,78,80,85,90,95,100})</f>
        <v>68</v>
      </c>
      <c r="H487" s="4">
        <v>0</v>
      </c>
      <c r="I487" s="32">
        <f>LOOKUP(H487,{0,3,4,5,6,7,8,9,10,11,12,13,14,15,16,17},{0,10,20,30,40,50,60,64,68,72,76,80,85,90,95,100})</f>
        <v>0</v>
      </c>
      <c r="L487" s="4">
        <f t="shared" si="52"/>
        <v>0</v>
      </c>
      <c r="O487" s="32"/>
      <c r="P487" s="4">
        <v>4.21</v>
      </c>
      <c r="Q487" s="4">
        <f t="shared" si="53"/>
        <v>5.79</v>
      </c>
      <c r="R487" s="32">
        <f>LOOKUP(Q487,{0,3.8,4,4.6,4.8,5,5.6,5.65,5.7,5.75,5.8,5.85,5.9,5.95,6,6.45,6.5,6.58,6.65,6.7,6.75},{0,10,20,30,40,50,60,62,64,66,68,70,72,74,76,78,80,85,90,95,100})</f>
        <v>66</v>
      </c>
      <c r="T487" s="35"/>
      <c r="U487" s="4">
        <f t="shared" si="54"/>
        <v>66</v>
      </c>
      <c r="W487" s="5">
        <f t="shared" si="55"/>
        <v>27.4</v>
      </c>
      <c r="X487" s="23">
        <v>50</v>
      </c>
    </row>
    <row r="488" ht="15.6" hidden="1" spans="1:24">
      <c r="A488" s="4">
        <v>214</v>
      </c>
      <c r="B488" s="24" t="s">
        <v>740</v>
      </c>
      <c r="C488" s="25" t="s">
        <v>11</v>
      </c>
      <c r="D488" s="4">
        <v>11</v>
      </c>
      <c r="E488" s="32">
        <f>LOOKUP(D488,{0,-2.9,-1.9,-0.9,0.1,1.1,2.1,3.5,4.9,6.3,7.7,9.1,10.5,11.9,13.3,14.7,16.1,18.3,20.5,22.4,24.3},{0,10,20,30,40,50,60,62,64,66,68,70,72,74,76,78,80,85,90,95,100})</f>
        <v>72</v>
      </c>
      <c r="F488" s="4">
        <v>237</v>
      </c>
      <c r="G488" s="32">
        <f>LOOKUP(F488,{0,175,180,185,190,195,200,204,208,212,216,220,224,228,232,236,240,248,255,260,265},{0,10,20,30,40,50,60,62,64,66,68,70,72,74,76,78,80,85,90,95,100})</f>
        <v>78</v>
      </c>
      <c r="H488" s="4">
        <v>8</v>
      </c>
      <c r="I488" s="32">
        <f>LOOKUP(H488,{0,3,4,5,6,7,8,9,10,11,12,13,14,15,16,17},{0,10,20,30,40,50,60,64,68,72,76,80,85,90,95,100})</f>
        <v>60</v>
      </c>
      <c r="L488" s="4">
        <f t="shared" si="52"/>
        <v>60</v>
      </c>
      <c r="M488" s="4">
        <v>7.2</v>
      </c>
      <c r="N488" s="4">
        <f t="shared" ref="N488:N507" si="58">12-M488</f>
        <v>4.8</v>
      </c>
      <c r="O488" s="32">
        <f>LOOKUP(N488,{0,1.6,1.8,2,2.2,2.4,2.6,2.8,3,3.2,3.4,3.6,3.8,4,4.2,4.4,4.6,4.7,4.8,4.9,5},{0,10,20,30,40,50,60,62,64,66,68,70,72,74,76,78,80,85,90,95,100})</f>
        <v>90</v>
      </c>
      <c r="P488" s="4">
        <v>4.22</v>
      </c>
      <c r="Q488" s="4">
        <f t="shared" si="53"/>
        <v>5.78</v>
      </c>
      <c r="R488" s="32">
        <f>LOOKUP(Q488,{0,3.8,4,4.6,4.8,5,5.6,5.65,5.7,5.75,5.8,5.85,5.9,5.95,6,6.45,6.5,6.58,6.65,6.7,6.75},{0,10,20,30,40,50,60,62,64,66,68,70,72,74,76,78,80,85,90,95,100})</f>
        <v>66</v>
      </c>
      <c r="T488" s="35"/>
      <c r="U488" s="4">
        <f t="shared" si="54"/>
        <v>66</v>
      </c>
      <c r="W488" s="5">
        <f t="shared" si="55"/>
        <v>52.2</v>
      </c>
      <c r="X488" s="20">
        <f t="shared" ref="X488:X506" si="59">W488/0.7+K488+T488</f>
        <v>74.5714285714286</v>
      </c>
    </row>
    <row r="489" ht="15.6" hidden="1" spans="1:24">
      <c r="A489" s="4">
        <v>212</v>
      </c>
      <c r="B489" s="24" t="s">
        <v>611</v>
      </c>
      <c r="C489" s="25" t="s">
        <v>11</v>
      </c>
      <c r="D489" s="4">
        <v>17.5</v>
      </c>
      <c r="E489" s="32">
        <f>LOOKUP(D489,{0,-2.9,-1.9,-0.9,0.1,1.1,2.1,3.5,4.9,6.3,7.7,9.1,10.5,11.9,13.3,14.7,16.1,18.3,20.5,22.4,24.3},{0,10,20,30,40,50,60,62,64,66,68,70,72,74,76,78,80,85,90,95,100})</f>
        <v>80</v>
      </c>
      <c r="F489" s="4">
        <v>252</v>
      </c>
      <c r="G489" s="32">
        <f>LOOKUP(F489,{0,175,180,185,190,195,200,204,208,212,216,220,224,228,232,236,240,248,255,260,265},{0,10,20,30,40,50,60,62,64,66,68,70,72,74,76,78,80,85,90,95,100})</f>
        <v>85</v>
      </c>
      <c r="H489" s="4">
        <v>20</v>
      </c>
      <c r="I489" s="32">
        <f>LOOKUP(H489,{0,3,4,5,6,7,8,9,10,11,12,13,14,15,16,17},{0,10,20,30,40,50,60,64,68,72,76,80,85,90,95,100})</f>
        <v>100</v>
      </c>
      <c r="J489" s="4">
        <f>H489-17</f>
        <v>3</v>
      </c>
      <c r="K489" s="32">
        <f>LOOKUP(J489,{0,1,2,3,4,5,6,7,8,9,10},{0,1,2,3,4,5,6,7,8,9,10})</f>
        <v>3</v>
      </c>
      <c r="L489" s="4">
        <f t="shared" si="52"/>
        <v>103</v>
      </c>
      <c r="M489" s="4">
        <v>7</v>
      </c>
      <c r="N489" s="4">
        <f t="shared" si="58"/>
        <v>5</v>
      </c>
      <c r="O489" s="32">
        <f>LOOKUP(N489,{0,1.6,1.8,2,2.2,2.4,2.6,2.8,3,3.2,3.4,3.6,3.8,4,4.2,4.4,4.6,4.7,4.8,4.9,5},{0,10,20,30,40,50,60,62,64,66,68,70,72,74,76,78,80,85,90,95,100})</f>
        <v>100</v>
      </c>
      <c r="P489" s="4">
        <v>4.24</v>
      </c>
      <c r="Q489" s="4">
        <f t="shared" si="53"/>
        <v>5.76</v>
      </c>
      <c r="R489" s="32">
        <f>LOOKUP(Q489,{0,3.8,4,4.6,4.8,5,5.6,5.65,5.7,5.75,5.8,5.85,5.9,5.95,6,6.45,6.5,6.58,6.65,6.7,6.75},{0,10,20,30,40,50,60,62,64,66,68,70,72,74,76,78,80,85,90,95,100})</f>
        <v>66</v>
      </c>
      <c r="U489" s="4">
        <f t="shared" si="54"/>
        <v>66</v>
      </c>
      <c r="W489" s="5">
        <f t="shared" si="55"/>
        <v>59.7</v>
      </c>
      <c r="X489" s="20">
        <f t="shared" si="59"/>
        <v>88.2857142857143</v>
      </c>
    </row>
    <row r="490" ht="15.6" hidden="1" spans="1:24">
      <c r="A490" s="4">
        <v>212</v>
      </c>
      <c r="B490" s="24" t="s">
        <v>637</v>
      </c>
      <c r="C490" s="25" t="s">
        <v>11</v>
      </c>
      <c r="D490" s="4">
        <v>6.8</v>
      </c>
      <c r="E490" s="32">
        <f>LOOKUP(D490,{0,-2.9,-1.9,-0.9,0.1,1.1,2.1,3.5,4.9,6.3,7.7,9.1,10.5,11.9,13.3,14.7,16.1,18.3,20.5,22.4,24.3},{0,10,20,30,40,50,60,62,64,66,68,70,72,74,76,78,80,85,90,95,100})</f>
        <v>66</v>
      </c>
      <c r="F490" s="4">
        <v>243</v>
      </c>
      <c r="G490" s="32">
        <f>LOOKUP(F490,{0,175,180,185,190,195,200,204,208,212,216,220,224,228,232,236,240,248,255,260,265},{0,10,20,30,40,50,60,62,64,66,68,70,72,74,76,78,80,85,90,95,100})</f>
        <v>80</v>
      </c>
      <c r="H490" s="4">
        <v>20</v>
      </c>
      <c r="I490" s="32">
        <f>LOOKUP(H490,{0,3,4,5,6,7,8,9,10,11,12,13,14,15,16,17},{0,10,20,30,40,50,60,64,68,72,76,80,85,90,95,100})</f>
        <v>100</v>
      </c>
      <c r="J490" s="4">
        <f>H490-17</f>
        <v>3</v>
      </c>
      <c r="K490" s="32">
        <f>LOOKUP(J490,{0,1,2,3,4,5,6,7,8,9,10},{0,1,2,3,4,5,6,7,8,9,10})</f>
        <v>3</v>
      </c>
      <c r="L490" s="4">
        <f t="shared" si="52"/>
        <v>103</v>
      </c>
      <c r="M490" s="4">
        <v>7.5</v>
      </c>
      <c r="N490" s="4">
        <f t="shared" si="58"/>
        <v>4.5</v>
      </c>
      <c r="O490" s="32">
        <f>LOOKUP(N490,{0,1.6,1.8,2,2.2,2.4,2.6,2.8,3,3.2,3.4,3.6,3.8,4,4.2,4.4,4.6,4.7,4.8,4.9,5},{0,10,20,30,40,50,60,62,64,66,68,70,72,74,76,78,80,85,90,95,100})</f>
        <v>78</v>
      </c>
      <c r="P490" s="4">
        <v>4.24</v>
      </c>
      <c r="Q490" s="4">
        <f t="shared" si="53"/>
        <v>5.76</v>
      </c>
      <c r="R490" s="32">
        <f>LOOKUP(Q490,{0,3.8,4,4.6,4.8,5,5.6,5.65,5.7,5.75,5.8,5.85,5.9,5.95,6,6.45,6.5,6.58,6.65,6.7,6.75},{0,10,20,30,40,50,60,62,64,66,68,70,72,74,76,78,80,85,90,95,100})</f>
        <v>66</v>
      </c>
      <c r="T490" s="35"/>
      <c r="U490" s="4">
        <f t="shared" si="54"/>
        <v>66</v>
      </c>
      <c r="W490" s="5">
        <f t="shared" si="55"/>
        <v>53.4</v>
      </c>
      <c r="X490" s="20">
        <f t="shared" si="59"/>
        <v>79.2857142857143</v>
      </c>
    </row>
    <row r="491" s="1" customFormat="1" ht="15.6" hidden="1" spans="1:24">
      <c r="A491" s="4">
        <v>215</v>
      </c>
      <c r="B491" s="24" t="s">
        <v>798</v>
      </c>
      <c r="C491" s="25" t="s">
        <v>11</v>
      </c>
      <c r="D491" s="4">
        <v>12</v>
      </c>
      <c r="E491" s="32">
        <f>LOOKUP(D491,{0,-2.9,-1.9,-0.9,0.1,1.1,2.1,3.5,4.9,6.3,7.7,9.1,10.5,11.9,13.3,14.7,16.1,18.3,20.5,22.4,24.3},{0,10,20,30,40,50,60,62,64,66,68,70,72,74,76,78,80,85,90,95,100})</f>
        <v>74</v>
      </c>
      <c r="F491" s="4">
        <v>225</v>
      </c>
      <c r="G491" s="32">
        <f>LOOKUP(F491,{0,175,180,185,190,195,200,204,208,212,216,220,224,228,232,236,240,248,255,260,265},{0,10,20,30,40,50,60,62,64,66,68,70,72,74,76,78,80,85,90,95,100})</f>
        <v>72</v>
      </c>
      <c r="H491" s="4">
        <v>1</v>
      </c>
      <c r="I491" s="32">
        <f>LOOKUP(H491,{0,3,4,5,6,7,8,9,10,11,12,13,14,15,16,17},{0,10,20,30,40,50,60,64,68,72,76,80,85,90,95,100})</f>
        <v>0</v>
      </c>
      <c r="J491" s="4"/>
      <c r="K491" s="4"/>
      <c r="L491" s="4">
        <f t="shared" si="52"/>
        <v>0</v>
      </c>
      <c r="M491" s="4">
        <v>7.5</v>
      </c>
      <c r="N491" s="4">
        <f t="shared" si="58"/>
        <v>4.5</v>
      </c>
      <c r="O491" s="32">
        <f>LOOKUP(N491,{0,1.6,1.8,2,2.2,2.4,2.6,2.8,3,3.2,3.4,3.6,3.8,4,4.2,4.4,4.6,4.7,4.8,4.9,5},{0,10,20,30,40,50,60,62,64,66,68,70,72,74,76,78,80,85,90,95,100})</f>
        <v>78</v>
      </c>
      <c r="P491" s="4">
        <v>4.24</v>
      </c>
      <c r="Q491" s="4">
        <f t="shared" si="53"/>
        <v>5.76</v>
      </c>
      <c r="R491" s="32">
        <f>LOOKUP(Q491,{0,3.8,4,4.6,4.8,5,5.6,5.65,5.7,5.75,5.8,5.85,5.9,5.95,6,6.45,6.5,6.58,6.65,6.7,6.75},{0,10,20,30,40,50,60,62,64,66,68,70,72,74,76,78,80,85,90,95,100})</f>
        <v>66</v>
      </c>
      <c r="S491" s="4"/>
      <c r="T491" s="4"/>
      <c r="U491" s="4">
        <f t="shared" si="54"/>
        <v>66</v>
      </c>
      <c r="V491" s="4"/>
      <c r="W491" s="5">
        <f t="shared" si="55"/>
        <v>43.4</v>
      </c>
      <c r="X491" s="20">
        <f t="shared" si="59"/>
        <v>62</v>
      </c>
    </row>
    <row r="492" s="30" customFormat="1" ht="15.6" spans="1:24">
      <c r="A492" s="40">
        <v>211</v>
      </c>
      <c r="B492" s="41" t="s">
        <v>555</v>
      </c>
      <c r="C492" s="42" t="s">
        <v>11</v>
      </c>
      <c r="D492" s="40">
        <v>17</v>
      </c>
      <c r="E492" s="43">
        <f>LOOKUP(D492,{0,-2.9,-1.9,-0.9,0.1,1.1,2.1,3.5,4.9,6.3,7.7,9.1,10.5,11.9,13.3,14.7,16.1,18.3,20.5,22.4,24.3},{0,10,20,30,40,50,60,62,64,66,68,70,72,74,76,78,80,85,90,95,100})</f>
        <v>80</v>
      </c>
      <c r="F492" s="40">
        <v>239</v>
      </c>
      <c r="G492" s="43">
        <f>LOOKUP(F492,{0,175,180,185,190,195,200,204,208,212,216,220,224,228,232,236,240,248,255,260,265},{0,10,20,30,40,50,60,62,64,66,68,70,72,74,76,78,80,85,90,95,100})</f>
        <v>78</v>
      </c>
      <c r="H492" s="40">
        <v>0</v>
      </c>
      <c r="I492" s="43">
        <f>LOOKUP(H492,{0,3,4,5,6,7,8,9,10,11,12,13,14,15,16,17},{0,10,20,30,40,50,60,64,68,72,76,80,85,90,95,100})</f>
        <v>0</v>
      </c>
      <c r="J492" s="40"/>
      <c r="K492" s="40"/>
      <c r="L492" s="40">
        <f t="shared" si="52"/>
        <v>0</v>
      </c>
      <c r="M492" s="40">
        <v>7.7</v>
      </c>
      <c r="N492" s="40">
        <f t="shared" si="58"/>
        <v>4.3</v>
      </c>
      <c r="O492" s="43">
        <f>LOOKUP(N492,{0,1.6,1.8,2,2.2,2.4,2.6,2.8,3,3.2,3.4,3.6,3.8,4,4.2,4.4,4.6,4.7,4.8,4.9,5},{0,10,20,30,40,50,60,62,64,66,68,70,72,74,76,78,80,85,90,95,100})</f>
        <v>76</v>
      </c>
      <c r="P492" s="45">
        <v>4.1</v>
      </c>
      <c r="Q492" s="40">
        <f t="shared" si="53"/>
        <v>5.9</v>
      </c>
      <c r="R492" s="43">
        <f>LOOKUP(Q492,{0,3.8,4,4.6,4.8,5,5.6,5.65,5.7,5.75,5.8,5.85,5.9,5.95,6,6.45,6.5,6.58,6.65,6.7,6.75},{0,10,20,30,40,50,60,62,64,66,68,70,72,74,76,78,80,85,90,95,100})</f>
        <v>72</v>
      </c>
      <c r="S492" s="40"/>
      <c r="T492" s="40"/>
      <c r="U492" s="40">
        <f t="shared" si="54"/>
        <v>72</v>
      </c>
      <c r="V492" s="40"/>
      <c r="W492" s="30">
        <f t="shared" si="55"/>
        <v>45.4</v>
      </c>
      <c r="X492" s="23">
        <f t="shared" si="59"/>
        <v>64.8571428571429</v>
      </c>
    </row>
    <row r="493" ht="15.6" hidden="1" spans="1:24">
      <c r="A493" s="4">
        <v>212</v>
      </c>
      <c r="B493" s="26" t="s">
        <v>639</v>
      </c>
      <c r="C493" s="26" t="s">
        <v>11</v>
      </c>
      <c r="D493" s="4">
        <v>15</v>
      </c>
      <c r="E493" s="32">
        <f>LOOKUP(D493,{0,-2.9,-1.9,-0.9,0.1,1.1,2.1,3.5,4.9,6.3,7.7,9.1,10.5,11.9,13.3,14.7,16.1,18.3,20.5,22.4,24.3},{0,10,20,30,40,50,60,62,64,66,68,70,72,74,76,78,80,85,90,95,100})</f>
        <v>78</v>
      </c>
      <c r="G493" s="32"/>
      <c r="H493" s="4">
        <v>3</v>
      </c>
      <c r="I493" s="32">
        <f>LOOKUP(H493,{0,3,4,5,6,7,8,9,10,11,12,13,14,15,16,17},{0,10,20,30,40,50,60,64,68,72,76,80,85,90,95,100})</f>
        <v>10</v>
      </c>
      <c r="L493" s="4">
        <f t="shared" si="52"/>
        <v>10</v>
      </c>
      <c r="M493" s="4">
        <v>7.6</v>
      </c>
      <c r="N493" s="4">
        <f t="shared" si="58"/>
        <v>4.4</v>
      </c>
      <c r="O493" s="32">
        <f>LOOKUP(N493,{0,1.6,1.8,2,2.2,2.4,2.6,2.8,3,3.2,3.4,3.6,3.8,4,4.2,4.4,4.6,4.7,4.8,4.9,5},{0,10,20,30,40,50,60,62,64,66,68,70,72,74,76,78,80,85,90,95,100})</f>
        <v>78</v>
      </c>
      <c r="P493" s="4">
        <v>4.25</v>
      </c>
      <c r="Q493" s="4">
        <f t="shared" si="53"/>
        <v>5.75</v>
      </c>
      <c r="R493" s="32">
        <f>LOOKUP(Q493,{0,3.8,4,4.6,4.8,5,5.6,5.65,5.7,5.75,5.8,5.85,5.9,5.95,6,6.45,6.5,6.58,6.65,6.7,6.75},{0,10,20,30,40,50,60,62,64,66,68,70,72,74,76,78,80,85,90,95,100})</f>
        <v>66</v>
      </c>
      <c r="U493" s="4">
        <f t="shared" si="54"/>
        <v>66</v>
      </c>
      <c r="W493" s="5">
        <f t="shared" si="55"/>
        <v>37.6</v>
      </c>
      <c r="X493" s="20">
        <f t="shared" si="59"/>
        <v>53.7142857142857</v>
      </c>
    </row>
    <row r="494" ht="15.6" hidden="1" spans="1:24">
      <c r="A494" s="4">
        <v>214</v>
      </c>
      <c r="B494" s="24" t="s">
        <v>732</v>
      </c>
      <c r="C494" s="25" t="s">
        <v>11</v>
      </c>
      <c r="D494" s="4">
        <v>3.7</v>
      </c>
      <c r="E494" s="32">
        <f>LOOKUP(D494,{0,-2.9,-1.9,-0.9,0.1,1.1,2.1,3.5,4.9,6.3,7.7,9.1,10.5,11.9,13.3,14.7,16.1,18.3,20.5,22.4,24.3},{0,10,20,30,40,50,60,62,64,66,68,70,72,74,76,78,80,85,90,95,100})</f>
        <v>62</v>
      </c>
      <c r="F494" s="4">
        <v>211</v>
      </c>
      <c r="G494" s="32">
        <f>LOOKUP(F494,{0,175,180,185,190,195,200,204,208,212,216,220,224,228,232,236,240,248,255,260,265},{0,10,20,30,40,50,60,62,64,66,68,70,72,74,76,78,80,85,90,95,100})</f>
        <v>64</v>
      </c>
      <c r="H494" s="4">
        <v>10</v>
      </c>
      <c r="I494" s="32">
        <f>LOOKUP(H494,{0,3,4,5,6,7,8,9,10,11,12,13,14,15,16,17},{0,10,20,30,40,50,60,64,68,72,76,80,85,90,95,100})</f>
        <v>68</v>
      </c>
      <c r="L494" s="4">
        <f t="shared" si="52"/>
        <v>68</v>
      </c>
      <c r="M494" s="4">
        <v>8</v>
      </c>
      <c r="N494" s="4">
        <f t="shared" si="58"/>
        <v>4</v>
      </c>
      <c r="O494" s="32">
        <f>LOOKUP(N494,{0,1.6,1.8,2,2.2,2.4,2.6,2.8,3,3.2,3.4,3.6,3.8,4,4.2,4.4,4.6,4.7,4.8,4.9,5},{0,10,20,30,40,50,60,62,64,66,68,70,72,74,76,78,80,85,90,95,100})</f>
        <v>74</v>
      </c>
      <c r="P494" s="4">
        <v>4.26</v>
      </c>
      <c r="Q494" s="4">
        <f t="shared" si="53"/>
        <v>5.74</v>
      </c>
      <c r="R494" s="32">
        <f>LOOKUP(Q494,{0,3.8,4,4.6,4.8,5,5.6,5.65,5.7,5.75,5.8,5.85,5.9,5.95,6,6.45,6.5,6.58,6.65,6.7,6.75},{0,10,20,30,40,50,60,62,64,66,68,70,72,74,76,78,80,85,90,95,100})</f>
        <v>64</v>
      </c>
      <c r="U494" s="4">
        <f t="shared" si="54"/>
        <v>64</v>
      </c>
      <c r="W494" s="5">
        <f t="shared" si="55"/>
        <v>47</v>
      </c>
      <c r="X494" s="20">
        <f t="shared" si="59"/>
        <v>67.1428571428572</v>
      </c>
    </row>
    <row r="495" ht="15.6" hidden="1" spans="1:24">
      <c r="A495" s="4">
        <v>209</v>
      </c>
      <c r="B495" s="24" t="s">
        <v>452</v>
      </c>
      <c r="C495" s="25" t="s">
        <v>11</v>
      </c>
      <c r="D495" s="4">
        <v>8.1</v>
      </c>
      <c r="E495" s="32">
        <f>LOOKUP(D495,{0,-2.9,-1.9,-0.9,0.1,1.1,2.1,3.5,4.9,6.3,7.7,9.1,10.5,11.9,13.3,14.7,16.1,18.3,20.5,22.4,24.3},{0,10,20,30,40,50,60,62,64,66,68,70,72,74,76,78,80,85,90,95,100})</f>
        <v>68</v>
      </c>
      <c r="F495" s="4">
        <v>197</v>
      </c>
      <c r="G495" s="32">
        <f>LOOKUP(F495,{0,175,180,185,190,195,200,204,208,212,216,220,224,228,232,236,240,248,255,260,265},{0,10,20,30,40,50,60,62,64,66,68,70,72,74,76,78,80,85,90,95,100})</f>
        <v>50</v>
      </c>
      <c r="H495" s="4">
        <v>0</v>
      </c>
      <c r="I495" s="32">
        <f>LOOKUP(H495,{0,3,4,5,6,7,8,9,10,11,12,13,14,15,16,17},{0,10,20,30,40,50,60,64,68,72,76,80,85,90,95,100})</f>
        <v>0</v>
      </c>
      <c r="L495" s="4">
        <f t="shared" si="52"/>
        <v>0</v>
      </c>
      <c r="M495" s="4">
        <v>8.2</v>
      </c>
      <c r="N495" s="4">
        <f t="shared" si="58"/>
        <v>3.8</v>
      </c>
      <c r="O495" s="32">
        <f>LOOKUP(N495,{0,1.6,1.8,2,2.2,2.4,2.6,2.8,3,3.2,3.4,3.6,3.8,4,4.2,4.4,4.6,4.7,4.8,4.9,5},{0,10,20,30,40,50,60,62,64,66,68,70,72,74,76,78,80,85,90,95,100})</f>
        <v>72</v>
      </c>
      <c r="P495" s="4">
        <v>4.26</v>
      </c>
      <c r="Q495" s="4">
        <f t="shared" si="53"/>
        <v>5.74</v>
      </c>
      <c r="R495" s="32">
        <f>LOOKUP(Q495,{0,3.8,4,4.6,4.8,5,5.6,5.65,5.7,5.75,5.8,5.85,5.9,5.95,6,6.45,6.5,6.58,6.65,6.7,6.75},{0,10,20,30,40,50,60,62,64,66,68,70,72,74,76,78,80,85,90,95,100})</f>
        <v>64</v>
      </c>
      <c r="U495" s="4">
        <f t="shared" si="54"/>
        <v>64</v>
      </c>
      <c r="W495" s="5">
        <f t="shared" si="55"/>
        <v>39</v>
      </c>
      <c r="X495" s="20">
        <f t="shared" si="59"/>
        <v>55.7142857142857</v>
      </c>
    </row>
    <row r="496" ht="15.6" hidden="1" spans="1:24">
      <c r="A496" s="4">
        <v>213</v>
      </c>
      <c r="B496" s="24" t="s">
        <v>672</v>
      </c>
      <c r="C496" s="25" t="s">
        <v>11</v>
      </c>
      <c r="D496" s="4">
        <v>10.3</v>
      </c>
      <c r="E496" s="32">
        <f>LOOKUP(D496,{0,-2.9,-1.9,-0.9,0.1,1.1,2.1,3.5,4.9,6.3,7.7,9.1,10.5,11.9,13.3,14.7,16.1,18.3,20.5,22.4,24.3},{0,10,20,30,40,50,60,62,64,66,68,70,72,74,76,78,80,85,90,95,100})</f>
        <v>70</v>
      </c>
      <c r="F496" s="4">
        <v>243</v>
      </c>
      <c r="G496" s="32">
        <f>LOOKUP(F496,{0,175,180,185,190,195,200,204,208,212,216,220,224,228,232,236,240,248,255,260,265},{0,10,20,30,40,50,60,62,64,66,68,70,72,74,76,78,80,85,90,95,100})</f>
        <v>80</v>
      </c>
      <c r="H496" s="4">
        <v>0</v>
      </c>
      <c r="I496" s="32">
        <f>LOOKUP(H496,{0,3,4,5,6,7,8,9,10,11,12,13,14,15,16,17},{0,10,20,30,40,50,60,64,68,72,76,80,85,90,95,100})</f>
        <v>0</v>
      </c>
      <c r="L496" s="4">
        <f t="shared" si="52"/>
        <v>0</v>
      </c>
      <c r="M496" s="4">
        <v>7.4</v>
      </c>
      <c r="N496" s="4">
        <f t="shared" si="58"/>
        <v>4.6</v>
      </c>
      <c r="O496" s="32">
        <f>LOOKUP(N496,{0,1.6,1.8,2,2.2,2.4,2.6,2.8,3,3.2,3.4,3.6,3.8,4,4.2,4.4,4.6,4.7,4.8,4.9,5},{0,10,20,30,40,50,60,62,64,66,68,70,72,74,76,78,80,85,90,95,100})</f>
        <v>80</v>
      </c>
      <c r="P496" s="4">
        <v>4.27</v>
      </c>
      <c r="Q496" s="4">
        <f t="shared" si="53"/>
        <v>5.73</v>
      </c>
      <c r="R496" s="32">
        <f>LOOKUP(Q496,{0,3.8,4,4.6,4.8,5,5.6,5.65,5.7,5.75,5.8,5.85,5.9,5.95,6,6.45,6.5,6.58,6.65,6.7,6.75},{0,10,20,30,40,50,60,62,64,66,68,70,72,74,76,78,80,85,90,95,100})</f>
        <v>64</v>
      </c>
      <c r="U496" s="4">
        <f t="shared" si="54"/>
        <v>64</v>
      </c>
      <c r="W496" s="5">
        <f t="shared" si="55"/>
        <v>43.8</v>
      </c>
      <c r="X496" s="20">
        <f t="shared" si="59"/>
        <v>62.5714285714286</v>
      </c>
    </row>
    <row r="497" ht="15.6" hidden="1" spans="1:24">
      <c r="A497" s="4">
        <v>212</v>
      </c>
      <c r="B497" s="24" t="s">
        <v>612</v>
      </c>
      <c r="C497" s="25" t="s">
        <v>11</v>
      </c>
      <c r="D497" s="4">
        <v>15</v>
      </c>
      <c r="E497" s="32">
        <f>LOOKUP(D497,{0,-2.9,-1.9,-0.9,0.1,1.1,2.1,3.5,4.9,6.3,7.7,9.1,10.5,11.9,13.3,14.7,16.1,18.3,20.5,22.4,24.3},{0,10,20,30,40,50,60,62,64,66,68,70,72,74,76,78,80,85,90,95,100})</f>
        <v>78</v>
      </c>
      <c r="F497" s="4">
        <v>247</v>
      </c>
      <c r="G497" s="32">
        <f>LOOKUP(F497,{0,175,180,185,190,195,200,204,208,212,216,220,224,228,232,236,240,248,255,260,265},{0,10,20,30,40,50,60,62,64,66,68,70,72,74,76,78,80,85,90,95,100})</f>
        <v>80</v>
      </c>
      <c r="H497" s="4">
        <v>1</v>
      </c>
      <c r="I497" s="32">
        <f>LOOKUP(H497,{0,3,4,5,6,7,8,9,10,11,12,13,14,15,16,17},{0,10,20,30,40,50,60,64,68,72,76,80,85,90,95,100})</f>
        <v>0</v>
      </c>
      <c r="L497" s="4">
        <f t="shared" si="52"/>
        <v>0</v>
      </c>
      <c r="M497" s="4">
        <v>7.5</v>
      </c>
      <c r="N497" s="4">
        <f t="shared" si="58"/>
        <v>4.5</v>
      </c>
      <c r="O497" s="32">
        <f>LOOKUP(N497,{0,1.6,1.8,2,2.2,2.4,2.6,2.8,3,3.2,3.4,3.6,3.8,4,4.2,4.4,4.6,4.7,4.8,4.9,5},{0,10,20,30,40,50,60,62,64,66,68,70,72,74,76,78,80,85,90,95,100})</f>
        <v>78</v>
      </c>
      <c r="P497" s="4">
        <v>4.29</v>
      </c>
      <c r="Q497" s="4">
        <f t="shared" si="53"/>
        <v>5.71</v>
      </c>
      <c r="R497" s="32">
        <f>LOOKUP(Q497,{0,3.8,4,4.6,4.8,5,5.6,5.65,5.7,5.75,5.8,5.85,5.9,5.95,6,6.45,6.5,6.58,6.65,6.7,6.75},{0,10,20,30,40,50,60,62,64,66,68,70,72,74,76,78,80,85,90,95,100})</f>
        <v>64</v>
      </c>
      <c r="U497" s="4">
        <f t="shared" si="54"/>
        <v>64</v>
      </c>
      <c r="W497" s="5">
        <f t="shared" si="55"/>
        <v>44.2</v>
      </c>
      <c r="X497" s="20">
        <f t="shared" si="59"/>
        <v>63.1428571428572</v>
      </c>
    </row>
    <row r="498" ht="15.6" hidden="1" spans="1:24">
      <c r="A498" s="4">
        <v>209</v>
      </c>
      <c r="B498" s="24" t="s">
        <v>476</v>
      </c>
      <c r="C498" s="25" t="s">
        <v>11</v>
      </c>
      <c r="D498" s="4">
        <v>12.9</v>
      </c>
      <c r="E498" s="32">
        <f>LOOKUP(D498,{0,-2.9,-1.9,-0.9,0.1,1.1,2.1,3.5,4.9,6.3,7.7,9.1,10.5,11.9,13.3,14.7,16.1,18.3,20.5,22.4,24.3},{0,10,20,30,40,50,60,62,64,66,68,70,72,74,76,78,80,85,90,95,100})</f>
        <v>74</v>
      </c>
      <c r="F498" s="4">
        <v>205</v>
      </c>
      <c r="G498" s="32">
        <f>LOOKUP(F498,{0,175,180,185,190,195,200,204,208,212,216,220,224,228,232,236,240,248,255,260,265},{0,10,20,30,40,50,60,62,64,66,68,70,72,74,76,78,80,85,90,95,100})</f>
        <v>62</v>
      </c>
      <c r="H498" s="4">
        <v>0</v>
      </c>
      <c r="I498" s="32">
        <f>LOOKUP(H498,{0,3,4,5,6,7,8,9,10,11,12,13,14,15,16,17},{0,10,20,30,40,50,60,64,68,72,76,80,85,90,95,100})</f>
        <v>0</v>
      </c>
      <c r="L498" s="4">
        <f t="shared" si="52"/>
        <v>0</v>
      </c>
      <c r="M498" s="4">
        <v>7.9</v>
      </c>
      <c r="N498" s="4">
        <f t="shared" si="58"/>
        <v>4.1</v>
      </c>
      <c r="O498" s="32">
        <f>LOOKUP(N498,{0,1.6,1.8,2,2.2,2.4,2.6,2.8,3,3.2,3.4,3.6,3.8,4,4.2,4.4,4.6,4.7,4.8,4.9,5},{0,10,20,30,40,50,60,62,64,66,68,70,72,74,76,78,80,85,90,95,100})</f>
        <v>74</v>
      </c>
      <c r="P498" s="4">
        <v>4.32</v>
      </c>
      <c r="Q498" s="4">
        <f t="shared" si="53"/>
        <v>5.68</v>
      </c>
      <c r="R498" s="32">
        <f>LOOKUP(Q498,{0,3.8,4,4.6,4.8,5,5.6,5.65,5.7,5.75,5.8,5.85,5.9,5.95,6,6.45,6.5,6.58,6.65,6.7,6.75},{0,10,20,30,40,50,60,62,64,66,68,70,72,74,76,78,80,85,90,95,100})</f>
        <v>62</v>
      </c>
      <c r="U498" s="4">
        <f t="shared" si="54"/>
        <v>62</v>
      </c>
      <c r="W498" s="5">
        <f t="shared" si="55"/>
        <v>40.8</v>
      </c>
      <c r="X498" s="20">
        <f t="shared" si="59"/>
        <v>58.2857142857143</v>
      </c>
    </row>
    <row r="499" ht="15.6" spans="1:24">
      <c r="A499" s="4">
        <v>211</v>
      </c>
      <c r="B499" s="24" t="s">
        <v>567</v>
      </c>
      <c r="C499" s="25" t="s">
        <v>11</v>
      </c>
      <c r="D499" s="4">
        <v>19</v>
      </c>
      <c r="E499" s="32">
        <f>LOOKUP(D499,{0,-2.9,-1.9,-0.9,0.1,1.1,2.1,3.5,4.9,6.3,7.7,9.1,10.5,11.9,13.3,14.7,16.1,18.3,20.5,22.4,24.3},{0,10,20,30,40,50,60,62,64,66,68,70,72,74,76,78,80,85,90,95,100})</f>
        <v>85</v>
      </c>
      <c r="F499" s="4">
        <v>218</v>
      </c>
      <c r="G499" s="32">
        <f>LOOKUP(F499,{0,175,180,185,190,195,200,204,208,212,216,220,224,228,232,236,240,248,255,260,265},{0,10,20,30,40,50,60,62,64,66,68,70,72,74,76,78,80,85,90,95,100})</f>
        <v>68</v>
      </c>
      <c r="H499" s="4">
        <v>0</v>
      </c>
      <c r="I499" s="32">
        <f>LOOKUP(H499,{0,3,4,5,6,7,8,9,10,11,12,13,14,15,16,17},{0,10,20,30,40,50,60,64,68,72,76,80,85,90,95,100})</f>
        <v>0</v>
      </c>
      <c r="L499" s="4">
        <f t="shared" si="52"/>
        <v>0</v>
      </c>
      <c r="M499" s="4">
        <v>8.2</v>
      </c>
      <c r="N499" s="4">
        <f t="shared" si="58"/>
        <v>3.8</v>
      </c>
      <c r="O499" s="32">
        <f>LOOKUP(N499,{0,1.6,1.8,2,2.2,2.4,2.6,2.8,3,3.2,3.4,3.6,3.8,4,4.2,4.4,4.6,4.7,4.8,4.9,5},{0,10,20,30,40,50,60,62,64,66,68,70,72,74,76,78,80,85,90,95,100})</f>
        <v>72</v>
      </c>
      <c r="P499" s="4">
        <v>4.34</v>
      </c>
      <c r="Q499" s="4">
        <f t="shared" si="53"/>
        <v>5.66</v>
      </c>
      <c r="R499" s="32">
        <f>LOOKUP(Q499,{0,3.8,4,4.6,4.8,5,5.6,5.65,5.7,5.75,5.8,5.85,5.9,5.95,6,6.45,6.5,6.58,6.65,6.7,6.75},{0,10,20,30,40,50,60,62,64,66,68,70,72,74,76,78,80,85,90,95,100})</f>
        <v>62</v>
      </c>
      <c r="U499" s="4">
        <f t="shared" si="54"/>
        <v>62</v>
      </c>
      <c r="W499" s="5">
        <f t="shared" si="55"/>
        <v>42.1</v>
      </c>
      <c r="X499" s="20">
        <f t="shared" si="59"/>
        <v>60.1428571428571</v>
      </c>
    </row>
    <row r="500" ht="15.6" hidden="1" spans="1:24">
      <c r="A500" s="4">
        <v>210</v>
      </c>
      <c r="B500" s="24" t="s">
        <v>513</v>
      </c>
      <c r="C500" s="25" t="s">
        <v>11</v>
      </c>
      <c r="D500" s="4">
        <v>15.4</v>
      </c>
      <c r="E500" s="32">
        <f>LOOKUP(D500,{0,-2.9,-1.9,-0.9,0.1,1.1,2.1,3.5,4.9,6.3,7.7,9.1,10.5,11.9,13.3,14.7,16.1,18.3,20.5,22.4,24.3},{0,10,20,30,40,50,60,62,64,66,68,70,72,74,76,78,80,85,90,95,100})</f>
        <v>78</v>
      </c>
      <c r="F500" s="4">
        <v>195</v>
      </c>
      <c r="G500" s="32">
        <f>LOOKUP(F500,{0,175,180,185,190,195,200,204,208,212,216,220,224,228,232,236,240,248,255,260,265},{0,10,20,30,40,50,60,62,64,66,68,70,72,74,76,78,80,85,90,95,100})</f>
        <v>50</v>
      </c>
      <c r="H500" s="4">
        <v>1</v>
      </c>
      <c r="I500" s="32">
        <f>LOOKUP(H500,{0,3,4,5,6,7,8,9,10,11,12,13,14,15,16,17},{0,10,20,30,40,50,60,64,68,72,76,80,85,90,95,100})</f>
        <v>0</v>
      </c>
      <c r="L500" s="4">
        <f t="shared" si="52"/>
        <v>0</v>
      </c>
      <c r="M500" s="4">
        <v>7.8</v>
      </c>
      <c r="N500" s="4">
        <f t="shared" si="58"/>
        <v>4.2</v>
      </c>
      <c r="O500" s="32">
        <f>LOOKUP(N500,{0,1.6,1.8,2,2.2,2.4,2.6,2.8,3,3.2,3.4,3.6,3.8,4,4.2,4.4,4.6,4.7,4.8,4.9,5},{0,10,20,30,40,50,60,62,64,66,68,70,72,74,76,78,80,85,90,95,100})</f>
        <v>76</v>
      </c>
      <c r="P500" s="4">
        <v>4.35</v>
      </c>
      <c r="Q500" s="4">
        <f t="shared" si="53"/>
        <v>5.65</v>
      </c>
      <c r="R500" s="32">
        <f>LOOKUP(Q500,{0,3.8,4,4.6,4.8,5,5.6,5.65,5.7,5.75,5.8,5.85,5.9,5.95,6,6.45,6.5,6.58,6.65,6.7,6.75},{0,10,20,30,40,50,60,62,64,66,68,70,72,74,76,78,80,85,90,95,100})</f>
        <v>62</v>
      </c>
      <c r="U500" s="4">
        <f t="shared" si="54"/>
        <v>62</v>
      </c>
      <c r="W500" s="5">
        <f t="shared" si="55"/>
        <v>40.4</v>
      </c>
      <c r="X500" s="20">
        <f t="shared" si="59"/>
        <v>57.7142857142857</v>
      </c>
    </row>
    <row r="501" ht="15.6" hidden="1" spans="1:24">
      <c r="A501" s="4">
        <v>206</v>
      </c>
      <c r="B501" s="24" t="s">
        <v>283</v>
      </c>
      <c r="C501" s="25" t="s">
        <v>11</v>
      </c>
      <c r="D501" s="4">
        <v>14.9</v>
      </c>
      <c r="E501" s="32">
        <f>LOOKUP(D501,{0,-2.9,-1.9,-0.9,0.1,1.1,2.1,3.5,4.9,6.3,7.7,9.1,10.5,11.9,13.3,14.7,16.1,18.3,20.5,22.4,24.3},{0,10,20,30,40,50,60,62,64,66,68,70,72,74,76,78,80,85,90,95,100})</f>
        <v>78</v>
      </c>
      <c r="F501" s="4">
        <v>208</v>
      </c>
      <c r="G501" s="32">
        <f>LOOKUP(F501,{0,175,180,185,190,195,200,204,208,212,216,220,224,228,232,236,240,248,255,260,265},{0,10,20,30,40,50,60,62,64,66,68,70,72,74,76,78,80,85,90,95,100})</f>
        <v>64</v>
      </c>
      <c r="H501" s="4">
        <v>2</v>
      </c>
      <c r="I501" s="32">
        <f>LOOKUP(H501,{0,3,4,5,6,7,8,9,10,11,12,13,14,15,16,17},{0,10,20,30,40,50,60,64,68,72,76,80,85,90,95,100})</f>
        <v>0</v>
      </c>
      <c r="L501" s="4">
        <f t="shared" si="52"/>
        <v>0</v>
      </c>
      <c r="M501" s="4">
        <v>8.2</v>
      </c>
      <c r="N501" s="4">
        <f t="shared" si="58"/>
        <v>3.8</v>
      </c>
      <c r="O501" s="32">
        <f>LOOKUP(N501,{0,1.6,1.8,2,2.2,2.4,2.6,2.8,3,3.2,3.4,3.6,3.8,4,4.2,4.4,4.6,4.7,4.8,4.9,5},{0,10,20,30,40,50,60,62,64,66,68,70,72,74,76,78,80,85,90,95,100})</f>
        <v>72</v>
      </c>
      <c r="P501" s="4">
        <v>4.35</v>
      </c>
      <c r="Q501" s="4">
        <f t="shared" si="53"/>
        <v>5.65</v>
      </c>
      <c r="R501" s="32">
        <f>LOOKUP(Q501,{0,3.8,4,4.6,4.8,5,5.6,5.65,5.7,5.75,5.8,5.85,5.9,5.95,6,6.45,6.5,6.58,6.65,6.7,6.75},{0,10,20,30,40,50,60,62,64,66,68,70,72,74,76,78,80,85,90,95,100})</f>
        <v>62</v>
      </c>
      <c r="U501" s="4">
        <f t="shared" si="54"/>
        <v>62</v>
      </c>
      <c r="W501" s="5">
        <f t="shared" si="55"/>
        <v>41</v>
      </c>
      <c r="X501" s="20">
        <f t="shared" si="59"/>
        <v>58.5714285714286</v>
      </c>
    </row>
    <row r="502" ht="15.6" hidden="1" spans="1:24">
      <c r="A502" s="4">
        <v>205</v>
      </c>
      <c r="B502" s="24" t="s">
        <v>225</v>
      </c>
      <c r="C502" s="25" t="s">
        <v>11</v>
      </c>
      <c r="D502" s="4">
        <v>10</v>
      </c>
      <c r="E502" s="32">
        <f>LOOKUP(D502,{0,-2.9,-1.9,-0.9,0.1,1.1,2.1,3.5,4.9,6.3,7.7,9.1,10.5,11.9,13.3,14.7,16.1,18.3,20.5,22.4,24.3},{0,10,20,30,40,50,60,62,64,66,68,70,72,74,76,78,80,85,90,95,100})</f>
        <v>70</v>
      </c>
      <c r="F502" s="4">
        <v>190</v>
      </c>
      <c r="G502" s="32">
        <f>LOOKUP(F502,{0,175,180,185,190,195,200,204,208,212,216,220,224,228,232,236,240,248,255,260,265},{0,10,20,30,40,50,60,62,64,66,68,70,72,74,76,78,80,85,90,95,100})</f>
        <v>40</v>
      </c>
      <c r="H502" s="4">
        <v>1</v>
      </c>
      <c r="I502" s="32">
        <f>LOOKUP(H502,{0,3,4,5,6,7,8,9,10,11,12,13,14,15,16,17},{0,10,20,30,40,50,60,64,68,72,76,80,85,90,95,100})</f>
        <v>0</v>
      </c>
      <c r="L502" s="4">
        <f t="shared" si="52"/>
        <v>0</v>
      </c>
      <c r="M502" s="4">
        <v>8</v>
      </c>
      <c r="N502" s="4">
        <f t="shared" si="58"/>
        <v>4</v>
      </c>
      <c r="O502" s="32">
        <f>LOOKUP(N502,{0,1.6,1.8,2,2.2,2.4,2.6,2.8,3,3.2,3.4,3.6,3.8,4,4.2,4.4,4.6,4.7,4.8,4.9,5},{0,10,20,30,40,50,60,62,64,66,68,70,72,74,76,78,80,85,90,95,100})</f>
        <v>74</v>
      </c>
      <c r="P502" s="4">
        <v>4.36</v>
      </c>
      <c r="Q502" s="4">
        <f t="shared" si="53"/>
        <v>5.64</v>
      </c>
      <c r="R502" s="32">
        <f>LOOKUP(Q502,{0,3.8,4,4.6,4.8,5,5.6,5.65,5.7,5.75,5.8,5.85,5.9,5.95,6,6.45,6.5,6.58,6.65,6.7,6.75},{0,10,20,30,40,50,60,62,64,66,68,70,72,74,76,78,80,85,90,95,100})</f>
        <v>60</v>
      </c>
      <c r="U502" s="4">
        <f t="shared" si="54"/>
        <v>60</v>
      </c>
      <c r="W502" s="5">
        <f t="shared" si="55"/>
        <v>37.8</v>
      </c>
      <c r="X502" s="20">
        <f t="shared" si="59"/>
        <v>54</v>
      </c>
    </row>
    <row r="503" ht="15.6" hidden="1" spans="1:24">
      <c r="A503" s="4">
        <v>206</v>
      </c>
      <c r="B503" s="24" t="s">
        <v>281</v>
      </c>
      <c r="C503" s="25" t="s">
        <v>11</v>
      </c>
      <c r="D503" s="4">
        <v>9.9</v>
      </c>
      <c r="E503" s="32">
        <f>LOOKUP(D503,{0,-2.9,-1.9,-0.9,0.1,1.1,2.1,3.5,4.9,6.3,7.7,9.1,10.5,11.9,13.3,14.7,16.1,18.3,20.5,22.4,24.3},{0,10,20,30,40,50,60,62,64,66,68,70,72,74,76,78,80,85,90,95,100})</f>
        <v>70</v>
      </c>
      <c r="F503" s="4">
        <v>172</v>
      </c>
      <c r="G503" s="32">
        <f>LOOKUP(F503,{0,175,180,185,190,195,200,204,208,212,216,220,224,228,232,236,240,248,255,260,265},{0,10,20,30,40,50,60,62,64,66,68,70,72,74,76,78,80,85,90,95,100})</f>
        <v>0</v>
      </c>
      <c r="H503" s="4">
        <v>0</v>
      </c>
      <c r="I503" s="32">
        <f>LOOKUP(H503,{0,3,4,5,6,7,8,9,10,11,12,13,14,15,16,17},{0,10,20,30,40,50,60,64,68,72,76,80,85,90,95,100})</f>
        <v>0</v>
      </c>
      <c r="L503" s="4">
        <f t="shared" si="52"/>
        <v>0</v>
      </c>
      <c r="M503" s="4">
        <v>9.4</v>
      </c>
      <c r="N503" s="4">
        <f t="shared" si="58"/>
        <v>2.6</v>
      </c>
      <c r="O503" s="32">
        <f>LOOKUP(N503,{0,1.6,1.8,2,2.2,2.4,2.6,2.8,3,3.2,3.4,3.6,3.8,4,4.2,4.4,4.6,4.7,4.8,4.9,5},{0,10,20,30,40,50,60,62,64,66,68,70,72,74,76,78,80,85,90,95,100})</f>
        <v>60</v>
      </c>
      <c r="P503" s="4">
        <v>4.36</v>
      </c>
      <c r="Q503" s="4">
        <f t="shared" si="53"/>
        <v>5.64</v>
      </c>
      <c r="R503" s="32">
        <f>LOOKUP(Q503,{0,3.8,4,4.6,4.8,5,5.6,5.65,5.7,5.75,5.8,5.85,5.9,5.95,6,6.45,6.5,6.58,6.65,6.7,6.75},{0,10,20,30,40,50,60,62,64,66,68,70,72,74,76,78,80,85,90,95,100})</f>
        <v>60</v>
      </c>
      <c r="U503" s="4">
        <f t="shared" si="54"/>
        <v>60</v>
      </c>
      <c r="W503" s="5">
        <f t="shared" si="55"/>
        <v>31</v>
      </c>
      <c r="X503" s="20">
        <f t="shared" si="59"/>
        <v>44.2857142857143</v>
      </c>
    </row>
    <row r="504" ht="15.6" hidden="1" spans="1:24">
      <c r="A504" s="4">
        <v>208</v>
      </c>
      <c r="B504" s="24" t="s">
        <v>413</v>
      </c>
      <c r="C504" s="25" t="s">
        <v>11</v>
      </c>
      <c r="D504" s="4">
        <v>2.6</v>
      </c>
      <c r="E504" s="32">
        <f>LOOKUP(D504,{0,-2.9,-1.9,-0.9,0.1,1.1,2.1,3.5,4.9,6.3,7.7,9.1,10.5,11.9,13.3,14.7,16.1,18.3,20.5,22.4,24.3},{0,10,20,30,40,50,60,62,64,66,68,70,72,74,76,78,80,85,90,95,100})</f>
        <v>60</v>
      </c>
      <c r="F504" s="4">
        <v>267</v>
      </c>
      <c r="G504" s="32">
        <f>LOOKUP(F504,{0,175,180,185,190,195,200,204,208,212,216,220,224,228,232,236,240,248,255,260,265},{0,10,20,30,40,50,60,62,64,66,68,70,72,74,76,78,80,85,90,95,100})</f>
        <v>100</v>
      </c>
      <c r="H504" s="4">
        <v>17</v>
      </c>
      <c r="I504" s="32">
        <f>LOOKUP(H504,{0,3,4,5,6,7,8,9,10,11,12,13,14,15,16,17},{0,10,20,30,40,50,60,64,68,72,76,80,85,90,95,100})</f>
        <v>100</v>
      </c>
      <c r="J504" s="4">
        <f>H504-17</f>
        <v>0</v>
      </c>
      <c r="K504" s="32">
        <f>LOOKUP(J504,{0,1,2,3,4,5,6,7,8,9,10},{0,1,2,3,4,5,6,7,8,9,10})</f>
        <v>0</v>
      </c>
      <c r="L504" s="4">
        <f t="shared" si="52"/>
        <v>100</v>
      </c>
      <c r="M504" s="4">
        <v>6.8</v>
      </c>
      <c r="N504" s="4">
        <f t="shared" si="58"/>
        <v>5.2</v>
      </c>
      <c r="O504" s="32">
        <f>LOOKUP(N504,{0,1.6,1.8,2,2.2,2.4,2.6,2.8,3,3.2,3.4,3.6,3.8,4,4.2,4.4,4.6,4.7,4.8,4.9,5},{0,10,20,30,40,50,60,62,64,66,68,70,72,74,76,78,80,85,90,95,100})</f>
        <v>100</v>
      </c>
      <c r="P504" s="4">
        <v>4.38</v>
      </c>
      <c r="Q504" s="4">
        <f t="shared" si="53"/>
        <v>5.62</v>
      </c>
      <c r="R504" s="32">
        <f>LOOKUP(Q504,{0,3.8,4,4.6,4.8,5,5.6,5.65,5.7,5.75,5.8,5.85,5.9,5.95,6,6.45,6.5,6.58,6.65,6.7,6.75},{0,10,20,30,40,50,60,62,64,66,68,70,72,74,76,78,80,85,90,95,100})</f>
        <v>60</v>
      </c>
      <c r="U504" s="4">
        <f t="shared" si="54"/>
        <v>60</v>
      </c>
      <c r="W504" s="5">
        <f t="shared" si="55"/>
        <v>58</v>
      </c>
      <c r="X504" s="20">
        <f t="shared" si="59"/>
        <v>82.8571428571429</v>
      </c>
    </row>
    <row r="505" ht="15.6" hidden="1" spans="1:24">
      <c r="A505" s="4">
        <v>205</v>
      </c>
      <c r="B505" s="24" t="s">
        <v>219</v>
      </c>
      <c r="C505" s="25" t="s">
        <v>11</v>
      </c>
      <c r="D505" s="4">
        <v>2.3</v>
      </c>
      <c r="E505" s="32">
        <f>LOOKUP(D505,{0,-2.9,-1.9,-0.9,0.1,1.1,2.1,3.5,4.9,6.3,7.7,9.1,10.5,11.9,13.3,14.7,16.1,18.3,20.5,22.4,24.3},{0,10,20,30,40,50,60,62,64,66,68,70,72,74,76,78,80,85,90,95,100})</f>
        <v>60</v>
      </c>
      <c r="F505" s="4">
        <v>220</v>
      </c>
      <c r="G505" s="32">
        <f>LOOKUP(F505,{0,175,180,185,190,195,200,204,208,212,216,220,224,228,232,236,240,248,255,260,265},{0,10,20,30,40,50,60,62,64,66,68,70,72,74,76,78,80,85,90,95,100})</f>
        <v>70</v>
      </c>
      <c r="H505" s="4">
        <v>0</v>
      </c>
      <c r="I505" s="32">
        <f>LOOKUP(H505,{0,3,4,5,6,7,8,9,10,11,12,13,14,15,16,17},{0,10,20,30,40,50,60,64,68,72,76,80,85,90,95,100})</f>
        <v>0</v>
      </c>
      <c r="L505" s="4">
        <f t="shared" si="52"/>
        <v>0</v>
      </c>
      <c r="M505" s="4">
        <v>7.7</v>
      </c>
      <c r="N505" s="4">
        <f t="shared" si="58"/>
        <v>4.3</v>
      </c>
      <c r="O505" s="32">
        <f>LOOKUP(N505,{0,1.6,1.8,2,2.2,2.4,2.6,2.8,3,3.2,3.4,3.6,3.8,4,4.2,4.4,4.6,4.7,4.8,4.9,5},{0,10,20,30,40,50,60,62,64,66,68,70,72,74,76,78,80,85,90,95,100})</f>
        <v>76</v>
      </c>
      <c r="P505" s="4">
        <v>4.38</v>
      </c>
      <c r="Q505" s="4">
        <f t="shared" si="53"/>
        <v>5.62</v>
      </c>
      <c r="R505" s="32">
        <f>LOOKUP(Q505,{0,3.8,4,4.6,4.8,5,5.6,5.65,5.7,5.75,5.8,5.85,5.9,5.95,6,6.45,6.5,6.58,6.65,6.7,6.75},{0,10,20,30,40,50,60,62,64,66,68,70,72,74,76,78,80,85,90,95,100})</f>
        <v>60</v>
      </c>
      <c r="U505" s="4">
        <f t="shared" si="54"/>
        <v>60</v>
      </c>
      <c r="W505" s="5">
        <f t="shared" si="55"/>
        <v>40.2</v>
      </c>
      <c r="X505" s="20">
        <f t="shared" si="59"/>
        <v>57.4285714285714</v>
      </c>
    </row>
    <row r="506" ht="15.6" hidden="1" spans="1:24">
      <c r="A506" s="4">
        <v>206</v>
      </c>
      <c r="B506" s="24" t="s">
        <v>271</v>
      </c>
      <c r="C506" s="25" t="s">
        <v>11</v>
      </c>
      <c r="D506" s="4">
        <v>18</v>
      </c>
      <c r="E506" s="32">
        <f>LOOKUP(D506,{0,-2.9,-1.9,-0.9,0.1,1.1,2.1,3.5,4.9,6.3,7.7,9.1,10.5,11.9,13.3,14.7,16.1,18.3,20.5,22.4,24.3},{0,10,20,30,40,50,60,62,64,66,68,70,72,74,76,78,80,85,90,95,100})</f>
        <v>80</v>
      </c>
      <c r="F506" s="4">
        <v>260</v>
      </c>
      <c r="G506" s="32">
        <f>LOOKUP(F506,{0,175,180,185,190,195,200,204,208,212,216,220,224,228,232,236,240,248,255,260,265},{0,10,20,30,40,50,60,62,64,66,68,70,72,74,76,78,80,85,90,95,100})</f>
        <v>95</v>
      </c>
      <c r="H506" s="4">
        <v>20</v>
      </c>
      <c r="I506" s="32">
        <f>LOOKUP(H506,{0,3,4,5,6,7,8,9,10,11,12,13,14,15,16,17},{0,10,20,30,40,50,60,64,68,72,76,80,85,90,95,100})</f>
        <v>100</v>
      </c>
      <c r="J506" s="4">
        <f>H506-17</f>
        <v>3</v>
      </c>
      <c r="K506" s="32">
        <f>LOOKUP(J506,{0,1,2,3,4,5,6,7,8,9,10},{0,1,2,3,4,5,6,7,8,9,10})</f>
        <v>3</v>
      </c>
      <c r="L506" s="4">
        <f t="shared" si="52"/>
        <v>103</v>
      </c>
      <c r="M506" s="4">
        <v>7.2</v>
      </c>
      <c r="N506" s="4">
        <f t="shared" si="58"/>
        <v>4.8</v>
      </c>
      <c r="O506" s="32">
        <f>LOOKUP(N506,{0,1.6,1.8,2,2.2,2.4,2.6,2.8,3,3.2,3.4,3.6,3.8,4,4.2,4.4,4.6,4.7,4.8,4.9,5},{0,10,20,30,40,50,60,62,64,66,68,70,72,74,76,78,80,85,90,95,100})</f>
        <v>90</v>
      </c>
      <c r="P506" s="4">
        <v>4.39</v>
      </c>
      <c r="Q506" s="4">
        <f t="shared" si="53"/>
        <v>5.61</v>
      </c>
      <c r="R506" s="32">
        <f>LOOKUP(Q506,{0,3.8,4,4.6,4.8,5,5.6,5.65,5.7,5.75,5.8,5.85,5.9,5.95,6,6.45,6.5,6.58,6.65,6.7,6.75},{0,10,20,30,40,50,60,62,64,66,68,70,72,74,76,78,80,85,90,95,100})</f>
        <v>60</v>
      </c>
      <c r="U506" s="4">
        <f t="shared" si="54"/>
        <v>60</v>
      </c>
      <c r="W506" s="5">
        <f t="shared" si="55"/>
        <v>57.5</v>
      </c>
      <c r="X506" s="20">
        <f t="shared" si="59"/>
        <v>85.1428571428572</v>
      </c>
    </row>
    <row r="507" ht="15.6" hidden="1" spans="1:24">
      <c r="A507" s="4">
        <v>205</v>
      </c>
      <c r="B507" s="24" t="s">
        <v>244</v>
      </c>
      <c r="C507" s="25" t="s">
        <v>11</v>
      </c>
      <c r="E507" s="32"/>
      <c r="F507" s="4">
        <v>214</v>
      </c>
      <c r="G507" s="32">
        <f>LOOKUP(F507,{0,175,180,185,190,195,200,204,208,212,216,220,224,228,232,236,240,248,255,260,265},{0,10,20,30,40,50,60,62,64,66,68,70,72,74,76,78,80,85,90,95,100})</f>
        <v>66</v>
      </c>
      <c r="H507" s="4">
        <v>2</v>
      </c>
      <c r="I507" s="32">
        <f>LOOKUP(H507,{0,3,4,5,6,7,8,9,10,11,12,13,14,15,16,17},{0,10,20,30,40,50,60,64,68,72,76,80,85,90,95,100})</f>
        <v>0</v>
      </c>
      <c r="L507" s="4">
        <f t="shared" si="52"/>
        <v>0</v>
      </c>
      <c r="M507" s="4">
        <v>7.7</v>
      </c>
      <c r="N507" s="4">
        <f t="shared" si="58"/>
        <v>4.3</v>
      </c>
      <c r="O507" s="32">
        <f>LOOKUP(N507,{0,1.6,1.8,2,2.2,2.4,2.6,2.8,3,3.2,3.4,3.6,3.8,4,4.2,4.4,4.6,4.7,4.8,4.9,5},{0,10,20,30,40,50,60,62,64,66,68,70,72,74,76,78,80,85,90,95,100})</f>
        <v>76</v>
      </c>
      <c r="P507" s="4">
        <v>4.39</v>
      </c>
      <c r="Q507" s="4">
        <f t="shared" si="53"/>
        <v>5.61</v>
      </c>
      <c r="R507" s="32">
        <f>LOOKUP(Q507,{0,3.8,4,4.6,4.8,5,5.6,5.65,5.7,5.75,5.8,5.85,5.9,5.95,6,6.45,6.5,6.58,6.65,6.7,6.75},{0,10,20,30,40,50,60,62,64,66,68,70,72,74,76,78,80,85,90,95,100})</f>
        <v>60</v>
      </c>
      <c r="U507" s="4">
        <f t="shared" si="54"/>
        <v>60</v>
      </c>
      <c r="V507" s="4" t="s">
        <v>146</v>
      </c>
      <c r="W507" s="5">
        <f t="shared" si="55"/>
        <v>33.8</v>
      </c>
      <c r="X507" s="20">
        <v>50</v>
      </c>
    </row>
    <row r="508" ht="15.6" hidden="1" spans="1:24">
      <c r="A508" s="4">
        <v>201</v>
      </c>
      <c r="B508" s="24" t="s">
        <v>18</v>
      </c>
      <c r="C508" s="25" t="s">
        <v>11</v>
      </c>
      <c r="D508" s="4">
        <v>14</v>
      </c>
      <c r="E508" s="32">
        <f>LOOKUP(D508,{0,-2.9,-1.9,-0.9,0.1,1.1,2.1,3.5,4.9,6.3,7.7,9.1,10.5,11.9,13.3,14.7,16.1,18.3,20.5,22.4,24.3},{0,10,20,30,40,50,60,62,64,66,68,70,72,74,76,78,80,85,90,95,100})</f>
        <v>76</v>
      </c>
      <c r="F508" s="4">
        <v>230</v>
      </c>
      <c r="G508" s="32">
        <f>LOOKUP(F508,{0,175,180,185,190,195,200,204,208,212,216,220,224,228,232,236,240,248,255,260,265},{0,10,20,30,40,50,60,62,64,66,68,70,72,74,76,78,80,85,90,95,100})</f>
        <v>74</v>
      </c>
      <c r="H508" s="4">
        <v>1</v>
      </c>
      <c r="I508" s="32">
        <f>LOOKUP(H508,{0,3,4,5,6,7,8,9,10,11,12,13,14,15,16,17},{0,10,20,30,40,50,60,64,68,72,76,80,85,90,95,100})</f>
        <v>0</v>
      </c>
      <c r="L508" s="4">
        <f t="shared" si="52"/>
        <v>0</v>
      </c>
      <c r="O508" s="32"/>
      <c r="P508" s="4">
        <v>4.39</v>
      </c>
      <c r="Q508" s="4">
        <f t="shared" si="53"/>
        <v>5.61</v>
      </c>
      <c r="R508" s="32">
        <f>LOOKUP(Q508,{0,3.8,4,4.6,4.8,5,5.6,5.65,5.7,5.75,5.8,5.85,5.9,5.95,6,6.45,6.5,6.58,6.65,6.7,6.75},{0,10,20,30,40,50,60,62,64,66,68,70,72,74,76,78,80,85,90,95,100})</f>
        <v>60</v>
      </c>
      <c r="U508" s="4">
        <f t="shared" si="54"/>
        <v>60</v>
      </c>
      <c r="W508" s="5">
        <f t="shared" si="55"/>
        <v>27</v>
      </c>
      <c r="X508" s="23">
        <v>50</v>
      </c>
    </row>
    <row r="509" ht="15.6" hidden="1" spans="1:24">
      <c r="A509" s="4">
        <v>206</v>
      </c>
      <c r="B509" s="24" t="s">
        <v>274</v>
      </c>
      <c r="C509" s="25" t="s">
        <v>11</v>
      </c>
      <c r="D509" s="4">
        <v>16.6</v>
      </c>
      <c r="E509" s="32">
        <f>LOOKUP(D509,{0,-2.9,-1.9,-0.9,0.1,1.1,2.1,3.5,4.9,6.3,7.7,9.1,10.5,11.9,13.3,14.7,16.1,18.3,20.5,22.4,24.3},{0,10,20,30,40,50,60,62,64,66,68,70,72,74,76,78,80,85,90,95,100})</f>
        <v>80</v>
      </c>
      <c r="F509" s="4">
        <v>200</v>
      </c>
      <c r="G509" s="32">
        <f>LOOKUP(F509,{0,175,180,185,190,195,200,204,208,212,216,220,224,228,232,236,240,248,255,260,265},{0,10,20,30,40,50,60,62,64,66,68,70,72,74,76,78,80,85,90,95,100})</f>
        <v>60</v>
      </c>
      <c r="H509" s="4">
        <v>10</v>
      </c>
      <c r="I509" s="32">
        <f>LOOKUP(H509,{0,3,4,5,6,7,8,9,10,11,12,13,14,15,16,17},{0,10,20,30,40,50,60,64,68,72,76,80,85,90,95,100})</f>
        <v>68</v>
      </c>
      <c r="L509" s="4">
        <f t="shared" si="52"/>
        <v>68</v>
      </c>
      <c r="M509" s="4">
        <v>7.6</v>
      </c>
      <c r="N509" s="4">
        <f>12-M509</f>
        <v>4.4</v>
      </c>
      <c r="O509" s="32">
        <f>LOOKUP(N509,{0,1.6,1.8,2,2.2,2.4,2.6,2.8,3,3.2,3.4,3.6,3.8,4,4.2,4.4,4.6,4.7,4.8,4.9,5},{0,10,20,30,40,50,60,62,64,66,68,70,72,74,76,78,80,85,90,95,100})</f>
        <v>78</v>
      </c>
      <c r="P509" s="4">
        <v>4.4</v>
      </c>
      <c r="Q509" s="4">
        <f t="shared" si="53"/>
        <v>5.6</v>
      </c>
      <c r="R509" s="32">
        <f>LOOKUP(Q509,{0,3.8,4,4.6,4.8,5,5.6,5.65,5.7,5.75,5.8,5.85,5.9,5.95,6,6.45,6.5,6.58,6.65,6.7,6.75},{0,10,20,30,40,50,60,62,64,66,68,70,72,74,76,78,80,85,90,95,100})</f>
        <v>60</v>
      </c>
      <c r="U509" s="4">
        <f t="shared" si="54"/>
        <v>60</v>
      </c>
      <c r="W509" s="5">
        <f t="shared" si="55"/>
        <v>48.4</v>
      </c>
      <c r="X509" s="20">
        <f>W509/0.7+K509+T509</f>
        <v>69.1428571428572</v>
      </c>
    </row>
    <row r="510" ht="15.6" hidden="1" spans="1:24">
      <c r="A510" s="4">
        <v>206</v>
      </c>
      <c r="B510" s="24" t="s">
        <v>302</v>
      </c>
      <c r="C510" s="25" t="s">
        <v>11</v>
      </c>
      <c r="D510" s="4">
        <v>11</v>
      </c>
      <c r="E510" s="32">
        <f>LOOKUP(D510,{0,-2.9,-1.9,-0.9,0.1,1.1,2.1,3.5,4.9,6.3,7.7,9.1,10.5,11.9,13.3,14.7,16.1,18.3,20.5,22.4,24.3},{0,10,20,30,40,50,60,62,64,66,68,70,72,74,76,78,80,85,90,95,100})</f>
        <v>72</v>
      </c>
      <c r="F510" s="4">
        <v>215</v>
      </c>
      <c r="G510" s="32">
        <f>LOOKUP(F510,{0,175,180,185,190,195,200,204,208,212,216,220,224,228,232,236,240,248,255,260,265},{0,10,20,30,40,50,60,62,64,66,68,70,72,74,76,78,80,85,90,95,100})</f>
        <v>66</v>
      </c>
      <c r="H510" s="4">
        <v>0</v>
      </c>
      <c r="I510" s="32">
        <f>LOOKUP(H510,{0,3,4,5,6,7,8,9,10,11,12,13,14,15,16,17},{0,10,20,30,40,50,60,64,68,72,76,80,85,90,95,100})</f>
        <v>0</v>
      </c>
      <c r="L510" s="4">
        <f t="shared" si="52"/>
        <v>0</v>
      </c>
      <c r="O510" s="32"/>
      <c r="P510" s="4">
        <v>4.4</v>
      </c>
      <c r="Q510" s="4">
        <f t="shared" si="53"/>
        <v>5.6</v>
      </c>
      <c r="R510" s="32">
        <f>LOOKUP(Q510,{0,3.8,4,4.6,4.8,5,5.6,5.65,5.7,5.75,5.8,5.85,5.9,5.95,6,6.45,6.5,6.58,6.65,6.7,6.75},{0,10,20,30,40,50,60,62,64,66,68,70,72,74,76,78,80,85,90,95,100})</f>
        <v>60</v>
      </c>
      <c r="U510" s="4">
        <f t="shared" si="54"/>
        <v>60</v>
      </c>
      <c r="W510" s="5">
        <f t="shared" si="55"/>
        <v>25.8</v>
      </c>
      <c r="X510" s="23">
        <v>50</v>
      </c>
    </row>
    <row r="511" ht="15.6" hidden="1" spans="1:24">
      <c r="A511" s="4">
        <v>208</v>
      </c>
      <c r="B511" s="24" t="s">
        <v>387</v>
      </c>
      <c r="C511" s="25" t="s">
        <v>11</v>
      </c>
      <c r="D511" s="4">
        <v>2</v>
      </c>
      <c r="E511" s="32">
        <f>LOOKUP(D511,{0,-2.9,-1.9,-0.9,0.1,1.1,2.1,3.5,4.9,6.3,7.7,9.1,10.5,11.9,13.3,14.7,16.1,18.3,20.5,22.4,24.3},{0,10,20,30,40,50,60,62,64,66,68,70,72,74,76,78,80,85,90,95,100})</f>
        <v>50</v>
      </c>
      <c r="F511" s="4">
        <v>235</v>
      </c>
      <c r="G511" s="32">
        <f>LOOKUP(F511,{0,175,180,185,190,195,200,204,208,212,216,220,224,228,232,236,240,248,255,260,265},{0,10,20,30,40,50,60,62,64,66,68,70,72,74,76,78,80,85,90,95,100})</f>
        <v>76</v>
      </c>
      <c r="H511" s="4">
        <v>4</v>
      </c>
      <c r="I511" s="32">
        <f>LOOKUP(H511,{0,3,4,5,6,7,8,9,10,11,12,13,14,15,16,17},{0,10,20,30,40,50,60,64,68,72,76,80,85,90,95,100})</f>
        <v>20</v>
      </c>
      <c r="L511" s="4">
        <f t="shared" si="52"/>
        <v>20</v>
      </c>
      <c r="M511" s="4">
        <v>8.3</v>
      </c>
      <c r="N511" s="4">
        <f t="shared" ref="N511:N542" si="60">12-M511</f>
        <v>3.7</v>
      </c>
      <c r="O511" s="32">
        <f>LOOKUP(N511,{0,1.6,1.8,2,2.2,2.4,2.6,2.8,3,3.2,3.4,3.6,3.8,4,4.2,4.4,4.6,4.7,4.8,4.9,5},{0,10,20,30,40,50,60,62,64,66,68,70,72,74,76,78,80,85,90,95,100})</f>
        <v>70</v>
      </c>
      <c r="P511" s="4">
        <v>4.41</v>
      </c>
      <c r="Q511" s="4">
        <f t="shared" si="53"/>
        <v>5.59</v>
      </c>
      <c r="R511" s="32">
        <f>LOOKUP(Q511,{0,3.8,4,4.6,4.8,5,5.6,5.65,5.7,5.75,5.8,5.85,5.9,5.95,6,6.45,6.5,6.58,6.65,6.7,6.75},{0,10,20,30,40,50,60,62,64,66,68,70,72,74,76,78,80,85,90,95,100})</f>
        <v>50</v>
      </c>
      <c r="T511" s="35"/>
      <c r="U511" s="4">
        <f t="shared" si="54"/>
        <v>50</v>
      </c>
      <c r="W511" s="5">
        <f t="shared" si="55"/>
        <v>38.6</v>
      </c>
      <c r="X511" s="20">
        <f>W511/0.7+K511+T511</f>
        <v>55.1428571428571</v>
      </c>
    </row>
    <row r="512" s="1" customFormat="1" ht="15.6" hidden="1" spans="1:24">
      <c r="A512" s="4">
        <v>207</v>
      </c>
      <c r="B512" s="24" t="s">
        <v>341</v>
      </c>
      <c r="C512" s="25" t="s">
        <v>11</v>
      </c>
      <c r="D512" s="4">
        <v>6.6</v>
      </c>
      <c r="E512" s="32">
        <f>LOOKUP(D512,{0,-2.9,-1.9,-0.9,0.1,1.1,2.1,3.5,4.9,6.3,7.7,9.1,10.5,11.9,13.3,14.7,16.1,18.3,20.5,22.4,24.3},{0,10,20,30,40,50,60,62,64,66,68,70,72,74,76,78,80,85,90,95,100})</f>
        <v>66</v>
      </c>
      <c r="F512" s="4">
        <v>201</v>
      </c>
      <c r="G512" s="32">
        <f>LOOKUP(F512,{0,175,180,185,190,195,200,204,208,212,216,220,224,228,232,236,240,248,255,260,265},{0,10,20,30,40,50,60,62,64,66,68,70,72,74,76,78,80,85,90,95,100})</f>
        <v>60</v>
      </c>
      <c r="H512" s="4">
        <v>5</v>
      </c>
      <c r="I512" s="32">
        <f>LOOKUP(H512,{0,3,4,5,6,7,8,9,10,11,12,13,14,15,16,17},{0,10,20,30,40,50,60,64,68,72,76,80,85,90,95,100})</f>
        <v>30</v>
      </c>
      <c r="J512" s="4"/>
      <c r="K512" s="4"/>
      <c r="L512" s="4">
        <f t="shared" si="52"/>
        <v>30</v>
      </c>
      <c r="M512" s="4">
        <v>7.1</v>
      </c>
      <c r="N512" s="4">
        <f t="shared" si="60"/>
        <v>4.9</v>
      </c>
      <c r="O512" s="32">
        <f>LOOKUP(N512,{0,1.6,1.8,2,2.2,2.4,2.6,2.8,3,3.2,3.4,3.6,3.8,4,4.2,4.4,4.6,4.7,4.8,4.9,5},{0,10,20,30,40,50,60,62,64,66,68,70,72,74,76,78,80,85,90,95,100})</f>
        <v>95</v>
      </c>
      <c r="P512" s="4">
        <v>4.45</v>
      </c>
      <c r="Q512" s="4">
        <f t="shared" si="53"/>
        <v>5.55</v>
      </c>
      <c r="R512" s="32">
        <f>LOOKUP(Q512,{0,3.8,4,4.6,4.8,5,5.6,5.65,5.7,5.75,5.8,5.85,5.9,5.95,6,6.45,6.5,6.58,6.65,6.7,6.75},{0,10,20,30,40,50,60,62,64,66,68,70,72,74,76,78,80,85,90,95,100})</f>
        <v>50</v>
      </c>
      <c r="S512" s="4"/>
      <c r="T512" s="35"/>
      <c r="U512" s="4">
        <f t="shared" si="54"/>
        <v>50</v>
      </c>
      <c r="V512" s="4"/>
      <c r="W512" s="5">
        <f t="shared" si="55"/>
        <v>44.6</v>
      </c>
      <c r="X512" s="20">
        <f>W512/0.7+K512+T512</f>
        <v>63.7142857142857</v>
      </c>
    </row>
    <row r="513" ht="15.6" hidden="1" spans="1:24">
      <c r="A513" s="4">
        <v>205</v>
      </c>
      <c r="B513" s="24" t="s">
        <v>247</v>
      </c>
      <c r="C513" s="25" t="s">
        <v>11</v>
      </c>
      <c r="E513" s="32"/>
      <c r="G513" s="32"/>
      <c r="H513" s="4">
        <v>0</v>
      </c>
      <c r="I513" s="32">
        <f>LOOKUP(H513,{0,3,4,5,6,7,8,9,10,11,12,13,14,15,16,17},{0,10,20,30,40,50,60,64,68,72,76,80,85,90,95,100})</f>
        <v>0</v>
      </c>
      <c r="L513" s="4">
        <f t="shared" si="52"/>
        <v>0</v>
      </c>
      <c r="M513" s="4">
        <v>8.4</v>
      </c>
      <c r="N513" s="4">
        <f t="shared" si="60"/>
        <v>3.6</v>
      </c>
      <c r="O513" s="32">
        <f>LOOKUP(N513,{0,1.6,1.8,2,2.2,2.4,2.6,2.8,3,3.2,3.4,3.6,3.8,4,4.2,4.4,4.6,4.7,4.8,4.9,5},{0,10,20,30,40,50,60,62,64,66,68,70,72,74,76,78,80,85,90,95,100})</f>
        <v>70</v>
      </c>
      <c r="P513" s="4">
        <v>4.47</v>
      </c>
      <c r="Q513" s="4">
        <f t="shared" si="53"/>
        <v>5.53</v>
      </c>
      <c r="R513" s="32">
        <f>LOOKUP(Q513,{0,3.8,4,4.6,4.8,5,5.6,5.65,5.7,5.75,5.8,5.85,5.9,5.95,6,6.45,6.5,6.58,6.65,6.7,6.75},{0,10,20,30,40,50,60,62,64,66,68,70,72,74,76,78,80,85,90,95,100})</f>
        <v>50</v>
      </c>
      <c r="U513" s="4">
        <f t="shared" si="54"/>
        <v>50</v>
      </c>
      <c r="V513" s="4" t="s">
        <v>16</v>
      </c>
      <c r="W513" s="5">
        <f t="shared" si="55"/>
        <v>24</v>
      </c>
      <c r="X513" s="20">
        <v>50</v>
      </c>
    </row>
    <row r="514" ht="15.6" hidden="1" spans="1:24">
      <c r="A514" s="4">
        <v>206</v>
      </c>
      <c r="B514" s="24" t="s">
        <v>284</v>
      </c>
      <c r="C514" s="25" t="s">
        <v>11</v>
      </c>
      <c r="D514" s="4">
        <v>0</v>
      </c>
      <c r="E514" s="32">
        <f>LOOKUP(D514,{0,-2.9,-1.9,-0.9,0.1,1.1,2.1,3.5,4.9,6.3,7.7,9.1,10.5,11.9,13.3,14.7,16.1,18.3,20.5,22.4,24.3},{0,10,20,30,40,50,60,62,64,66,68,70,72,74,76,78,80,85,90,95,100})</f>
        <v>30</v>
      </c>
      <c r="F514" s="4">
        <v>170</v>
      </c>
      <c r="G514" s="32">
        <f>LOOKUP(F514,{0,175,180,185,190,195,200,204,208,212,216,220,224,228,232,236,240,248,255,260,265},{0,10,20,30,40,50,60,62,64,66,68,70,72,74,76,78,80,85,90,95,100})</f>
        <v>0</v>
      </c>
      <c r="H514" s="4">
        <v>3</v>
      </c>
      <c r="I514" s="32">
        <f>LOOKUP(H514,{0,3,4,5,6,7,8,9,10,11,12,13,14,15,16,17},{0,10,20,30,40,50,60,64,68,72,76,80,85,90,95,100})</f>
        <v>10</v>
      </c>
      <c r="L514" s="4">
        <f t="shared" ref="L514:L553" si="61">I514+K514</f>
        <v>10</v>
      </c>
      <c r="M514" s="4">
        <v>7.9</v>
      </c>
      <c r="N514" s="4">
        <f t="shared" si="60"/>
        <v>4.1</v>
      </c>
      <c r="O514" s="32">
        <f>LOOKUP(N514,{0,1.6,1.8,2,2.2,2.4,2.6,2.8,3,3.2,3.4,3.6,3.8,4,4.2,4.4,4.6,4.7,4.8,4.9,5},{0,10,20,30,40,50,60,62,64,66,68,70,72,74,76,78,80,85,90,95,100})</f>
        <v>74</v>
      </c>
      <c r="P514" s="4">
        <v>4.49</v>
      </c>
      <c r="Q514" s="4">
        <f t="shared" ref="Q514:Q550" si="62">10-P514</f>
        <v>5.51</v>
      </c>
      <c r="R514" s="32">
        <f>LOOKUP(Q514,{0,3.8,4,4.6,4.8,5,5.6,5.65,5.7,5.75,5.8,5.85,5.9,5.95,6,6.45,6.5,6.58,6.65,6.7,6.75},{0,10,20,30,40,50,60,62,64,66,68,70,72,74,76,78,80,85,90,95,100})</f>
        <v>50</v>
      </c>
      <c r="U514" s="4">
        <f t="shared" ref="U514:U548" si="63">R514+T514</f>
        <v>50</v>
      </c>
      <c r="W514" s="5">
        <f t="shared" ref="W514:W577" si="64">E514*0.1+G514*0.1+I514*0.1+O514*0.2+R514*0.2</f>
        <v>28.8</v>
      </c>
      <c r="X514" s="20">
        <f t="shared" ref="X514:X541" si="65">W514/0.7+K514+T514</f>
        <v>41.1428571428571</v>
      </c>
    </row>
    <row r="515" ht="15.6" hidden="1" spans="1:24">
      <c r="A515" s="4">
        <v>205</v>
      </c>
      <c r="B515" s="24" t="s">
        <v>248</v>
      </c>
      <c r="C515" s="25" t="s">
        <v>11</v>
      </c>
      <c r="D515" s="4">
        <v>3.2</v>
      </c>
      <c r="E515" s="32">
        <f>LOOKUP(D515,{0,-2.9,-1.9,-0.9,0.1,1.1,2.1,3.5,4.9,6.3,7.7,9.1,10.5,11.9,13.3,14.7,16.1,18.3,20.5,22.4,24.3},{0,10,20,30,40,50,60,62,64,66,68,70,72,74,76,78,80,85,90,95,100})</f>
        <v>60</v>
      </c>
      <c r="F515" s="4">
        <v>218</v>
      </c>
      <c r="G515" s="32">
        <f>LOOKUP(F515,{0,175,180,185,190,195,200,204,208,212,216,220,224,228,232,236,240,248,255,260,265},{0,10,20,30,40,50,60,62,64,66,68,70,72,74,76,78,80,85,90,95,100})</f>
        <v>68</v>
      </c>
      <c r="H515" s="4">
        <v>0</v>
      </c>
      <c r="I515" s="32">
        <f>LOOKUP(H515,{0,3,4,5,6,7,8,9,10,11,12,13,14,15,16,17},{0,10,20,30,40,50,60,64,68,72,76,80,85,90,95,100})</f>
        <v>0</v>
      </c>
      <c r="L515" s="4">
        <f t="shared" si="61"/>
        <v>0</v>
      </c>
      <c r="M515" s="4">
        <v>8.2</v>
      </c>
      <c r="N515" s="4">
        <f t="shared" si="60"/>
        <v>3.8</v>
      </c>
      <c r="O515" s="32">
        <f>LOOKUP(N515,{0,1.6,1.8,2,2.2,2.4,2.6,2.8,3,3.2,3.4,3.6,3.8,4,4.2,4.4,4.6,4.7,4.8,4.9,5},{0,10,20,30,40,50,60,62,64,66,68,70,72,74,76,78,80,85,90,95,100})</f>
        <v>72</v>
      </c>
      <c r="P515" s="4">
        <v>4.5</v>
      </c>
      <c r="Q515" s="4">
        <f t="shared" si="62"/>
        <v>5.5</v>
      </c>
      <c r="R515" s="32">
        <f>LOOKUP(Q515,{0,3.8,4,4.6,4.8,5,5.6,5.65,5.7,5.75,5.8,5.85,5.9,5.95,6,6.45,6.5,6.58,6.65,6.7,6.75},{0,10,20,30,40,50,60,62,64,66,68,70,72,74,76,78,80,85,90,95,100})</f>
        <v>50</v>
      </c>
      <c r="U515" s="4">
        <f t="shared" si="63"/>
        <v>50</v>
      </c>
      <c r="W515" s="5">
        <f t="shared" si="64"/>
        <v>37.2</v>
      </c>
      <c r="X515" s="20">
        <f t="shared" si="65"/>
        <v>53.1428571428572</v>
      </c>
    </row>
    <row r="516" ht="15.6" hidden="1" spans="1:24">
      <c r="A516" s="4">
        <v>210</v>
      </c>
      <c r="B516" s="24" t="s">
        <v>503</v>
      </c>
      <c r="C516" s="25" t="s">
        <v>11</v>
      </c>
      <c r="D516" s="4">
        <v>23.2</v>
      </c>
      <c r="E516" s="32">
        <f>LOOKUP(D516,{0,-2.9,-1.9,-0.9,0.1,1.1,2.1,3.5,4.9,6.3,7.7,9.1,10.5,11.9,13.3,14.7,16.1,18.3,20.5,22.4,24.3},{0,10,20,30,40,50,60,62,64,66,68,70,72,74,76,78,80,85,90,95,100})</f>
        <v>95</v>
      </c>
      <c r="F516" s="4">
        <v>205</v>
      </c>
      <c r="G516" s="32">
        <f>LOOKUP(F516,{0,175,180,185,190,195,200,204,208,212,216,220,224,228,232,236,240,248,255,260,265},{0,10,20,30,40,50,60,62,64,66,68,70,72,74,76,78,80,85,90,95,100})</f>
        <v>62</v>
      </c>
      <c r="H516" s="4">
        <v>0</v>
      </c>
      <c r="I516" s="32">
        <f>LOOKUP(H516,{0,3,4,5,6,7,8,9,10,11,12,13,14,15,16,17},{0,10,20,30,40,50,60,64,68,72,76,80,85,90,95,100})</f>
        <v>0</v>
      </c>
      <c r="L516" s="4">
        <f t="shared" si="61"/>
        <v>0</v>
      </c>
      <c r="M516" s="4">
        <v>7.8</v>
      </c>
      <c r="N516" s="4">
        <f t="shared" si="60"/>
        <v>4.2</v>
      </c>
      <c r="O516" s="32">
        <f>LOOKUP(N516,{0,1.6,1.8,2,2.2,2.4,2.6,2.8,3,3.2,3.4,3.6,3.8,4,4.2,4.4,4.6,4.7,4.8,4.9,5},{0,10,20,30,40,50,60,62,64,66,68,70,72,74,76,78,80,85,90,95,100})</f>
        <v>76</v>
      </c>
      <c r="P516" s="4">
        <v>4.57</v>
      </c>
      <c r="Q516" s="4">
        <f t="shared" si="62"/>
        <v>5.43</v>
      </c>
      <c r="R516" s="32">
        <f>LOOKUP(Q516,{0,3.8,4,4.6,4.8,5,5.6,5.65,5.7,5.75,5.8,5.85,5.9,5.95,6,6.45,6.5,6.58,6.65,6.7,6.75},{0,10,20,30,40,50,60,62,64,66,68,70,72,74,76,78,80,85,90,95,100})</f>
        <v>50</v>
      </c>
      <c r="U516" s="4">
        <f t="shared" si="63"/>
        <v>50</v>
      </c>
      <c r="W516" s="5">
        <f t="shared" si="64"/>
        <v>40.9</v>
      </c>
      <c r="X516" s="20">
        <f t="shared" si="65"/>
        <v>58.4285714285714</v>
      </c>
    </row>
    <row r="517" ht="15.6" spans="1:24">
      <c r="A517" s="4">
        <v>211</v>
      </c>
      <c r="B517" s="24" t="s">
        <v>578</v>
      </c>
      <c r="C517" s="25" t="s">
        <v>11</v>
      </c>
      <c r="D517" s="4">
        <v>13.5</v>
      </c>
      <c r="E517" s="32">
        <f>LOOKUP(D517,{0,-2.9,-1.9,-0.9,0.1,1.1,2.1,3.5,4.9,6.3,7.7,9.1,10.5,11.9,13.3,14.7,16.1,18.3,20.5,22.4,24.3},{0,10,20,30,40,50,60,62,64,66,68,70,72,74,76,78,80,85,90,95,100})</f>
        <v>76</v>
      </c>
      <c r="F517" s="4">
        <v>181</v>
      </c>
      <c r="G517" s="32">
        <f>LOOKUP(F517,{0,175,180,185,190,195,200,204,208,212,216,220,224,228,232,236,240,248,255,260,265},{0,10,20,30,40,50,60,62,64,66,68,70,72,74,76,78,80,85,90,95,100})</f>
        <v>20</v>
      </c>
      <c r="H517" s="4">
        <v>0</v>
      </c>
      <c r="I517" s="32">
        <f>LOOKUP(H517,{0,3,4,5,6,7,8,9,10,11,12,13,14,15,16,17},{0,10,20,30,40,50,60,64,68,72,76,80,85,90,95,100})</f>
        <v>0</v>
      </c>
      <c r="L517" s="4">
        <f t="shared" si="61"/>
        <v>0</v>
      </c>
      <c r="M517" s="4">
        <v>8.2</v>
      </c>
      <c r="N517" s="4">
        <f t="shared" si="60"/>
        <v>3.8</v>
      </c>
      <c r="O517" s="32">
        <f>LOOKUP(N517,{0,1.6,1.8,2,2.2,2.4,2.6,2.8,3,3.2,3.4,3.6,3.8,4,4.2,4.4,4.6,4.7,4.8,4.9,5},{0,10,20,30,40,50,60,62,64,66,68,70,72,74,76,78,80,85,90,95,100})</f>
        <v>72</v>
      </c>
      <c r="P517" s="4">
        <v>4.57</v>
      </c>
      <c r="Q517" s="4">
        <f t="shared" si="62"/>
        <v>5.43</v>
      </c>
      <c r="R517" s="32">
        <f>LOOKUP(Q517,{0,3.8,4,4.6,4.8,5,5.6,5.65,5.7,5.75,5.8,5.85,5.9,5.95,6,6.45,6.5,6.58,6.65,6.7,6.75},{0,10,20,30,40,50,60,62,64,66,68,70,72,74,76,78,80,85,90,95,100})</f>
        <v>50</v>
      </c>
      <c r="U517" s="4">
        <f t="shared" si="63"/>
        <v>50</v>
      </c>
      <c r="W517" s="5">
        <f t="shared" si="64"/>
        <v>34</v>
      </c>
      <c r="X517" s="20">
        <f t="shared" si="65"/>
        <v>48.5714285714286</v>
      </c>
    </row>
    <row r="518" ht="15.6" hidden="1" spans="1:24">
      <c r="A518" s="4">
        <v>213</v>
      </c>
      <c r="B518" s="33" t="s">
        <v>676</v>
      </c>
      <c r="C518" s="25" t="s">
        <v>53</v>
      </c>
      <c r="D518" s="4">
        <v>26.3</v>
      </c>
      <c r="E518" s="32">
        <f>LOOKUP(D518,{0,1,1.8,2.6,3.4,4.2,5,6.3,7.6,8.9,10.2,11.5,12.8,14.1,15.4,16.7,18,19.7,21.4,23.1,24.8},{0,10,20,30,40,50,60,62,64,66,68,70,72,74,76,78,80,85,90,95,100})</f>
        <v>100</v>
      </c>
      <c r="F518" s="4">
        <v>177</v>
      </c>
      <c r="G518" s="32">
        <f>LOOKUP(F518,{0,124,129,134,139,144,149,152,155,158,161,164,167,170,173,176,179,186,193,199,205},{0,10,20,30,40,50,60,62,64,66,68,70,72,74,76,78,80,85,90,95,100})</f>
        <v>78</v>
      </c>
      <c r="H518" s="4">
        <v>46</v>
      </c>
      <c r="I518" s="32">
        <f>LOOKUP(H518,{0,14,16,18,20,22,24,26,28,30,32,34,36,38,40,42,44,47,50,52,54},{0,10,20,30,40,50,60,62,64,66,68,70,72,74,76,78,80,85,90,95,100})</f>
        <v>80</v>
      </c>
      <c r="L518" s="4">
        <f t="shared" si="61"/>
        <v>80</v>
      </c>
      <c r="M518" s="4">
        <v>8.5</v>
      </c>
      <c r="N518" s="4">
        <f t="shared" si="60"/>
        <v>3.5</v>
      </c>
      <c r="O518" s="32">
        <f>LOOKUP(N518,{0,0.5,0.7,0.9,1.1,1.3,1.5,1.7,1.9,2.1,2.3,2.5,2.7,2.9,3.1,3.3,3.5,3.8,4.1,4.2,4.3},{0,10,20,30,40,50,60,62,64,66,68,70,72,74,76,78,80,85,90,95,100})</f>
        <v>80</v>
      </c>
      <c r="P518" s="4">
        <v>3.54</v>
      </c>
      <c r="Q518" s="4">
        <f t="shared" si="62"/>
        <v>6.46</v>
      </c>
      <c r="R518" s="32">
        <f>LOOKUP(Q518,{0,4.72,4.82,4.92,5.42,5.52,5.62,5.67,5.72,5.77,5.82,5.87,5.92,5.97,6.42,6.47,6.52,6.59,6.66,6.72,6.78},{0,10,20,30,40,50,60,62,64,66,68,70,72,74,76,78,80,85,90,95,100})</f>
        <v>76</v>
      </c>
      <c r="U518" s="4">
        <f t="shared" si="63"/>
        <v>76</v>
      </c>
      <c r="W518" s="5">
        <f t="shared" si="64"/>
        <v>57</v>
      </c>
      <c r="X518" s="20">
        <f t="shared" si="65"/>
        <v>81.4285714285714</v>
      </c>
    </row>
    <row r="519" ht="15.6" hidden="1" spans="1:24">
      <c r="A519" s="4">
        <v>214</v>
      </c>
      <c r="B519" s="24" t="s">
        <v>744</v>
      </c>
      <c r="C519" s="25" t="s">
        <v>53</v>
      </c>
      <c r="D519" s="4">
        <v>19.5</v>
      </c>
      <c r="E519" s="32">
        <f>LOOKUP(D519,{0,1,1.8,2.6,3.4,4.2,5,6.3,7.6,8.9,10.2,11.5,12.8,14.1,15.4,16.7,18,19.7,21.4,23.1,24.8},{0,10,20,30,40,50,60,62,64,66,68,70,72,74,76,78,80,85,90,95,100})</f>
        <v>80</v>
      </c>
      <c r="F519" s="4">
        <v>206</v>
      </c>
      <c r="G519" s="32">
        <f>LOOKUP(F519,{0,124,129,134,139,144,149,152,155,158,161,164,167,170,173,176,179,186,193,199,205},{0,10,20,30,40,50,60,62,64,66,68,70,72,74,76,78,80,85,90,95,100})</f>
        <v>100</v>
      </c>
      <c r="H519" s="4">
        <v>27</v>
      </c>
      <c r="I519" s="32">
        <f>LOOKUP(H519,{0,14,16,18,20,22,24,26,28,30,32,34,36,38,40,42,44,47,50,52,54},{0,10,20,30,40,50,60,62,64,66,68,70,72,74,76,78,80,85,90,95,100})</f>
        <v>62</v>
      </c>
      <c r="L519" s="4">
        <f t="shared" si="61"/>
        <v>62</v>
      </c>
      <c r="M519" s="4">
        <v>8.6</v>
      </c>
      <c r="N519" s="4">
        <f t="shared" si="60"/>
        <v>3.4</v>
      </c>
      <c r="O519" s="32">
        <f>LOOKUP(N519,{0,0.5,0.7,0.9,1.1,1.3,1.5,1.7,1.9,2.1,2.3,2.5,2.7,2.9,3.1,3.3,3.5,3.8,4.1,4.2,4.3},{0,10,20,30,40,50,60,62,64,66,68,70,72,74,76,78,80,85,90,95,100})</f>
        <v>78</v>
      </c>
      <c r="P519" s="4">
        <v>3.37</v>
      </c>
      <c r="Q519" s="4">
        <f t="shared" si="62"/>
        <v>6.63</v>
      </c>
      <c r="R519" s="32">
        <f>LOOKUP(Q519,{0,4.72,4.82,4.92,5.42,5.52,5.62,5.67,5.72,5.77,5.82,5.87,5.92,5.97,6.42,6.47,6.52,6.59,6.66,6.72,6.78},{0,10,20,30,40,50,60,62,64,66,68,70,72,74,76,78,80,85,90,95,100})</f>
        <v>85</v>
      </c>
      <c r="U519" s="4">
        <f t="shared" si="63"/>
        <v>85</v>
      </c>
      <c r="W519" s="5">
        <f t="shared" si="64"/>
        <v>56.8</v>
      </c>
      <c r="X519" s="20">
        <f t="shared" si="65"/>
        <v>81.1428571428571</v>
      </c>
    </row>
    <row r="520" ht="15.6" hidden="1" spans="1:24">
      <c r="A520" s="4">
        <v>207</v>
      </c>
      <c r="B520" s="24" t="s">
        <v>374</v>
      </c>
      <c r="C520" s="25" t="s">
        <v>53</v>
      </c>
      <c r="D520" s="4">
        <v>21.4</v>
      </c>
      <c r="E520" s="32">
        <f>LOOKUP(D520,{0,1,1.8,2.6,3.4,4.2,5,6.3,7.6,8.9,10.2,11.5,12.8,14.1,15.4,16.7,18,19.7,21.4,23.1,24.8},{0,10,20,30,40,50,60,62,64,66,68,70,72,74,76,78,80,85,90,95,100})</f>
        <v>90</v>
      </c>
      <c r="F520" s="4">
        <v>197</v>
      </c>
      <c r="G520" s="32">
        <f>LOOKUP(F520,{0,124,129,134,139,144,149,152,155,158,161,164,167,170,173,176,179,186,193,199,205},{0,10,20,30,40,50,60,62,64,66,68,70,72,74,76,78,80,85,90,95,100})</f>
        <v>90</v>
      </c>
      <c r="H520" s="4">
        <v>45</v>
      </c>
      <c r="I520" s="32">
        <f>LOOKUP(H520,{0,14,16,18,20,22,24,26,28,30,32,34,36,38,40,42,44,47,50,52,54},{0,10,20,30,40,50,60,62,64,66,68,70,72,74,76,78,80,85,90,95,100})</f>
        <v>80</v>
      </c>
      <c r="L520" s="4">
        <f t="shared" si="61"/>
        <v>80</v>
      </c>
      <c r="M520" s="4">
        <v>8.5</v>
      </c>
      <c r="N520" s="4">
        <f t="shared" si="60"/>
        <v>3.5</v>
      </c>
      <c r="O520" s="32">
        <f>LOOKUP(N520,{0,0.5,0.7,0.9,1.1,1.3,1.5,1.7,1.9,2.1,2.3,2.5,2.7,2.9,3.1,3.3,3.5,3.8,4.1,4.2,4.3},{0,10,20,30,40,50,60,62,64,66,68,70,72,74,76,78,80,85,90,95,100})</f>
        <v>80</v>
      </c>
      <c r="P520" s="4">
        <v>4.01</v>
      </c>
      <c r="Q520" s="4">
        <f t="shared" si="62"/>
        <v>5.99</v>
      </c>
      <c r="R520" s="32">
        <f>LOOKUP(Q520,{0,4.72,4.82,4.92,5.42,5.52,5.62,5.67,5.72,5.77,5.82,5.87,5.92,5.97,6.42,6.47,6.52,6.59,6.66,6.72,6.78},{0,10,20,30,40,50,60,62,64,66,68,70,72,74,76,78,80,85,90,95,100})</f>
        <v>74</v>
      </c>
      <c r="U520" s="4">
        <f t="shared" si="63"/>
        <v>74</v>
      </c>
      <c r="W520" s="5">
        <f t="shared" si="64"/>
        <v>56.8</v>
      </c>
      <c r="X520" s="20">
        <f t="shared" si="65"/>
        <v>81.1428571428571</v>
      </c>
    </row>
    <row r="521" ht="15.6" hidden="1" spans="1:24">
      <c r="A521" s="4">
        <v>212</v>
      </c>
      <c r="B521" s="24" t="s">
        <v>645</v>
      </c>
      <c r="C521" s="25" t="s">
        <v>53</v>
      </c>
      <c r="D521" s="4">
        <v>22</v>
      </c>
      <c r="E521" s="32">
        <f>LOOKUP(D521,{0,1,1.8,2.6,3.4,4.2,5,6.3,7.6,8.9,10.2,11.5,12.8,14.1,15.4,16.7,18,19.7,21.4,23.1,24.8},{0,10,20,30,40,50,60,62,64,66,68,70,72,74,76,78,80,85,90,95,100})</f>
        <v>90</v>
      </c>
      <c r="F521" s="4">
        <v>190</v>
      </c>
      <c r="G521" s="32">
        <f>LOOKUP(F521,{0,124,129,134,139,144,149,152,155,158,161,164,167,170,173,176,179,186,193,199,205},{0,10,20,30,40,50,60,62,64,66,68,70,72,74,76,78,80,85,90,95,100})</f>
        <v>85</v>
      </c>
      <c r="H521" s="4">
        <v>47</v>
      </c>
      <c r="I521" s="32">
        <f>LOOKUP(H521,{0,14,16,18,20,22,24,26,28,30,32,34,36,38,40,42,44,47,50,52,54},{0,10,20,30,40,50,60,62,64,66,68,70,72,74,76,78,80,85,90,95,100})</f>
        <v>85</v>
      </c>
      <c r="L521" s="4">
        <f t="shared" si="61"/>
        <v>85</v>
      </c>
      <c r="M521" s="4">
        <v>8.5</v>
      </c>
      <c r="N521" s="4">
        <f t="shared" si="60"/>
        <v>3.5</v>
      </c>
      <c r="O521" s="32">
        <f>LOOKUP(N521,{0,0.5,0.7,0.9,1.1,1.3,1.5,1.7,1.9,2.1,2.3,2.5,2.7,2.9,3.1,3.3,3.5,3.8,4.1,4.2,4.3},{0,10,20,30,40,50,60,62,64,66,68,70,72,74,76,78,80,85,90,95,100})</f>
        <v>80</v>
      </c>
      <c r="P521" s="4">
        <v>4.03</v>
      </c>
      <c r="Q521" s="4">
        <f t="shared" si="62"/>
        <v>5.97</v>
      </c>
      <c r="R521" s="32">
        <f>LOOKUP(Q521,{0,4.72,4.82,4.92,5.42,5.52,5.62,5.67,5.72,5.77,5.82,5.87,5.92,5.97,6.42,6.47,6.52,6.59,6.66,6.72,6.78},{0,10,20,30,40,50,60,62,64,66,68,70,72,74,76,78,80,85,90,95,100})</f>
        <v>74</v>
      </c>
      <c r="U521" s="4">
        <f t="shared" si="63"/>
        <v>74</v>
      </c>
      <c r="W521" s="5">
        <f t="shared" si="64"/>
        <v>56.8</v>
      </c>
      <c r="X521" s="20">
        <f t="shared" si="65"/>
        <v>81.1428571428571</v>
      </c>
    </row>
    <row r="522" ht="15.6" hidden="1" spans="1:24">
      <c r="A522" s="4">
        <v>204</v>
      </c>
      <c r="B522" s="24" t="s">
        <v>189</v>
      </c>
      <c r="C522" s="25" t="s">
        <v>53</v>
      </c>
      <c r="D522" s="4">
        <v>18.6</v>
      </c>
      <c r="E522" s="32">
        <f>LOOKUP(D522,{0,1,1.8,2.6,3.4,4.2,5,6.3,7.6,8.9,10.2,11.5,12.8,14.1,15.4,16.7,18,19.7,21.4,23.1,24.8},{0,10,20,30,40,50,60,62,64,66,68,70,72,74,76,78,80,85,90,95,100})</f>
        <v>80</v>
      </c>
      <c r="F522" s="4">
        <v>187</v>
      </c>
      <c r="G522" s="32">
        <f>LOOKUP(F522,{0,124,129,134,139,144,149,152,155,158,161,164,167,170,173,176,179,186,193,199,205},{0,10,20,30,40,50,60,62,64,66,68,70,72,74,76,78,80,85,90,95,100})</f>
        <v>85</v>
      </c>
      <c r="H522" s="4">
        <v>51</v>
      </c>
      <c r="I522" s="32">
        <f>LOOKUP(H522,{0,14,16,18,20,22,24,26,28,30,32,34,36,38,40,42,44,47,50,52,54},{0,10,20,30,40,50,60,62,64,66,68,70,72,74,76,78,80,85,90,95,100})</f>
        <v>90</v>
      </c>
      <c r="L522" s="4">
        <f t="shared" si="61"/>
        <v>90</v>
      </c>
      <c r="M522" s="4">
        <v>8.8</v>
      </c>
      <c r="N522" s="4">
        <f t="shared" si="60"/>
        <v>3.2</v>
      </c>
      <c r="O522" s="32">
        <f>LOOKUP(N522,{0,0.5,0.7,0.9,1.1,1.3,1.5,1.7,1.9,2.1,2.3,2.5,2.7,2.9,3.1,3.3,3.5,3.8,4.1,4.2,4.3},{0,10,20,30,40,50,60,62,64,66,68,70,72,74,76,78,80,85,90,95,100})</f>
        <v>76</v>
      </c>
      <c r="P522" s="4">
        <v>3.47</v>
      </c>
      <c r="Q522" s="4">
        <f t="shared" si="62"/>
        <v>6.53</v>
      </c>
      <c r="R522" s="32">
        <f>LOOKUP(Q522,{0,4.72,4.82,4.92,5.42,5.52,5.62,5.67,5.72,5.77,5.82,5.87,5.92,5.97,6.42,6.47,6.52,6.59,6.66,6.72,6.78},{0,10,20,30,40,50,60,62,64,66,68,70,72,74,76,78,80,85,90,95,100})</f>
        <v>80</v>
      </c>
      <c r="U522" s="4">
        <f t="shared" si="63"/>
        <v>80</v>
      </c>
      <c r="W522" s="5">
        <f t="shared" si="64"/>
        <v>56.7</v>
      </c>
      <c r="X522" s="20">
        <f t="shared" si="65"/>
        <v>81</v>
      </c>
    </row>
    <row r="523" ht="15.6" hidden="1" spans="1:24">
      <c r="A523" s="4">
        <v>207</v>
      </c>
      <c r="B523" s="24" t="s">
        <v>368</v>
      </c>
      <c r="C523" s="25" t="s">
        <v>53</v>
      </c>
      <c r="D523" s="4">
        <v>18</v>
      </c>
      <c r="E523" s="32">
        <f>LOOKUP(D523,{0,1,1.8,2.6,3.4,4.2,5,6.3,7.6,8.9,10.2,11.5,12.8,14.1,15.4,16.7,18,19.7,21.4,23.1,24.8},{0,10,20,30,40,50,60,62,64,66,68,70,72,74,76,78,80,85,90,95,100})</f>
        <v>80</v>
      </c>
      <c r="F523" s="4">
        <v>162</v>
      </c>
      <c r="G523" s="32">
        <f>LOOKUP(F523,{0,124,129,134,139,144,149,152,155,158,161,164,167,170,173,176,179,186,193,199,205},{0,10,20,30,40,50,60,62,64,66,68,70,72,74,76,78,80,85,90,95,100})</f>
        <v>68</v>
      </c>
      <c r="H523" s="4">
        <v>49</v>
      </c>
      <c r="I523" s="32">
        <f>LOOKUP(H523,{0,14,16,18,20,22,24,26,28,30,32,34,36,38,40,42,44,47,50,52,54},{0,10,20,30,40,50,60,62,64,66,68,70,72,74,76,78,80,85,90,95,100})</f>
        <v>85</v>
      </c>
      <c r="L523" s="4">
        <f t="shared" si="61"/>
        <v>85</v>
      </c>
      <c r="M523" s="4">
        <v>8.8</v>
      </c>
      <c r="N523" s="4">
        <f t="shared" si="60"/>
        <v>3.2</v>
      </c>
      <c r="O523" s="32">
        <f>LOOKUP(N523,{0,0.5,0.7,0.9,1.1,1.3,1.5,1.7,1.9,2.1,2.3,2.5,2.7,2.9,3.1,3.3,3.5,3.8,4.1,4.2,4.3},{0,10,20,30,40,50,60,62,64,66,68,70,72,74,76,78,80,85,90,95,100})</f>
        <v>76</v>
      </c>
      <c r="P523" s="4">
        <v>3.34</v>
      </c>
      <c r="Q523" s="4">
        <f t="shared" si="62"/>
        <v>6.66</v>
      </c>
      <c r="R523" s="32">
        <f>LOOKUP(Q523,{0,4.72,4.82,4.92,5.42,5.52,5.62,5.67,5.72,5.77,5.82,5.87,5.92,5.97,6.42,6.47,6.52,6.59,6.66,6.72,6.78},{0,10,20,30,40,50,60,62,64,66,68,70,72,74,76,78,80,85,90,95,100})</f>
        <v>90</v>
      </c>
      <c r="U523" s="4">
        <f t="shared" si="63"/>
        <v>90</v>
      </c>
      <c r="W523" s="5">
        <f t="shared" si="64"/>
        <v>56.5</v>
      </c>
      <c r="X523" s="20">
        <f t="shared" si="65"/>
        <v>80.7142857142857</v>
      </c>
    </row>
    <row r="524" ht="15.6" hidden="1" spans="1:24">
      <c r="A524" s="4">
        <v>214</v>
      </c>
      <c r="B524" s="24" t="s">
        <v>766</v>
      </c>
      <c r="C524" s="25" t="s">
        <v>53</v>
      </c>
      <c r="D524" s="4">
        <v>17</v>
      </c>
      <c r="E524" s="32">
        <f>LOOKUP(D524,{0,1,1.8,2.6,3.4,4.2,5,6.3,7.6,8.9,10.2,11.5,12.8,14.1,15.4,16.7,18,19.7,21.4,23.1,24.8},{0,10,20,30,40,50,60,62,64,66,68,70,72,74,76,78,80,85,90,95,100})</f>
        <v>78</v>
      </c>
      <c r="F524" s="4">
        <v>191</v>
      </c>
      <c r="G524" s="32">
        <f>LOOKUP(F524,{0,124,129,134,139,144,149,152,155,158,161,164,167,170,173,176,179,186,193,199,205},{0,10,20,30,40,50,60,62,64,66,68,70,72,74,76,78,80,85,90,95,100})</f>
        <v>85</v>
      </c>
      <c r="H524" s="4">
        <v>40</v>
      </c>
      <c r="I524" s="32">
        <f>LOOKUP(H524,{0,14,16,18,20,22,24,26,28,30,32,34,36,38,40,42,44,47,50,52,54},{0,10,20,30,40,50,60,62,64,66,68,70,72,74,76,78,80,85,90,95,100})</f>
        <v>76</v>
      </c>
      <c r="L524" s="4">
        <f t="shared" si="61"/>
        <v>76</v>
      </c>
      <c r="M524" s="4">
        <v>8.7</v>
      </c>
      <c r="N524" s="4">
        <f t="shared" si="60"/>
        <v>3.3</v>
      </c>
      <c r="O524" s="32">
        <f>LOOKUP(N524,{0,0.5,0.7,0.9,1.1,1.3,1.5,1.7,1.9,2.1,2.3,2.5,2.7,2.9,3.1,3.3,3.5,3.8,4.1,4.2,4.3},{0,10,20,30,40,50,60,62,64,66,68,70,72,74,76,78,80,85,90,95,100})</f>
        <v>78</v>
      </c>
      <c r="P524" s="4">
        <v>3.39</v>
      </c>
      <c r="Q524" s="4">
        <f t="shared" si="62"/>
        <v>6.61</v>
      </c>
      <c r="R524" s="32">
        <f>LOOKUP(Q524,{0,4.72,4.82,4.92,5.42,5.52,5.62,5.67,5.72,5.77,5.82,5.87,5.92,5.97,6.42,6.47,6.52,6.59,6.66,6.72,6.78},{0,10,20,30,40,50,60,62,64,66,68,70,72,74,76,78,80,85,90,95,100})</f>
        <v>85</v>
      </c>
      <c r="U524" s="4">
        <f t="shared" si="63"/>
        <v>85</v>
      </c>
      <c r="W524" s="5">
        <f t="shared" si="64"/>
        <v>56.5</v>
      </c>
      <c r="X524" s="20">
        <f t="shared" si="65"/>
        <v>80.7142857142857</v>
      </c>
    </row>
    <row r="525" ht="15.6" hidden="1" spans="1:24">
      <c r="A525" s="4">
        <v>215</v>
      </c>
      <c r="B525" s="24" t="s">
        <v>844</v>
      </c>
      <c r="C525" s="25" t="s">
        <v>53</v>
      </c>
      <c r="D525" s="4">
        <v>11.8</v>
      </c>
      <c r="E525" s="32">
        <f>LOOKUP(D525,{0,1,1.8,2.6,3.4,4.2,5,6.3,7.6,8.9,10.2,11.5,12.8,14.1,15.4,16.7,18,19.7,21.4,23.1,24.8},{0,10,20,30,40,50,60,62,64,66,68,70,72,74,76,78,80,85,90,95,100})</f>
        <v>70</v>
      </c>
      <c r="F525" s="4">
        <v>174</v>
      </c>
      <c r="G525" s="32">
        <f>LOOKUP(F525,{0,124,129,134,139,144,149,152,155,158,161,164,167,170,173,176,179,186,193,199,205},{0,10,20,30,40,50,60,62,64,66,68,70,72,74,76,78,80,85,90,95,100})</f>
        <v>76</v>
      </c>
      <c r="H525" s="4">
        <v>56</v>
      </c>
      <c r="I525" s="32">
        <f>LOOKUP(H525,{0,14,16,18,20,22,24,26,28,30,32,34,36,38,40,42,44,47,50,52,54},{0,10,20,30,40,50,60,62,64,66,68,70,72,74,76,78,80,85,90,95,100})</f>
        <v>100</v>
      </c>
      <c r="J525" s="4">
        <f>H525-54</f>
        <v>2</v>
      </c>
      <c r="K525" s="32">
        <f>LOOKUP(J525,{0,2,4,6,7,8,9,10,11,12,13},{0,1,2,3,4,5,6,7,8,9,10})</f>
        <v>1</v>
      </c>
      <c r="L525" s="4">
        <f t="shared" si="61"/>
        <v>101</v>
      </c>
      <c r="M525" s="4">
        <v>8.6</v>
      </c>
      <c r="N525" s="4">
        <f t="shared" si="60"/>
        <v>3.4</v>
      </c>
      <c r="O525" s="32">
        <f>LOOKUP(N525,{0,0.5,0.7,0.9,1.1,1.3,1.5,1.7,1.9,2.1,2.3,2.5,2.7,2.9,3.1,3.3,3.5,3.8,4.1,4.2,4.3},{0,10,20,30,40,50,60,62,64,66,68,70,72,74,76,78,80,85,90,95,100})</f>
        <v>78</v>
      </c>
      <c r="P525" s="4">
        <v>3.5</v>
      </c>
      <c r="Q525" s="4">
        <f t="shared" si="62"/>
        <v>6.5</v>
      </c>
      <c r="R525" s="32">
        <f>LOOKUP(Q525,{0,4.72,4.82,4.92,5.42,5.52,5.62,5.67,5.72,5.77,5.82,5.87,5.92,5.97,6.42,6.47,6.52,6.59,6.66,6.72,6.78},{0,10,20,30,40,50,60,62,64,66,68,70,72,74,76,78,80,85,90,95,100})</f>
        <v>78</v>
      </c>
      <c r="U525" s="4">
        <f t="shared" si="63"/>
        <v>78</v>
      </c>
      <c r="W525" s="5">
        <f t="shared" si="64"/>
        <v>55.8</v>
      </c>
      <c r="X525" s="20">
        <f t="shared" si="65"/>
        <v>80.7142857142857</v>
      </c>
    </row>
    <row r="526" s="1" customFormat="1" ht="15.6" hidden="1" spans="1:24">
      <c r="A526" s="4">
        <v>205</v>
      </c>
      <c r="B526" s="24" t="s">
        <v>259</v>
      </c>
      <c r="C526" s="25" t="s">
        <v>53</v>
      </c>
      <c r="D526" s="4">
        <v>27.7</v>
      </c>
      <c r="E526" s="32">
        <f>LOOKUP(D526,{0,1,1.8,2.6,3.4,4.2,5,6.3,7.6,8.9,10.2,11.5,12.8,14.1,15.4,16.7,18,19.7,21.4,23.1,24.8},{0,10,20,30,40,50,60,62,64,66,68,70,72,74,76,78,80,85,90,95,100})</f>
        <v>100</v>
      </c>
      <c r="F526" s="4">
        <v>165</v>
      </c>
      <c r="G526" s="32">
        <f>LOOKUP(F526,{0,124,129,134,139,144,149,152,155,158,161,164,167,170,173,176,179,186,193,199,205},{0,10,20,30,40,50,60,62,64,66,68,70,72,74,76,78,80,85,90,95,100})</f>
        <v>70</v>
      </c>
      <c r="H526" s="4">
        <v>53</v>
      </c>
      <c r="I526" s="32">
        <f>LOOKUP(H526,{0,14,16,18,20,22,24,26,28,30,32,34,36,38,40,42,44,47,50,52,54},{0,10,20,30,40,50,60,62,64,66,68,70,72,74,76,78,80,85,90,95,100})</f>
        <v>95</v>
      </c>
      <c r="J526" s="4"/>
      <c r="K526" s="4"/>
      <c r="L526" s="4">
        <f t="shared" si="61"/>
        <v>95</v>
      </c>
      <c r="M526" s="4">
        <v>9.3</v>
      </c>
      <c r="N526" s="4">
        <f t="shared" si="60"/>
        <v>2.7</v>
      </c>
      <c r="O526" s="32">
        <f>LOOKUP(N526,{0,0.5,0.7,0.9,1.1,1.3,1.5,1.7,1.9,2.1,2.3,2.5,2.7,2.9,3.1,3.3,3.5,3.8,4.1,4.2,4.3},{0,10,20,30,40,50,60,62,64,66,68,70,72,74,76,78,80,85,90,95,100})</f>
        <v>72</v>
      </c>
      <c r="P526" s="4">
        <v>3.5</v>
      </c>
      <c r="Q526" s="4">
        <f t="shared" si="62"/>
        <v>6.5</v>
      </c>
      <c r="R526" s="32">
        <f>LOOKUP(Q526,{0,4.72,4.82,4.92,5.42,5.52,5.62,5.67,5.72,5.77,5.82,5.87,5.92,5.97,6.42,6.47,6.52,6.59,6.66,6.72,6.78},{0,10,20,30,40,50,60,62,64,66,68,70,72,74,76,78,80,85,90,95,100})</f>
        <v>78</v>
      </c>
      <c r="S526" s="4"/>
      <c r="T526" s="4"/>
      <c r="U526" s="4">
        <f t="shared" si="63"/>
        <v>78</v>
      </c>
      <c r="V526" s="4"/>
      <c r="W526" s="5">
        <f t="shared" si="64"/>
        <v>56.5</v>
      </c>
      <c r="X526" s="20">
        <f t="shared" si="65"/>
        <v>80.7142857142857</v>
      </c>
    </row>
    <row r="527" ht="15.6" hidden="1" spans="1:24">
      <c r="A527" s="4">
        <v>215</v>
      </c>
      <c r="B527" s="24" t="s">
        <v>806</v>
      </c>
      <c r="C527" s="25" t="s">
        <v>53</v>
      </c>
      <c r="D527" s="4">
        <v>17.3</v>
      </c>
      <c r="E527" s="32">
        <f>LOOKUP(D527,{0,1,1.8,2.6,3.4,4.2,5,6.3,7.6,8.9,10.2,11.5,12.8,14.1,15.4,16.7,18,19.7,21.4,23.1,24.8},{0,10,20,30,40,50,60,62,64,66,68,70,72,74,76,78,80,85,90,95,100})</f>
        <v>78</v>
      </c>
      <c r="F527" s="4">
        <v>187</v>
      </c>
      <c r="G527" s="32">
        <f>LOOKUP(F527,{0,124,129,134,139,144,149,152,155,158,161,164,167,170,173,176,179,186,193,199,205},{0,10,20,30,40,50,60,62,64,66,68,70,72,74,76,78,80,85,90,95,100})</f>
        <v>85</v>
      </c>
      <c r="H527" s="4">
        <v>49</v>
      </c>
      <c r="I527" s="32">
        <f>LOOKUP(H527,{0,14,16,18,20,22,24,26,28,30,32,34,36,38,40,42,44,47,50,52,54},{0,10,20,30,40,50,60,62,64,66,68,70,72,74,76,78,80,85,90,95,100})</f>
        <v>85</v>
      </c>
      <c r="L527" s="4">
        <f t="shared" si="61"/>
        <v>85</v>
      </c>
      <c r="M527" s="4">
        <v>8.7</v>
      </c>
      <c r="N527" s="4">
        <f t="shared" si="60"/>
        <v>3.3</v>
      </c>
      <c r="O527" s="32">
        <f>LOOKUP(N527,{0,0.5,0.7,0.9,1.1,1.3,1.5,1.7,1.9,2.1,2.3,2.5,2.7,2.9,3.1,3.3,3.5,3.8,4.1,4.2,4.3},{0,10,20,30,40,50,60,62,64,66,68,70,72,74,76,78,80,85,90,95,100})</f>
        <v>78</v>
      </c>
      <c r="P527" s="4">
        <v>3.43</v>
      </c>
      <c r="Q527" s="4">
        <f t="shared" si="62"/>
        <v>6.57</v>
      </c>
      <c r="R527" s="32">
        <f>LOOKUP(Q527,{0,4.72,4.82,4.92,5.42,5.52,5.62,5.67,5.72,5.77,5.82,5.87,5.92,5.97,6.42,6.47,6.52,6.59,6.66,6.72,6.78},{0,10,20,30,40,50,60,62,64,66,68,70,72,74,76,78,80,85,90,95,100})</f>
        <v>80</v>
      </c>
      <c r="T527" s="35"/>
      <c r="U527" s="4">
        <f t="shared" si="63"/>
        <v>80</v>
      </c>
      <c r="W527" s="5">
        <f t="shared" si="64"/>
        <v>56.4</v>
      </c>
      <c r="X527" s="20">
        <f t="shared" si="65"/>
        <v>80.5714285714286</v>
      </c>
    </row>
    <row r="528" ht="15.6" hidden="1" spans="1:24">
      <c r="A528" s="4">
        <v>201</v>
      </c>
      <c r="B528" s="24" t="s">
        <v>59</v>
      </c>
      <c r="C528" s="25" t="s">
        <v>53</v>
      </c>
      <c r="D528" s="4">
        <v>18.5</v>
      </c>
      <c r="E528" s="32">
        <f>LOOKUP(D528,{0,1,1.8,2.6,3.4,4.2,5,6.3,7.6,8.9,10.2,11.5,12.8,14.1,15.4,16.7,18,19.7,21.4,23.1,24.8},{0,10,20,30,40,50,60,62,64,66,68,70,72,74,76,78,80,85,90,95,100})</f>
        <v>80</v>
      </c>
      <c r="F528" s="4">
        <v>182</v>
      </c>
      <c r="G528" s="32">
        <f>LOOKUP(F528,{0,124,129,134,139,144,149,152,155,158,161,164,167,170,173,176,179,186,193,199,205},{0,10,20,30,40,50,60,62,64,66,68,70,72,74,76,78,80,85,90,95,100})</f>
        <v>80</v>
      </c>
      <c r="H528" s="4">
        <v>52</v>
      </c>
      <c r="I528" s="32">
        <f>LOOKUP(H528,{0,14,16,18,20,22,24,26,28,30,32,34,36,38,40,42,44,47,50,52,54},{0,10,20,30,40,50,60,62,64,66,68,70,72,74,76,78,80,85,90,95,100})</f>
        <v>95</v>
      </c>
      <c r="L528" s="4">
        <f t="shared" si="61"/>
        <v>95</v>
      </c>
      <c r="M528" s="4">
        <v>8.7</v>
      </c>
      <c r="N528" s="4">
        <f t="shared" si="60"/>
        <v>3.3</v>
      </c>
      <c r="O528" s="32">
        <f>LOOKUP(N528,{0,0.5,0.7,0.9,1.1,1.3,1.5,1.7,1.9,2.1,2.3,2.5,2.7,2.9,3.1,3.3,3.5,3.8,4.1,4.2,4.3},{0,10,20,30,40,50,60,62,64,66,68,70,72,74,76,78,80,85,90,95,100})</f>
        <v>78</v>
      </c>
      <c r="P528" s="4">
        <v>3.58</v>
      </c>
      <c r="Q528" s="4">
        <f t="shared" si="62"/>
        <v>6.42</v>
      </c>
      <c r="R528" s="32">
        <f>LOOKUP(Q528,{0,4.72,4.82,4.92,5.42,5.52,5.62,5.67,5.72,5.77,5.82,5.87,5.92,5.97,6.42,6.47,6.52,6.59,6.66,6.72,6.78},{0,10,20,30,40,50,60,62,64,66,68,70,72,74,76,78,80,85,90,95,100})</f>
        <v>76</v>
      </c>
      <c r="U528" s="4">
        <f t="shared" si="63"/>
        <v>76</v>
      </c>
      <c r="W528" s="5">
        <f t="shared" si="64"/>
        <v>56.3</v>
      </c>
      <c r="X528" s="20">
        <f t="shared" si="65"/>
        <v>80.4285714285714</v>
      </c>
    </row>
    <row r="529" ht="15.6" hidden="1" spans="1:24">
      <c r="A529" s="4">
        <v>203</v>
      </c>
      <c r="B529" s="24" t="s">
        <v>152</v>
      </c>
      <c r="C529" s="25" t="s">
        <v>53</v>
      </c>
      <c r="D529" s="4">
        <v>21</v>
      </c>
      <c r="E529" s="32">
        <f>LOOKUP(D529,{0,1,1.8,2.6,3.4,4.2,5,6.3,7.6,8.9,10.2,11.5,12.8,14.1,15.4,16.7,18,19.7,21.4,23.1,24.8},{0,10,20,30,40,50,60,62,64,66,68,70,72,74,76,78,80,85,90,95,100})</f>
        <v>85</v>
      </c>
      <c r="F529" s="4">
        <v>211</v>
      </c>
      <c r="G529" s="32">
        <f>LOOKUP(F529,{0,124,129,134,139,144,149,152,155,158,161,164,167,170,173,176,179,186,193,199,205},{0,10,20,30,40,50,60,62,64,66,68,70,72,74,76,78,80,85,90,95,100})</f>
        <v>100</v>
      </c>
      <c r="H529" s="4">
        <v>50</v>
      </c>
      <c r="I529" s="32">
        <f>LOOKUP(H529,{0,14,16,18,20,22,24,26,28,30,32,34,36,38,40,42,44,47,50,52,54},{0,10,20,30,40,50,60,62,64,66,68,70,72,74,76,78,80,85,90,95,100})</f>
        <v>90</v>
      </c>
      <c r="L529" s="4">
        <f t="shared" si="61"/>
        <v>90</v>
      </c>
      <c r="M529" s="4">
        <v>9</v>
      </c>
      <c r="N529" s="4">
        <f t="shared" si="60"/>
        <v>3</v>
      </c>
      <c r="O529" s="32">
        <f>LOOKUP(N529,{0,0.5,0.7,0.9,1.1,1.3,1.5,1.7,1.9,2.1,2.3,2.5,2.7,2.9,3.1,3.3,3.5,3.8,4.1,4.2,4.3},{0,10,20,30,40,50,60,62,64,66,68,70,72,74,76,78,80,85,90,95,100})</f>
        <v>74</v>
      </c>
      <c r="P529" s="4">
        <v>4.1</v>
      </c>
      <c r="Q529" s="4">
        <f t="shared" si="62"/>
        <v>5.9</v>
      </c>
      <c r="R529" s="32">
        <f>LOOKUP(Q529,{0,4.72,4.82,4.92,5.42,5.52,5.62,5.67,5.72,5.77,5.82,5.87,5.92,5.97,6.42,6.47,6.52,6.59,6.66,6.72,6.78},{0,10,20,30,40,50,60,62,64,66,68,70,72,74,76,78,80,85,90,95,100})</f>
        <v>70</v>
      </c>
      <c r="T529" s="35"/>
      <c r="U529" s="4">
        <f t="shared" si="63"/>
        <v>70</v>
      </c>
      <c r="W529" s="5">
        <f t="shared" si="64"/>
        <v>56.3</v>
      </c>
      <c r="X529" s="20">
        <f t="shared" si="65"/>
        <v>80.4285714285714</v>
      </c>
    </row>
    <row r="530" ht="15.6" hidden="1" spans="1:24">
      <c r="A530" s="4">
        <v>201</v>
      </c>
      <c r="B530" s="24" t="s">
        <v>61</v>
      </c>
      <c r="C530" s="25" t="s">
        <v>53</v>
      </c>
      <c r="D530" s="4">
        <v>17</v>
      </c>
      <c r="E530" s="32">
        <f>LOOKUP(D530,{0,1,1.8,2.6,3.4,4.2,5,6.3,7.6,8.9,10.2,11.5,12.8,14.1,15.4,16.7,18,19.7,21.4,23.1,24.8},{0,10,20,30,40,50,60,62,64,66,68,70,72,74,76,78,80,85,90,95,100})</f>
        <v>78</v>
      </c>
      <c r="F530" s="4">
        <v>161</v>
      </c>
      <c r="G530" s="32">
        <f>LOOKUP(F530,{0,124,129,134,139,144,149,152,155,158,161,164,167,170,173,176,179,186,193,199,205},{0,10,20,30,40,50,60,62,64,66,68,70,72,74,76,78,80,85,90,95,100})</f>
        <v>68</v>
      </c>
      <c r="H530" s="4">
        <v>45</v>
      </c>
      <c r="I530" s="32">
        <f>LOOKUP(H530,{0,14,16,18,20,22,24,26,28,30,32,34,36,38,40,42,44,47,50,52,54},{0,10,20,30,40,50,60,62,64,66,68,70,72,74,76,78,80,85,90,95,100})</f>
        <v>80</v>
      </c>
      <c r="L530" s="4">
        <f t="shared" si="61"/>
        <v>80</v>
      </c>
      <c r="M530" s="4">
        <v>8.6</v>
      </c>
      <c r="N530" s="4">
        <f t="shared" si="60"/>
        <v>3.4</v>
      </c>
      <c r="O530" s="32">
        <f>LOOKUP(N530,{0,0.5,0.7,0.9,1.1,1.3,1.5,1.7,1.9,2.1,2.3,2.5,2.7,2.9,3.1,3.3,3.5,3.8,4.1,4.2,4.3},{0,10,20,30,40,50,60,62,64,66,68,70,72,74,76,78,80,85,90,95,100})</f>
        <v>78</v>
      </c>
      <c r="P530" s="4">
        <v>3.29</v>
      </c>
      <c r="Q530" s="4">
        <f t="shared" si="62"/>
        <v>6.71</v>
      </c>
      <c r="R530" s="32">
        <f>LOOKUP(Q530,{0,4.72,4.82,4.92,5.42,5.52,5.62,5.67,5.72,5.77,5.82,5.87,5.92,5.97,6.42,6.47,6.52,6.59,6.66,6.72,6.78},{0,10,20,30,40,50,60,62,64,66,68,70,72,74,76,78,80,85,90,95,100})</f>
        <v>90</v>
      </c>
      <c r="U530" s="4">
        <f t="shared" si="63"/>
        <v>90</v>
      </c>
      <c r="W530" s="5">
        <f t="shared" si="64"/>
        <v>56.2</v>
      </c>
      <c r="X530" s="20">
        <f t="shared" si="65"/>
        <v>80.2857142857143</v>
      </c>
    </row>
    <row r="531" ht="15.6" hidden="1" spans="1:24">
      <c r="A531" s="4">
        <v>212</v>
      </c>
      <c r="B531" s="24" t="s">
        <v>656</v>
      </c>
      <c r="C531" s="25" t="s">
        <v>53</v>
      </c>
      <c r="D531" s="4">
        <v>11.4</v>
      </c>
      <c r="E531" s="32">
        <f>LOOKUP(D531,{0,1,1.8,2.6,3.4,4.2,5,6.3,7.6,8.9,10.2,11.5,12.8,14.1,15.4,16.7,18,19.7,21.4,23.1,24.8},{0,10,20,30,40,50,60,62,64,66,68,70,72,74,76,78,80,85,90,95,100})</f>
        <v>68</v>
      </c>
      <c r="F531" s="4">
        <v>178</v>
      </c>
      <c r="G531" s="32">
        <f>LOOKUP(F531,{0,124,129,134,139,144,149,152,155,158,161,164,167,170,173,176,179,186,193,199,205},{0,10,20,30,40,50,60,62,64,66,68,70,72,74,76,78,80,85,90,95,100})</f>
        <v>78</v>
      </c>
      <c r="H531" s="4">
        <v>50</v>
      </c>
      <c r="I531" s="32">
        <f>LOOKUP(H531,{0,14,16,18,20,22,24,26,28,30,32,34,36,38,40,42,44,47,50,52,54},{0,10,20,30,40,50,60,62,64,66,68,70,72,74,76,78,80,85,90,95,100})</f>
        <v>90</v>
      </c>
      <c r="L531" s="4">
        <f t="shared" si="61"/>
        <v>90</v>
      </c>
      <c r="M531" s="4">
        <v>8.6</v>
      </c>
      <c r="N531" s="4">
        <f t="shared" si="60"/>
        <v>3.4</v>
      </c>
      <c r="O531" s="32">
        <f>LOOKUP(N531,{0,0.5,0.7,0.9,1.1,1.3,1.5,1.7,1.9,2.1,2.3,2.5,2.7,2.9,3.1,3.3,3.5,3.8,4.1,4.2,4.3},{0,10,20,30,40,50,60,62,64,66,68,70,72,74,76,78,80,85,90,95,100})</f>
        <v>78</v>
      </c>
      <c r="P531" s="4">
        <v>3.39</v>
      </c>
      <c r="Q531" s="4">
        <f t="shared" si="62"/>
        <v>6.61</v>
      </c>
      <c r="R531" s="32">
        <f>LOOKUP(Q531,{0,4.72,4.82,4.92,5.42,5.52,5.62,5.67,5.72,5.77,5.82,5.87,5.92,5.97,6.42,6.47,6.52,6.59,6.66,6.72,6.78},{0,10,20,30,40,50,60,62,64,66,68,70,72,74,76,78,80,85,90,95,100})</f>
        <v>85</v>
      </c>
      <c r="U531" s="4">
        <f t="shared" si="63"/>
        <v>85</v>
      </c>
      <c r="W531" s="5">
        <f t="shared" si="64"/>
        <v>56.2</v>
      </c>
      <c r="X531" s="20">
        <f t="shared" si="65"/>
        <v>80.2857142857143</v>
      </c>
    </row>
    <row r="532" ht="15.6" hidden="1" spans="1:24">
      <c r="A532" s="4">
        <v>202</v>
      </c>
      <c r="B532" s="24" t="s">
        <v>111</v>
      </c>
      <c r="C532" s="25" t="s">
        <v>53</v>
      </c>
      <c r="D532" s="4">
        <v>25.5</v>
      </c>
      <c r="E532" s="32">
        <f>LOOKUP(D532,{0,1,1.8,2.6,3.4,4.2,5,6.3,7.6,8.9,10.2,11.5,12.8,14.1,15.4,16.7,18,19.7,21.4,23.1,24.8},{0,10,20,30,40,50,60,62,64,66,68,70,72,74,76,78,80,85,90,95,100})</f>
        <v>100</v>
      </c>
      <c r="F532" s="4">
        <v>180</v>
      </c>
      <c r="G532" s="32">
        <f>LOOKUP(F532,{0,124,129,134,139,144,149,152,155,158,161,164,167,170,173,176,179,186,193,199,205},{0,10,20,30,40,50,60,62,64,66,68,70,72,74,76,78,80,85,90,95,100})</f>
        <v>80</v>
      </c>
      <c r="H532" s="4">
        <v>50</v>
      </c>
      <c r="I532" s="32">
        <f>LOOKUP(H532,{0,14,16,18,20,22,24,26,28,30,32,34,36,38,40,42,44,47,50,52,54},{0,10,20,30,40,50,60,62,64,66,68,70,72,74,76,78,80,85,90,95,100})</f>
        <v>90</v>
      </c>
      <c r="L532" s="4">
        <f t="shared" si="61"/>
        <v>90</v>
      </c>
      <c r="M532" s="4">
        <v>8.4</v>
      </c>
      <c r="N532" s="4">
        <f t="shared" si="60"/>
        <v>3.6</v>
      </c>
      <c r="O532" s="32">
        <f>LOOKUP(N532,{0,0.5,0.7,0.9,1.1,1.3,1.5,1.7,1.9,2.1,2.3,2.5,2.7,2.9,3.1,3.3,3.5,3.8,4.1,4.2,4.3},{0,10,20,30,40,50,60,62,64,66,68,70,72,74,76,78,80,85,90,95,100})</f>
        <v>80</v>
      </c>
      <c r="P532" s="4">
        <v>4.19</v>
      </c>
      <c r="Q532" s="4">
        <f t="shared" si="62"/>
        <v>5.81</v>
      </c>
      <c r="R532" s="32">
        <f>LOOKUP(Q532,{0,4.72,4.82,4.92,5.42,5.52,5.62,5.67,5.72,5.77,5.82,5.87,5.92,5.97,6.42,6.47,6.52,6.59,6.66,6.72,6.78},{0,10,20,30,40,50,60,62,64,66,68,70,72,74,76,78,80,85,90,95,100})</f>
        <v>66</v>
      </c>
      <c r="U532" s="4">
        <f t="shared" si="63"/>
        <v>66</v>
      </c>
      <c r="W532" s="5">
        <f t="shared" si="64"/>
        <v>56.2</v>
      </c>
      <c r="X532" s="20">
        <f t="shared" si="65"/>
        <v>80.2857142857143</v>
      </c>
    </row>
    <row r="533" ht="15.6" hidden="1" spans="1:24">
      <c r="A533" s="4">
        <v>214</v>
      </c>
      <c r="B533" s="24" t="s">
        <v>773</v>
      </c>
      <c r="C533" s="25" t="s">
        <v>53</v>
      </c>
      <c r="D533" s="4">
        <v>19.1</v>
      </c>
      <c r="E533" s="32">
        <f>LOOKUP(D533,{0,1,1.8,2.6,3.4,4.2,5,6.3,7.6,8.9,10.2,11.5,12.8,14.1,15.4,16.7,18,19.7,21.4,23.1,24.8},{0,10,20,30,40,50,60,62,64,66,68,70,72,74,76,78,80,85,90,95,100})</f>
        <v>80</v>
      </c>
      <c r="F533" s="4">
        <v>165</v>
      </c>
      <c r="G533" s="32">
        <f>LOOKUP(F533,{0,124,129,134,139,144,149,152,155,158,161,164,167,170,173,176,179,186,193,199,205},{0,10,20,30,40,50,60,62,64,66,68,70,72,74,76,78,80,85,90,95,100})</f>
        <v>70</v>
      </c>
      <c r="H533" s="4">
        <v>48</v>
      </c>
      <c r="I533" s="32">
        <f>LOOKUP(H533,{0,14,16,18,20,22,24,26,28,30,32,34,36,38,40,42,44,47,50,52,54},{0,10,20,30,40,50,60,62,64,66,68,70,72,74,76,78,80,85,90,95,100})</f>
        <v>85</v>
      </c>
      <c r="L533" s="4">
        <f t="shared" si="61"/>
        <v>85</v>
      </c>
      <c r="M533" s="4">
        <v>8.7</v>
      </c>
      <c r="N533" s="4">
        <f t="shared" si="60"/>
        <v>3.3</v>
      </c>
      <c r="O533" s="32">
        <f>LOOKUP(N533,{0,0.5,0.7,0.9,1.1,1.3,1.5,1.7,1.9,2.1,2.3,2.5,2.7,2.9,3.1,3.3,3.5,3.8,4.1,4.2,4.3},{0,10,20,30,40,50,60,62,64,66,68,70,72,74,76,78,80,85,90,95,100})</f>
        <v>78</v>
      </c>
      <c r="P533" s="4">
        <v>3.41</v>
      </c>
      <c r="Q533" s="4">
        <f t="shared" si="62"/>
        <v>6.59</v>
      </c>
      <c r="R533" s="32">
        <f>LOOKUP(Q533,{0,4.72,4.82,4.92,5.42,5.52,5.62,5.67,5.72,5.77,5.82,5.87,5.92,5.97,6.42,6.47,6.52,6.59,6.66,6.72,6.78},{0,10,20,30,40,50,60,62,64,66,68,70,72,74,76,78,80,85,90,95,100})</f>
        <v>85</v>
      </c>
      <c r="U533" s="4">
        <f t="shared" si="63"/>
        <v>85</v>
      </c>
      <c r="W533" s="5">
        <f t="shared" si="64"/>
        <v>56.1</v>
      </c>
      <c r="X533" s="20">
        <f t="shared" si="65"/>
        <v>80.1428571428572</v>
      </c>
    </row>
    <row r="534" ht="15.6" hidden="1" spans="1:24">
      <c r="A534" s="4">
        <v>214</v>
      </c>
      <c r="B534" s="24" t="s">
        <v>757</v>
      </c>
      <c r="C534" s="25" t="s">
        <v>53</v>
      </c>
      <c r="D534" s="4">
        <v>26</v>
      </c>
      <c r="E534" s="32">
        <f>LOOKUP(D534,{0,1,1.8,2.6,3.4,4.2,5,6.3,7.6,8.9,10.2,11.5,12.8,14.1,15.4,16.7,18,19.7,21.4,23.1,24.8},{0,10,20,30,40,50,60,62,64,66,68,70,72,74,76,78,80,85,90,95,100})</f>
        <v>100</v>
      </c>
      <c r="F534" s="4">
        <v>189</v>
      </c>
      <c r="G534" s="32">
        <f>LOOKUP(F534,{0,124,129,134,139,144,149,152,155,158,161,164,167,170,173,176,179,186,193,199,205},{0,10,20,30,40,50,60,62,64,66,68,70,72,74,76,78,80,85,90,95,100})</f>
        <v>85</v>
      </c>
      <c r="H534" s="4">
        <v>46</v>
      </c>
      <c r="I534" s="32">
        <f>LOOKUP(H534,{0,14,16,18,20,22,24,26,28,30,32,34,36,38,40,42,44,47,50,52,54},{0,10,20,30,40,50,60,62,64,66,68,70,72,74,76,78,80,85,90,95,100})</f>
        <v>80</v>
      </c>
      <c r="L534" s="4">
        <f t="shared" si="61"/>
        <v>80</v>
      </c>
      <c r="M534" s="4">
        <v>8.6</v>
      </c>
      <c r="N534" s="4">
        <f t="shared" si="60"/>
        <v>3.4</v>
      </c>
      <c r="O534" s="32">
        <f>LOOKUP(N534,{0,0.5,0.7,0.9,1.1,1.3,1.5,1.7,1.9,2.1,2.3,2.5,2.7,2.9,3.1,3.3,3.5,3.8,4.1,4.2,4.3},{0,10,20,30,40,50,60,62,64,66,68,70,72,74,76,78,80,85,90,95,100})</f>
        <v>78</v>
      </c>
      <c r="P534" s="4">
        <v>4.1</v>
      </c>
      <c r="Q534" s="4">
        <f t="shared" si="62"/>
        <v>5.9</v>
      </c>
      <c r="R534" s="32">
        <f>LOOKUP(Q534,{0,4.72,4.82,4.92,5.42,5.52,5.62,5.67,5.72,5.77,5.82,5.87,5.92,5.97,6.42,6.47,6.52,6.59,6.66,6.72,6.78},{0,10,20,30,40,50,60,62,64,66,68,70,72,74,76,78,80,85,90,95,100})</f>
        <v>70</v>
      </c>
      <c r="U534" s="4">
        <f t="shared" si="63"/>
        <v>70</v>
      </c>
      <c r="W534" s="5">
        <f t="shared" si="64"/>
        <v>56.1</v>
      </c>
      <c r="X534" s="20">
        <f t="shared" si="65"/>
        <v>80.1428571428572</v>
      </c>
    </row>
    <row r="535" ht="15.6" hidden="1" spans="1:24">
      <c r="A535" s="4">
        <v>204</v>
      </c>
      <c r="B535" s="24" t="s">
        <v>207</v>
      </c>
      <c r="C535" s="25" t="s">
        <v>53</v>
      </c>
      <c r="D535" s="4">
        <v>17.5</v>
      </c>
      <c r="E535" s="32">
        <f>LOOKUP(D535,{0,1,1.8,2.6,3.4,4.2,5,6.3,7.6,8.9,10.2,11.5,12.8,14.1,15.4,16.7,18,19.7,21.4,23.1,24.8},{0,10,20,30,40,50,60,62,64,66,68,70,72,74,76,78,80,85,90,95,100})</f>
        <v>78</v>
      </c>
      <c r="F535" s="4">
        <v>192</v>
      </c>
      <c r="G535" s="32">
        <f>LOOKUP(F535,{0,124,129,134,139,144,149,152,155,158,161,164,167,170,173,176,179,186,193,199,205},{0,10,20,30,40,50,60,62,64,66,68,70,72,74,76,78,80,85,90,95,100})</f>
        <v>85</v>
      </c>
      <c r="H535" s="4">
        <v>49</v>
      </c>
      <c r="I535" s="32">
        <f>LOOKUP(H535,{0,14,16,18,20,22,24,26,28,30,32,34,36,38,40,42,44,47,50,52,54},{0,10,20,30,40,50,60,62,64,66,68,70,72,74,76,78,80,85,90,95,100})</f>
        <v>85</v>
      </c>
      <c r="L535" s="4">
        <f t="shared" si="61"/>
        <v>85</v>
      </c>
      <c r="M535" s="4">
        <v>8.8</v>
      </c>
      <c r="N535" s="4">
        <f t="shared" si="60"/>
        <v>3.2</v>
      </c>
      <c r="O535" s="32">
        <f>LOOKUP(N535,{0,0.5,0.7,0.9,1.1,1.3,1.5,1.7,1.9,2.1,2.3,2.5,2.7,2.9,3.1,3.3,3.5,3.8,4.1,4.2,4.3},{0,10,20,30,40,50,60,62,64,66,68,70,72,74,76,78,80,85,90,95,100})</f>
        <v>76</v>
      </c>
      <c r="P535" s="4">
        <v>3.47</v>
      </c>
      <c r="Q535" s="4">
        <f t="shared" si="62"/>
        <v>6.53</v>
      </c>
      <c r="R535" s="32">
        <f>LOOKUP(Q535,{0,4.72,4.82,4.92,5.42,5.52,5.62,5.67,5.72,5.77,5.82,5.87,5.92,5.97,6.42,6.47,6.52,6.59,6.66,6.72,6.78},{0,10,20,30,40,50,60,62,64,66,68,70,72,74,76,78,80,85,90,95,100})</f>
        <v>80</v>
      </c>
      <c r="U535" s="4">
        <f t="shared" si="63"/>
        <v>80</v>
      </c>
      <c r="W535" s="5">
        <f t="shared" si="64"/>
        <v>56</v>
      </c>
      <c r="X535" s="20">
        <f t="shared" si="65"/>
        <v>80</v>
      </c>
    </row>
    <row r="536" ht="15.6" hidden="1" spans="1:24">
      <c r="A536" s="4">
        <v>214</v>
      </c>
      <c r="B536" s="24" t="s">
        <v>750</v>
      </c>
      <c r="C536" s="25" t="s">
        <v>53</v>
      </c>
      <c r="D536" s="4">
        <v>24.2</v>
      </c>
      <c r="E536" s="32">
        <f>LOOKUP(D536,{0,1,1.8,2.6,3.4,4.2,5,6.3,7.6,8.9,10.2,11.5,12.8,14.1,15.4,16.7,18,19.7,21.4,23.1,24.8},{0,10,20,30,40,50,60,62,64,66,68,70,72,74,76,78,80,85,90,95,100})</f>
        <v>95</v>
      </c>
      <c r="F536" s="4">
        <v>162</v>
      </c>
      <c r="G536" s="32">
        <f>LOOKUP(F536,{0,124,129,134,139,144,149,152,155,158,161,164,167,170,173,176,179,186,193,199,205},{0,10,20,30,40,50,60,62,64,66,68,70,72,74,76,78,80,85,90,95,100})</f>
        <v>68</v>
      </c>
      <c r="H536" s="4">
        <v>54</v>
      </c>
      <c r="I536" s="32">
        <f>LOOKUP(H536,{0,14,16,18,20,22,24,26,28,30,32,34,36,38,40,42,44,47,50,52,54},{0,10,20,30,40,50,60,62,64,66,68,70,72,74,76,78,80,85,90,95,100})</f>
        <v>100</v>
      </c>
      <c r="J536" s="4">
        <f>H536-54</f>
        <v>0</v>
      </c>
      <c r="K536" s="32">
        <f>LOOKUP(J536,{0,2,4,6,7,8,9,10,11,12,13},{0,1,2,3,4,5,6,7,8,9,10})</f>
        <v>0</v>
      </c>
      <c r="L536" s="4">
        <f t="shared" si="61"/>
        <v>100</v>
      </c>
      <c r="M536" s="4">
        <v>9.3</v>
      </c>
      <c r="N536" s="4">
        <f t="shared" si="60"/>
        <v>2.7</v>
      </c>
      <c r="O536" s="32">
        <f>LOOKUP(N536,{0,0.5,0.7,0.9,1.1,1.3,1.5,1.7,1.9,2.1,2.3,2.5,2.7,2.9,3.1,3.3,3.5,3.8,4.1,4.2,4.3},{0,10,20,30,40,50,60,62,64,66,68,70,72,74,76,78,80,85,90,95,100})</f>
        <v>72</v>
      </c>
      <c r="P536" s="4">
        <v>3.58</v>
      </c>
      <c r="Q536" s="4">
        <f t="shared" si="62"/>
        <v>6.42</v>
      </c>
      <c r="R536" s="32">
        <f>LOOKUP(Q536,{0,4.72,4.82,4.92,5.42,5.52,5.62,5.67,5.72,5.77,5.82,5.87,5.92,5.97,6.42,6.47,6.52,6.59,6.66,6.72,6.78},{0,10,20,30,40,50,60,62,64,66,68,70,72,74,76,78,80,85,90,95,100})</f>
        <v>76</v>
      </c>
      <c r="U536" s="4">
        <f t="shared" si="63"/>
        <v>76</v>
      </c>
      <c r="W536" s="5">
        <f t="shared" si="64"/>
        <v>55.9</v>
      </c>
      <c r="X536" s="20">
        <f t="shared" si="65"/>
        <v>79.8571428571429</v>
      </c>
    </row>
    <row r="537" ht="15.6" hidden="1" spans="1:24">
      <c r="A537" s="4">
        <v>207</v>
      </c>
      <c r="B537" s="24" t="s">
        <v>329</v>
      </c>
      <c r="C537" s="25" t="s">
        <v>11</v>
      </c>
      <c r="D537" s="4">
        <v>20</v>
      </c>
      <c r="E537" s="32">
        <f>LOOKUP(D537,{0,-2.9,-1.9,-0.9,0.1,1.1,2.1,3.5,4.9,6.3,7.7,9.1,10.5,11.9,13.3,14.7,16.1,18.3,20.5,22.4,24.3},{0,10,20,30,40,50,60,62,64,66,68,70,72,74,76,78,80,85,90,95,100})</f>
        <v>85</v>
      </c>
      <c r="F537" s="4">
        <v>240</v>
      </c>
      <c r="G537" s="32">
        <f>LOOKUP(F537,{0,175,180,185,190,195,200,204,208,212,216,220,224,228,232,236,240,248,255,260,265},{0,10,20,30,40,50,60,62,64,66,68,70,72,74,76,78,80,85,90,95,100})</f>
        <v>80</v>
      </c>
      <c r="H537" s="4">
        <v>20</v>
      </c>
      <c r="I537" s="32">
        <f>LOOKUP(H537,{0,3,4,5,6,7,8,9,10,11,12,13,14,15,16,17},{0,10,20,30,40,50,60,64,68,72,76,80,85,90,95,100})</f>
        <v>100</v>
      </c>
      <c r="J537" s="4">
        <f>H537-17</f>
        <v>3</v>
      </c>
      <c r="K537" s="32">
        <f>LOOKUP(J537,{0,1,2,3,4,5,6,7,8,9,10},{0,1,2,3,4,5,6,7,8,9,10})</f>
        <v>3</v>
      </c>
      <c r="L537" s="4">
        <f t="shared" si="61"/>
        <v>103</v>
      </c>
      <c r="M537" s="4">
        <v>7.4</v>
      </c>
      <c r="N537" s="4">
        <f t="shared" si="60"/>
        <v>4.6</v>
      </c>
      <c r="O537" s="32">
        <f>LOOKUP(N537,{0,1.6,1.8,2,2.2,2.4,2.6,2.8,3,3.2,3.4,3.6,3.8,4,4.2,4.4,4.6,4.7,4.8,4.9,5},{0,10,20,30,40,50,60,62,64,66,68,70,72,74,76,78,80,85,90,95,100})</f>
        <v>80</v>
      </c>
      <c r="P537" s="4">
        <v>4.58</v>
      </c>
      <c r="Q537" s="4">
        <f t="shared" si="62"/>
        <v>5.42</v>
      </c>
      <c r="R537" s="32">
        <f>LOOKUP(Q537,{0,3.8,4,4.6,4.8,5,5.6,5.65,5.7,5.75,5.8,5.85,5.9,5.95,6,6.45,6.5,6.58,6.65,6.7,6.75},{0,10,20,30,40,50,60,62,64,66,68,70,72,74,76,78,80,85,90,95,100})</f>
        <v>50</v>
      </c>
      <c r="U537" s="4">
        <f t="shared" si="63"/>
        <v>50</v>
      </c>
      <c r="W537" s="5">
        <f t="shared" si="64"/>
        <v>52.5</v>
      </c>
      <c r="X537" s="20">
        <f t="shared" si="65"/>
        <v>78</v>
      </c>
    </row>
    <row r="538" s="1" customFormat="1" ht="15.6" hidden="1" spans="1:24">
      <c r="A538" s="4">
        <v>201</v>
      </c>
      <c r="B538" s="24" t="s">
        <v>42</v>
      </c>
      <c r="C538" s="25" t="s">
        <v>11</v>
      </c>
      <c r="D538" s="4">
        <v>15.4</v>
      </c>
      <c r="E538" s="32">
        <f>LOOKUP(D538,{0,-2.9,-1.9,-0.9,0.1,1.1,2.1,3.5,4.9,6.3,7.7,9.1,10.5,11.9,13.3,14.7,16.1,18.3,20.5,22.4,24.3},{0,10,20,30,40,50,60,62,64,66,68,70,72,74,76,78,80,85,90,95,100})</f>
        <v>78</v>
      </c>
      <c r="F538" s="4">
        <v>191</v>
      </c>
      <c r="G538" s="32">
        <f>LOOKUP(F538,{0,175,180,185,190,195,200,204,208,212,216,220,224,228,232,236,240,248,255,260,265},{0,10,20,30,40,50,60,62,64,66,68,70,72,74,76,78,80,85,90,95,100})</f>
        <v>40</v>
      </c>
      <c r="H538" s="4">
        <v>0</v>
      </c>
      <c r="I538" s="32">
        <f>LOOKUP(H538,{0,3,4,5,6,7,8,9,10,11,12,13,14,15,16,17},{0,10,20,30,40,50,60,64,68,72,76,80,85,90,95,100})</f>
        <v>0</v>
      </c>
      <c r="J538" s="4"/>
      <c r="K538" s="4"/>
      <c r="L538" s="4">
        <f t="shared" si="61"/>
        <v>0</v>
      </c>
      <c r="M538" s="4">
        <v>8.3</v>
      </c>
      <c r="N538" s="4">
        <f t="shared" si="60"/>
        <v>3.7</v>
      </c>
      <c r="O538" s="32">
        <f>LOOKUP(N538,{0,1.6,1.8,2,2.2,2.4,2.6,2.8,3,3.2,3.4,3.6,3.8,4,4.2,4.4,4.6,4.7,4.8,4.9,5},{0,10,20,30,40,50,60,62,64,66,68,70,72,74,76,78,80,85,90,95,100})</f>
        <v>70</v>
      </c>
      <c r="P538" s="4">
        <v>5.01</v>
      </c>
      <c r="Q538" s="4">
        <f t="shared" si="62"/>
        <v>4.99</v>
      </c>
      <c r="R538" s="32">
        <f>LOOKUP(Q538,{0,3.8,4,4.6,4.8,5,5.6,5.65,5.7,5.75,5.8,5.85,5.9,5.95,6,6.45,6.5,6.58,6.65,6.7,6.75},{0,10,20,30,40,50,60,62,64,66,68,70,72,74,76,78,80,85,90,95,100})</f>
        <v>40</v>
      </c>
      <c r="S538" s="4"/>
      <c r="T538" s="4"/>
      <c r="U538" s="4">
        <f t="shared" si="63"/>
        <v>40</v>
      </c>
      <c r="V538" s="4"/>
      <c r="W538" s="5">
        <f t="shared" si="64"/>
        <v>33.8</v>
      </c>
      <c r="X538" s="20">
        <f t="shared" si="65"/>
        <v>48.2857142857143</v>
      </c>
    </row>
    <row r="539" ht="15.6" hidden="1" spans="1:24">
      <c r="A539" s="4">
        <v>205</v>
      </c>
      <c r="B539" s="24" t="s">
        <v>217</v>
      </c>
      <c r="C539" s="25" t="s">
        <v>11</v>
      </c>
      <c r="D539" s="4">
        <v>10.6</v>
      </c>
      <c r="E539" s="32">
        <f>LOOKUP(D539,{0,-2.9,-1.9,-0.9,0.1,1.1,2.1,3.5,4.9,6.3,7.7,9.1,10.5,11.9,13.3,14.7,16.1,18.3,20.5,22.4,24.3},{0,10,20,30,40,50,60,62,64,66,68,70,72,74,76,78,80,85,90,95,100})</f>
        <v>72</v>
      </c>
      <c r="F539" s="4">
        <v>190</v>
      </c>
      <c r="G539" s="32">
        <f>LOOKUP(F539,{0,175,180,185,190,195,200,204,208,212,216,220,224,228,232,236,240,248,255,260,265},{0,10,20,30,40,50,60,62,64,66,68,70,72,74,76,78,80,85,90,95,100})</f>
        <v>40</v>
      </c>
      <c r="H539" s="4">
        <v>3</v>
      </c>
      <c r="I539" s="32">
        <f>LOOKUP(H539,{0,3,4,5,6,7,8,9,10,11,12,13,14,15,16,17},{0,10,20,30,40,50,60,64,68,72,76,80,85,90,95,100})</f>
        <v>10</v>
      </c>
      <c r="L539" s="4">
        <f t="shared" si="61"/>
        <v>10</v>
      </c>
      <c r="M539" s="4">
        <v>8.1</v>
      </c>
      <c r="N539" s="4">
        <f t="shared" si="60"/>
        <v>3.9</v>
      </c>
      <c r="O539" s="32">
        <f>LOOKUP(N539,{0,1.6,1.8,2,2.2,2.4,2.6,2.8,3,3.2,3.4,3.6,3.8,4,4.2,4.4,4.6,4.7,4.8,4.9,5},{0,10,20,30,40,50,60,62,64,66,68,70,72,74,76,78,80,85,90,95,100})</f>
        <v>72</v>
      </c>
      <c r="P539" s="4">
        <v>5.02</v>
      </c>
      <c r="Q539" s="4">
        <f t="shared" si="62"/>
        <v>4.98</v>
      </c>
      <c r="R539" s="32">
        <f>LOOKUP(Q539,{0,3.8,4,4.6,4.8,5,5.6,5.65,5.7,5.75,5.8,5.85,5.9,5.95,6,6.45,6.5,6.58,6.65,6.7,6.75},{0,10,20,30,40,50,60,62,64,66,68,70,72,74,76,78,80,85,90,95,100})</f>
        <v>40</v>
      </c>
      <c r="U539" s="4">
        <f t="shared" si="63"/>
        <v>40</v>
      </c>
      <c r="W539" s="5">
        <f t="shared" si="64"/>
        <v>34.6</v>
      </c>
      <c r="X539" s="20">
        <f t="shared" si="65"/>
        <v>49.4285714285714</v>
      </c>
    </row>
    <row r="540" ht="15.6" hidden="1" spans="1:24">
      <c r="A540" s="4">
        <v>206</v>
      </c>
      <c r="B540" s="24" t="s">
        <v>285</v>
      </c>
      <c r="C540" s="25" t="s">
        <v>11</v>
      </c>
      <c r="D540" s="4">
        <v>6.9</v>
      </c>
      <c r="E540" s="32">
        <f>LOOKUP(D540,{0,-2.9,-1.9,-0.9,0.1,1.1,2.1,3.5,4.9,6.3,7.7,9.1,10.5,11.9,13.3,14.7,16.1,18.3,20.5,22.4,24.3},{0,10,20,30,40,50,60,62,64,66,68,70,72,74,76,78,80,85,90,95,100})</f>
        <v>66</v>
      </c>
      <c r="F540" s="4">
        <v>220</v>
      </c>
      <c r="G540" s="32">
        <f>LOOKUP(F540,{0,175,180,185,190,195,200,204,208,212,216,220,224,228,232,236,240,248,255,260,265},{0,10,20,30,40,50,60,62,64,66,68,70,72,74,76,78,80,85,90,95,100})</f>
        <v>70</v>
      </c>
      <c r="H540" s="4">
        <v>3</v>
      </c>
      <c r="I540" s="32">
        <f>LOOKUP(H540,{0,3,4,5,6,7,8,9,10,11,12,13,14,15,16,17},{0,10,20,30,40,50,60,64,68,72,76,80,85,90,95,100})</f>
        <v>10</v>
      </c>
      <c r="L540" s="4">
        <f t="shared" si="61"/>
        <v>10</v>
      </c>
      <c r="M540" s="4">
        <v>7.7</v>
      </c>
      <c r="N540" s="4">
        <f t="shared" si="60"/>
        <v>4.3</v>
      </c>
      <c r="O540" s="32">
        <f>LOOKUP(N540,{0,1.6,1.8,2,2.2,2.4,2.6,2.8,3,3.2,3.4,3.6,3.8,4,4.2,4.4,4.6,4.7,4.8,4.9,5},{0,10,20,30,40,50,60,62,64,66,68,70,72,74,76,78,80,85,90,95,100})</f>
        <v>76</v>
      </c>
      <c r="P540" s="4">
        <v>5.05</v>
      </c>
      <c r="Q540" s="4">
        <f t="shared" si="62"/>
        <v>4.95</v>
      </c>
      <c r="R540" s="32">
        <f>LOOKUP(Q540,{0,3.8,4,4.6,4.8,5,5.6,5.65,5.7,5.75,5.8,5.85,5.9,5.95,6,6.45,6.5,6.58,6.65,6.7,6.75},{0,10,20,30,40,50,60,62,64,66,68,70,72,74,76,78,80,85,90,95,100})</f>
        <v>40</v>
      </c>
      <c r="U540" s="4">
        <f t="shared" si="63"/>
        <v>40</v>
      </c>
      <c r="W540" s="5">
        <f t="shared" si="64"/>
        <v>37.8</v>
      </c>
      <c r="X540" s="20">
        <f t="shared" si="65"/>
        <v>54</v>
      </c>
    </row>
    <row r="541" ht="15.6" hidden="1" spans="1:24">
      <c r="A541" s="4">
        <v>207</v>
      </c>
      <c r="B541" s="24" t="s">
        <v>361</v>
      </c>
      <c r="C541" s="25" t="s">
        <v>11</v>
      </c>
      <c r="D541" s="4">
        <v>5.5</v>
      </c>
      <c r="E541" s="32">
        <f>LOOKUP(D541,{0,-2.9,-1.9,-0.9,0.1,1.1,2.1,3.5,4.9,6.3,7.7,9.1,10.5,11.9,13.3,14.7,16.1,18.3,20.5,22.4,24.3},{0,10,20,30,40,50,60,62,64,66,68,70,72,74,76,78,80,85,90,95,100})</f>
        <v>64</v>
      </c>
      <c r="F541" s="4">
        <v>180</v>
      </c>
      <c r="G541" s="32">
        <f>LOOKUP(F541,{0,175,180,185,190,195,200,204,208,212,216,220,224,228,232,236,240,248,255,260,265},{0,10,20,30,40,50,60,62,64,66,68,70,72,74,76,78,80,85,90,95,100})</f>
        <v>20</v>
      </c>
      <c r="H541" s="4">
        <v>0</v>
      </c>
      <c r="I541" s="32">
        <f>LOOKUP(H541,{0,3,4,5,6,7,8,9,10,11,12,13,14,15,16,17},{0,10,20,30,40,50,60,64,68,72,76,80,85,90,95,100})</f>
        <v>0</v>
      </c>
      <c r="L541" s="4">
        <f t="shared" si="61"/>
        <v>0</v>
      </c>
      <c r="M541" s="4">
        <v>8.5</v>
      </c>
      <c r="N541" s="4">
        <f t="shared" si="60"/>
        <v>3.5</v>
      </c>
      <c r="O541" s="32">
        <f>LOOKUP(N541,{0,1.6,1.8,2,2.2,2.4,2.6,2.8,3,3.2,3.4,3.6,3.8,4,4.2,4.4,4.6,4.7,4.8,4.9,5},{0,10,20,30,40,50,60,62,64,66,68,70,72,74,76,78,80,85,90,95,100})</f>
        <v>68</v>
      </c>
      <c r="P541" s="4">
        <v>5.09</v>
      </c>
      <c r="Q541" s="4">
        <f t="shared" si="62"/>
        <v>4.91</v>
      </c>
      <c r="R541" s="32">
        <f>LOOKUP(Q541,{0,3.8,4,4.6,4.8,5,5.6,5.65,5.7,5.75,5.8,5.85,5.9,5.95,6,6.45,6.5,6.58,6.65,6.7,6.75},{0,10,20,30,40,50,60,62,64,66,68,70,72,74,76,78,80,85,90,95,100})</f>
        <v>40</v>
      </c>
      <c r="U541" s="4">
        <f t="shared" si="63"/>
        <v>40</v>
      </c>
      <c r="W541" s="5">
        <f t="shared" si="64"/>
        <v>30</v>
      </c>
      <c r="X541" s="20">
        <f t="shared" si="65"/>
        <v>42.8571428571429</v>
      </c>
    </row>
    <row r="542" ht="15.6" hidden="1" spans="1:24">
      <c r="A542" s="4">
        <v>212</v>
      </c>
      <c r="B542" s="24" t="s">
        <v>635</v>
      </c>
      <c r="C542" s="25" t="s">
        <v>11</v>
      </c>
      <c r="D542" s="4">
        <v>17.4</v>
      </c>
      <c r="E542" s="32">
        <f>LOOKUP(D542,{0,-2.9,-1.9,-0.9,0.1,1.1,2.1,3.5,4.9,6.3,7.7,9.1,10.5,11.9,13.3,14.7,16.1,18.3,20.5,22.4,24.3},{0,10,20,30,40,50,60,62,64,66,68,70,72,74,76,78,80,85,90,95,100})</f>
        <v>80</v>
      </c>
      <c r="G542" s="32"/>
      <c r="H542" s="4">
        <v>0</v>
      </c>
      <c r="I542" s="32">
        <f>LOOKUP(H542,{0,3,4,5,6,7,8,9,10,11,12,13,14,15,16,17},{0,10,20,30,40,50,60,64,68,72,76,80,85,90,95,100})</f>
        <v>0</v>
      </c>
      <c r="L542" s="4">
        <f t="shared" si="61"/>
        <v>0</v>
      </c>
      <c r="M542" s="4">
        <v>8.9</v>
      </c>
      <c r="N542" s="4">
        <f t="shared" si="60"/>
        <v>3.1</v>
      </c>
      <c r="O542" s="32">
        <f>LOOKUP(N542,{0,1.6,1.8,2,2.2,2.4,2.6,2.8,3,3.2,3.4,3.6,3.8,4,4.2,4.4,4.6,4.7,4.8,4.9,5},{0,10,20,30,40,50,60,62,64,66,68,70,72,74,76,78,80,85,90,95,100})</f>
        <v>64</v>
      </c>
      <c r="P542" s="4">
        <v>5.15</v>
      </c>
      <c r="Q542" s="4">
        <f t="shared" si="62"/>
        <v>4.85</v>
      </c>
      <c r="R542" s="32">
        <f>LOOKUP(Q542,{0,3.8,4,4.6,4.8,5,5.6,5.65,5.7,5.75,5.8,5.85,5.9,5.95,6,6.45,6.5,6.58,6.65,6.7,6.75},{0,10,20,30,40,50,60,62,64,66,68,70,72,74,76,78,80,85,90,95,100})</f>
        <v>40</v>
      </c>
      <c r="U542" s="4">
        <f t="shared" si="63"/>
        <v>40</v>
      </c>
      <c r="W542" s="5">
        <f t="shared" si="64"/>
        <v>28.8</v>
      </c>
      <c r="X542" s="23">
        <v>50</v>
      </c>
    </row>
    <row r="543" ht="15.6" hidden="1" spans="1:24">
      <c r="A543" s="4">
        <v>212</v>
      </c>
      <c r="B543" s="24" t="s">
        <v>610</v>
      </c>
      <c r="C543" s="25" t="s">
        <v>11</v>
      </c>
      <c r="D543" s="4">
        <v>8</v>
      </c>
      <c r="E543" s="32">
        <f>LOOKUP(D543,{0,-2.9,-1.9,-0.9,0.1,1.1,2.1,3.5,4.9,6.3,7.7,9.1,10.5,11.9,13.3,14.7,16.1,18.3,20.5,22.4,24.3},{0,10,20,30,40,50,60,62,64,66,68,70,72,74,76,78,80,85,90,95,100})</f>
        <v>68</v>
      </c>
      <c r="F543" s="4">
        <v>201</v>
      </c>
      <c r="G543" s="32">
        <f>LOOKUP(F543,{0,175,180,185,190,195,200,204,208,212,216,220,224,228,232,236,240,248,255,260,265},{0,10,20,30,40,50,60,62,64,66,68,70,72,74,76,78,80,85,90,95,100})</f>
        <v>60</v>
      </c>
      <c r="H543" s="4">
        <v>9</v>
      </c>
      <c r="I543" s="32">
        <f>LOOKUP(H543,{0,3,4,5,6,7,8,9,10,11,12,13,14,15,16,17},{0,10,20,30,40,50,60,64,68,72,76,80,85,90,95,100})</f>
        <v>64</v>
      </c>
      <c r="L543" s="4">
        <f t="shared" si="61"/>
        <v>64</v>
      </c>
      <c r="O543" s="32"/>
      <c r="P543" s="4">
        <v>5.15</v>
      </c>
      <c r="Q543" s="4">
        <f t="shared" si="62"/>
        <v>4.85</v>
      </c>
      <c r="R543" s="32">
        <f>LOOKUP(Q543,{0,3.8,4,4.6,4.8,5,5.6,5.65,5.7,5.75,5.8,5.85,5.9,5.95,6,6.45,6.5,6.58,6.65,6.7,6.75},{0,10,20,30,40,50,60,62,64,66,68,70,72,74,76,78,80,85,90,95,100})</f>
        <v>40</v>
      </c>
      <c r="U543" s="4">
        <f t="shared" si="63"/>
        <v>40</v>
      </c>
      <c r="W543" s="5">
        <f t="shared" si="64"/>
        <v>27.2</v>
      </c>
      <c r="X543" s="23">
        <v>50</v>
      </c>
    </row>
    <row r="544" ht="15.6" hidden="1" spans="1:24">
      <c r="A544" s="4">
        <v>208</v>
      </c>
      <c r="B544" s="24" t="s">
        <v>400</v>
      </c>
      <c r="C544" s="25" t="s">
        <v>11</v>
      </c>
      <c r="D544" s="4">
        <v>21.3</v>
      </c>
      <c r="E544" s="32">
        <f>LOOKUP(D544,{0,-2.9,-1.9,-0.9,0.1,1.1,2.1,3.5,4.9,6.3,7.7,9.1,10.5,11.9,13.3,14.7,16.1,18.3,20.5,22.4,24.3},{0,10,20,30,40,50,60,62,64,66,68,70,72,74,76,78,80,85,90,95,100})</f>
        <v>90</v>
      </c>
      <c r="F544" s="4">
        <v>250</v>
      </c>
      <c r="G544" s="32">
        <f>LOOKUP(F544,{0,175,180,185,190,195,200,204,208,212,216,220,224,228,232,236,240,248,255,260,265},{0,10,20,30,40,50,60,62,64,66,68,70,72,74,76,78,80,85,90,95,100})</f>
        <v>85</v>
      </c>
      <c r="H544" s="4">
        <v>19</v>
      </c>
      <c r="I544" s="32">
        <f>LOOKUP(H544,{0,3,4,5,6,7,8,9,10,11,12,13,14,15,16,17},{0,10,20,30,40,50,60,64,68,72,76,80,85,90,95,100})</f>
        <v>100</v>
      </c>
      <c r="J544" s="4">
        <f>H544-17</f>
        <v>2</v>
      </c>
      <c r="K544" s="32">
        <f>LOOKUP(J544,{0,1,2,3,4,5,6,7,8,9,10},{0,1,2,3,4,5,6,7,8,9,10})</f>
        <v>2</v>
      </c>
      <c r="L544" s="4">
        <f t="shared" si="61"/>
        <v>102</v>
      </c>
      <c r="M544" s="4">
        <v>7.2</v>
      </c>
      <c r="N544" s="4">
        <f t="shared" ref="N544:N559" si="66">12-M544</f>
        <v>4.8</v>
      </c>
      <c r="O544" s="32">
        <f>LOOKUP(N544,{0,1.6,1.8,2,2.2,2.4,2.6,2.8,3,3.2,3.4,3.6,3.8,4,4.2,4.4,4.6,4.7,4.8,4.9,5},{0,10,20,30,40,50,60,62,64,66,68,70,72,74,76,78,80,85,90,95,100})</f>
        <v>90</v>
      </c>
      <c r="P544" s="4">
        <v>5.16</v>
      </c>
      <c r="Q544" s="4">
        <f t="shared" si="62"/>
        <v>4.84</v>
      </c>
      <c r="R544" s="32">
        <f>LOOKUP(Q544,{0,3.8,4,4.6,4.8,5,5.6,5.65,5.7,5.75,5.8,5.85,5.9,5.95,6,6.45,6.5,6.58,6.65,6.7,6.75},{0,10,20,30,40,50,60,62,64,66,68,70,72,74,76,78,80,85,90,95,100})</f>
        <v>40</v>
      </c>
      <c r="U544" s="4">
        <f t="shared" si="63"/>
        <v>40</v>
      </c>
      <c r="W544" s="5">
        <f t="shared" si="64"/>
        <v>53.5</v>
      </c>
      <c r="X544" s="20">
        <f>W544/0.7+K544+T544</f>
        <v>78.4285714285714</v>
      </c>
    </row>
    <row r="545" ht="15.6" hidden="1" spans="1:24">
      <c r="A545" s="4">
        <v>205</v>
      </c>
      <c r="B545" s="24" t="s">
        <v>214</v>
      </c>
      <c r="C545" s="25" t="s">
        <v>11</v>
      </c>
      <c r="D545" s="4">
        <v>7</v>
      </c>
      <c r="E545" s="32">
        <f>LOOKUP(D545,{0,-2.9,-1.9,-0.9,0.1,1.1,2.1,3.5,4.9,6.3,7.7,9.1,10.5,11.9,13.3,14.7,16.1,18.3,20.5,22.4,24.3},{0,10,20,30,40,50,60,62,64,66,68,70,72,74,76,78,80,85,90,95,100})</f>
        <v>66</v>
      </c>
      <c r="F545" s="4">
        <v>203</v>
      </c>
      <c r="G545" s="32">
        <f>LOOKUP(F545,{0,175,180,185,190,195,200,204,208,212,216,220,224,228,232,236,240,248,255,260,265},{0,10,20,30,40,50,60,62,64,66,68,70,72,74,76,78,80,85,90,95,100})</f>
        <v>60</v>
      </c>
      <c r="H545" s="4">
        <v>0</v>
      </c>
      <c r="I545" s="32">
        <f>LOOKUP(H545,{0,3,4,5,6,7,8,9,10,11,12,13,14,15,16,17},{0,10,20,30,40,50,60,64,68,72,76,80,85,90,95,100})</f>
        <v>0</v>
      </c>
      <c r="L545" s="4">
        <f t="shared" si="61"/>
        <v>0</v>
      </c>
      <c r="M545" s="4">
        <v>8</v>
      </c>
      <c r="N545" s="4">
        <f t="shared" si="66"/>
        <v>4</v>
      </c>
      <c r="O545" s="32">
        <f>LOOKUP(N545,{0,1.6,1.8,2,2.2,2.4,2.6,2.8,3,3.2,3.4,3.6,3.8,4,4.2,4.4,4.6,4.7,4.8,4.9,5},{0,10,20,30,40,50,60,62,64,66,68,70,72,74,76,78,80,85,90,95,100})</f>
        <v>74</v>
      </c>
      <c r="P545" s="4">
        <v>5.17</v>
      </c>
      <c r="Q545" s="4">
        <f t="shared" si="62"/>
        <v>4.83</v>
      </c>
      <c r="R545" s="32">
        <f>LOOKUP(Q545,{0,3.8,4,4.6,4.8,5,5.6,5.65,5.7,5.75,5.8,5.85,5.9,5.95,6,6.45,6.5,6.58,6.65,6.7,6.75},{0,10,20,30,40,50,60,62,64,66,68,70,72,74,76,78,80,85,90,95,100})</f>
        <v>40</v>
      </c>
      <c r="U545" s="4">
        <f t="shared" si="63"/>
        <v>40</v>
      </c>
      <c r="W545" s="5">
        <f t="shared" si="64"/>
        <v>35.4</v>
      </c>
      <c r="X545" s="20">
        <f>W545/0.7+K545+T545</f>
        <v>50.5714285714286</v>
      </c>
    </row>
    <row r="546" ht="15.6" hidden="1" spans="1:24">
      <c r="A546" s="4">
        <v>212</v>
      </c>
      <c r="B546" s="24" t="s">
        <v>621</v>
      </c>
      <c r="C546" s="25" t="s">
        <v>11</v>
      </c>
      <c r="D546" s="4">
        <v>6</v>
      </c>
      <c r="E546" s="32">
        <f>LOOKUP(D546,{0,-2.9,-1.9,-0.9,0.1,1.1,2.1,3.5,4.9,6.3,7.7,9.1,10.5,11.9,13.3,14.7,16.1,18.3,20.5,22.4,24.3},{0,10,20,30,40,50,60,62,64,66,68,70,72,74,76,78,80,85,90,95,100})</f>
        <v>64</v>
      </c>
      <c r="F546" s="4">
        <v>178</v>
      </c>
      <c r="G546" s="32">
        <f>LOOKUP(F546,{0,175,180,185,190,195,200,204,208,212,216,220,224,228,232,236,240,248,255,260,265},{0,10,20,30,40,50,60,62,64,66,68,70,72,74,76,78,80,85,90,95,100})</f>
        <v>10</v>
      </c>
      <c r="H546" s="4">
        <v>1</v>
      </c>
      <c r="I546" s="32">
        <f>LOOKUP(H546,{0,3,4,5,6,7,8,9,10,11,12,13,14,15,16,17},{0,10,20,30,40,50,60,64,68,72,76,80,85,90,95,100})</f>
        <v>0</v>
      </c>
      <c r="L546" s="4">
        <f t="shared" si="61"/>
        <v>0</v>
      </c>
      <c r="M546" s="4">
        <v>8.3</v>
      </c>
      <c r="N546" s="4">
        <f t="shared" si="66"/>
        <v>3.7</v>
      </c>
      <c r="O546" s="32">
        <f>LOOKUP(N546,{0,1.6,1.8,2,2.2,2.4,2.6,2.8,3,3.2,3.4,3.6,3.8,4,4.2,4.4,4.6,4.7,4.8,4.9,5},{0,10,20,30,40,50,60,62,64,66,68,70,72,74,76,78,80,85,90,95,100})</f>
        <v>70</v>
      </c>
      <c r="P546" s="4">
        <v>5.24</v>
      </c>
      <c r="Q546" s="4">
        <f t="shared" si="62"/>
        <v>4.76</v>
      </c>
      <c r="R546" s="32">
        <f>LOOKUP(Q546,{0,3.8,4,4.6,4.8,5,5.6,5.65,5.7,5.75,5.8,5.85,5.9,5.95,6,6.45,6.5,6.58,6.65,6.7,6.75},{0,10,20,30,40,50,60,62,64,66,68,70,72,74,76,78,80,85,90,95,100})</f>
        <v>30</v>
      </c>
      <c r="U546" s="4">
        <f t="shared" si="63"/>
        <v>30</v>
      </c>
      <c r="W546" s="5">
        <f t="shared" si="64"/>
        <v>27.4</v>
      </c>
      <c r="X546" s="20">
        <f>W546/0.7+K546+T546</f>
        <v>39.1428571428571</v>
      </c>
    </row>
    <row r="547" ht="15.6" hidden="1" spans="1:24">
      <c r="A547" s="4">
        <v>206</v>
      </c>
      <c r="B547" s="24" t="s">
        <v>306</v>
      </c>
      <c r="C547" s="25" t="s">
        <v>11</v>
      </c>
      <c r="D547" s="4">
        <v>14</v>
      </c>
      <c r="E547" s="32">
        <f>LOOKUP(D547,{0,-2.9,-1.9,-0.9,0.1,1.1,2.1,3.5,4.9,6.3,7.7,9.1,10.5,11.9,13.3,14.7,16.1,18.3,20.5,22.4,24.3},{0,10,20,30,40,50,60,62,64,66,68,70,72,74,76,78,80,85,90,95,100})</f>
        <v>76</v>
      </c>
      <c r="F547" s="4">
        <v>240</v>
      </c>
      <c r="G547" s="32">
        <f>LOOKUP(F547,{0,175,180,185,190,195,200,204,208,212,216,220,224,228,232,236,240,248,255,260,265},{0,10,20,30,40,50,60,62,64,66,68,70,72,74,76,78,80,85,90,95,100})</f>
        <v>80</v>
      </c>
      <c r="H547" s="4">
        <v>7</v>
      </c>
      <c r="I547" s="32">
        <f>LOOKUP(H547,{0,3,4,5,6,7,8,9,10,11,12,13,14,15,16,17},{0,10,20,30,40,50,60,64,68,72,76,80,85,90,95,100})</f>
        <v>50</v>
      </c>
      <c r="L547" s="4">
        <f t="shared" si="61"/>
        <v>50</v>
      </c>
      <c r="M547" s="4">
        <v>7.1</v>
      </c>
      <c r="N547" s="4">
        <f t="shared" si="66"/>
        <v>4.9</v>
      </c>
      <c r="O547" s="32">
        <f>LOOKUP(N547,{0,1.6,1.8,2,2.2,2.4,2.6,2.8,3,3.2,3.4,3.6,3.8,4,4.2,4.4,4.6,4.7,4.8,4.9,5},{0,10,20,30,40,50,60,62,64,66,68,70,72,74,76,78,80,85,90,95,100})</f>
        <v>95</v>
      </c>
      <c r="P547" s="4">
        <v>5.37</v>
      </c>
      <c r="Q547" s="4">
        <f t="shared" si="62"/>
        <v>4.63</v>
      </c>
      <c r="R547" s="32">
        <f>LOOKUP(Q547,{0,3.8,4,4.6,4.8,5,5.6,5.65,5.7,5.75,5.8,5.85,5.9,5.95,6,6.45,6.5,6.58,6.65,6.7,6.75},{0,10,20,30,40,50,60,62,64,66,68,70,72,74,76,78,80,85,90,95,100})</f>
        <v>30</v>
      </c>
      <c r="U547" s="4">
        <f t="shared" si="63"/>
        <v>30</v>
      </c>
      <c r="W547" s="5">
        <f t="shared" si="64"/>
        <v>45.6</v>
      </c>
      <c r="X547" s="20">
        <f>W547/0.7+K547+T547</f>
        <v>65.1428571428572</v>
      </c>
    </row>
    <row r="548" ht="15.6" hidden="1" spans="1:24">
      <c r="A548" s="4">
        <v>213</v>
      </c>
      <c r="B548" s="24" t="s">
        <v>673</v>
      </c>
      <c r="C548" s="25" t="s">
        <v>11</v>
      </c>
      <c r="D548" s="4">
        <v>11.4</v>
      </c>
      <c r="E548" s="32">
        <f>LOOKUP(D548,{0,-2.9,-1.9,-0.9,0.1,1.1,2.1,3.5,4.9,6.3,7.7,9.1,10.5,11.9,13.3,14.7,16.1,18.3,20.5,22.4,24.3},{0,10,20,30,40,50,60,62,64,66,68,70,72,74,76,78,80,85,90,95,100})</f>
        <v>72</v>
      </c>
      <c r="F548" s="4">
        <v>157</v>
      </c>
      <c r="G548" s="32">
        <f>LOOKUP(F548,{0,175,180,185,190,195,200,204,208,212,216,220,224,228,232,236,240,248,255,260,265},{0,10,20,30,40,50,60,62,64,66,68,70,72,74,76,78,80,85,90,95,100})</f>
        <v>0</v>
      </c>
      <c r="H548" s="4">
        <v>0</v>
      </c>
      <c r="I548" s="32">
        <f>LOOKUP(H548,{0,3,4,5,6,7,8,9,10,11,12,13,14,15,16,17},{0,10,20,30,40,50,60,64,68,72,76,80,85,90,95,100})</f>
        <v>0</v>
      </c>
      <c r="L548" s="4">
        <f t="shared" si="61"/>
        <v>0</v>
      </c>
      <c r="M548" s="4">
        <v>8.8</v>
      </c>
      <c r="N548" s="4">
        <f t="shared" si="66"/>
        <v>3.2</v>
      </c>
      <c r="O548" s="32">
        <f>LOOKUP(N548,{0,1.6,1.8,2,2.2,2.4,2.6,2.8,3,3.2,3.4,3.6,3.8,4,4.2,4.4,4.6,4.7,4.8,4.9,5},{0,10,20,30,40,50,60,62,64,66,68,70,72,74,76,78,80,85,90,95,100})</f>
        <v>66</v>
      </c>
      <c r="P548" s="4">
        <v>6.03</v>
      </c>
      <c r="Q548" s="4">
        <f t="shared" si="62"/>
        <v>3.97</v>
      </c>
      <c r="R548" s="32">
        <f>LOOKUP(Q548,{0,3.8,4,4.6,4.8,5,5.6,5.65,5.7,5.75,5.8,5.85,5.9,5.95,6,6.45,6.5,6.58,6.65,6.7,6.75},{0,10,20,30,40,50,60,62,64,66,68,70,72,74,76,78,80,85,90,95,100})</f>
        <v>10</v>
      </c>
      <c r="T548" s="35"/>
      <c r="U548" s="4">
        <f t="shared" si="63"/>
        <v>10</v>
      </c>
      <c r="W548" s="5">
        <f t="shared" si="64"/>
        <v>22.4</v>
      </c>
      <c r="X548" s="20">
        <f>W548/0.7+K548+T548</f>
        <v>32</v>
      </c>
    </row>
    <row r="549" s="1" customFormat="1" ht="15.6" hidden="1" spans="1:24">
      <c r="A549" s="4">
        <v>214</v>
      </c>
      <c r="B549" s="24" t="s">
        <v>738</v>
      </c>
      <c r="C549" s="25" t="s">
        <v>11</v>
      </c>
      <c r="D549" s="4">
        <v>-0.4</v>
      </c>
      <c r="E549" s="32">
        <f>LOOKUP(D549,{0,-2.9,-1.9,-0.9,0.1,1.1,2.1,3.5,4.9,6.3,7.7,9.1,10.5,11.9,13.3,14.7,16.1,18.3,20.5,22.4,24.3},{0,10,20,30,40,50,60,62,64,66,68,70,72,74,76,78,80,85,90,95,100})</f>
        <v>30</v>
      </c>
      <c r="F549" s="4">
        <v>141</v>
      </c>
      <c r="G549" s="32">
        <f>LOOKUP(F549,{0,175,180,185,190,195,200,204,208,212,216,220,224,228,232,236,240,248,255,260,265},{0,10,20,30,40,50,60,62,64,66,68,70,72,74,76,78,80,85,90,95,100})</f>
        <v>0</v>
      </c>
      <c r="H549" s="4">
        <v>0</v>
      </c>
      <c r="I549" s="32">
        <f>LOOKUP(H549,{0,3,4,5,6,7,8,9,10,11,12,13,14,15,16,17},{0,10,20,30,40,50,60,64,68,72,76,80,85,90,95,100})</f>
        <v>0</v>
      </c>
      <c r="J549" s="4"/>
      <c r="K549" s="4"/>
      <c r="L549" s="4">
        <f t="shared" si="61"/>
        <v>0</v>
      </c>
      <c r="M549" s="4">
        <v>10.7</v>
      </c>
      <c r="N549" s="4">
        <f t="shared" si="66"/>
        <v>1.3</v>
      </c>
      <c r="O549" s="32">
        <f>LOOKUP(N549,{0,1.6,1.8,2,2.2,2.4,2.6,2.8,3,3.2,3.4,3.6,3.8,4,4.2,4.4,4.6,4.7,4.8,4.9,5},{0,10,20,30,40,50,60,62,64,66,68,70,72,74,76,78,80,85,90,95,100})</f>
        <v>0</v>
      </c>
      <c r="P549" s="4" t="s">
        <v>739</v>
      </c>
      <c r="Q549" s="4" t="e">
        <f t="shared" si="62"/>
        <v>#VALUE!</v>
      </c>
      <c r="R549" s="32"/>
      <c r="S549" s="4"/>
      <c r="T549" s="4"/>
      <c r="U549" s="4"/>
      <c r="V549" s="4"/>
      <c r="W549" s="5">
        <f t="shared" si="64"/>
        <v>3</v>
      </c>
      <c r="X549" s="23">
        <v>50</v>
      </c>
    </row>
    <row r="550" ht="15.6" hidden="1" spans="1:24">
      <c r="A550" s="4">
        <v>209</v>
      </c>
      <c r="B550" s="24" t="s">
        <v>471</v>
      </c>
      <c r="C550" s="25" t="s">
        <v>11</v>
      </c>
      <c r="D550" s="4">
        <v>16.7</v>
      </c>
      <c r="E550" s="32">
        <f>LOOKUP(D550,{0,-2.9,-1.9,-0.9,0.1,1.1,2.1,3.5,4.9,6.3,7.7,9.1,10.5,11.9,13.3,14.7,16.1,18.3,20.5,22.4,24.3},{0,10,20,30,40,50,60,62,64,66,68,70,72,74,76,78,80,85,90,95,100})</f>
        <v>80</v>
      </c>
      <c r="F550" s="4">
        <v>218</v>
      </c>
      <c r="G550" s="32">
        <f>LOOKUP(F550,{0,175,180,185,190,195,200,204,208,212,216,220,224,228,232,236,240,248,255,260,265},{0,10,20,30,40,50,60,62,64,66,68,70,72,74,76,78,80,85,90,95,100})</f>
        <v>68</v>
      </c>
      <c r="H550" s="4">
        <v>7</v>
      </c>
      <c r="I550" s="32">
        <f>LOOKUP(H550,{0,3,4,5,6,7,8,9,10,11,12,13,14,15,16,17},{0,10,20,30,40,50,60,64,68,72,76,80,85,90,95,100})</f>
        <v>50</v>
      </c>
      <c r="L550" s="4">
        <f t="shared" si="61"/>
        <v>50</v>
      </c>
      <c r="M550" s="4">
        <v>7.4</v>
      </c>
      <c r="N550" s="4">
        <f t="shared" si="66"/>
        <v>4.6</v>
      </c>
      <c r="O550" s="32">
        <f>LOOKUP(N550,{0,1.6,1.8,2,2.2,2.4,2.6,2.8,3,3.2,3.4,3.6,3.8,4,4.2,4.4,4.6,4.7,4.8,4.9,5},{0,10,20,30,40,50,60,62,64,66,68,70,72,74,76,78,80,85,90,95,100})</f>
        <v>80</v>
      </c>
      <c r="P550" s="4" t="s">
        <v>472</v>
      </c>
      <c r="Q550" s="4" t="e">
        <f t="shared" si="62"/>
        <v>#VALUE!</v>
      </c>
      <c r="R550" s="32"/>
      <c r="T550" s="35"/>
      <c r="W550" s="5">
        <f t="shared" si="64"/>
        <v>35.8</v>
      </c>
      <c r="X550" s="20">
        <f>W550/0.7+K550+T550</f>
        <v>51.1428571428571</v>
      </c>
    </row>
    <row r="551" ht="15.6" hidden="1" spans="1:24">
      <c r="A551" s="4">
        <v>203</v>
      </c>
      <c r="B551" s="24" t="s">
        <v>123</v>
      </c>
      <c r="C551" s="25" t="s">
        <v>11</v>
      </c>
      <c r="D551" s="4">
        <v>26</v>
      </c>
      <c r="E551" s="32">
        <f>LOOKUP(D551,{0,-2.9,-1.9,-0.9,0.1,1.1,2.1,3.5,4.9,6.3,7.7,9.1,10.5,11.9,13.3,14.7,16.1,18.3,20.5,22.4,24.3},{0,10,20,30,40,50,60,62,64,66,68,70,72,74,76,78,80,85,90,95,100})</f>
        <v>100</v>
      </c>
      <c r="F551" s="4">
        <v>273</v>
      </c>
      <c r="G551" s="32">
        <f>LOOKUP(F551,{0,175,180,185,190,195,200,204,208,212,216,220,224,228,232,236,240,248,255,260,265},{0,10,20,30,40,50,60,62,64,66,68,70,72,74,76,78,80,85,90,95,100})</f>
        <v>100</v>
      </c>
      <c r="H551" s="4">
        <v>27</v>
      </c>
      <c r="I551" s="32">
        <f>LOOKUP(H551,{0,3,4,5,6,7,8,9,10,11,12,13,14,15,16,17},{0,10,20,30,40,50,60,64,68,72,76,80,85,90,95,100})</f>
        <v>100</v>
      </c>
      <c r="J551" s="4">
        <f>H551-17</f>
        <v>10</v>
      </c>
      <c r="K551" s="32">
        <f>LOOKUP(J551,{0,1,2,3,4,5,6,7,8,9,10},{0,1,2,3,4,5,6,7,8,9,10})</f>
        <v>10</v>
      </c>
      <c r="L551" s="4">
        <f t="shared" si="61"/>
        <v>110</v>
      </c>
      <c r="M551" s="4">
        <v>6.7</v>
      </c>
      <c r="N551" s="4">
        <f t="shared" si="66"/>
        <v>5.3</v>
      </c>
      <c r="O551" s="32">
        <f>LOOKUP(N551,{0,1.6,1.8,2,2.2,2.4,2.6,2.8,3,3.2,3.4,3.6,3.8,4,4.2,4.4,4.6,4.7,4.8,4.9,5},{0,10,20,30,40,50,60,62,64,66,68,70,72,74,76,78,80,85,90,95,100})</f>
        <v>100</v>
      </c>
      <c r="R551" s="32"/>
      <c r="T551" s="32"/>
      <c r="W551" s="5">
        <f t="shared" si="64"/>
        <v>50</v>
      </c>
      <c r="X551" s="20">
        <f>W551/0.7+K551+T551</f>
        <v>81.4285714285714</v>
      </c>
    </row>
    <row r="552" s="30" customFormat="1" ht="15.6" spans="1:24">
      <c r="A552" s="40">
        <v>211</v>
      </c>
      <c r="B552" s="41" t="s">
        <v>559</v>
      </c>
      <c r="C552" s="42" t="s">
        <v>11</v>
      </c>
      <c r="D552" s="40">
        <v>18.5</v>
      </c>
      <c r="E552" s="43">
        <f>LOOKUP(D552,{0,-2.9,-1.9,-0.9,0.1,1.1,2.1,3.5,4.9,6.3,7.7,9.1,10.5,11.9,13.3,14.7,16.1,18.3,20.5,22.4,24.3},{0,10,20,30,40,50,60,62,64,66,68,70,72,74,76,78,80,85,90,95,100})</f>
        <v>85</v>
      </c>
      <c r="F552" s="40">
        <v>260</v>
      </c>
      <c r="G552" s="43">
        <f>LOOKUP(F552,{0,175,180,185,190,195,200,204,208,212,216,220,224,228,232,236,240,248,255,260,265},{0,10,20,30,40,50,60,62,64,66,68,70,72,74,76,78,80,85,90,95,100})</f>
        <v>95</v>
      </c>
      <c r="H552" s="40">
        <v>17</v>
      </c>
      <c r="I552" s="43">
        <f>LOOKUP(H552,{0,3,4,5,6,7,8,9,10,11,12,13,14,15,16,17},{0,10,20,30,40,50,60,64,68,72,76,80,85,90,95,100})</f>
        <v>100</v>
      </c>
      <c r="J552" s="40">
        <f>H552-17</f>
        <v>0</v>
      </c>
      <c r="K552" s="43">
        <f>LOOKUP(J552,{0,1,2,3,4,5,6,7,8,9,10},{0,1,2,3,4,5,6,7,8,9,10})</f>
        <v>0</v>
      </c>
      <c r="L552" s="40">
        <f t="shared" si="61"/>
        <v>100</v>
      </c>
      <c r="M552" s="40">
        <v>6.8</v>
      </c>
      <c r="N552" s="40">
        <f t="shared" si="66"/>
        <v>5.2</v>
      </c>
      <c r="O552" s="43">
        <f>LOOKUP(N552,{0,1.6,1.8,2,2.2,2.4,2.6,2.8,3,3.2,3.4,3.6,3.8,4,4.2,4.4,4.6,4.7,4.8,4.9,5},{0,10,20,30,40,50,60,62,64,66,68,70,72,74,76,78,80,85,90,95,100})</f>
        <v>100</v>
      </c>
      <c r="P552" s="40">
        <v>2.58</v>
      </c>
      <c r="Q552" s="40"/>
      <c r="R552" s="43">
        <v>100</v>
      </c>
      <c r="S552" s="40"/>
      <c r="T552" s="43"/>
      <c r="U552" s="40">
        <v>105</v>
      </c>
      <c r="V552" s="40"/>
      <c r="W552" s="30">
        <f t="shared" si="64"/>
        <v>68</v>
      </c>
      <c r="X552" s="23">
        <v>102.14</v>
      </c>
    </row>
    <row r="553" ht="15.6" hidden="1" spans="1:24">
      <c r="A553" s="4">
        <v>209</v>
      </c>
      <c r="B553" s="33" t="s">
        <v>459</v>
      </c>
      <c r="C553" s="25" t="s">
        <v>11</v>
      </c>
      <c r="D553" s="4">
        <v>17.3</v>
      </c>
      <c r="E553" s="32">
        <f>LOOKUP(D553,{0,-2.9,-1.9,-0.9,0.1,1.1,2.1,3.5,4.9,6.3,7.7,9.1,10.5,11.9,13.3,14.7,16.1,18.3,20.5,22.4,24.3},{0,10,20,30,40,50,60,62,64,66,68,70,72,74,76,78,80,85,90,95,100})</f>
        <v>80</v>
      </c>
      <c r="F553" s="4">
        <v>240</v>
      </c>
      <c r="G553" s="32">
        <f>LOOKUP(F553,{0,175,180,185,190,195,200,204,208,212,216,220,224,228,232,236,240,248,255,260,265},{0,10,20,30,40,50,60,62,64,66,68,70,72,74,76,78,80,85,90,95,100})</f>
        <v>80</v>
      </c>
      <c r="H553" s="4">
        <v>22</v>
      </c>
      <c r="I553" s="32">
        <f>LOOKUP(H553,{0,3,4,5,6,7,8,9,10,11,12,13,14,15,16,17},{0,10,20,30,40,50,60,64,68,72,76,80,85,90,95,100})</f>
        <v>100</v>
      </c>
      <c r="J553" s="4">
        <f>H553-17</f>
        <v>5</v>
      </c>
      <c r="K553" s="32">
        <f>LOOKUP(J553,{0,1,2,3,4,5,6,7,8,9,10},{0,1,2,3,4,5,6,7,8,9,10})</f>
        <v>5</v>
      </c>
      <c r="L553" s="4">
        <f t="shared" si="61"/>
        <v>105</v>
      </c>
      <c r="M553" s="4">
        <v>6.9</v>
      </c>
      <c r="N553" s="4">
        <f t="shared" si="66"/>
        <v>5.1</v>
      </c>
      <c r="O553" s="32">
        <f>LOOKUP(N553,{0,1.6,1.8,2,2.2,2.4,2.6,2.8,3,3.2,3.4,3.6,3.8,4,4.2,4.4,4.6,4.7,4.8,4.9,5},{0,10,20,30,40,50,60,62,64,66,68,70,72,74,76,78,80,85,90,95,100})</f>
        <v>100</v>
      </c>
      <c r="R553" s="32"/>
      <c r="T553" s="32"/>
      <c r="W553" s="5">
        <f t="shared" si="64"/>
        <v>46</v>
      </c>
      <c r="X553" s="20">
        <f>W553/0.7+K553+T553</f>
        <v>70.7142857142857</v>
      </c>
    </row>
    <row r="554" ht="15.6" hidden="1" spans="1:24">
      <c r="A554" s="4">
        <v>205</v>
      </c>
      <c r="B554" s="33" t="s">
        <v>213</v>
      </c>
      <c r="C554" s="25" t="s">
        <v>11</v>
      </c>
      <c r="E554" s="32"/>
      <c r="G554" s="32"/>
      <c r="I554" s="32"/>
      <c r="M554" s="4">
        <v>7.1</v>
      </c>
      <c r="N554" s="4">
        <f t="shared" si="66"/>
        <v>4.9</v>
      </c>
      <c r="O554" s="32">
        <f>LOOKUP(N554,{0,1.6,1.8,2,2.2,2.4,2.6,2.8,3,3.2,3.4,3.6,3.8,4,4.2,4.4,4.6,4.7,4.8,4.9,5},{0,10,20,30,40,50,60,62,64,66,68,70,72,74,76,78,80,85,90,95,100})</f>
        <v>95</v>
      </c>
      <c r="R554" s="32"/>
      <c r="T554" s="32"/>
      <c r="V554" s="4" t="s">
        <v>16</v>
      </c>
      <c r="W554" s="5">
        <f t="shared" si="64"/>
        <v>19</v>
      </c>
      <c r="X554" s="20">
        <v>50</v>
      </c>
    </row>
    <row r="555" ht="15.6" hidden="1" spans="1:24">
      <c r="A555" s="4">
        <v>205</v>
      </c>
      <c r="B555" s="24" t="s">
        <v>238</v>
      </c>
      <c r="C555" s="25" t="s">
        <v>11</v>
      </c>
      <c r="E555" s="32"/>
      <c r="G555" s="32"/>
      <c r="I555" s="32"/>
      <c r="M555" s="4">
        <v>7.1</v>
      </c>
      <c r="N555" s="4">
        <f t="shared" si="66"/>
        <v>4.9</v>
      </c>
      <c r="O555" s="32">
        <f>LOOKUP(N555,{0,1.6,1.8,2,2.2,2.4,2.6,2.8,3,3.2,3.4,3.6,3.8,4,4.2,4.4,4.6,4.7,4.8,4.9,5},{0,10,20,30,40,50,60,62,64,66,68,70,72,74,76,78,80,85,90,95,100})</f>
        <v>95</v>
      </c>
      <c r="R555" s="32"/>
      <c r="T555" s="32"/>
      <c r="V555" s="4" t="s">
        <v>14</v>
      </c>
      <c r="W555" s="5">
        <f t="shared" si="64"/>
        <v>19</v>
      </c>
      <c r="X555" s="20">
        <v>50</v>
      </c>
    </row>
    <row r="556" ht="15.6" hidden="1" spans="1:24">
      <c r="A556" s="4">
        <v>202</v>
      </c>
      <c r="B556" s="24" t="s">
        <v>72</v>
      </c>
      <c r="C556" s="25" t="s">
        <v>11</v>
      </c>
      <c r="D556" s="4">
        <v>21</v>
      </c>
      <c r="E556" s="32">
        <f>LOOKUP(D556,{0,-2.9,-1.9,-0.9,0.1,1.1,2.1,3.5,4.9,6.3,7.7,9.1,10.5,11.9,13.3,14.7,16.1,18.3,20.5,22.4,24.3},{0,10,20,30,40,50,60,62,64,66,68,70,72,74,76,78,80,85,90,95,100})</f>
        <v>90</v>
      </c>
      <c r="F556" s="4">
        <v>236</v>
      </c>
      <c r="G556" s="32">
        <f>LOOKUP(F556,{0,175,180,185,190,195,200,204,208,212,216,220,224,228,232,236,240,248,255,260,265},{0,10,20,30,40,50,60,62,64,66,68,70,72,74,76,78,80,85,90,95,100})</f>
        <v>78</v>
      </c>
      <c r="H556" s="4">
        <v>1</v>
      </c>
      <c r="I556" s="32">
        <f>LOOKUP(H556,{0,3,4,5,6,7,8,9,10,11,12,13,14,15,16,17},{0,10,20,30,40,50,60,64,68,72,76,80,85,90,95,100})</f>
        <v>0</v>
      </c>
      <c r="L556" s="4">
        <f t="shared" ref="L556:L562" si="67">I556+K556</f>
        <v>0</v>
      </c>
      <c r="M556" s="4">
        <v>7.4</v>
      </c>
      <c r="N556" s="4">
        <f t="shared" si="66"/>
        <v>4.6</v>
      </c>
      <c r="O556" s="32">
        <f>LOOKUP(N556,{0,1.6,1.8,2,2.2,2.4,2.6,2.8,3,3.2,3.4,3.6,3.8,4,4.2,4.4,4.6,4.7,4.8,4.9,5},{0,10,20,30,40,50,60,62,64,66,68,70,72,74,76,78,80,85,90,95,100})</f>
        <v>80</v>
      </c>
      <c r="R556" s="32"/>
      <c r="T556" s="34"/>
      <c r="W556" s="5">
        <f t="shared" si="64"/>
        <v>32.8</v>
      </c>
      <c r="X556" s="23">
        <v>50</v>
      </c>
    </row>
    <row r="557" ht="15.6" hidden="1" spans="1:24">
      <c r="A557" s="4">
        <v>203</v>
      </c>
      <c r="B557" s="24" t="s">
        <v>138</v>
      </c>
      <c r="C557" s="25" t="s">
        <v>11</v>
      </c>
      <c r="D557" s="4">
        <v>24</v>
      </c>
      <c r="E557" s="32">
        <f>LOOKUP(D557,{0,-2.9,-1.9,-0.9,0.1,1.1,2.1,3.5,4.9,6.3,7.7,9.1,10.5,11.9,13.3,14.7,16.1,18.3,20.5,22.4,24.3},{0,10,20,30,40,50,60,62,64,66,68,70,72,74,76,78,80,85,90,95,100})</f>
        <v>95</v>
      </c>
      <c r="F557" s="4">
        <v>208</v>
      </c>
      <c r="G557" s="32">
        <f>LOOKUP(F557,{0,175,180,185,190,195,200,204,208,212,216,220,224,228,232,236,240,248,255,260,265},{0,10,20,30,40,50,60,62,64,66,68,70,72,74,76,78,80,85,90,95,100})</f>
        <v>64</v>
      </c>
      <c r="H557" s="4">
        <v>0</v>
      </c>
      <c r="I557" s="32">
        <f>LOOKUP(H557,{0,3,4,5,6,7,8,9,10,11,12,13,14,15,16,17},{0,10,20,30,40,50,60,64,68,72,76,80,85,90,95,100})</f>
        <v>0</v>
      </c>
      <c r="L557" s="4">
        <f t="shared" si="67"/>
        <v>0</v>
      </c>
      <c r="M557" s="4">
        <v>7.6</v>
      </c>
      <c r="N557" s="4">
        <f t="shared" si="66"/>
        <v>4.4</v>
      </c>
      <c r="O557" s="32">
        <f>LOOKUP(N557,{0,1.6,1.8,2,2.2,2.4,2.6,2.8,3,3.2,3.4,3.6,3.8,4,4.2,4.4,4.6,4.7,4.8,4.9,5},{0,10,20,30,40,50,60,62,64,66,68,70,72,74,76,78,80,85,90,95,100})</f>
        <v>78</v>
      </c>
      <c r="R557" s="32"/>
      <c r="T557" s="32"/>
      <c r="W557" s="5">
        <f t="shared" si="64"/>
        <v>31.5</v>
      </c>
      <c r="X557" s="23">
        <v>50</v>
      </c>
    </row>
    <row r="558" ht="15.6" hidden="1" spans="1:24">
      <c r="A558" s="4">
        <v>206</v>
      </c>
      <c r="B558" s="24" t="s">
        <v>294</v>
      </c>
      <c r="C558" s="25" t="s">
        <v>11</v>
      </c>
      <c r="D558" s="4">
        <v>16.5</v>
      </c>
      <c r="E558" s="32">
        <f>LOOKUP(D558,{0,-2.9,-1.9,-0.9,0.1,1.1,2.1,3.5,4.9,6.3,7.7,9.1,10.5,11.9,13.3,14.7,16.1,18.3,20.5,22.4,24.3},{0,10,20,30,40,50,60,62,64,66,68,70,72,74,76,78,80,85,90,95,100})</f>
        <v>80</v>
      </c>
      <c r="F558" s="4">
        <v>183</v>
      </c>
      <c r="G558" s="32">
        <f>LOOKUP(F558,{0,175,180,185,190,195,200,204,208,212,216,220,224,228,232,236,240,248,255,260,265},{0,10,20,30,40,50,60,62,64,66,68,70,72,74,76,78,80,85,90,95,100})</f>
        <v>20</v>
      </c>
      <c r="H558" s="4">
        <v>0</v>
      </c>
      <c r="I558" s="32">
        <f>LOOKUP(H558,{0,3,4,5,6,7,8,9,10,11,12,13,14,15,16,17},{0,10,20,30,40,50,60,64,68,72,76,80,85,90,95,100})</f>
        <v>0</v>
      </c>
      <c r="L558" s="4">
        <f t="shared" si="67"/>
        <v>0</v>
      </c>
      <c r="M558" s="4">
        <v>8.6</v>
      </c>
      <c r="N558" s="4">
        <f t="shared" si="66"/>
        <v>3.4</v>
      </c>
      <c r="O558" s="32">
        <f>LOOKUP(N558,{0,1.6,1.8,2,2.2,2.4,2.6,2.8,3,3.2,3.4,3.6,3.8,4,4.2,4.4,4.6,4.7,4.8,4.9,5},{0,10,20,30,40,50,60,62,64,66,68,70,72,74,76,78,80,85,90,95,100})</f>
        <v>68</v>
      </c>
      <c r="R558" s="32"/>
      <c r="T558" s="34"/>
      <c r="V558" s="4" t="s">
        <v>295</v>
      </c>
      <c r="W558" s="5">
        <f t="shared" si="64"/>
        <v>23.6</v>
      </c>
      <c r="X558" s="20">
        <v>50</v>
      </c>
    </row>
    <row r="559" ht="15.6" hidden="1" spans="1:24">
      <c r="A559" s="4">
        <v>203</v>
      </c>
      <c r="B559" s="24" t="s">
        <v>128</v>
      </c>
      <c r="C559" s="25" t="s">
        <v>11</v>
      </c>
      <c r="D559" s="4">
        <v>12.6</v>
      </c>
      <c r="E559" s="32">
        <f>LOOKUP(D559,{0,-2.9,-1.9,-0.9,0.1,1.1,2.1,3.5,4.9,6.3,7.7,9.1,10.5,11.9,13.3,14.7,16.1,18.3,20.5,22.4,24.3},{0,10,20,30,40,50,60,62,64,66,68,70,72,74,76,78,80,85,90,95,100})</f>
        <v>74</v>
      </c>
      <c r="F559" s="4">
        <v>206</v>
      </c>
      <c r="G559" s="32">
        <f>LOOKUP(F559,{0,175,180,185,190,195,200,204,208,212,216,220,224,228,232,236,240,248,255,260,265},{0,10,20,30,40,50,60,62,64,66,68,70,72,74,76,78,80,85,90,95,100})</f>
        <v>62</v>
      </c>
      <c r="H559" s="4">
        <v>7</v>
      </c>
      <c r="I559" s="32">
        <f>LOOKUP(H559,{0,3,4,5,6,7,8,9,10,11,12,13,14,15,16,17},{0,10,20,30,40,50,60,64,68,72,76,80,85,90,95,100})</f>
        <v>50</v>
      </c>
      <c r="L559" s="4">
        <f t="shared" si="67"/>
        <v>50</v>
      </c>
      <c r="M559" s="4">
        <v>8.9</v>
      </c>
      <c r="N559" s="4">
        <f t="shared" si="66"/>
        <v>3.1</v>
      </c>
      <c r="O559" s="32">
        <f>LOOKUP(N559,{0,1.6,1.8,2,2.2,2.4,2.6,2.8,3,3.2,3.4,3.6,3.8,4,4.2,4.4,4.6,4.7,4.8,4.9,5},{0,10,20,30,40,50,60,62,64,66,68,70,72,74,76,78,80,85,90,95,100})</f>
        <v>64</v>
      </c>
      <c r="R559" s="32"/>
      <c r="T559" s="32"/>
      <c r="V559" s="4" t="s">
        <v>14</v>
      </c>
      <c r="W559" s="5">
        <f t="shared" si="64"/>
        <v>31.4</v>
      </c>
      <c r="X559" s="20">
        <v>50</v>
      </c>
    </row>
    <row r="560" ht="15.6" spans="1:24">
      <c r="A560" s="4">
        <v>211</v>
      </c>
      <c r="B560" s="24" t="s">
        <v>560</v>
      </c>
      <c r="C560" s="25" t="s">
        <v>11</v>
      </c>
      <c r="D560" s="4">
        <v>22.7</v>
      </c>
      <c r="E560" s="32">
        <f>LOOKUP(D560,{0,-2.9,-1.9,-0.9,0.1,1.1,2.1,3.5,4.9,6.3,7.7,9.1,10.5,11.9,13.3,14.7,16.1,18.3,20.5,22.4,24.3},{0,10,20,30,40,50,60,62,64,66,68,70,72,74,76,78,80,85,90,95,100})</f>
        <v>95</v>
      </c>
      <c r="G560" s="32"/>
      <c r="H560" s="4">
        <v>7</v>
      </c>
      <c r="I560" s="32">
        <f>LOOKUP(H560,{0,3,4,5,6,7,8,9,10,11,12,13,14,15,16,17},{0,10,20,30,40,50,60,64,68,72,76,80,85,90,95,100})</f>
        <v>50</v>
      </c>
      <c r="L560" s="4">
        <f t="shared" si="67"/>
        <v>50</v>
      </c>
      <c r="O560" s="32"/>
      <c r="R560" s="32"/>
      <c r="T560" s="34"/>
      <c r="V560" s="4" t="s">
        <v>561</v>
      </c>
      <c r="W560" s="5">
        <f t="shared" si="64"/>
        <v>14.5</v>
      </c>
      <c r="X560" s="20">
        <v>50</v>
      </c>
    </row>
    <row r="561" s="1" customFormat="1" ht="15.6" hidden="1" spans="1:24">
      <c r="A561" s="4">
        <v>209</v>
      </c>
      <c r="B561" s="24" t="s">
        <v>453</v>
      </c>
      <c r="C561" s="25" t="s">
        <v>11</v>
      </c>
      <c r="D561" s="4">
        <v>8</v>
      </c>
      <c r="E561" s="32">
        <f>LOOKUP(D561,{0,-2.9,-1.9,-0.9,0.1,1.1,2.1,3.5,4.9,6.3,7.7,9.1,10.5,11.9,13.3,14.7,16.1,18.3,20.5,22.4,24.3},{0,10,20,30,40,50,60,62,64,66,68,70,72,74,76,78,80,85,90,95,100})</f>
        <v>68</v>
      </c>
      <c r="F561" s="4">
        <v>204</v>
      </c>
      <c r="G561" s="32">
        <f>LOOKUP(F561,{0,175,180,185,190,195,200,204,208,212,216,220,224,228,232,236,240,248,255,260,265},{0,10,20,30,40,50,60,62,64,66,68,70,72,74,76,78,80,85,90,95,100})</f>
        <v>62</v>
      </c>
      <c r="H561" s="4">
        <v>0</v>
      </c>
      <c r="I561" s="32">
        <f>LOOKUP(H561,{0,3,4,5,6,7,8,9,10,11,12,13,14,15,16,17},{0,10,20,30,40,50,60,64,68,72,76,80,85,90,95,100})</f>
        <v>0</v>
      </c>
      <c r="J561" s="4"/>
      <c r="K561" s="4"/>
      <c r="L561" s="4">
        <f t="shared" si="67"/>
        <v>0</v>
      </c>
      <c r="M561" s="4"/>
      <c r="N561" s="4"/>
      <c r="O561" s="32"/>
      <c r="P561" s="4"/>
      <c r="Q561" s="4"/>
      <c r="R561" s="32"/>
      <c r="S561" s="4"/>
      <c r="T561" s="32"/>
      <c r="U561" s="4"/>
      <c r="V561" s="4" t="s">
        <v>454</v>
      </c>
      <c r="W561" s="5">
        <f t="shared" si="64"/>
        <v>13</v>
      </c>
      <c r="X561" s="20">
        <v>50</v>
      </c>
    </row>
    <row r="562" ht="15.6" hidden="1" spans="1:24">
      <c r="A562" s="4">
        <v>206</v>
      </c>
      <c r="B562" s="26" t="s">
        <v>310</v>
      </c>
      <c r="C562" s="26" t="s">
        <v>11</v>
      </c>
      <c r="D562" s="4">
        <v>6</v>
      </c>
      <c r="E562" s="32">
        <f>LOOKUP(D562,{0,-2.9,-1.9,-0.9,0.1,1.1,2.1,3.5,4.9,6.3,7.7,9.1,10.5,11.9,13.3,14.7,16.1,18.3,20.5,22.4,24.3},{0,10,20,30,40,50,60,62,64,66,68,70,72,74,76,78,80,85,90,95,100})</f>
        <v>64</v>
      </c>
      <c r="F562" s="4">
        <v>180</v>
      </c>
      <c r="G562" s="32">
        <f>LOOKUP(F562,{0,175,180,185,190,195,200,204,208,212,216,220,224,228,232,236,240,248,255,260,265},{0,10,20,30,40,50,60,62,64,66,68,70,72,74,76,78,80,85,90,95,100})</f>
        <v>20</v>
      </c>
      <c r="H562" s="4">
        <v>0</v>
      </c>
      <c r="I562" s="32">
        <f>LOOKUP(H562,{0,3,4,5,6,7,8,9,10,11,12,13,14,15,16,17},{0,10,20,30,40,50,60,64,68,72,76,80,85,90,95,100})</f>
        <v>0</v>
      </c>
      <c r="L562" s="4">
        <f t="shared" si="67"/>
        <v>0</v>
      </c>
      <c r="O562" s="32"/>
      <c r="R562" s="32"/>
      <c r="T562" s="34"/>
      <c r="W562" s="5">
        <f t="shared" si="64"/>
        <v>8.4</v>
      </c>
      <c r="X562" s="23">
        <v>50</v>
      </c>
    </row>
    <row r="563" ht="15.6" hidden="1" spans="1:24">
      <c r="A563" s="4">
        <v>201</v>
      </c>
      <c r="B563" s="24" t="s">
        <v>13</v>
      </c>
      <c r="C563" s="25" t="s">
        <v>11</v>
      </c>
      <c r="E563" s="32"/>
      <c r="G563" s="32"/>
      <c r="I563" s="32"/>
      <c r="O563" s="32"/>
      <c r="R563" s="32"/>
      <c r="T563" s="32"/>
      <c r="V563" s="4" t="s">
        <v>14</v>
      </c>
      <c r="W563" s="5">
        <f t="shared" si="64"/>
        <v>0</v>
      </c>
      <c r="X563" s="20">
        <v>50</v>
      </c>
    </row>
    <row r="564" ht="15.6" hidden="1" spans="1:24">
      <c r="A564" s="4">
        <v>201</v>
      </c>
      <c r="B564" s="24" t="s">
        <v>15</v>
      </c>
      <c r="C564" s="25" t="s">
        <v>11</v>
      </c>
      <c r="E564" s="32"/>
      <c r="G564" s="32"/>
      <c r="I564" s="32"/>
      <c r="O564" s="32"/>
      <c r="R564" s="32"/>
      <c r="T564" s="34"/>
      <c r="V564" s="4" t="s">
        <v>16</v>
      </c>
      <c r="W564" s="5">
        <f t="shared" si="64"/>
        <v>0</v>
      </c>
      <c r="X564" s="20">
        <v>50</v>
      </c>
    </row>
    <row r="565" ht="15.6" hidden="1" spans="1:24">
      <c r="A565" s="4">
        <v>201</v>
      </c>
      <c r="B565" s="24" t="s">
        <v>19</v>
      </c>
      <c r="C565" s="25" t="s">
        <v>11</v>
      </c>
      <c r="E565" s="32"/>
      <c r="G565" s="32"/>
      <c r="I565" s="32"/>
      <c r="O565" s="32"/>
      <c r="R565" s="32"/>
      <c r="T565" s="34"/>
      <c r="V565" s="4" t="s">
        <v>14</v>
      </c>
      <c r="W565" s="5">
        <f t="shared" si="64"/>
        <v>0</v>
      </c>
      <c r="X565" s="20">
        <v>50</v>
      </c>
    </row>
    <row r="566" ht="15.6" hidden="1" spans="1:24">
      <c r="A566" s="4">
        <v>201</v>
      </c>
      <c r="B566" s="24" t="s">
        <v>34</v>
      </c>
      <c r="C566" s="25" t="s">
        <v>11</v>
      </c>
      <c r="E566" s="32"/>
      <c r="G566" s="32"/>
      <c r="I566" s="32"/>
      <c r="O566" s="32"/>
      <c r="R566" s="32"/>
      <c r="T566" s="32"/>
      <c r="V566" s="4" t="s">
        <v>14</v>
      </c>
      <c r="W566" s="5">
        <f t="shared" si="64"/>
        <v>0</v>
      </c>
      <c r="X566" s="20">
        <v>50</v>
      </c>
    </row>
    <row r="567" ht="15.6" hidden="1" spans="1:24">
      <c r="A567" s="4">
        <v>208</v>
      </c>
      <c r="B567" s="33" t="s">
        <v>419</v>
      </c>
      <c r="C567" s="25" t="s">
        <v>53</v>
      </c>
      <c r="D567" s="4">
        <v>12</v>
      </c>
      <c r="E567" s="32">
        <f>LOOKUP(D567,{0,1,1.8,2.6,3.4,4.2,5,6.3,7.6,8.9,10.2,11.5,12.8,14.1,15.4,16.7,18,19.7,21.4,23.1,24.8},{0,10,20,30,40,50,60,62,64,66,68,70,72,74,76,78,80,85,90,95,100})</f>
        <v>70</v>
      </c>
      <c r="F567" s="4">
        <v>186</v>
      </c>
      <c r="G567" s="32">
        <f>LOOKUP(F567,{0,124,129,134,139,144,149,152,155,158,161,164,167,170,173,176,179,186,193,199,205},{0,10,20,30,40,50,60,62,64,66,68,70,72,74,76,78,80,85,90,95,100})</f>
        <v>85</v>
      </c>
      <c r="H567" s="4">
        <v>39</v>
      </c>
      <c r="I567" s="32">
        <f>LOOKUP(H567,{0,14,16,18,20,22,24,26,28,30,32,34,36,38,40,42,44,47,50,52,54},{0,10,20,30,40,50,60,62,64,66,68,70,72,74,76,78,80,85,90,95,100})</f>
        <v>74</v>
      </c>
      <c r="L567" s="4">
        <f t="shared" ref="L567:L588" si="68">I567+K567</f>
        <v>74</v>
      </c>
      <c r="M567" s="4">
        <v>8.3</v>
      </c>
      <c r="N567" s="4">
        <f t="shared" ref="N567:N588" si="69">12-M567</f>
        <v>3.7</v>
      </c>
      <c r="O567" s="32">
        <f>LOOKUP(N567,{0,0.5,0.7,0.9,1.1,1.3,1.5,1.7,1.9,2.1,2.3,2.5,2.7,2.9,3.1,3.3,3.5,3.8,4.1,4.2,4.3},{0,10,20,30,40,50,60,62,64,66,68,70,72,74,76,78,80,85,90,95,100})</f>
        <v>80</v>
      </c>
      <c r="P567" s="4">
        <v>3.36</v>
      </c>
      <c r="Q567" s="4">
        <f t="shared" ref="Q567:Q588" si="70">10-P567</f>
        <v>6.64</v>
      </c>
      <c r="R567" s="32">
        <f>LOOKUP(Q567,{0,4.72,4.82,4.92,5.42,5.52,5.62,5.67,5.72,5.77,5.82,5.87,5.92,5.97,6.42,6.47,6.52,6.59,6.66,6.72,6.78},{0,10,20,30,40,50,60,62,64,66,68,70,72,74,76,78,80,85,90,95,100})</f>
        <v>85</v>
      </c>
      <c r="U567" s="4">
        <f t="shared" ref="U567:U588" si="71">R567+T567</f>
        <v>85</v>
      </c>
      <c r="W567" s="5">
        <f t="shared" si="64"/>
        <v>55.9</v>
      </c>
      <c r="X567" s="20">
        <f t="shared" ref="X567:X588" si="72">W567/0.7+K567+T567</f>
        <v>79.8571428571429</v>
      </c>
    </row>
    <row r="568" ht="15.6" hidden="1" spans="1:24">
      <c r="A568" s="4">
        <v>213</v>
      </c>
      <c r="B568" s="24" t="s">
        <v>686</v>
      </c>
      <c r="C568" s="25" t="s">
        <v>53</v>
      </c>
      <c r="D568" s="4">
        <v>20</v>
      </c>
      <c r="E568" s="32">
        <f>LOOKUP(D568,{0,1,1.8,2.6,3.4,4.2,5,6.3,7.6,8.9,10.2,11.5,12.8,14.1,15.4,16.7,18,19.7,21.4,23.1,24.8},{0,10,20,30,40,50,60,62,64,66,68,70,72,74,76,78,80,85,90,95,100})</f>
        <v>85</v>
      </c>
      <c r="F568" s="4">
        <v>182</v>
      </c>
      <c r="G568" s="32">
        <f>LOOKUP(F568,{0,124,129,134,139,144,149,152,155,158,161,164,167,170,173,176,179,186,193,199,205},{0,10,20,30,40,50,60,62,64,66,68,70,72,74,76,78,80,85,90,95,100})</f>
        <v>80</v>
      </c>
      <c r="H568" s="4">
        <v>43</v>
      </c>
      <c r="I568" s="32">
        <f>LOOKUP(H568,{0,14,16,18,20,22,24,26,28,30,32,34,36,38,40,42,44,47,50,52,54},{0,10,20,30,40,50,60,62,64,66,68,70,72,74,76,78,80,85,90,95,100})</f>
        <v>78</v>
      </c>
      <c r="L568" s="4">
        <f t="shared" si="68"/>
        <v>78</v>
      </c>
      <c r="M568" s="4">
        <v>8.5</v>
      </c>
      <c r="N568" s="4">
        <f t="shared" si="69"/>
        <v>3.5</v>
      </c>
      <c r="O568" s="32">
        <f>LOOKUP(N568,{0,0.5,0.7,0.9,1.1,1.3,1.5,1.7,1.9,2.1,2.3,2.5,2.7,2.9,3.1,3.3,3.5,3.8,4.1,4.2,4.3},{0,10,20,30,40,50,60,62,64,66,68,70,72,74,76,78,80,85,90,95,100})</f>
        <v>80</v>
      </c>
      <c r="P568" s="4">
        <v>3.52</v>
      </c>
      <c r="Q568" s="4">
        <f t="shared" si="70"/>
        <v>6.48</v>
      </c>
      <c r="R568" s="32">
        <f>LOOKUP(Q568,{0,4.72,4.82,4.92,5.42,5.52,5.62,5.67,5.72,5.77,5.82,5.87,5.92,5.97,6.42,6.47,6.52,6.59,6.66,6.72,6.78},{0,10,20,30,40,50,60,62,64,66,68,70,72,74,76,78,80,85,90,95,100})</f>
        <v>78</v>
      </c>
      <c r="U568" s="4">
        <f t="shared" si="71"/>
        <v>78</v>
      </c>
      <c r="W568" s="5">
        <f t="shared" si="64"/>
        <v>55.9</v>
      </c>
      <c r="X568" s="20">
        <f t="shared" si="72"/>
        <v>79.8571428571429</v>
      </c>
    </row>
    <row r="569" ht="15.6" hidden="1" spans="1:24">
      <c r="A569" s="4">
        <v>215</v>
      </c>
      <c r="B569" s="33" t="s">
        <v>837</v>
      </c>
      <c r="C569" s="25" t="s">
        <v>53</v>
      </c>
      <c r="D569" s="4">
        <v>22.2</v>
      </c>
      <c r="E569" s="32">
        <f>LOOKUP(D569,{0,1,1.8,2.6,3.4,4.2,5,6.3,7.6,8.9,10.2,11.5,12.8,14.1,15.4,16.7,18,19.7,21.4,23.1,24.8},{0,10,20,30,40,50,60,62,64,66,68,70,72,74,76,78,80,85,90,95,100})</f>
        <v>90</v>
      </c>
      <c r="F569" s="4">
        <v>180</v>
      </c>
      <c r="G569" s="32">
        <f>LOOKUP(F569,{0,124,129,134,139,144,149,152,155,158,161,164,167,170,173,176,179,186,193,199,205},{0,10,20,30,40,50,60,62,64,66,68,70,72,74,76,78,80,85,90,95,100})</f>
        <v>80</v>
      </c>
      <c r="H569" s="4">
        <v>40</v>
      </c>
      <c r="I569" s="32">
        <f>LOOKUP(H569,{0,14,16,18,20,22,24,26,28,30,32,34,36,38,40,42,44,47,50,52,54},{0,10,20,30,40,50,60,62,64,66,68,70,72,74,76,78,80,85,90,95,100})</f>
        <v>76</v>
      </c>
      <c r="L569" s="4">
        <f t="shared" si="68"/>
        <v>76</v>
      </c>
      <c r="M569" s="4">
        <v>8.8</v>
      </c>
      <c r="N569" s="4">
        <f t="shared" si="69"/>
        <v>3.2</v>
      </c>
      <c r="O569" s="32">
        <f>LOOKUP(N569,{0,0.5,0.7,0.9,1.1,1.3,1.5,1.7,1.9,2.1,2.3,2.5,2.7,2.9,3.1,3.3,3.5,3.8,4.1,4.2,4.3},{0,10,20,30,40,50,60,62,64,66,68,70,72,74,76,78,80,85,90,95,100})</f>
        <v>76</v>
      </c>
      <c r="P569" s="4">
        <v>3.45</v>
      </c>
      <c r="Q569" s="4">
        <f t="shared" si="70"/>
        <v>6.55</v>
      </c>
      <c r="R569" s="32">
        <f>LOOKUP(Q569,{0,4.72,4.82,4.92,5.42,5.52,5.62,5.67,5.72,5.77,5.82,5.87,5.92,5.97,6.42,6.47,6.52,6.59,6.66,6.72,6.78},{0,10,20,30,40,50,60,62,64,66,68,70,72,74,76,78,80,85,90,95,100})</f>
        <v>80</v>
      </c>
      <c r="U569" s="4">
        <f t="shared" si="71"/>
        <v>80</v>
      </c>
      <c r="W569" s="5">
        <f t="shared" si="64"/>
        <v>55.8</v>
      </c>
      <c r="X569" s="20">
        <f t="shared" si="72"/>
        <v>79.7142857142857</v>
      </c>
    </row>
    <row r="570" ht="15.6" hidden="1" spans="1:24">
      <c r="A570" s="4">
        <v>214</v>
      </c>
      <c r="B570" s="33" t="s">
        <v>764</v>
      </c>
      <c r="C570" s="25" t="s">
        <v>53</v>
      </c>
      <c r="D570" s="4">
        <v>20.7</v>
      </c>
      <c r="E570" s="32">
        <f>LOOKUP(D570,{0,1,1.8,2.6,3.4,4.2,5,6.3,7.6,8.9,10.2,11.5,12.8,14.1,15.4,16.7,18,19.7,21.4,23.1,24.8},{0,10,20,30,40,50,60,62,64,66,68,70,72,74,76,78,80,85,90,95,100})</f>
        <v>85</v>
      </c>
      <c r="F570" s="4">
        <v>180</v>
      </c>
      <c r="G570" s="32">
        <f>LOOKUP(F570,{0,124,129,134,139,144,149,152,155,158,161,164,167,170,173,176,179,186,193,199,205},{0,10,20,30,40,50,60,62,64,66,68,70,72,74,76,78,80,85,90,95,100})</f>
        <v>80</v>
      </c>
      <c r="H570" s="4">
        <v>47</v>
      </c>
      <c r="I570" s="32">
        <f>LOOKUP(H570,{0,14,16,18,20,22,24,26,28,30,32,34,36,38,40,42,44,47,50,52,54},{0,10,20,30,40,50,60,62,64,66,68,70,72,74,76,78,80,85,90,95,100})</f>
        <v>85</v>
      </c>
      <c r="L570" s="4">
        <f t="shared" si="68"/>
        <v>85</v>
      </c>
      <c r="M570" s="4">
        <v>9.1</v>
      </c>
      <c r="N570" s="4">
        <f t="shared" si="69"/>
        <v>2.9</v>
      </c>
      <c r="O570" s="32">
        <f>LOOKUP(N570,{0,0.5,0.7,0.9,1.1,1.3,1.5,1.7,1.9,2.1,2.3,2.5,2.7,2.9,3.1,3.3,3.5,3.8,4.1,4.2,4.3},{0,10,20,30,40,50,60,62,64,66,68,70,72,74,76,78,80,85,90,95,100})</f>
        <v>74</v>
      </c>
      <c r="P570" s="4">
        <v>3.44</v>
      </c>
      <c r="Q570" s="4">
        <f t="shared" si="70"/>
        <v>6.56</v>
      </c>
      <c r="R570" s="32">
        <f>LOOKUP(Q570,{0,4.72,4.82,4.92,5.42,5.52,5.62,5.67,5.72,5.77,5.82,5.87,5.92,5.97,6.42,6.47,6.52,6.59,6.66,6.72,6.78},{0,10,20,30,40,50,60,62,64,66,68,70,72,74,76,78,80,85,90,95,100})</f>
        <v>80</v>
      </c>
      <c r="U570" s="4">
        <f t="shared" si="71"/>
        <v>80</v>
      </c>
      <c r="W570" s="5">
        <f t="shared" si="64"/>
        <v>55.8</v>
      </c>
      <c r="X570" s="20">
        <f t="shared" si="72"/>
        <v>79.7142857142857</v>
      </c>
    </row>
    <row r="571" ht="15.6" hidden="1" spans="1:24">
      <c r="A571" s="4">
        <v>213</v>
      </c>
      <c r="B571" s="24" t="s">
        <v>679</v>
      </c>
      <c r="C571" s="25" t="s">
        <v>53</v>
      </c>
      <c r="D571" s="4">
        <v>20</v>
      </c>
      <c r="E571" s="32">
        <f>LOOKUP(D571,{0,1,1.8,2.6,3.4,4.2,5,6.3,7.6,8.9,10.2,11.5,12.8,14.1,15.4,16.7,18,19.7,21.4,23.1,24.8},{0,10,20,30,40,50,60,62,64,66,68,70,72,74,76,78,80,85,90,95,100})</f>
        <v>85</v>
      </c>
      <c r="F571" s="4">
        <v>180</v>
      </c>
      <c r="G571" s="32">
        <f>LOOKUP(F571,{0,124,129,134,139,144,149,152,155,158,161,164,167,170,173,176,179,186,193,199,205},{0,10,20,30,40,50,60,62,64,66,68,70,72,74,76,78,80,85,90,95,100})</f>
        <v>80</v>
      </c>
      <c r="H571" s="4">
        <v>48</v>
      </c>
      <c r="I571" s="32">
        <f>LOOKUP(H571,{0,14,16,18,20,22,24,26,28,30,32,34,36,38,40,42,44,47,50,52,54},{0,10,20,30,40,50,60,62,64,66,68,70,72,74,76,78,80,85,90,95,100})</f>
        <v>85</v>
      </c>
      <c r="L571" s="4">
        <f t="shared" si="68"/>
        <v>85</v>
      </c>
      <c r="M571" s="4">
        <v>9</v>
      </c>
      <c r="N571" s="4">
        <f t="shared" si="69"/>
        <v>3</v>
      </c>
      <c r="O571" s="32">
        <f>LOOKUP(N571,{0,0.5,0.7,0.9,1.1,1.3,1.5,1.7,1.9,2.1,2.3,2.5,2.7,2.9,3.1,3.3,3.5,3.8,4.1,4.2,4.3},{0,10,20,30,40,50,60,62,64,66,68,70,72,74,76,78,80,85,90,95,100})</f>
        <v>74</v>
      </c>
      <c r="P571" s="4">
        <v>3.45</v>
      </c>
      <c r="Q571" s="4">
        <f t="shared" si="70"/>
        <v>6.55</v>
      </c>
      <c r="R571" s="32">
        <f>LOOKUP(Q571,{0,4.72,4.82,4.92,5.42,5.52,5.62,5.67,5.72,5.77,5.82,5.87,5.92,5.97,6.42,6.47,6.52,6.59,6.66,6.72,6.78},{0,10,20,30,40,50,60,62,64,66,68,70,72,74,76,78,80,85,90,95,100})</f>
        <v>80</v>
      </c>
      <c r="U571" s="4">
        <f t="shared" si="71"/>
        <v>80</v>
      </c>
      <c r="W571" s="5">
        <f t="shared" si="64"/>
        <v>55.8</v>
      </c>
      <c r="X571" s="20">
        <f t="shared" si="72"/>
        <v>79.7142857142857</v>
      </c>
    </row>
    <row r="572" ht="15.6" hidden="1" spans="1:24">
      <c r="A572" s="4">
        <v>208</v>
      </c>
      <c r="B572" s="24" t="s">
        <v>431</v>
      </c>
      <c r="C572" s="25" t="s">
        <v>53</v>
      </c>
      <c r="D572" s="4">
        <v>13.7</v>
      </c>
      <c r="E572" s="32">
        <f>LOOKUP(D572,{0,1,1.8,2.6,3.4,4.2,5,6.3,7.6,8.9,10.2,11.5,12.8,14.1,15.4,16.7,18,19.7,21.4,23.1,24.8},{0,10,20,30,40,50,60,62,64,66,68,70,72,74,76,78,80,85,90,95,100})</f>
        <v>72</v>
      </c>
      <c r="F572" s="4">
        <v>153</v>
      </c>
      <c r="G572" s="32">
        <f>LOOKUP(F572,{0,124,129,134,139,144,149,152,155,158,161,164,167,170,173,176,179,186,193,199,205},{0,10,20,30,40,50,60,62,64,66,68,70,72,74,76,78,80,85,90,95,100})</f>
        <v>62</v>
      </c>
      <c r="H572" s="4">
        <v>47</v>
      </c>
      <c r="I572" s="32">
        <f>LOOKUP(H572,{0,14,16,18,20,22,24,26,28,30,32,34,36,38,40,42,44,47,50,52,54},{0,10,20,30,40,50,60,62,64,66,68,70,72,74,76,78,80,85,90,95,100})</f>
        <v>85</v>
      </c>
      <c r="L572" s="4">
        <f t="shared" si="68"/>
        <v>85</v>
      </c>
      <c r="M572" s="4">
        <v>9.1</v>
      </c>
      <c r="N572" s="4">
        <f t="shared" si="69"/>
        <v>2.9</v>
      </c>
      <c r="O572" s="32">
        <f>LOOKUP(N572,{0,0.5,0.7,0.9,1.1,1.3,1.5,1.7,1.9,2.1,2.3,2.5,2.7,2.9,3.1,3.3,3.5,3.8,4.1,4.2,4.3},{0,10,20,30,40,50,60,62,64,66,68,70,72,74,76,78,80,85,90,95,100})</f>
        <v>74</v>
      </c>
      <c r="P572" s="4">
        <v>3.25</v>
      </c>
      <c r="Q572" s="4">
        <f t="shared" si="70"/>
        <v>6.75</v>
      </c>
      <c r="R572" s="32">
        <f>LOOKUP(Q572,{0,4.72,4.82,4.92,5.42,5.52,5.62,5.67,5.72,5.77,5.82,5.87,5.92,5.97,6.42,6.47,6.52,6.59,6.66,6.72,6.78},{0,10,20,30,40,50,60,62,64,66,68,70,72,74,76,78,80,85,90,95,100})</f>
        <v>95</v>
      </c>
      <c r="U572" s="4">
        <f t="shared" si="71"/>
        <v>95</v>
      </c>
      <c r="W572" s="5">
        <f t="shared" si="64"/>
        <v>55.7</v>
      </c>
      <c r="X572" s="20">
        <f t="shared" si="72"/>
        <v>79.5714285714286</v>
      </c>
    </row>
    <row r="573" s="1" customFormat="1" ht="15.6" hidden="1" spans="1:24">
      <c r="A573" s="4">
        <v>207</v>
      </c>
      <c r="B573" s="24" t="s">
        <v>366</v>
      </c>
      <c r="C573" s="25" t="s">
        <v>53</v>
      </c>
      <c r="D573" s="4">
        <v>17</v>
      </c>
      <c r="E573" s="32">
        <f>LOOKUP(D573,{0,1,1.8,2.6,3.4,4.2,5,6.3,7.6,8.9,10.2,11.5,12.8,14.1,15.4,16.7,18,19.7,21.4,23.1,24.8},{0,10,20,30,40,50,60,62,64,66,68,70,72,74,76,78,80,85,90,95,100})</f>
        <v>78</v>
      </c>
      <c r="F573" s="4">
        <v>190</v>
      </c>
      <c r="G573" s="32">
        <f>LOOKUP(F573,{0,124,129,134,139,144,149,152,155,158,161,164,167,170,173,176,179,186,193,199,205},{0,10,20,30,40,50,60,62,64,66,68,70,72,74,76,78,80,85,90,95,100})</f>
        <v>85</v>
      </c>
      <c r="H573" s="4">
        <v>50</v>
      </c>
      <c r="I573" s="32">
        <f>LOOKUP(H573,{0,14,16,18,20,22,24,26,28,30,32,34,36,38,40,42,44,47,50,52,54},{0,10,20,30,40,50,60,62,64,66,68,70,72,74,76,78,80,85,90,95,100})</f>
        <v>90</v>
      </c>
      <c r="J573" s="4"/>
      <c r="K573" s="4"/>
      <c r="L573" s="4">
        <f t="shared" si="68"/>
        <v>90</v>
      </c>
      <c r="M573" s="4">
        <v>9.2</v>
      </c>
      <c r="N573" s="4">
        <f t="shared" si="69"/>
        <v>2.8</v>
      </c>
      <c r="O573" s="32">
        <f>LOOKUP(N573,{0,0.5,0.7,0.9,1.1,1.3,1.5,1.7,1.9,2.1,2.3,2.5,2.7,2.9,3.1,3.3,3.5,3.8,4.1,4.2,4.3},{0,10,20,30,40,50,60,62,64,66,68,70,72,74,76,78,80,85,90,95,100})</f>
        <v>72</v>
      </c>
      <c r="P573" s="4">
        <v>3.45</v>
      </c>
      <c r="Q573" s="4">
        <f t="shared" si="70"/>
        <v>6.55</v>
      </c>
      <c r="R573" s="32">
        <f>LOOKUP(Q573,{0,4.72,4.82,4.92,5.42,5.52,5.62,5.67,5.72,5.77,5.82,5.87,5.92,5.97,6.42,6.47,6.52,6.59,6.66,6.72,6.78},{0,10,20,30,40,50,60,62,64,66,68,70,72,74,76,78,80,85,90,95,100})</f>
        <v>80</v>
      </c>
      <c r="S573" s="4"/>
      <c r="T573" s="4"/>
      <c r="U573" s="4">
        <f t="shared" si="71"/>
        <v>80</v>
      </c>
      <c r="V573" s="4"/>
      <c r="W573" s="5">
        <f t="shared" si="64"/>
        <v>55.7</v>
      </c>
      <c r="X573" s="20">
        <f t="shared" si="72"/>
        <v>79.5714285714286</v>
      </c>
    </row>
    <row r="574" ht="15.6" hidden="1" spans="1:24">
      <c r="A574" s="4">
        <v>214</v>
      </c>
      <c r="B574" s="24" t="s">
        <v>782</v>
      </c>
      <c r="C574" s="25" t="s">
        <v>53</v>
      </c>
      <c r="D574" s="4">
        <v>10</v>
      </c>
      <c r="E574" s="32">
        <f>LOOKUP(D574,{0,1,1.8,2.6,3.4,4.2,5,6.3,7.6,8.9,10.2,11.5,12.8,14.1,15.4,16.7,18,19.7,21.4,23.1,24.8},{0,10,20,30,40,50,60,62,64,66,68,70,72,74,76,78,80,85,90,95,100})</f>
        <v>66</v>
      </c>
      <c r="F574" s="4">
        <v>185</v>
      </c>
      <c r="G574" s="32">
        <f>LOOKUP(F574,{0,124,129,134,139,144,149,152,155,158,161,164,167,170,173,176,179,186,193,199,205},{0,10,20,30,40,50,60,62,64,66,68,70,72,74,76,78,80,85,90,95,100})</f>
        <v>80</v>
      </c>
      <c r="H574" s="4">
        <v>38</v>
      </c>
      <c r="I574" s="32">
        <f>LOOKUP(H574,{0,14,16,18,20,22,24,26,28,30,32,34,36,38,40,42,44,47,50,52,54},{0,10,20,30,40,50,60,62,64,66,68,70,72,74,76,78,80,85,90,95,100})</f>
        <v>74</v>
      </c>
      <c r="L574" s="4">
        <f t="shared" si="68"/>
        <v>74</v>
      </c>
      <c r="M574" s="4">
        <v>8.6</v>
      </c>
      <c r="N574" s="4">
        <f t="shared" si="69"/>
        <v>3.4</v>
      </c>
      <c r="O574" s="32">
        <f>LOOKUP(N574,{0,0.5,0.7,0.9,1.1,1.3,1.5,1.7,1.9,2.1,2.3,2.5,2.7,2.9,3.1,3.3,3.5,3.8,4.1,4.2,4.3},{0,10,20,30,40,50,60,62,64,66,68,70,72,74,76,78,80,85,90,95,100})</f>
        <v>78</v>
      </c>
      <c r="P574" s="4">
        <v>3.32</v>
      </c>
      <c r="Q574" s="4">
        <f t="shared" si="70"/>
        <v>6.68</v>
      </c>
      <c r="R574" s="32">
        <f>LOOKUP(Q574,{0,4.72,4.82,4.92,5.42,5.52,5.62,5.67,5.72,5.77,5.82,5.87,5.92,5.97,6.42,6.47,6.52,6.59,6.66,6.72,6.78},{0,10,20,30,40,50,60,62,64,66,68,70,72,74,76,78,80,85,90,95,100})</f>
        <v>90</v>
      </c>
      <c r="T574" s="35"/>
      <c r="U574" s="4">
        <f t="shared" si="71"/>
        <v>90</v>
      </c>
      <c r="W574" s="5">
        <f t="shared" si="64"/>
        <v>55.6</v>
      </c>
      <c r="X574" s="20">
        <f t="shared" si="72"/>
        <v>79.4285714285714</v>
      </c>
    </row>
    <row r="575" ht="15.6" hidden="1" spans="1:24">
      <c r="A575" s="4">
        <v>213</v>
      </c>
      <c r="B575" s="24" t="s">
        <v>680</v>
      </c>
      <c r="C575" s="25" t="s">
        <v>53</v>
      </c>
      <c r="D575" s="4">
        <v>16</v>
      </c>
      <c r="E575" s="32">
        <f>LOOKUP(D575,{0,1,1.8,2.6,3.4,4.2,5,6.3,7.6,8.9,10.2,11.5,12.8,14.1,15.4,16.7,18,19.7,21.4,23.1,24.8},{0,10,20,30,40,50,60,62,64,66,68,70,72,74,76,78,80,85,90,95,100})</f>
        <v>76</v>
      </c>
      <c r="F575" s="4">
        <v>184</v>
      </c>
      <c r="G575" s="32">
        <f>LOOKUP(F575,{0,124,129,134,139,144,149,152,155,158,161,164,167,170,173,176,179,186,193,199,205},{0,10,20,30,40,50,60,62,64,66,68,70,72,74,76,78,80,85,90,95,100})</f>
        <v>80</v>
      </c>
      <c r="H575" s="4">
        <v>42</v>
      </c>
      <c r="I575" s="32">
        <f>LOOKUP(H575,{0,14,16,18,20,22,24,26,28,30,32,34,36,38,40,42,44,47,50,52,54},{0,10,20,30,40,50,60,62,64,66,68,70,72,74,76,78,80,85,90,95,100})</f>
        <v>78</v>
      </c>
      <c r="L575" s="4">
        <f t="shared" si="68"/>
        <v>78</v>
      </c>
      <c r="M575" s="4">
        <v>8.8</v>
      </c>
      <c r="N575" s="4">
        <f t="shared" si="69"/>
        <v>3.2</v>
      </c>
      <c r="O575" s="32">
        <f>LOOKUP(N575,{0,0.5,0.7,0.9,1.1,1.3,1.5,1.7,1.9,2.1,2.3,2.5,2.7,2.9,3.1,3.3,3.5,3.8,4.1,4.2,4.3},{0,10,20,30,40,50,60,62,64,66,68,70,72,74,76,78,80,85,90,95,100})</f>
        <v>76</v>
      </c>
      <c r="P575" s="4">
        <v>3.38</v>
      </c>
      <c r="Q575" s="4">
        <f t="shared" si="70"/>
        <v>6.62</v>
      </c>
      <c r="R575" s="32">
        <f>LOOKUP(Q575,{0,4.72,4.82,4.92,5.42,5.52,5.62,5.67,5.72,5.77,5.82,5.87,5.92,5.97,6.42,6.47,6.52,6.59,6.66,6.72,6.78},{0,10,20,30,40,50,60,62,64,66,68,70,72,74,76,78,80,85,90,95,100})</f>
        <v>85</v>
      </c>
      <c r="U575" s="4">
        <f t="shared" si="71"/>
        <v>85</v>
      </c>
      <c r="W575" s="5">
        <f t="shared" si="64"/>
        <v>55.6</v>
      </c>
      <c r="X575" s="20">
        <f t="shared" si="72"/>
        <v>79.4285714285714</v>
      </c>
    </row>
    <row r="576" ht="15.6" hidden="1" spans="1:24">
      <c r="A576" s="4">
        <v>214</v>
      </c>
      <c r="B576" s="24" t="s">
        <v>762</v>
      </c>
      <c r="C576" s="25" t="s">
        <v>53</v>
      </c>
      <c r="D576" s="4">
        <v>16.3</v>
      </c>
      <c r="E576" s="32">
        <f>LOOKUP(D576,{0,1,1.8,2.6,3.4,4.2,5,6.3,7.6,8.9,10.2,11.5,12.8,14.1,15.4,16.7,18,19.7,21.4,23.1,24.8},{0,10,20,30,40,50,60,62,64,66,68,70,72,74,76,78,80,85,90,95,100})</f>
        <v>76</v>
      </c>
      <c r="F576" s="4">
        <v>185</v>
      </c>
      <c r="G576" s="32">
        <f>LOOKUP(F576,{0,124,129,134,139,144,149,152,155,158,161,164,167,170,173,176,179,186,193,199,205},{0,10,20,30,40,50,60,62,64,66,68,70,72,74,76,78,80,85,90,95,100})</f>
        <v>80</v>
      </c>
      <c r="H576" s="4">
        <v>46</v>
      </c>
      <c r="I576" s="32">
        <f>LOOKUP(H576,{0,14,16,18,20,22,24,26,28,30,32,34,36,38,40,42,44,47,50,52,54},{0,10,20,30,40,50,60,62,64,66,68,70,72,74,76,78,80,85,90,95,100})</f>
        <v>80</v>
      </c>
      <c r="L576" s="4">
        <f t="shared" si="68"/>
        <v>80</v>
      </c>
      <c r="M576" s="4">
        <v>8.5</v>
      </c>
      <c r="N576" s="4">
        <f t="shared" si="69"/>
        <v>3.5</v>
      </c>
      <c r="O576" s="32">
        <f>LOOKUP(N576,{0,0.5,0.7,0.9,1.1,1.3,1.5,1.7,1.9,2.1,2.3,2.5,2.7,2.9,3.1,3.3,3.5,3.8,4.1,4.2,4.3},{0,10,20,30,40,50,60,62,64,66,68,70,72,74,76,78,80,85,90,95,100})</f>
        <v>80</v>
      </c>
      <c r="P576" s="4">
        <v>3.43</v>
      </c>
      <c r="Q576" s="4">
        <f t="shared" si="70"/>
        <v>6.57</v>
      </c>
      <c r="R576" s="32">
        <f>LOOKUP(Q576,{0,4.72,4.82,4.92,5.42,5.52,5.62,5.67,5.72,5.77,5.82,5.87,5.92,5.97,6.42,6.47,6.52,6.59,6.66,6.72,6.78},{0,10,20,30,40,50,60,62,64,66,68,70,72,74,76,78,80,85,90,95,100})</f>
        <v>80</v>
      </c>
      <c r="U576" s="4">
        <f t="shared" si="71"/>
        <v>80</v>
      </c>
      <c r="W576" s="5">
        <f t="shared" si="64"/>
        <v>55.6</v>
      </c>
      <c r="X576" s="20">
        <f t="shared" si="72"/>
        <v>79.4285714285714</v>
      </c>
    </row>
    <row r="577" ht="15.6" hidden="1" spans="1:24">
      <c r="A577" s="4">
        <v>214</v>
      </c>
      <c r="B577" s="33" t="s">
        <v>742</v>
      </c>
      <c r="C577" s="25" t="s">
        <v>53</v>
      </c>
      <c r="D577" s="4">
        <v>26.5</v>
      </c>
      <c r="E577" s="32">
        <f>LOOKUP(D577,{0,1,1.8,2.6,3.4,4.2,5,6.3,7.6,8.9,10.2,11.5,12.8,14.1,15.4,16.7,18,19.7,21.4,23.1,24.8},{0,10,20,30,40,50,60,62,64,66,68,70,72,74,76,78,80,85,90,95,100})</f>
        <v>100</v>
      </c>
      <c r="F577" s="4">
        <v>180</v>
      </c>
      <c r="G577" s="32">
        <f>LOOKUP(F577,{0,124,129,134,139,144,149,152,155,158,161,164,167,170,173,176,179,186,193,199,205},{0,10,20,30,40,50,60,62,64,66,68,70,72,74,76,78,80,85,90,95,100})</f>
        <v>80</v>
      </c>
      <c r="H577" s="4">
        <v>40</v>
      </c>
      <c r="I577" s="32">
        <f>LOOKUP(H577,{0,14,16,18,20,22,24,26,28,30,32,34,36,38,40,42,44,47,50,52,54},{0,10,20,30,40,50,60,62,64,66,68,70,72,74,76,78,80,85,90,95,100})</f>
        <v>76</v>
      </c>
      <c r="L577" s="4">
        <f t="shared" si="68"/>
        <v>76</v>
      </c>
      <c r="M577" s="4">
        <v>9.3</v>
      </c>
      <c r="N577" s="4">
        <f t="shared" si="69"/>
        <v>2.7</v>
      </c>
      <c r="O577" s="32">
        <f>LOOKUP(N577,{0,0.5,0.7,0.9,1.1,1.3,1.5,1.7,1.9,2.1,2.3,2.5,2.7,2.9,3.1,3.3,3.5,3.8,4.1,4.2,4.3},{0,10,20,30,40,50,60,62,64,66,68,70,72,74,76,78,80,85,90,95,100})</f>
        <v>72</v>
      </c>
      <c r="P577" s="4">
        <v>3.49</v>
      </c>
      <c r="Q577" s="4">
        <f t="shared" si="70"/>
        <v>6.51</v>
      </c>
      <c r="R577" s="32">
        <f>LOOKUP(Q577,{0,4.72,4.82,4.92,5.42,5.52,5.62,5.67,5.72,5.77,5.82,5.87,5.92,5.97,6.42,6.47,6.52,6.59,6.66,6.72,6.78},{0,10,20,30,40,50,60,62,64,66,68,70,72,74,76,78,80,85,90,95,100})</f>
        <v>78</v>
      </c>
      <c r="U577" s="4">
        <f t="shared" si="71"/>
        <v>78</v>
      </c>
      <c r="W577" s="5">
        <f t="shared" si="64"/>
        <v>55.6</v>
      </c>
      <c r="X577" s="20">
        <f t="shared" si="72"/>
        <v>79.4285714285714</v>
      </c>
    </row>
    <row r="578" ht="15.6" hidden="1" spans="1:24">
      <c r="A578" s="4">
        <v>206</v>
      </c>
      <c r="B578" s="24" t="s">
        <v>322</v>
      </c>
      <c r="C578" s="25" t="s">
        <v>53</v>
      </c>
      <c r="D578" s="4">
        <v>18.9</v>
      </c>
      <c r="E578" s="32">
        <f>LOOKUP(D578,{0,1,1.8,2.6,3.4,4.2,5,6.3,7.6,8.9,10.2,11.5,12.8,14.1,15.4,16.7,18,19.7,21.4,23.1,24.8},{0,10,20,30,40,50,60,62,64,66,68,70,72,74,76,78,80,85,90,95,100})</f>
        <v>80</v>
      </c>
      <c r="F578" s="4">
        <v>165</v>
      </c>
      <c r="G578" s="32">
        <f>LOOKUP(F578,{0,124,129,134,139,144,149,152,155,158,161,164,167,170,173,176,179,186,193,199,205},{0,10,20,30,40,50,60,62,64,66,68,70,72,74,76,78,80,85,90,95,100})</f>
        <v>70</v>
      </c>
      <c r="H578" s="4">
        <v>49</v>
      </c>
      <c r="I578" s="32">
        <f>LOOKUP(H578,{0,14,16,18,20,22,24,26,28,30,32,34,36,38,40,42,44,47,50,52,54},{0,10,20,30,40,50,60,62,64,66,68,70,72,74,76,78,80,85,90,95,100})</f>
        <v>85</v>
      </c>
      <c r="L578" s="4">
        <f t="shared" si="68"/>
        <v>85</v>
      </c>
      <c r="M578" s="4">
        <v>8.5</v>
      </c>
      <c r="N578" s="4">
        <f t="shared" si="69"/>
        <v>3.5</v>
      </c>
      <c r="O578" s="32">
        <f>LOOKUP(N578,{0,0.5,0.7,0.9,1.1,1.3,1.5,1.7,1.9,2.1,2.3,2.5,2.7,2.9,3.1,3.3,3.5,3.8,4.1,4.2,4.3},{0,10,20,30,40,50,60,62,64,66,68,70,72,74,76,78,80,85,90,95,100})</f>
        <v>80</v>
      </c>
      <c r="P578" s="4">
        <v>3.46</v>
      </c>
      <c r="Q578" s="4">
        <f t="shared" si="70"/>
        <v>6.54</v>
      </c>
      <c r="R578" s="32">
        <f>LOOKUP(Q578,{0,4.72,4.82,4.92,5.42,5.52,5.62,5.67,5.72,5.77,5.82,5.87,5.92,5.97,6.42,6.47,6.52,6.59,6.66,6.72,6.78},{0,10,20,30,40,50,60,62,64,66,68,70,72,74,76,78,80,85,90,95,100})</f>
        <v>80</v>
      </c>
      <c r="T578" s="35"/>
      <c r="U578" s="4">
        <f t="shared" si="71"/>
        <v>80</v>
      </c>
      <c r="W578" s="5">
        <f t="shared" ref="W578:W641" si="73">E578*0.1+G578*0.1+I578*0.1+O578*0.2+R578*0.2</f>
        <v>55.5</v>
      </c>
      <c r="X578" s="20">
        <f t="shared" si="72"/>
        <v>79.2857142857143</v>
      </c>
    </row>
    <row r="579" ht="15.6" hidden="1" spans="1:24">
      <c r="A579" s="4">
        <v>213</v>
      </c>
      <c r="B579" s="24" t="s">
        <v>693</v>
      </c>
      <c r="C579" s="25" t="s">
        <v>53</v>
      </c>
      <c r="D579" s="4">
        <v>11.5</v>
      </c>
      <c r="E579" s="32">
        <f>LOOKUP(D579,{0,1,1.8,2.6,3.4,4.2,5,6.3,7.6,8.9,10.2,11.5,12.8,14.1,15.4,16.7,18,19.7,21.4,23.1,24.8},{0,10,20,30,40,50,60,62,64,66,68,70,72,74,76,78,80,85,90,95,100})</f>
        <v>70</v>
      </c>
      <c r="F579" s="4">
        <v>156</v>
      </c>
      <c r="G579" s="32">
        <f>LOOKUP(F579,{0,124,129,134,139,144,149,152,155,158,161,164,167,170,173,176,179,186,193,199,205},{0,10,20,30,40,50,60,62,64,66,68,70,72,74,76,78,80,85,90,95,100})</f>
        <v>64</v>
      </c>
      <c r="H579" s="4">
        <v>60</v>
      </c>
      <c r="I579" s="32">
        <f>LOOKUP(H579,{0,14,16,18,20,22,24,26,28,30,32,34,36,38,40,42,44,47,50,52,54},{0,10,20,30,40,50,60,62,64,66,68,70,72,74,76,78,80,85,90,95,100})</f>
        <v>100</v>
      </c>
      <c r="J579" s="4">
        <f>H579-54</f>
        <v>6</v>
      </c>
      <c r="K579" s="32">
        <f>LOOKUP(J579,{0,2,4,6,7,8,9,10,11,12,13},{0,1,2,3,4,5,6,7,8,9,10})</f>
        <v>3</v>
      </c>
      <c r="L579" s="4">
        <f t="shared" si="68"/>
        <v>103</v>
      </c>
      <c r="M579" s="4">
        <v>9.1</v>
      </c>
      <c r="N579" s="4">
        <f t="shared" si="69"/>
        <v>2.9</v>
      </c>
      <c r="O579" s="32">
        <f>LOOKUP(N579,{0,0.5,0.7,0.9,1.1,1.3,1.5,1.7,1.9,2.1,2.3,2.5,2.7,2.9,3.1,3.3,3.5,3.8,4.1,4.2,4.3},{0,10,20,30,40,50,60,62,64,66,68,70,72,74,76,78,80,85,90,95,100})</f>
        <v>74</v>
      </c>
      <c r="P579" s="4">
        <v>3.54</v>
      </c>
      <c r="Q579" s="4">
        <f t="shared" si="70"/>
        <v>6.46</v>
      </c>
      <c r="R579" s="32">
        <f>LOOKUP(Q579,{0,4.72,4.82,4.92,5.42,5.52,5.62,5.67,5.72,5.77,5.82,5.87,5.92,5.97,6.42,6.47,6.52,6.59,6.66,6.72,6.78},{0,10,20,30,40,50,60,62,64,66,68,70,72,74,76,78,80,85,90,95,100})</f>
        <v>76</v>
      </c>
      <c r="U579" s="4">
        <f t="shared" si="71"/>
        <v>76</v>
      </c>
      <c r="W579" s="5">
        <f t="shared" si="73"/>
        <v>53.4</v>
      </c>
      <c r="X579" s="20">
        <f t="shared" si="72"/>
        <v>79.2857142857143</v>
      </c>
    </row>
    <row r="580" ht="15.6" hidden="1" spans="1:24">
      <c r="A580" s="4">
        <v>207</v>
      </c>
      <c r="B580" s="24" t="s">
        <v>371</v>
      </c>
      <c r="C580" s="25" t="s">
        <v>53</v>
      </c>
      <c r="D580" s="4">
        <v>17.3</v>
      </c>
      <c r="E580" s="32">
        <f>LOOKUP(D580,{0,1,1.8,2.6,3.4,4.2,5,6.3,7.6,8.9,10.2,11.5,12.8,14.1,15.4,16.7,18,19.7,21.4,23.1,24.8},{0,10,20,30,40,50,60,62,64,66,68,70,72,74,76,78,80,85,90,95,100})</f>
        <v>78</v>
      </c>
      <c r="F580" s="4">
        <v>160</v>
      </c>
      <c r="G580" s="32">
        <f>LOOKUP(F580,{0,124,129,134,139,144,149,152,155,158,161,164,167,170,173,176,179,186,193,199,205},{0,10,20,30,40,50,60,62,64,66,68,70,72,74,76,78,80,85,90,95,100})</f>
        <v>66</v>
      </c>
      <c r="H580" s="4">
        <v>45</v>
      </c>
      <c r="I580" s="32">
        <f>LOOKUP(H580,{0,14,16,18,20,22,24,26,28,30,32,34,36,38,40,42,44,47,50,52,54},{0,10,20,30,40,50,60,62,64,66,68,70,72,74,76,78,80,85,90,95,100})</f>
        <v>80</v>
      </c>
      <c r="L580" s="4">
        <f t="shared" si="68"/>
        <v>80</v>
      </c>
      <c r="M580" s="4">
        <v>8.5</v>
      </c>
      <c r="N580" s="4">
        <f t="shared" si="69"/>
        <v>3.5</v>
      </c>
      <c r="O580" s="32">
        <f>LOOKUP(N580,{0,0.5,0.7,0.9,1.1,1.3,1.5,1.7,1.9,2.1,2.3,2.5,2.7,2.9,3.1,3.3,3.5,3.8,4.1,4.2,4.3},{0,10,20,30,40,50,60,62,64,66,68,70,72,74,76,78,80,85,90,95,100})</f>
        <v>80</v>
      </c>
      <c r="P580" s="4">
        <v>3.35</v>
      </c>
      <c r="Q580" s="4">
        <f t="shared" si="70"/>
        <v>6.65</v>
      </c>
      <c r="R580" s="32">
        <f>LOOKUP(Q580,{0,4.72,4.82,4.92,5.42,5.52,5.62,5.67,5.72,5.77,5.82,5.87,5.92,5.97,6.42,6.47,6.52,6.59,6.66,6.72,6.78},{0,10,20,30,40,50,60,62,64,66,68,70,72,74,76,78,80,85,90,95,100})</f>
        <v>85</v>
      </c>
      <c r="T580" s="35"/>
      <c r="U580" s="4">
        <f t="shared" si="71"/>
        <v>85</v>
      </c>
      <c r="W580" s="5">
        <f t="shared" si="73"/>
        <v>55.4</v>
      </c>
      <c r="X580" s="20">
        <f t="shared" si="72"/>
        <v>79.1428571428572</v>
      </c>
    </row>
    <row r="581" ht="15.6" hidden="1" spans="1:24">
      <c r="A581" s="4">
        <v>212</v>
      </c>
      <c r="B581" s="24" t="s">
        <v>662</v>
      </c>
      <c r="C581" s="25" t="s">
        <v>53</v>
      </c>
      <c r="D581" s="4">
        <v>22.5</v>
      </c>
      <c r="E581" s="32">
        <f>LOOKUP(D581,{0,1,1.8,2.6,3.4,4.2,5,6.3,7.6,8.9,10.2,11.5,12.8,14.1,15.4,16.7,18,19.7,21.4,23.1,24.8},{0,10,20,30,40,50,60,62,64,66,68,70,72,74,76,78,80,85,90,95,100})</f>
        <v>90</v>
      </c>
      <c r="F581" s="4">
        <v>169</v>
      </c>
      <c r="G581" s="32">
        <f>LOOKUP(F581,{0,124,129,134,139,144,149,152,155,158,161,164,167,170,173,176,179,186,193,199,205},{0,10,20,30,40,50,60,62,64,66,68,70,72,74,76,78,80,85,90,95,100})</f>
        <v>72</v>
      </c>
      <c r="H581" s="4">
        <v>45</v>
      </c>
      <c r="I581" s="32">
        <f>LOOKUP(H581,{0,14,16,18,20,22,24,26,28,30,32,34,36,38,40,42,44,47,50,52,54},{0,10,20,30,40,50,60,62,64,66,68,70,72,74,76,78,80,85,90,95,100})</f>
        <v>80</v>
      </c>
      <c r="L581" s="4">
        <f t="shared" si="68"/>
        <v>80</v>
      </c>
      <c r="M581" s="4">
        <v>8.9</v>
      </c>
      <c r="N581" s="4">
        <f t="shared" si="69"/>
        <v>3.1</v>
      </c>
      <c r="O581" s="32">
        <f>LOOKUP(N581,{0,0.5,0.7,0.9,1.1,1.3,1.5,1.7,1.9,2.1,2.3,2.5,2.7,2.9,3.1,3.3,3.5,3.8,4.1,4.2,4.3},{0,10,20,30,40,50,60,62,64,66,68,70,72,74,76,78,80,85,90,95,100})</f>
        <v>76</v>
      </c>
      <c r="P581" s="4">
        <v>3.42</v>
      </c>
      <c r="Q581" s="4">
        <f t="shared" si="70"/>
        <v>6.58</v>
      </c>
      <c r="R581" s="32">
        <f>LOOKUP(Q581,{0,4.72,4.82,4.92,5.42,5.52,5.62,5.67,5.72,5.77,5.82,5.87,5.92,5.97,6.42,6.47,6.52,6.59,6.66,6.72,6.78},{0,10,20,30,40,50,60,62,64,66,68,70,72,74,76,78,80,85,90,95,100})</f>
        <v>80</v>
      </c>
      <c r="T581" s="35"/>
      <c r="U581" s="4">
        <f t="shared" si="71"/>
        <v>80</v>
      </c>
      <c r="W581" s="5">
        <f t="shared" si="73"/>
        <v>55.4</v>
      </c>
      <c r="X581" s="20">
        <f t="shared" si="72"/>
        <v>79.1428571428571</v>
      </c>
    </row>
    <row r="582" ht="15.6" hidden="1" spans="1:24">
      <c r="A582" s="4">
        <v>204</v>
      </c>
      <c r="B582" s="24" t="s">
        <v>187</v>
      </c>
      <c r="C582" s="25" t="s">
        <v>53</v>
      </c>
      <c r="D582" s="4">
        <v>12</v>
      </c>
      <c r="E582" s="32">
        <f>LOOKUP(D582,{0,1,1.8,2.6,3.4,4.2,5,6.3,7.6,8.9,10.2,11.5,12.8,14.1,15.4,16.7,18,19.7,21.4,23.1,24.8},{0,10,20,30,40,50,60,62,64,66,68,70,72,74,76,78,80,85,90,95,100})</f>
        <v>70</v>
      </c>
      <c r="F582" s="4">
        <v>175</v>
      </c>
      <c r="G582" s="32">
        <f>LOOKUP(F582,{0,124,129,134,139,144,149,152,155,158,161,164,167,170,173,176,179,186,193,199,205},{0,10,20,30,40,50,60,62,64,66,68,70,72,74,76,78,80,85,90,95,100})</f>
        <v>76</v>
      </c>
      <c r="H582" s="4">
        <v>48</v>
      </c>
      <c r="I582" s="32">
        <f>LOOKUP(H582,{0,14,16,18,20,22,24,26,28,30,32,34,36,38,40,42,44,47,50,52,54},{0,10,20,30,40,50,60,62,64,66,68,70,72,74,76,78,80,85,90,95,100})</f>
        <v>85</v>
      </c>
      <c r="L582" s="4">
        <f t="shared" si="68"/>
        <v>85</v>
      </c>
      <c r="M582" s="4">
        <v>8.9</v>
      </c>
      <c r="N582" s="4">
        <f t="shared" si="69"/>
        <v>3.1</v>
      </c>
      <c r="O582" s="32">
        <f>LOOKUP(N582,{0,0.5,0.7,0.9,1.1,1.3,1.5,1.7,1.9,2.1,2.3,2.5,2.7,2.9,3.1,3.3,3.5,3.8,4.1,4.2,4.3},{0,10,20,30,40,50,60,62,64,66,68,70,72,74,76,78,80,85,90,95,100})</f>
        <v>76</v>
      </c>
      <c r="P582" s="4">
        <v>3.39</v>
      </c>
      <c r="Q582" s="4">
        <f t="shared" si="70"/>
        <v>6.61</v>
      </c>
      <c r="R582" s="32">
        <f>LOOKUP(Q582,{0,4.72,4.82,4.92,5.42,5.52,5.62,5.67,5.72,5.77,5.82,5.87,5.92,5.97,6.42,6.47,6.52,6.59,6.66,6.72,6.78},{0,10,20,30,40,50,60,62,64,66,68,70,72,74,76,78,80,85,90,95,100})</f>
        <v>85</v>
      </c>
      <c r="T582" s="35"/>
      <c r="U582" s="4">
        <f t="shared" si="71"/>
        <v>85</v>
      </c>
      <c r="W582" s="5">
        <f t="shared" si="73"/>
        <v>55.3</v>
      </c>
      <c r="X582" s="20">
        <f t="shared" si="72"/>
        <v>79</v>
      </c>
    </row>
    <row r="583" ht="15.6" hidden="1" spans="1:24">
      <c r="A583" s="4">
        <v>214</v>
      </c>
      <c r="B583" s="33" t="s">
        <v>753</v>
      </c>
      <c r="C583" s="25" t="s">
        <v>53</v>
      </c>
      <c r="D583" s="4">
        <v>19.1</v>
      </c>
      <c r="E583" s="32">
        <f>LOOKUP(D583,{0,1,1.8,2.6,3.4,4.2,5,6.3,7.6,8.9,10.2,11.5,12.8,14.1,15.4,16.7,18,19.7,21.4,23.1,24.8},{0,10,20,30,40,50,60,62,64,66,68,70,72,74,76,78,80,85,90,95,100})</f>
        <v>80</v>
      </c>
      <c r="F583" s="4">
        <v>165</v>
      </c>
      <c r="G583" s="32">
        <f>LOOKUP(F583,{0,124,129,134,139,144,149,152,155,158,161,164,167,170,173,176,179,186,193,199,205},{0,10,20,30,40,50,60,62,64,66,68,70,72,74,76,78,80,85,90,95,100})</f>
        <v>70</v>
      </c>
      <c r="H583" s="4">
        <v>52</v>
      </c>
      <c r="I583" s="32">
        <f>LOOKUP(H583,{0,14,16,18,20,22,24,26,28,30,32,34,36,38,40,42,44,47,50,52,54},{0,10,20,30,40,50,60,62,64,66,68,70,72,74,76,78,80,85,90,95,100})</f>
        <v>95</v>
      </c>
      <c r="L583" s="4">
        <f t="shared" si="68"/>
        <v>95</v>
      </c>
      <c r="M583" s="4">
        <v>8.9</v>
      </c>
      <c r="N583" s="4">
        <f t="shared" si="69"/>
        <v>3.1</v>
      </c>
      <c r="O583" s="32">
        <f>LOOKUP(N583,{0,0.5,0.7,0.9,1.1,1.3,1.5,1.7,1.9,2.1,2.3,2.5,2.7,2.9,3.1,3.3,3.5,3.8,4.1,4.2,4.3},{0,10,20,30,40,50,60,62,64,66,68,70,72,74,76,78,80,85,90,95,100})</f>
        <v>76</v>
      </c>
      <c r="P583" s="4">
        <v>3.53</v>
      </c>
      <c r="Q583" s="4">
        <f t="shared" si="70"/>
        <v>6.47</v>
      </c>
      <c r="R583" s="32">
        <f>LOOKUP(Q583,{0,4.72,4.82,4.92,5.42,5.52,5.62,5.67,5.72,5.77,5.82,5.87,5.92,5.97,6.42,6.47,6.52,6.59,6.66,6.72,6.78},{0,10,20,30,40,50,60,62,64,66,68,70,72,74,76,78,80,85,90,95,100})</f>
        <v>78</v>
      </c>
      <c r="U583" s="4">
        <f t="shared" si="71"/>
        <v>78</v>
      </c>
      <c r="W583" s="5">
        <f t="shared" si="73"/>
        <v>55.3</v>
      </c>
      <c r="X583" s="20">
        <f t="shared" si="72"/>
        <v>79</v>
      </c>
    </row>
    <row r="584" ht="15.6" hidden="1" spans="1:24">
      <c r="A584" s="4">
        <v>208</v>
      </c>
      <c r="B584" s="33" t="s">
        <v>428</v>
      </c>
      <c r="C584" s="25" t="s">
        <v>53</v>
      </c>
      <c r="D584" s="4">
        <v>13.6</v>
      </c>
      <c r="E584" s="32">
        <f>LOOKUP(D584,{0,1,1.8,2.6,3.4,4.2,5,6.3,7.6,8.9,10.2,11.5,12.8,14.1,15.4,16.7,18,19.7,21.4,23.1,24.8},{0,10,20,30,40,50,60,62,64,66,68,70,72,74,76,78,80,85,90,95,100})</f>
        <v>72</v>
      </c>
      <c r="F584" s="4">
        <v>177</v>
      </c>
      <c r="G584" s="32">
        <f>LOOKUP(F584,{0,124,129,134,139,144,149,152,155,158,161,164,167,170,173,176,179,186,193,199,205},{0,10,20,30,40,50,60,62,64,66,68,70,72,74,76,78,80,85,90,95,100})</f>
        <v>78</v>
      </c>
      <c r="H584" s="4">
        <v>48</v>
      </c>
      <c r="I584" s="32">
        <f>LOOKUP(H584,{0,14,16,18,20,22,24,26,28,30,32,34,36,38,40,42,44,47,50,52,54},{0,10,20,30,40,50,60,62,64,66,68,70,72,74,76,78,80,85,90,95,100})</f>
        <v>85</v>
      </c>
      <c r="L584" s="4">
        <f t="shared" si="68"/>
        <v>85</v>
      </c>
      <c r="M584" s="4">
        <v>9.1</v>
      </c>
      <c r="N584" s="4">
        <f t="shared" si="69"/>
        <v>2.9</v>
      </c>
      <c r="O584" s="32">
        <f>LOOKUP(N584,{0,0.5,0.7,0.9,1.1,1.3,1.5,1.7,1.9,2.1,2.3,2.5,2.7,2.9,3.1,3.3,3.5,3.8,4.1,4.2,4.3},{0,10,20,30,40,50,60,62,64,66,68,70,72,74,76,78,80,85,90,95,100})</f>
        <v>74</v>
      </c>
      <c r="P584" s="4">
        <v>3.35</v>
      </c>
      <c r="Q584" s="4">
        <f t="shared" si="70"/>
        <v>6.65</v>
      </c>
      <c r="R584" s="32">
        <f>LOOKUP(Q584,{0,4.72,4.82,4.92,5.42,5.52,5.62,5.67,5.72,5.77,5.82,5.87,5.92,5.97,6.42,6.47,6.52,6.59,6.66,6.72,6.78},{0,10,20,30,40,50,60,62,64,66,68,70,72,74,76,78,80,85,90,95,100})</f>
        <v>85</v>
      </c>
      <c r="T584" s="35"/>
      <c r="U584" s="4">
        <f t="shared" si="71"/>
        <v>85</v>
      </c>
      <c r="W584" s="5">
        <f t="shared" si="73"/>
        <v>55.3</v>
      </c>
      <c r="X584" s="20">
        <f t="shared" si="72"/>
        <v>79</v>
      </c>
    </row>
    <row r="585" s="1" customFormat="1" ht="15.6" hidden="1" spans="1:24">
      <c r="A585" s="4">
        <v>215</v>
      </c>
      <c r="B585" s="24" t="s">
        <v>835</v>
      </c>
      <c r="C585" s="25" t="s">
        <v>53</v>
      </c>
      <c r="D585" s="4">
        <v>17</v>
      </c>
      <c r="E585" s="32">
        <f>LOOKUP(D585,{0,1,1.8,2.6,3.4,4.2,5,6.3,7.6,8.9,10.2,11.5,12.8,14.1,15.4,16.7,18,19.7,21.4,23.1,24.8},{0,10,20,30,40,50,60,62,64,66,68,70,72,74,76,78,80,85,90,95,100})</f>
        <v>78</v>
      </c>
      <c r="F585" s="4">
        <v>158</v>
      </c>
      <c r="G585" s="32">
        <f>LOOKUP(F585,{0,124,129,134,139,144,149,152,155,158,161,164,167,170,173,176,179,186,193,199,205},{0,10,20,30,40,50,60,62,64,66,68,70,72,74,76,78,80,85,90,95,100})</f>
        <v>66</v>
      </c>
      <c r="H585" s="4">
        <v>50</v>
      </c>
      <c r="I585" s="32">
        <f>LOOKUP(H585,{0,14,16,18,20,22,24,26,28,30,32,34,36,38,40,42,44,47,50,52,54},{0,10,20,30,40,50,60,62,64,66,68,70,72,74,76,78,80,85,90,95,100})</f>
        <v>90</v>
      </c>
      <c r="J585" s="4"/>
      <c r="K585" s="4"/>
      <c r="L585" s="4">
        <f t="shared" si="68"/>
        <v>90</v>
      </c>
      <c r="M585" s="4">
        <v>9</v>
      </c>
      <c r="N585" s="4">
        <f t="shared" si="69"/>
        <v>3</v>
      </c>
      <c r="O585" s="32">
        <f>LOOKUP(N585,{0,0.5,0.7,0.9,1.1,1.3,1.5,1.7,1.9,2.1,2.3,2.5,2.7,2.9,3.1,3.3,3.5,3.8,4.1,4.2,4.3},{0,10,20,30,40,50,60,62,64,66,68,70,72,74,76,78,80,85,90,95,100})</f>
        <v>74</v>
      </c>
      <c r="P585" s="4">
        <v>3.4</v>
      </c>
      <c r="Q585" s="4">
        <f t="shared" si="70"/>
        <v>6.6</v>
      </c>
      <c r="R585" s="32">
        <f>LOOKUP(Q585,{0,4.72,4.82,4.92,5.42,5.52,5.62,5.67,5.72,5.77,5.82,5.87,5.92,5.97,6.42,6.47,6.52,6.59,6.66,6.72,6.78},{0,10,20,30,40,50,60,62,64,66,68,70,72,74,76,78,80,85,90,95,100})</f>
        <v>85</v>
      </c>
      <c r="S585" s="4"/>
      <c r="T585" s="4"/>
      <c r="U585" s="4">
        <f t="shared" si="71"/>
        <v>85</v>
      </c>
      <c r="V585" s="4"/>
      <c r="W585" s="5">
        <f t="shared" si="73"/>
        <v>55.2</v>
      </c>
      <c r="X585" s="20">
        <f t="shared" si="72"/>
        <v>78.8571428571429</v>
      </c>
    </row>
    <row r="586" ht="15.6" hidden="1" spans="1:24">
      <c r="A586" s="4">
        <v>202</v>
      </c>
      <c r="B586" s="24" t="s">
        <v>107</v>
      </c>
      <c r="C586" s="25" t="s">
        <v>53</v>
      </c>
      <c r="D586" s="4">
        <v>9.5</v>
      </c>
      <c r="E586" s="32">
        <f>LOOKUP(D586,{0,1,1.8,2.6,3.4,4.2,5,6.3,7.6,8.9,10.2,11.5,12.8,14.1,15.4,16.7,18,19.7,21.4,23.1,24.8},{0,10,20,30,40,50,60,62,64,66,68,70,72,74,76,78,80,85,90,95,100})</f>
        <v>66</v>
      </c>
      <c r="F586" s="4">
        <v>180</v>
      </c>
      <c r="G586" s="32">
        <f>LOOKUP(F586,{0,124,129,134,139,144,149,152,155,158,161,164,167,170,173,176,179,186,193,199,205},{0,10,20,30,40,50,60,62,64,66,68,70,72,74,76,78,80,85,90,95,100})</f>
        <v>80</v>
      </c>
      <c r="H586" s="4">
        <v>46</v>
      </c>
      <c r="I586" s="32">
        <f>LOOKUP(H586,{0,14,16,18,20,22,24,26,28,30,32,34,36,38,40,42,44,47,50,52,54},{0,10,20,30,40,50,60,62,64,66,68,70,72,74,76,78,80,85,90,95,100})</f>
        <v>80</v>
      </c>
      <c r="L586" s="4">
        <f t="shared" si="68"/>
        <v>80</v>
      </c>
      <c r="M586" s="4">
        <v>8.7</v>
      </c>
      <c r="N586" s="4">
        <f t="shared" si="69"/>
        <v>3.3</v>
      </c>
      <c r="O586" s="32">
        <f>LOOKUP(N586,{0,0.5,0.7,0.9,1.1,1.3,1.5,1.7,1.9,2.1,2.3,2.5,2.7,2.9,3.1,3.3,3.5,3.8,4.1,4.2,4.3},{0,10,20,30,40,50,60,62,64,66,68,70,72,74,76,78,80,85,90,95,100})</f>
        <v>78</v>
      </c>
      <c r="P586" s="4">
        <v>3.41</v>
      </c>
      <c r="Q586" s="4">
        <f t="shared" si="70"/>
        <v>6.59</v>
      </c>
      <c r="R586" s="32">
        <f>LOOKUP(Q586,{0,4.72,4.82,4.92,5.42,5.52,5.62,5.67,5.72,5.77,5.82,5.87,5.92,5.97,6.42,6.47,6.52,6.59,6.66,6.72,6.78},{0,10,20,30,40,50,60,62,64,66,68,70,72,74,76,78,80,85,90,95,100})</f>
        <v>85</v>
      </c>
      <c r="T586" s="35"/>
      <c r="U586" s="4">
        <f t="shared" si="71"/>
        <v>85</v>
      </c>
      <c r="W586" s="5">
        <f t="shared" si="73"/>
        <v>55.2</v>
      </c>
      <c r="X586" s="20">
        <f t="shared" si="72"/>
        <v>78.8571428571429</v>
      </c>
    </row>
    <row r="587" ht="15.6" hidden="1" spans="1:24">
      <c r="A587" s="4">
        <v>214</v>
      </c>
      <c r="B587" s="24" t="s">
        <v>779</v>
      </c>
      <c r="C587" s="25" t="s">
        <v>53</v>
      </c>
      <c r="D587" s="4">
        <v>18.1</v>
      </c>
      <c r="E587" s="32">
        <f>LOOKUP(D587,{0,1,1.8,2.6,3.4,4.2,5,6.3,7.6,8.9,10.2,11.5,12.8,14.1,15.4,16.7,18,19.7,21.4,23.1,24.8},{0,10,20,30,40,50,60,62,64,66,68,70,72,74,76,78,80,85,90,95,100})</f>
        <v>80</v>
      </c>
      <c r="F587" s="4">
        <v>196</v>
      </c>
      <c r="G587" s="32">
        <f>LOOKUP(F587,{0,124,129,134,139,144,149,152,155,158,161,164,167,170,173,176,179,186,193,199,205},{0,10,20,30,40,50,60,62,64,66,68,70,72,74,76,78,80,85,90,95,100})</f>
        <v>90</v>
      </c>
      <c r="H587" s="4">
        <v>35</v>
      </c>
      <c r="I587" s="32">
        <f>LOOKUP(H587,{0,14,16,18,20,22,24,26,28,30,32,34,36,38,40,42,44,47,50,52,54},{0,10,20,30,40,50,60,62,64,66,68,70,72,74,76,78,80,85,90,95,100})</f>
        <v>70</v>
      </c>
      <c r="L587" s="4">
        <f t="shared" si="68"/>
        <v>70</v>
      </c>
      <c r="M587" s="4">
        <v>8.8</v>
      </c>
      <c r="N587" s="4">
        <f t="shared" si="69"/>
        <v>3.2</v>
      </c>
      <c r="O587" s="32">
        <f>LOOKUP(N587,{0,0.5,0.7,0.9,1.1,1.3,1.5,1.7,1.9,2.1,2.3,2.5,2.7,2.9,3.1,3.3,3.5,3.8,4.1,4.2,4.3},{0,10,20,30,40,50,60,62,64,66,68,70,72,74,76,78,80,85,90,95,100})</f>
        <v>76</v>
      </c>
      <c r="P587" s="4">
        <v>3.48</v>
      </c>
      <c r="Q587" s="4">
        <f t="shared" si="70"/>
        <v>6.52</v>
      </c>
      <c r="R587" s="32">
        <f>LOOKUP(Q587,{0,4.72,4.82,4.92,5.42,5.52,5.62,5.67,5.72,5.77,5.82,5.87,5.92,5.97,6.42,6.47,6.52,6.59,6.66,6.72,6.78},{0,10,20,30,40,50,60,62,64,66,68,70,72,74,76,78,80,85,90,95,100})</f>
        <v>80</v>
      </c>
      <c r="U587" s="4">
        <f t="shared" si="71"/>
        <v>80</v>
      </c>
      <c r="W587" s="5">
        <f t="shared" si="73"/>
        <v>55.2</v>
      </c>
      <c r="X587" s="20">
        <f t="shared" si="72"/>
        <v>78.8571428571429</v>
      </c>
    </row>
    <row r="588" ht="15.6" hidden="1" spans="1:24">
      <c r="A588" s="4">
        <v>212</v>
      </c>
      <c r="B588" s="24" t="s">
        <v>650</v>
      </c>
      <c r="C588" s="25" t="s">
        <v>53</v>
      </c>
      <c r="D588" s="4">
        <v>10.5</v>
      </c>
      <c r="E588" s="32">
        <f>LOOKUP(D588,{0,1,1.8,2.6,3.4,4.2,5,6.3,7.6,8.9,10.2,11.5,12.8,14.1,15.4,16.7,18,19.7,21.4,23.1,24.8},{0,10,20,30,40,50,60,62,64,66,68,70,72,74,76,78,80,85,90,95,100})</f>
        <v>68</v>
      </c>
      <c r="F588" s="4">
        <v>210</v>
      </c>
      <c r="G588" s="32">
        <f>LOOKUP(F588,{0,124,129,134,139,144,149,152,155,158,161,164,167,170,173,176,179,186,193,199,205},{0,10,20,30,40,50,60,62,64,66,68,70,72,74,76,78,80,85,90,95,100})</f>
        <v>100</v>
      </c>
      <c r="H588" s="4">
        <v>40</v>
      </c>
      <c r="I588" s="32">
        <f>LOOKUP(H588,{0,14,16,18,20,22,24,26,28,30,32,34,36,38,40,42,44,47,50,52,54},{0,10,20,30,40,50,60,62,64,66,68,70,72,74,76,78,80,85,90,95,100})</f>
        <v>76</v>
      </c>
      <c r="L588" s="4">
        <f t="shared" si="68"/>
        <v>76</v>
      </c>
      <c r="M588" s="4">
        <v>8.3</v>
      </c>
      <c r="N588" s="4">
        <f t="shared" si="69"/>
        <v>3.7</v>
      </c>
      <c r="O588" s="32">
        <f>LOOKUP(N588,{0,0.5,0.7,0.9,1.1,1.3,1.5,1.7,1.9,2.1,2.3,2.5,2.7,2.9,3.1,3.3,3.5,3.8,4.1,4.2,4.3},{0,10,20,30,40,50,60,62,64,66,68,70,72,74,76,78,80,85,90,95,100})</f>
        <v>80</v>
      </c>
      <c r="P588" s="4">
        <v>4.01</v>
      </c>
      <c r="Q588" s="4">
        <f t="shared" si="70"/>
        <v>5.99</v>
      </c>
      <c r="R588" s="32">
        <f>LOOKUP(Q588,{0,4.72,4.82,4.92,5.42,5.52,5.62,5.67,5.72,5.77,5.82,5.87,5.92,5.97,6.42,6.47,6.52,6.59,6.66,6.72,6.78},{0,10,20,30,40,50,60,62,64,66,68,70,72,74,76,78,80,85,90,95,100})</f>
        <v>74</v>
      </c>
      <c r="U588" s="4">
        <f t="shared" si="71"/>
        <v>74</v>
      </c>
      <c r="W588" s="5">
        <f t="shared" si="73"/>
        <v>55.2</v>
      </c>
      <c r="X588" s="20">
        <f t="shared" si="72"/>
        <v>78.8571428571429</v>
      </c>
    </row>
    <row r="589" ht="15.6" hidden="1" spans="1:24">
      <c r="A589" s="4">
        <v>202</v>
      </c>
      <c r="B589" s="33" t="s">
        <v>88</v>
      </c>
      <c r="C589" s="25" t="s">
        <v>11</v>
      </c>
      <c r="E589" s="32"/>
      <c r="G589" s="32"/>
      <c r="I589" s="32"/>
      <c r="O589" s="32"/>
      <c r="R589" s="32"/>
      <c r="T589" s="32"/>
      <c r="V589" s="4" t="s">
        <v>89</v>
      </c>
      <c r="W589" s="5">
        <f t="shared" si="73"/>
        <v>0</v>
      </c>
      <c r="X589" s="20">
        <v>50</v>
      </c>
    </row>
    <row r="590" ht="15.6" hidden="1" spans="1:24">
      <c r="A590" s="4">
        <v>203</v>
      </c>
      <c r="B590" s="24" t="s">
        <v>131</v>
      </c>
      <c r="C590" s="25" t="s">
        <v>11</v>
      </c>
      <c r="E590" s="32"/>
      <c r="G590" s="32"/>
      <c r="I590" s="32"/>
      <c r="O590" s="32"/>
      <c r="R590" s="32"/>
      <c r="T590" s="32"/>
      <c r="W590" s="5">
        <f t="shared" si="73"/>
        <v>0</v>
      </c>
      <c r="X590" s="23">
        <v>50</v>
      </c>
    </row>
    <row r="591" ht="15.6" hidden="1" spans="1:24">
      <c r="A591" s="4">
        <v>203</v>
      </c>
      <c r="B591" s="24" t="s">
        <v>133</v>
      </c>
      <c r="C591" s="25" t="s">
        <v>11</v>
      </c>
      <c r="E591" s="32"/>
      <c r="G591" s="32"/>
      <c r="I591" s="32"/>
      <c r="O591" s="32"/>
      <c r="R591" s="32"/>
      <c r="T591" s="32"/>
      <c r="V591" s="4" t="s">
        <v>89</v>
      </c>
      <c r="W591" s="5">
        <f t="shared" si="73"/>
        <v>0</v>
      </c>
      <c r="X591" s="20">
        <v>50</v>
      </c>
    </row>
    <row r="592" ht="15.6" hidden="1" spans="1:24">
      <c r="A592" s="4">
        <v>203</v>
      </c>
      <c r="B592" s="24" t="s">
        <v>142</v>
      </c>
      <c r="C592" s="25" t="s">
        <v>11</v>
      </c>
      <c r="E592" s="32"/>
      <c r="G592" s="32"/>
      <c r="I592" s="32"/>
      <c r="O592" s="32"/>
      <c r="R592" s="32"/>
      <c r="T592" s="32"/>
      <c r="V592" s="4" t="s">
        <v>16</v>
      </c>
      <c r="W592" s="5">
        <f t="shared" si="73"/>
        <v>0</v>
      </c>
      <c r="X592" s="20">
        <v>50</v>
      </c>
    </row>
    <row r="593" ht="15.6" hidden="1" spans="1:24">
      <c r="A593" s="4">
        <v>205</v>
      </c>
      <c r="B593" s="24" t="s">
        <v>218</v>
      </c>
      <c r="C593" s="25" t="s">
        <v>11</v>
      </c>
      <c r="E593" s="32"/>
      <c r="G593" s="32"/>
      <c r="I593" s="32"/>
      <c r="O593" s="32"/>
      <c r="R593" s="32"/>
      <c r="T593" s="32"/>
      <c r="W593" s="5">
        <f t="shared" si="73"/>
        <v>0</v>
      </c>
      <c r="X593" s="23">
        <v>50</v>
      </c>
    </row>
    <row r="594" ht="15.6" hidden="1" spans="1:24">
      <c r="A594" s="4">
        <v>205</v>
      </c>
      <c r="B594" s="24" t="s">
        <v>221</v>
      </c>
      <c r="C594" s="25" t="s">
        <v>11</v>
      </c>
      <c r="E594" s="32"/>
      <c r="G594" s="32"/>
      <c r="I594" s="32"/>
      <c r="O594" s="32"/>
      <c r="R594" s="32"/>
      <c r="T594" s="32"/>
      <c r="W594" s="5">
        <f t="shared" si="73"/>
        <v>0</v>
      </c>
      <c r="X594" s="23">
        <v>50</v>
      </c>
    </row>
    <row r="595" ht="15.6" hidden="1" spans="1:24">
      <c r="A595" s="4">
        <v>206</v>
      </c>
      <c r="B595" s="24" t="s">
        <v>272</v>
      </c>
      <c r="C595" s="25" t="s">
        <v>11</v>
      </c>
      <c r="E595" s="32"/>
      <c r="G595" s="32"/>
      <c r="I595" s="32"/>
      <c r="O595" s="32"/>
      <c r="R595" s="32"/>
      <c r="T595" s="32"/>
      <c r="V595" s="4" t="s">
        <v>14</v>
      </c>
      <c r="W595" s="5">
        <f t="shared" si="73"/>
        <v>0</v>
      </c>
      <c r="X595" s="20">
        <v>50</v>
      </c>
    </row>
    <row r="596" ht="15.6" hidden="1" spans="1:24">
      <c r="A596" s="4">
        <v>206</v>
      </c>
      <c r="B596" s="24" t="s">
        <v>275</v>
      </c>
      <c r="C596" s="25" t="s">
        <v>11</v>
      </c>
      <c r="E596" s="32"/>
      <c r="G596" s="32"/>
      <c r="I596" s="32"/>
      <c r="O596" s="32"/>
      <c r="R596" s="32"/>
      <c r="T596" s="32"/>
      <c r="V596" s="4" t="s">
        <v>14</v>
      </c>
      <c r="W596" s="5">
        <f t="shared" si="73"/>
        <v>0</v>
      </c>
      <c r="X596" s="20">
        <v>50</v>
      </c>
    </row>
    <row r="597" s="1" customFormat="1" ht="15.6" hidden="1" spans="1:24">
      <c r="A597" s="4">
        <v>207</v>
      </c>
      <c r="B597" s="24" t="s">
        <v>330</v>
      </c>
      <c r="C597" s="25" t="s">
        <v>11</v>
      </c>
      <c r="D597" s="4"/>
      <c r="E597" s="32"/>
      <c r="F597" s="4"/>
      <c r="G597" s="32"/>
      <c r="H597" s="4"/>
      <c r="I597" s="32"/>
      <c r="J597" s="4"/>
      <c r="K597" s="4"/>
      <c r="L597" s="4"/>
      <c r="M597" s="4"/>
      <c r="N597" s="4"/>
      <c r="O597" s="32"/>
      <c r="P597" s="4"/>
      <c r="Q597" s="4"/>
      <c r="R597" s="32"/>
      <c r="S597" s="4"/>
      <c r="T597" s="32"/>
      <c r="U597" s="4"/>
      <c r="V597" s="4" t="s">
        <v>14</v>
      </c>
      <c r="W597" s="5">
        <f t="shared" si="73"/>
        <v>0</v>
      </c>
      <c r="X597" s="20">
        <v>50</v>
      </c>
    </row>
    <row r="598" ht="15.6" hidden="1" spans="1:24">
      <c r="A598" s="4">
        <v>215</v>
      </c>
      <c r="B598" s="24" t="s">
        <v>571</v>
      </c>
      <c r="C598" s="25" t="s">
        <v>53</v>
      </c>
      <c r="D598" s="4">
        <v>21</v>
      </c>
      <c r="E598" s="32">
        <f>LOOKUP(D598,{0,1,1.8,2.6,3.4,4.2,5,6.3,7.6,8.9,10.2,11.5,12.8,14.1,15.4,16.7,18,19.7,21.4,23.1,24.8},{0,10,20,30,40,50,60,62,64,66,68,70,72,74,76,78,80,85,90,95,100})</f>
        <v>85</v>
      </c>
      <c r="F598" s="4">
        <v>160</v>
      </c>
      <c r="G598" s="32">
        <f>LOOKUP(F598,{0,124,129,134,139,144,149,152,155,158,161,164,167,170,173,176,179,186,193,199,205},{0,10,20,30,40,50,60,62,64,66,68,70,72,74,76,78,80,85,90,95,100})</f>
        <v>66</v>
      </c>
      <c r="H598" s="4">
        <v>45</v>
      </c>
      <c r="I598" s="32">
        <f>LOOKUP(H598,{0,14,16,18,20,22,24,26,28,30,32,34,36,38,40,42,44,47,50,52,54},{0,10,20,30,40,50,60,62,64,66,68,70,72,74,76,78,80,85,90,95,100})</f>
        <v>80</v>
      </c>
      <c r="L598" s="4">
        <f t="shared" ref="L598:L644" si="74">I598+K598</f>
        <v>80</v>
      </c>
      <c r="M598" s="4">
        <v>8.5</v>
      </c>
      <c r="N598" s="4">
        <f t="shared" ref="N598:N644" si="75">12-M598</f>
        <v>3.5</v>
      </c>
      <c r="O598" s="32">
        <f>LOOKUP(N598,{0,0.5,0.7,0.9,1.1,1.3,1.5,1.7,1.9,2.1,2.3,2.5,2.7,2.9,3.1,3.3,3.5,3.8,4.1,4.2,4.3},{0,10,20,30,40,50,60,62,64,66,68,70,72,74,76,78,80,85,90,95,100})</f>
        <v>80</v>
      </c>
      <c r="P598" s="4">
        <v>3.42</v>
      </c>
      <c r="Q598" s="4">
        <f t="shared" ref="Q598:Q644" si="76">10-P598</f>
        <v>6.58</v>
      </c>
      <c r="R598" s="32">
        <f>LOOKUP(Q598,{0,4.72,4.82,4.92,5.42,5.52,5.62,5.67,5.72,5.77,5.82,5.87,5.92,5.97,6.42,6.47,6.52,6.59,6.66,6.72,6.78},{0,10,20,30,40,50,60,62,64,66,68,70,72,74,76,78,80,85,90,95,100})</f>
        <v>80</v>
      </c>
      <c r="U598" s="4">
        <f t="shared" ref="U598:U644" si="77">R598+T598</f>
        <v>80</v>
      </c>
      <c r="W598" s="5">
        <f t="shared" si="73"/>
        <v>55.1</v>
      </c>
      <c r="X598" s="20">
        <f t="shared" ref="X598:X644" si="78">W598/0.7+K598+T598</f>
        <v>78.7142857142857</v>
      </c>
    </row>
    <row r="599" ht="15.6" hidden="1" spans="1:24">
      <c r="A599" s="4">
        <v>212</v>
      </c>
      <c r="B599" s="24" t="s">
        <v>647</v>
      </c>
      <c r="C599" s="25" t="s">
        <v>53</v>
      </c>
      <c r="D599" s="4">
        <v>17</v>
      </c>
      <c r="E599" s="32">
        <f>LOOKUP(D599,{0,1,1.8,2.6,3.4,4.2,5,6.3,7.6,8.9,10.2,11.5,12.8,14.1,15.4,16.7,18,19.7,21.4,23.1,24.8},{0,10,20,30,40,50,60,62,64,66,68,70,72,74,76,78,80,85,90,95,100})</f>
        <v>78</v>
      </c>
      <c r="F599" s="4">
        <v>173</v>
      </c>
      <c r="G599" s="32">
        <f>LOOKUP(F599,{0,124,129,134,139,144,149,152,155,158,161,164,167,170,173,176,179,186,193,199,205},{0,10,20,30,40,50,60,62,64,66,68,70,72,74,76,78,80,85,90,95,100})</f>
        <v>76</v>
      </c>
      <c r="H599" s="4">
        <v>47</v>
      </c>
      <c r="I599" s="32">
        <f>LOOKUP(H599,{0,14,16,18,20,22,24,26,28,30,32,34,36,38,40,42,44,47,50,52,54},{0,10,20,30,40,50,60,62,64,66,68,70,72,74,76,78,80,85,90,95,100})</f>
        <v>85</v>
      </c>
      <c r="L599" s="4">
        <f t="shared" si="74"/>
        <v>85</v>
      </c>
      <c r="M599" s="4">
        <v>8.6</v>
      </c>
      <c r="N599" s="4">
        <f t="shared" si="75"/>
        <v>3.4</v>
      </c>
      <c r="O599" s="32">
        <f>LOOKUP(N599,{0,0.5,0.7,0.9,1.1,1.3,1.5,1.7,1.9,2.1,2.3,2.5,2.7,2.9,3.1,3.3,3.5,3.8,4.1,4.2,4.3},{0,10,20,30,40,50,60,62,64,66,68,70,72,74,76,78,80,85,90,95,100})</f>
        <v>78</v>
      </c>
      <c r="P599" s="4">
        <v>3.53</v>
      </c>
      <c r="Q599" s="4">
        <f t="shared" si="76"/>
        <v>6.47</v>
      </c>
      <c r="R599" s="32">
        <f>LOOKUP(Q599,{0,4.72,4.82,4.92,5.42,5.52,5.62,5.67,5.72,5.77,5.82,5.87,5.92,5.97,6.42,6.47,6.52,6.59,6.66,6.72,6.78},{0,10,20,30,40,50,60,62,64,66,68,70,72,74,76,78,80,85,90,95,100})</f>
        <v>78</v>
      </c>
      <c r="U599" s="4">
        <f t="shared" si="77"/>
        <v>78</v>
      </c>
      <c r="W599" s="5">
        <f t="shared" si="73"/>
        <v>55.1</v>
      </c>
      <c r="X599" s="20">
        <f t="shared" si="78"/>
        <v>78.7142857142857</v>
      </c>
    </row>
    <row r="600" ht="15.6" hidden="1" spans="1:24">
      <c r="A600" s="4">
        <v>215</v>
      </c>
      <c r="B600" s="24" t="s">
        <v>829</v>
      </c>
      <c r="C600" s="25" t="s">
        <v>53</v>
      </c>
      <c r="D600" s="4">
        <v>10</v>
      </c>
      <c r="E600" s="32">
        <f>LOOKUP(D600,{0,1,1.8,2.6,3.4,4.2,5,6.3,7.6,8.9,10.2,11.5,12.8,14.1,15.4,16.7,18,19.7,21.4,23.1,24.8},{0,10,20,30,40,50,60,62,64,66,68,70,72,74,76,78,80,85,90,95,100})</f>
        <v>66</v>
      </c>
      <c r="F600" s="4">
        <v>169</v>
      </c>
      <c r="G600" s="32">
        <f>LOOKUP(F600,{0,124,129,134,139,144,149,152,155,158,161,164,167,170,173,176,179,186,193,199,205},{0,10,20,30,40,50,60,62,64,66,68,70,72,74,76,78,80,85,90,95,100})</f>
        <v>72</v>
      </c>
      <c r="H600" s="4">
        <v>50</v>
      </c>
      <c r="I600" s="32">
        <f>LOOKUP(H600,{0,14,16,18,20,22,24,26,28,30,32,34,36,38,40,42,44,47,50,52,54},{0,10,20,30,40,50,60,62,64,66,68,70,72,74,76,78,80,85,90,95,100})</f>
        <v>90</v>
      </c>
      <c r="L600" s="4">
        <f t="shared" si="74"/>
        <v>90</v>
      </c>
      <c r="M600" s="4">
        <v>8.9</v>
      </c>
      <c r="N600" s="4">
        <f t="shared" si="75"/>
        <v>3.1</v>
      </c>
      <c r="O600" s="32">
        <f>LOOKUP(N600,{0,0.5,0.7,0.9,1.1,1.3,1.5,1.7,1.9,2.1,2.3,2.5,2.7,2.9,3.1,3.3,3.5,3.8,4.1,4.2,4.3},{0,10,20,30,40,50,60,62,64,66,68,70,72,74,76,78,80,85,90,95,100})</f>
        <v>76</v>
      </c>
      <c r="P600" s="4">
        <v>3.38</v>
      </c>
      <c r="Q600" s="4">
        <f t="shared" si="76"/>
        <v>6.62</v>
      </c>
      <c r="R600" s="32">
        <f>LOOKUP(Q600,{0,4.72,4.82,4.92,5.42,5.52,5.62,5.67,5.72,5.77,5.82,5.87,5.92,5.97,6.42,6.47,6.52,6.59,6.66,6.72,6.78},{0,10,20,30,40,50,60,62,64,66,68,70,72,74,76,78,80,85,90,95,100})</f>
        <v>85</v>
      </c>
      <c r="U600" s="4">
        <f t="shared" si="77"/>
        <v>85</v>
      </c>
      <c r="W600" s="5">
        <f t="shared" si="73"/>
        <v>55</v>
      </c>
      <c r="X600" s="20">
        <f t="shared" si="78"/>
        <v>78.5714285714286</v>
      </c>
    </row>
    <row r="601" ht="15.6" hidden="1" spans="1:24">
      <c r="A601" s="4">
        <v>214</v>
      </c>
      <c r="B601" s="24" t="s">
        <v>786</v>
      </c>
      <c r="C601" s="25" t="s">
        <v>53</v>
      </c>
      <c r="D601" s="4">
        <v>21.5</v>
      </c>
      <c r="E601" s="32">
        <f>LOOKUP(D601,{0,1,1.8,2.6,3.4,4.2,5,6.3,7.6,8.9,10.2,11.5,12.8,14.1,15.4,16.7,18,19.7,21.4,23.1,24.8},{0,10,20,30,40,50,60,62,64,66,68,70,72,74,76,78,80,85,90,95,100})</f>
        <v>90</v>
      </c>
      <c r="F601" s="4">
        <v>171</v>
      </c>
      <c r="G601" s="32">
        <f>LOOKUP(F601,{0,124,129,134,139,144,149,152,155,158,161,164,167,170,173,176,179,186,193,199,205},{0,10,20,30,40,50,60,62,64,66,68,70,72,74,76,78,80,85,90,95,100})</f>
        <v>74</v>
      </c>
      <c r="H601" s="4">
        <v>43</v>
      </c>
      <c r="I601" s="32">
        <f>LOOKUP(H601,{0,14,16,18,20,22,24,26,28,30,32,34,36,38,40,42,44,47,50,52,54},{0,10,20,30,40,50,60,62,64,66,68,70,72,74,76,78,80,85,90,95,100})</f>
        <v>78</v>
      </c>
      <c r="L601" s="4">
        <f t="shared" si="74"/>
        <v>78</v>
      </c>
      <c r="M601" s="4">
        <v>9.1</v>
      </c>
      <c r="N601" s="4">
        <f t="shared" si="75"/>
        <v>2.9</v>
      </c>
      <c r="O601" s="32">
        <f>LOOKUP(N601,{0,0.5,0.7,0.9,1.1,1.3,1.5,1.7,1.9,2.1,2.3,2.5,2.7,2.9,3.1,3.3,3.5,3.8,4.1,4.2,4.3},{0,10,20,30,40,50,60,62,64,66,68,70,72,74,76,78,80,85,90,95,100})</f>
        <v>74</v>
      </c>
      <c r="P601" s="4">
        <v>3.46</v>
      </c>
      <c r="Q601" s="4">
        <f t="shared" si="76"/>
        <v>6.54</v>
      </c>
      <c r="R601" s="32">
        <f>LOOKUP(Q601,{0,4.72,4.82,4.92,5.42,5.52,5.62,5.67,5.72,5.77,5.82,5.87,5.92,5.97,6.42,6.47,6.52,6.59,6.66,6.72,6.78},{0,10,20,30,40,50,60,62,64,66,68,70,72,74,76,78,80,85,90,95,100})</f>
        <v>80</v>
      </c>
      <c r="U601" s="4">
        <f t="shared" si="77"/>
        <v>80</v>
      </c>
      <c r="W601" s="5">
        <f t="shared" si="73"/>
        <v>55</v>
      </c>
      <c r="X601" s="20">
        <f t="shared" si="78"/>
        <v>78.5714285714286</v>
      </c>
    </row>
    <row r="602" ht="15.6" hidden="1" spans="1:24">
      <c r="A602" s="4">
        <v>206</v>
      </c>
      <c r="B602" s="24" t="s">
        <v>317</v>
      </c>
      <c r="C602" s="25" t="s">
        <v>53</v>
      </c>
      <c r="D602" s="4">
        <v>26.3</v>
      </c>
      <c r="E602" s="32">
        <f>LOOKUP(D602,{0,1,1.8,2.6,3.4,4.2,5,6.3,7.6,8.9,10.2,11.5,12.8,14.1,15.4,16.7,18,19.7,21.4,23.1,24.8},{0,10,20,30,40,50,60,62,64,66,68,70,72,74,76,78,80,85,90,95,100})</f>
        <v>100</v>
      </c>
      <c r="F602" s="4">
        <v>178</v>
      </c>
      <c r="G602" s="32">
        <f>LOOKUP(F602,{0,124,129,134,139,144,149,152,155,158,161,164,167,170,173,176,179,186,193,199,205},{0,10,20,30,40,50,60,62,64,66,68,70,72,74,76,78,80,85,90,95,100})</f>
        <v>78</v>
      </c>
      <c r="H602" s="4">
        <v>36</v>
      </c>
      <c r="I602" s="32">
        <f>LOOKUP(H602,{0,14,16,18,20,22,24,26,28,30,32,34,36,38,40,42,44,47,50,52,54},{0,10,20,30,40,50,60,62,64,66,68,70,72,74,76,78,80,85,90,95,100})</f>
        <v>72</v>
      </c>
      <c r="L602" s="4">
        <f t="shared" si="74"/>
        <v>72</v>
      </c>
      <c r="M602" s="4">
        <v>9.2</v>
      </c>
      <c r="N602" s="4">
        <f t="shared" si="75"/>
        <v>2.8</v>
      </c>
      <c r="O602" s="32">
        <f>LOOKUP(N602,{0,0.5,0.7,0.9,1.1,1.3,1.5,1.7,1.9,2.1,2.3,2.5,2.7,2.9,3.1,3.3,3.5,3.8,4.1,4.2,4.3},{0,10,20,30,40,50,60,62,64,66,68,70,72,74,76,78,80,85,90,95,100})</f>
        <v>72</v>
      </c>
      <c r="P602" s="4">
        <v>3.49</v>
      </c>
      <c r="Q602" s="4">
        <f t="shared" si="76"/>
        <v>6.51</v>
      </c>
      <c r="R602" s="32">
        <f>LOOKUP(Q602,{0,4.72,4.82,4.92,5.42,5.52,5.62,5.67,5.72,5.77,5.82,5.87,5.92,5.97,6.42,6.47,6.52,6.59,6.66,6.72,6.78},{0,10,20,30,40,50,60,62,64,66,68,70,72,74,76,78,80,85,90,95,100})</f>
        <v>78</v>
      </c>
      <c r="T602" s="35"/>
      <c r="U602" s="4">
        <f t="shared" si="77"/>
        <v>78</v>
      </c>
      <c r="W602" s="5">
        <f t="shared" si="73"/>
        <v>55</v>
      </c>
      <c r="X602" s="20">
        <f t="shared" si="78"/>
        <v>78.5714285714286</v>
      </c>
    </row>
    <row r="603" ht="15.6" hidden="1" spans="1:24">
      <c r="A603" s="4">
        <v>203</v>
      </c>
      <c r="B603" s="24" t="s">
        <v>159</v>
      </c>
      <c r="C603" s="25" t="s">
        <v>53</v>
      </c>
      <c r="D603" s="4">
        <v>29</v>
      </c>
      <c r="E603" s="32">
        <f>LOOKUP(D603,{0,1,1.8,2.6,3.4,4.2,5,6.3,7.6,8.9,10.2,11.5,12.8,14.1,15.4,16.7,18,19.7,21.4,23.1,24.8},{0,10,20,30,40,50,60,62,64,66,68,70,72,74,76,78,80,85,90,95,100})</f>
        <v>100</v>
      </c>
      <c r="F603" s="4">
        <v>175</v>
      </c>
      <c r="G603" s="32">
        <f>LOOKUP(F603,{0,124,129,134,139,144,149,152,155,158,161,164,167,170,173,176,179,186,193,199,205},{0,10,20,30,40,50,60,62,64,66,68,70,72,74,76,78,80,85,90,95,100})</f>
        <v>76</v>
      </c>
      <c r="H603" s="4">
        <v>39</v>
      </c>
      <c r="I603" s="32">
        <f>LOOKUP(H603,{0,14,16,18,20,22,24,26,28,30,32,34,36,38,40,42,44,47,50,52,54},{0,10,20,30,40,50,60,62,64,66,68,70,72,74,76,78,80,85,90,95,100})</f>
        <v>74</v>
      </c>
      <c r="L603" s="4">
        <f t="shared" si="74"/>
        <v>74</v>
      </c>
      <c r="M603" s="4">
        <v>9.1</v>
      </c>
      <c r="N603" s="4">
        <f t="shared" si="75"/>
        <v>2.9</v>
      </c>
      <c r="O603" s="32">
        <f>LOOKUP(N603,{0,0.5,0.7,0.9,1.1,1.3,1.5,1.7,1.9,2.1,2.3,2.5,2.7,2.9,3.1,3.3,3.5,3.8,4.1,4.2,4.3},{0,10,20,30,40,50,60,62,64,66,68,70,72,74,76,78,80,85,90,95,100})</f>
        <v>74</v>
      </c>
      <c r="P603" s="4">
        <v>3.57</v>
      </c>
      <c r="Q603" s="4">
        <f t="shared" si="76"/>
        <v>6.43</v>
      </c>
      <c r="R603" s="32">
        <f>LOOKUP(Q603,{0,4.72,4.82,4.92,5.42,5.52,5.62,5.67,5.72,5.77,5.82,5.87,5.92,5.97,6.42,6.47,6.52,6.59,6.66,6.72,6.78},{0,10,20,30,40,50,60,62,64,66,68,70,72,74,76,78,80,85,90,95,100})</f>
        <v>76</v>
      </c>
      <c r="U603" s="4">
        <f t="shared" si="77"/>
        <v>76</v>
      </c>
      <c r="W603" s="5">
        <f t="shared" si="73"/>
        <v>55</v>
      </c>
      <c r="X603" s="20">
        <f t="shared" si="78"/>
        <v>78.5714285714286</v>
      </c>
    </row>
    <row r="604" ht="15.6" hidden="1" spans="1:24">
      <c r="A604" s="4">
        <v>207</v>
      </c>
      <c r="B604" s="24" t="s">
        <v>370</v>
      </c>
      <c r="C604" s="25" t="s">
        <v>53</v>
      </c>
      <c r="D604" s="4">
        <v>15.3</v>
      </c>
      <c r="E604" s="32">
        <f>LOOKUP(D604,{0,1,1.8,2.6,3.4,4.2,5,6.3,7.6,8.9,10.2,11.5,12.8,14.1,15.4,16.7,18,19.7,21.4,23.1,24.8},{0,10,20,30,40,50,60,62,64,66,68,70,72,74,76,78,80,85,90,95,100})</f>
        <v>74</v>
      </c>
      <c r="F604" s="4">
        <v>187</v>
      </c>
      <c r="G604" s="32">
        <f>LOOKUP(F604,{0,124,129,134,139,144,149,152,155,158,161,164,167,170,173,176,179,186,193,199,205},{0,10,20,30,40,50,60,62,64,66,68,70,72,74,76,78,80,85,90,95,100})</f>
        <v>85</v>
      </c>
      <c r="H604" s="4">
        <v>43</v>
      </c>
      <c r="I604" s="32">
        <f>LOOKUP(H604,{0,14,16,18,20,22,24,26,28,30,32,34,36,38,40,42,44,47,50,52,54},{0,10,20,30,40,50,60,62,64,66,68,70,72,74,76,78,80,85,90,95,100})</f>
        <v>78</v>
      </c>
      <c r="L604" s="4">
        <f t="shared" si="74"/>
        <v>78</v>
      </c>
      <c r="M604" s="4">
        <v>8.3</v>
      </c>
      <c r="N604" s="4">
        <f t="shared" si="75"/>
        <v>3.7</v>
      </c>
      <c r="O604" s="32">
        <f>LOOKUP(N604,{0,0.5,0.7,0.9,1.1,1.3,1.5,1.7,1.9,2.1,2.3,2.5,2.7,2.9,3.1,3.3,3.5,3.8,4.1,4.2,4.3},{0,10,20,30,40,50,60,62,64,66,68,70,72,74,76,78,80,85,90,95,100})</f>
        <v>80</v>
      </c>
      <c r="P604" s="4">
        <v>3.55</v>
      </c>
      <c r="Q604" s="4">
        <f t="shared" si="76"/>
        <v>6.45</v>
      </c>
      <c r="R604" s="32">
        <f>LOOKUP(Q604,{0,4.72,4.82,4.92,5.42,5.52,5.62,5.67,5.72,5.77,5.82,5.87,5.92,5.97,6.42,6.47,6.52,6.59,6.66,6.72,6.78},{0,10,20,30,40,50,60,62,64,66,68,70,72,74,76,78,80,85,90,95,100})</f>
        <v>76</v>
      </c>
      <c r="U604" s="4">
        <f t="shared" si="77"/>
        <v>76</v>
      </c>
      <c r="W604" s="5">
        <f t="shared" si="73"/>
        <v>54.9</v>
      </c>
      <c r="X604" s="20">
        <f t="shared" si="78"/>
        <v>78.4285714285714</v>
      </c>
    </row>
    <row r="605" ht="15.6" hidden="1" spans="1:24">
      <c r="A605" s="4">
        <v>211</v>
      </c>
      <c r="B605" s="24" t="s">
        <v>588</v>
      </c>
      <c r="C605" s="25" t="s">
        <v>53</v>
      </c>
      <c r="D605" s="4">
        <v>21</v>
      </c>
      <c r="E605" s="32">
        <f>LOOKUP(D605,{0,1,1.8,2.6,3.4,4.2,5,6.3,7.6,8.9,10.2,11.5,12.8,14.1,15.4,16.7,18,19.7,21.4,23.1,24.8},{0,10,20,30,40,50,60,62,64,66,68,70,72,74,76,78,80,85,90,95,100})</f>
        <v>85</v>
      </c>
      <c r="F605" s="4">
        <v>168</v>
      </c>
      <c r="G605" s="32">
        <f>LOOKUP(F605,{0,124,129,134,139,144,149,152,155,158,161,164,167,170,173,176,179,186,193,199,205},{0,10,20,30,40,50,60,62,64,66,68,70,72,74,76,78,80,85,90,95,100})</f>
        <v>72</v>
      </c>
      <c r="H605" s="4">
        <v>52</v>
      </c>
      <c r="I605" s="32">
        <f>LOOKUP(H605,{0,14,16,18,20,22,24,26,28,30,32,34,36,38,40,42,44,47,50,52,54},{0,10,20,30,40,50,60,62,64,66,68,70,72,74,76,78,80,85,90,95,100})</f>
        <v>95</v>
      </c>
      <c r="L605" s="4">
        <f t="shared" si="74"/>
        <v>95</v>
      </c>
      <c r="M605" s="4">
        <v>8.9</v>
      </c>
      <c r="N605" s="4">
        <f t="shared" si="75"/>
        <v>3.1</v>
      </c>
      <c r="O605" s="32">
        <f>LOOKUP(N605,{0,0.5,0.7,0.9,1.1,1.3,1.5,1.7,1.9,2.1,2.3,2.5,2.7,2.9,3.1,3.3,3.5,3.8,4.1,4.2,4.3},{0,10,20,30,40,50,60,62,64,66,68,70,72,74,76,78,80,85,90,95,100})</f>
        <v>76</v>
      </c>
      <c r="P605" s="4">
        <v>4.04</v>
      </c>
      <c r="Q605" s="4">
        <f t="shared" si="76"/>
        <v>5.96</v>
      </c>
      <c r="R605" s="32">
        <f>LOOKUP(Q605,{0,4.72,4.82,4.92,5.42,5.52,5.62,5.67,5.72,5.77,5.82,5.87,5.92,5.97,6.42,6.47,6.52,6.59,6.66,6.72,6.78},{0,10,20,30,40,50,60,62,64,66,68,70,72,74,76,78,80,85,90,95,100})</f>
        <v>72</v>
      </c>
      <c r="U605" s="4">
        <f t="shared" si="77"/>
        <v>72</v>
      </c>
      <c r="W605" s="5">
        <f t="shared" si="73"/>
        <v>54.8</v>
      </c>
      <c r="X605" s="20">
        <f t="shared" si="78"/>
        <v>78.2857142857143</v>
      </c>
    </row>
    <row r="606" ht="15.6" hidden="1" spans="1:24">
      <c r="A606" s="4">
        <v>215</v>
      </c>
      <c r="B606" s="24" t="s">
        <v>807</v>
      </c>
      <c r="C606" s="25" t="s">
        <v>53</v>
      </c>
      <c r="D606" s="4">
        <v>19.1</v>
      </c>
      <c r="E606" s="32">
        <f>LOOKUP(D606,{0,1,1.8,2.6,3.4,4.2,5,6.3,7.6,8.9,10.2,11.5,12.8,14.1,15.4,16.7,18,19.7,21.4,23.1,24.8},{0,10,20,30,40,50,60,62,64,66,68,70,72,74,76,78,80,85,90,95,100})</f>
        <v>80</v>
      </c>
      <c r="F606" s="4">
        <v>170</v>
      </c>
      <c r="G606" s="32">
        <f>LOOKUP(F606,{0,124,129,134,139,144,149,152,155,158,161,164,167,170,173,176,179,186,193,199,205},{0,10,20,30,40,50,60,62,64,66,68,70,72,74,76,78,80,85,90,95,100})</f>
        <v>74</v>
      </c>
      <c r="H606" s="4">
        <v>47</v>
      </c>
      <c r="I606" s="32">
        <f>LOOKUP(H606,{0,14,16,18,20,22,24,26,28,30,32,34,36,38,40,42,44,47,50,52,54},{0,10,20,30,40,50,60,62,64,66,68,70,72,74,76,78,80,85,90,95,100})</f>
        <v>85</v>
      </c>
      <c r="L606" s="4">
        <f t="shared" si="74"/>
        <v>85</v>
      </c>
      <c r="M606" s="4">
        <v>9</v>
      </c>
      <c r="N606" s="4">
        <f t="shared" si="75"/>
        <v>3</v>
      </c>
      <c r="O606" s="32">
        <f>LOOKUP(N606,{0,0.5,0.7,0.9,1.1,1.3,1.5,1.7,1.9,2.1,2.3,2.5,2.7,2.9,3.1,3.3,3.5,3.8,4.1,4.2,4.3},{0,10,20,30,40,50,60,62,64,66,68,70,72,74,76,78,80,85,90,95,100})</f>
        <v>74</v>
      </c>
      <c r="P606" s="4">
        <v>3.45</v>
      </c>
      <c r="Q606" s="4">
        <f t="shared" si="76"/>
        <v>6.55</v>
      </c>
      <c r="R606" s="32">
        <f>LOOKUP(Q606,{0,4.72,4.82,4.92,5.42,5.52,5.62,5.67,5.72,5.77,5.82,5.87,5.92,5.97,6.42,6.47,6.52,6.59,6.66,6.72,6.78},{0,10,20,30,40,50,60,62,64,66,68,70,72,74,76,78,80,85,90,95,100})</f>
        <v>80</v>
      </c>
      <c r="U606" s="4">
        <f t="shared" si="77"/>
        <v>80</v>
      </c>
      <c r="W606" s="5">
        <f t="shared" si="73"/>
        <v>54.7</v>
      </c>
      <c r="X606" s="20">
        <f t="shared" si="78"/>
        <v>78.1428571428572</v>
      </c>
    </row>
    <row r="607" ht="15.6" hidden="1" spans="1:24">
      <c r="A607" s="4">
        <v>215</v>
      </c>
      <c r="B607" s="24" t="s">
        <v>827</v>
      </c>
      <c r="C607" s="25" t="s">
        <v>53</v>
      </c>
      <c r="D607" s="4">
        <v>19.5</v>
      </c>
      <c r="E607" s="32">
        <f>LOOKUP(D607,{0,1,1.8,2.6,3.4,4.2,5,6.3,7.6,8.9,10.2,11.5,12.8,14.1,15.4,16.7,18,19.7,21.4,23.1,24.8},{0,10,20,30,40,50,60,62,64,66,68,70,72,74,76,78,80,85,90,95,100})</f>
        <v>80</v>
      </c>
      <c r="F607" s="4">
        <v>170</v>
      </c>
      <c r="G607" s="32">
        <f>LOOKUP(F607,{0,124,129,134,139,144,149,152,155,158,161,164,167,170,173,176,179,186,193,199,205},{0,10,20,30,40,50,60,62,64,66,68,70,72,74,76,78,80,85,90,95,100})</f>
        <v>74</v>
      </c>
      <c r="H607" s="4">
        <v>48</v>
      </c>
      <c r="I607" s="32">
        <f>LOOKUP(H607,{0,14,16,18,20,22,24,26,28,30,32,34,36,38,40,42,44,47,50,52,54},{0,10,20,30,40,50,60,62,64,66,68,70,72,74,76,78,80,85,90,95,100})</f>
        <v>85</v>
      </c>
      <c r="L607" s="4">
        <f t="shared" si="74"/>
        <v>85</v>
      </c>
      <c r="M607" s="4">
        <v>9.1</v>
      </c>
      <c r="N607" s="4">
        <f t="shared" si="75"/>
        <v>2.9</v>
      </c>
      <c r="O607" s="32">
        <f>LOOKUP(N607,{0,0.5,0.7,0.9,1.1,1.3,1.5,1.7,1.9,2.1,2.3,2.5,2.7,2.9,3.1,3.3,3.5,3.8,4.1,4.2,4.3},{0,10,20,30,40,50,60,62,64,66,68,70,72,74,76,78,80,85,90,95,100})</f>
        <v>74</v>
      </c>
      <c r="P607" s="4">
        <v>3.47</v>
      </c>
      <c r="Q607" s="4">
        <f t="shared" si="76"/>
        <v>6.53</v>
      </c>
      <c r="R607" s="32">
        <f>LOOKUP(Q607,{0,4.72,4.82,4.92,5.42,5.52,5.62,5.67,5.72,5.77,5.82,5.87,5.92,5.97,6.42,6.47,6.52,6.59,6.66,6.72,6.78},{0,10,20,30,40,50,60,62,64,66,68,70,72,74,76,78,80,85,90,95,100})</f>
        <v>80</v>
      </c>
      <c r="U607" s="4">
        <f t="shared" si="77"/>
        <v>80</v>
      </c>
      <c r="W607" s="5">
        <f t="shared" si="73"/>
        <v>54.7</v>
      </c>
      <c r="X607" s="20">
        <f t="shared" si="78"/>
        <v>78.1428571428572</v>
      </c>
    </row>
    <row r="608" ht="15.6" hidden="1" spans="1:24">
      <c r="A608" s="4">
        <v>213</v>
      </c>
      <c r="B608" s="24" t="s">
        <v>699</v>
      </c>
      <c r="C608" s="25" t="s">
        <v>53</v>
      </c>
      <c r="D608" s="4">
        <v>14.2</v>
      </c>
      <c r="E608" s="32">
        <f>LOOKUP(D608,{0,1,1.8,2.6,3.4,4.2,5,6.3,7.6,8.9,10.2,11.5,12.8,14.1,15.4,16.7,18,19.7,21.4,23.1,24.8},{0,10,20,30,40,50,60,62,64,66,68,70,72,74,76,78,80,85,90,95,100})</f>
        <v>74</v>
      </c>
      <c r="F608" s="4">
        <v>185</v>
      </c>
      <c r="G608" s="32">
        <f>LOOKUP(F608,{0,124,129,134,139,144,149,152,155,158,161,164,167,170,173,176,179,186,193,199,205},{0,10,20,30,40,50,60,62,64,66,68,70,72,74,76,78,80,85,90,95,100})</f>
        <v>80</v>
      </c>
      <c r="H608" s="4">
        <v>40</v>
      </c>
      <c r="I608" s="32">
        <f>LOOKUP(H608,{0,14,16,18,20,22,24,26,28,30,32,34,36,38,40,42,44,47,50,52,54},{0,10,20,30,40,50,60,62,64,66,68,70,72,74,76,78,80,85,90,95,100})</f>
        <v>76</v>
      </c>
      <c r="L608" s="4">
        <f t="shared" si="74"/>
        <v>76</v>
      </c>
      <c r="M608" s="4">
        <v>8.7</v>
      </c>
      <c r="N608" s="4">
        <f t="shared" si="75"/>
        <v>3.3</v>
      </c>
      <c r="O608" s="32">
        <f>LOOKUP(N608,{0,0.5,0.7,0.9,1.1,1.3,1.5,1.7,1.9,2.1,2.3,2.5,2.7,2.9,3.1,3.3,3.5,3.8,4.1,4.2,4.3},{0,10,20,30,40,50,60,62,64,66,68,70,72,74,76,78,80,85,90,95,100})</f>
        <v>78</v>
      </c>
      <c r="P608" s="4">
        <v>3.48</v>
      </c>
      <c r="Q608" s="4">
        <f t="shared" si="76"/>
        <v>6.52</v>
      </c>
      <c r="R608" s="32">
        <f>LOOKUP(Q608,{0,4.72,4.82,4.92,5.42,5.52,5.62,5.67,5.72,5.77,5.82,5.87,5.92,5.97,6.42,6.47,6.52,6.59,6.66,6.72,6.78},{0,10,20,30,40,50,60,62,64,66,68,70,72,74,76,78,80,85,90,95,100})</f>
        <v>80</v>
      </c>
      <c r="U608" s="4">
        <f t="shared" si="77"/>
        <v>80</v>
      </c>
      <c r="W608" s="5">
        <f t="shared" si="73"/>
        <v>54.6</v>
      </c>
      <c r="X608" s="20">
        <f t="shared" si="78"/>
        <v>78</v>
      </c>
    </row>
    <row r="609" ht="15.6" hidden="1" spans="1:24">
      <c r="A609" s="4">
        <v>212</v>
      </c>
      <c r="B609" s="24" t="s">
        <v>649</v>
      </c>
      <c r="C609" s="25" t="s">
        <v>53</v>
      </c>
      <c r="D609" s="4">
        <v>10.5</v>
      </c>
      <c r="E609" s="32">
        <f>LOOKUP(D609,{0,1,1.8,2.6,3.4,4.2,5,6.3,7.6,8.9,10.2,11.5,12.8,14.1,15.4,16.7,18,19.7,21.4,23.1,24.8},{0,10,20,30,40,50,60,62,64,66,68,70,72,74,76,78,80,85,90,95,100})</f>
        <v>68</v>
      </c>
      <c r="F609" s="4">
        <v>145</v>
      </c>
      <c r="G609" s="32">
        <f>LOOKUP(F609,{0,124,129,134,139,144,149,152,155,158,161,164,167,170,173,176,179,186,193,199,205},{0,10,20,30,40,50,60,62,64,66,68,70,72,74,76,78,80,85,90,95,100})</f>
        <v>50</v>
      </c>
      <c r="H609" s="4">
        <v>53</v>
      </c>
      <c r="I609" s="32">
        <f>LOOKUP(H609,{0,14,16,18,20,22,24,26,28,30,32,34,36,38,40,42,44,47,50,52,54},{0,10,20,30,40,50,60,62,64,66,68,70,72,74,76,78,80,85,90,95,100})</f>
        <v>95</v>
      </c>
      <c r="L609" s="4">
        <f t="shared" si="74"/>
        <v>95</v>
      </c>
      <c r="M609" s="4">
        <v>8.9</v>
      </c>
      <c r="N609" s="4">
        <f t="shared" si="75"/>
        <v>3.1</v>
      </c>
      <c r="O609" s="32">
        <f>LOOKUP(N609,{0,0.5,0.7,0.9,1.1,1.3,1.5,1.7,1.9,2.1,2.3,2.5,2.7,2.9,3.1,3.3,3.5,3.8,4.1,4.2,4.3},{0,10,20,30,40,50,60,62,64,66,68,70,72,74,76,78,80,85,90,95,100})</f>
        <v>76</v>
      </c>
      <c r="P609" s="4">
        <v>3.3</v>
      </c>
      <c r="Q609" s="4">
        <f t="shared" si="76"/>
        <v>6.7</v>
      </c>
      <c r="R609" s="32">
        <f>LOOKUP(Q609,{0,4.72,4.82,4.92,5.42,5.52,5.62,5.67,5.72,5.77,5.82,5.87,5.92,5.97,6.42,6.47,6.52,6.59,6.66,6.72,6.78},{0,10,20,30,40,50,60,62,64,66,68,70,72,74,76,78,80,85,90,95,100})</f>
        <v>90</v>
      </c>
      <c r="T609" s="35"/>
      <c r="U609" s="4">
        <f t="shared" si="77"/>
        <v>90</v>
      </c>
      <c r="W609" s="5">
        <f t="shared" si="73"/>
        <v>54.5</v>
      </c>
      <c r="X609" s="20">
        <f t="shared" si="78"/>
        <v>77.8571428571429</v>
      </c>
    </row>
    <row r="610" ht="15.6" hidden="1" spans="1:24">
      <c r="A610" s="4">
        <v>214</v>
      </c>
      <c r="B610" s="24" t="s">
        <v>758</v>
      </c>
      <c r="C610" s="25" t="s">
        <v>53</v>
      </c>
      <c r="D610" s="4">
        <v>21.1</v>
      </c>
      <c r="E610" s="32">
        <f>LOOKUP(D610,{0,1,1.8,2.6,3.4,4.2,5,6.3,7.6,8.9,10.2,11.5,12.8,14.1,15.4,16.7,18,19.7,21.4,23.1,24.8},{0,10,20,30,40,50,60,62,64,66,68,70,72,74,76,78,80,85,90,95,100})</f>
        <v>85</v>
      </c>
      <c r="F610" s="4">
        <v>170</v>
      </c>
      <c r="G610" s="32">
        <f>LOOKUP(F610,{0,124,129,134,139,144,149,152,155,158,161,164,167,170,173,176,179,186,193,199,205},{0,10,20,30,40,50,60,62,64,66,68,70,72,74,76,78,80,85,90,95,100})</f>
        <v>74</v>
      </c>
      <c r="H610" s="4">
        <v>50</v>
      </c>
      <c r="I610" s="32">
        <f>LOOKUP(H610,{0,14,16,18,20,22,24,26,28,30,32,34,36,38,40,42,44,47,50,52,54},{0,10,20,30,40,50,60,62,64,66,68,70,72,74,76,78,80,85,90,95,100})</f>
        <v>90</v>
      </c>
      <c r="L610" s="4">
        <f t="shared" si="74"/>
        <v>90</v>
      </c>
      <c r="M610" s="4">
        <v>9.1</v>
      </c>
      <c r="N610" s="4">
        <f t="shared" si="75"/>
        <v>2.9</v>
      </c>
      <c r="O610" s="32">
        <f>LOOKUP(N610,{0,0.5,0.7,0.9,1.1,1.3,1.5,1.7,1.9,2.1,2.3,2.5,2.7,2.9,3.1,3.3,3.5,3.8,4.1,4.2,4.3},{0,10,20,30,40,50,60,62,64,66,68,70,72,74,76,78,80,85,90,95,100})</f>
        <v>74</v>
      </c>
      <c r="P610" s="4">
        <v>4.02</v>
      </c>
      <c r="Q610" s="4">
        <f t="shared" si="76"/>
        <v>5.98</v>
      </c>
      <c r="R610" s="32">
        <f>LOOKUP(Q610,{0,4.72,4.82,4.92,5.42,5.52,5.62,5.67,5.72,5.77,5.82,5.87,5.92,5.97,6.42,6.47,6.52,6.59,6.66,6.72,6.78},{0,10,20,30,40,50,60,62,64,66,68,70,72,74,76,78,80,85,90,95,100})</f>
        <v>74</v>
      </c>
      <c r="U610" s="4">
        <f t="shared" si="77"/>
        <v>74</v>
      </c>
      <c r="W610" s="5">
        <f t="shared" si="73"/>
        <v>54.5</v>
      </c>
      <c r="X610" s="20">
        <f t="shared" si="78"/>
        <v>77.8571428571429</v>
      </c>
    </row>
    <row r="611" ht="15.6" hidden="1" spans="1:24">
      <c r="A611" s="4">
        <v>215</v>
      </c>
      <c r="B611" s="24" t="s">
        <v>840</v>
      </c>
      <c r="C611" s="25" t="s">
        <v>53</v>
      </c>
      <c r="D611" s="4">
        <v>21.5</v>
      </c>
      <c r="E611" s="32">
        <f>LOOKUP(D611,{0,1,1.8,2.6,3.4,4.2,5,6.3,7.6,8.9,10.2,11.5,12.8,14.1,15.4,16.7,18,19.7,21.4,23.1,24.8},{0,10,20,30,40,50,60,62,64,66,68,70,72,74,76,78,80,85,90,95,100})</f>
        <v>90</v>
      </c>
      <c r="F611" s="4">
        <v>166</v>
      </c>
      <c r="G611" s="32">
        <f>LOOKUP(F611,{0,124,129,134,139,144,149,152,155,158,161,164,167,170,173,176,179,186,193,199,205},{0,10,20,30,40,50,60,62,64,66,68,70,72,74,76,78,80,85,90,95,100})</f>
        <v>70</v>
      </c>
      <c r="H611" s="4">
        <v>44</v>
      </c>
      <c r="I611" s="32">
        <f>LOOKUP(H611,{0,14,16,18,20,22,24,26,28,30,32,34,36,38,40,42,44,47,50,52,54},{0,10,20,30,40,50,60,62,64,66,68,70,72,74,76,78,80,85,90,95,100})</f>
        <v>80</v>
      </c>
      <c r="L611" s="4">
        <f t="shared" si="74"/>
        <v>80</v>
      </c>
      <c r="M611" s="4">
        <v>8.3</v>
      </c>
      <c r="N611" s="4">
        <f t="shared" si="75"/>
        <v>3.7</v>
      </c>
      <c r="O611" s="32">
        <f>LOOKUP(N611,{0,0.5,0.7,0.9,1.1,1.3,1.5,1.7,1.9,2.1,2.3,2.5,2.7,2.9,3.1,3.3,3.5,3.8,4.1,4.2,4.3},{0,10,20,30,40,50,60,62,64,66,68,70,72,74,76,78,80,85,90,95,100})</f>
        <v>80</v>
      </c>
      <c r="P611" s="4">
        <v>4.05</v>
      </c>
      <c r="Q611" s="4">
        <f t="shared" si="76"/>
        <v>5.95</v>
      </c>
      <c r="R611" s="32">
        <f>LOOKUP(Q611,{0,4.72,4.82,4.92,5.42,5.52,5.62,5.67,5.72,5.77,5.82,5.87,5.92,5.97,6.42,6.47,6.52,6.59,6.66,6.72,6.78},{0,10,20,30,40,50,60,62,64,66,68,70,72,74,76,78,80,85,90,95,100})</f>
        <v>72</v>
      </c>
      <c r="U611" s="4">
        <f t="shared" si="77"/>
        <v>72</v>
      </c>
      <c r="W611" s="5">
        <f t="shared" si="73"/>
        <v>54.4</v>
      </c>
      <c r="X611" s="20">
        <f t="shared" si="78"/>
        <v>77.7142857142857</v>
      </c>
    </row>
    <row r="612" ht="15.6" hidden="1" spans="1:24">
      <c r="A612" s="4">
        <v>205</v>
      </c>
      <c r="B612" s="33" t="s">
        <v>256</v>
      </c>
      <c r="C612" s="25" t="s">
        <v>53</v>
      </c>
      <c r="D612" s="4">
        <v>18.4</v>
      </c>
      <c r="E612" s="32">
        <f>LOOKUP(D612,{0,1,1.8,2.6,3.4,4.2,5,6.3,7.6,8.9,10.2,11.5,12.8,14.1,15.4,16.7,18,19.7,21.4,23.1,24.8},{0,10,20,30,40,50,60,62,64,66,68,70,72,74,76,78,80,85,90,95,100})</f>
        <v>80</v>
      </c>
      <c r="F612" s="4">
        <v>172</v>
      </c>
      <c r="G612" s="32">
        <f>LOOKUP(F612,{0,124,129,134,139,144,149,152,155,158,161,164,167,170,173,176,179,186,193,199,205},{0,10,20,30,40,50,60,62,64,66,68,70,72,74,76,78,80,85,90,95,100})</f>
        <v>74</v>
      </c>
      <c r="H612" s="4">
        <v>48</v>
      </c>
      <c r="I612" s="32">
        <f>LOOKUP(H612,{0,14,16,18,20,22,24,26,28,30,32,34,36,38,40,42,44,47,50,52,54},{0,10,20,30,40,50,60,62,64,66,68,70,72,74,76,78,80,85,90,95,100})</f>
        <v>85</v>
      </c>
      <c r="L612" s="4">
        <f t="shared" si="74"/>
        <v>85</v>
      </c>
      <c r="M612" s="4">
        <v>9.1</v>
      </c>
      <c r="N612" s="4">
        <f t="shared" si="75"/>
        <v>2.9</v>
      </c>
      <c r="O612" s="32">
        <f>LOOKUP(N612,{0,0.5,0.7,0.9,1.1,1.3,1.5,1.7,1.9,2.1,2.3,2.5,2.7,2.9,3.1,3.3,3.5,3.8,4.1,4.2,4.3},{0,10,20,30,40,50,60,62,64,66,68,70,72,74,76,78,80,85,90,95,100})</f>
        <v>74</v>
      </c>
      <c r="P612" s="4">
        <v>3.5</v>
      </c>
      <c r="Q612" s="4">
        <f t="shared" si="76"/>
        <v>6.5</v>
      </c>
      <c r="R612" s="32">
        <f>LOOKUP(Q612,{0,4.72,4.82,4.92,5.42,5.52,5.62,5.67,5.72,5.77,5.82,5.87,5.92,5.97,6.42,6.47,6.52,6.59,6.66,6.72,6.78},{0,10,20,30,40,50,60,62,64,66,68,70,72,74,76,78,80,85,90,95,100})</f>
        <v>78</v>
      </c>
      <c r="U612" s="4">
        <f t="shared" si="77"/>
        <v>78</v>
      </c>
      <c r="W612" s="5">
        <f t="shared" si="73"/>
        <v>54.3</v>
      </c>
      <c r="X612" s="20">
        <f t="shared" si="78"/>
        <v>77.5714285714286</v>
      </c>
    </row>
    <row r="613" ht="15.6" hidden="1" spans="1:24">
      <c r="A613" s="4">
        <v>214</v>
      </c>
      <c r="B613" s="24" t="s">
        <v>745</v>
      </c>
      <c r="C613" s="25" t="s">
        <v>53</v>
      </c>
      <c r="D613" s="4">
        <v>16.5</v>
      </c>
      <c r="E613" s="32">
        <f>LOOKUP(D613,{0,1,1.8,2.6,3.4,4.2,5,6.3,7.6,8.9,10.2,11.5,12.8,14.1,15.4,16.7,18,19.7,21.4,23.1,24.8},{0,10,20,30,40,50,60,62,64,66,68,70,72,74,76,78,80,85,90,95,100})</f>
        <v>76</v>
      </c>
      <c r="F613" s="4">
        <v>201</v>
      </c>
      <c r="G613" s="32">
        <f>LOOKUP(F613,{0,124,129,134,139,144,149,152,155,158,161,164,167,170,173,176,179,186,193,199,205},{0,10,20,30,40,50,60,62,64,66,68,70,72,74,76,78,80,85,90,95,100})</f>
        <v>95</v>
      </c>
      <c r="H613" s="4">
        <v>41</v>
      </c>
      <c r="I613" s="32">
        <f>LOOKUP(H613,{0,14,16,18,20,22,24,26,28,30,32,34,36,38,40,42,44,47,50,52,54},{0,10,20,30,40,50,60,62,64,66,68,70,72,74,76,78,80,85,90,95,100})</f>
        <v>76</v>
      </c>
      <c r="L613" s="4">
        <f t="shared" si="74"/>
        <v>76</v>
      </c>
      <c r="M613" s="4">
        <v>8.6</v>
      </c>
      <c r="N613" s="4">
        <f t="shared" si="75"/>
        <v>3.4</v>
      </c>
      <c r="O613" s="32">
        <f>LOOKUP(N613,{0,0.5,0.7,0.9,1.1,1.3,1.5,1.7,1.9,2.1,2.3,2.5,2.7,2.9,3.1,3.3,3.5,3.8,4.1,4.2,4.3},{0,10,20,30,40,50,60,62,64,66,68,70,72,74,76,78,80,85,90,95,100})</f>
        <v>78</v>
      </c>
      <c r="P613" s="4">
        <v>4.11</v>
      </c>
      <c r="Q613" s="4">
        <f t="shared" si="76"/>
        <v>5.89</v>
      </c>
      <c r="R613" s="32">
        <f>LOOKUP(Q613,{0,4.72,4.82,4.92,5.42,5.52,5.62,5.67,5.72,5.77,5.82,5.87,5.92,5.97,6.42,6.47,6.52,6.59,6.66,6.72,6.78},{0,10,20,30,40,50,60,62,64,66,68,70,72,74,76,78,80,85,90,95,100})</f>
        <v>70</v>
      </c>
      <c r="U613" s="4">
        <f t="shared" si="77"/>
        <v>70</v>
      </c>
      <c r="W613" s="5">
        <f t="shared" si="73"/>
        <v>54.3</v>
      </c>
      <c r="X613" s="20">
        <f t="shared" si="78"/>
        <v>77.5714285714286</v>
      </c>
    </row>
    <row r="614" ht="15.6" hidden="1" spans="1:24">
      <c r="A614" s="4">
        <v>215</v>
      </c>
      <c r="B614" s="24" t="s">
        <v>830</v>
      </c>
      <c r="C614" s="25" t="s">
        <v>53</v>
      </c>
      <c r="D614" s="4">
        <v>24.5</v>
      </c>
      <c r="E614" s="32">
        <f>LOOKUP(D614,{0,1,1.8,2.6,3.4,4.2,5,6.3,7.6,8.9,10.2,11.5,12.8,14.1,15.4,16.7,18,19.7,21.4,23.1,24.8},{0,10,20,30,40,50,60,62,64,66,68,70,72,74,76,78,80,85,90,95,100})</f>
        <v>95</v>
      </c>
      <c r="F614" s="4">
        <v>185</v>
      </c>
      <c r="G614" s="32">
        <f>LOOKUP(F614,{0,124,129,134,139,144,149,152,155,158,161,164,167,170,173,176,179,186,193,199,205},{0,10,20,30,40,50,60,62,64,66,68,70,72,74,76,78,80,85,90,95,100})</f>
        <v>80</v>
      </c>
      <c r="H614" s="4">
        <v>22</v>
      </c>
      <c r="I614" s="32">
        <f>LOOKUP(H614,{0,14,16,18,20,22,24,26,28,30,32,34,36,38,40,42,44,47,50,52,54},{0,10,20,30,40,50,60,62,64,66,68,70,72,74,76,78,80,85,90,95,100})</f>
        <v>50</v>
      </c>
      <c r="L614" s="4">
        <f t="shared" si="74"/>
        <v>50</v>
      </c>
      <c r="M614" s="4">
        <v>8</v>
      </c>
      <c r="N614" s="4">
        <f t="shared" si="75"/>
        <v>4</v>
      </c>
      <c r="O614" s="32">
        <f>LOOKUP(N614,{0,0.5,0.7,0.9,1.1,1.3,1.5,1.7,1.9,2.1,2.3,2.5,2.7,2.9,3.1,3.3,3.5,3.8,4.1,4.2,4.3},{0,10,20,30,40,50,60,62,64,66,68,70,72,74,76,78,80,85,90,95,100})</f>
        <v>85</v>
      </c>
      <c r="P614" s="4">
        <v>3.59</v>
      </c>
      <c r="Q614" s="4">
        <f t="shared" si="76"/>
        <v>6.41</v>
      </c>
      <c r="R614" s="32">
        <f>LOOKUP(Q614,{0,4.72,4.82,4.92,5.42,5.52,5.62,5.67,5.72,5.77,5.82,5.87,5.92,5.97,6.42,6.47,6.52,6.59,6.66,6.72,6.78},{0,10,20,30,40,50,60,62,64,66,68,70,72,74,76,78,80,85,90,95,100})</f>
        <v>74</v>
      </c>
      <c r="U614" s="4">
        <f t="shared" si="77"/>
        <v>74</v>
      </c>
      <c r="W614" s="5">
        <f t="shared" si="73"/>
        <v>54.3</v>
      </c>
      <c r="X614" s="20">
        <f t="shared" si="78"/>
        <v>77.5714285714286</v>
      </c>
    </row>
    <row r="615" ht="15.6" hidden="1" spans="1:24">
      <c r="A615" s="4">
        <v>204</v>
      </c>
      <c r="B615" s="24" t="s">
        <v>200</v>
      </c>
      <c r="C615" s="25" t="s">
        <v>53</v>
      </c>
      <c r="D615" s="4">
        <v>17.5</v>
      </c>
      <c r="E615" s="32">
        <f>LOOKUP(D615,{0,1,1.8,2.6,3.4,4.2,5,6.3,7.6,8.9,10.2,11.5,12.8,14.1,15.4,16.7,18,19.7,21.4,23.1,24.8},{0,10,20,30,40,50,60,62,64,66,68,70,72,74,76,78,80,85,90,95,100})</f>
        <v>78</v>
      </c>
      <c r="F615" s="4">
        <v>170</v>
      </c>
      <c r="G615" s="32">
        <f>LOOKUP(F615,{0,124,129,134,139,144,149,152,155,158,161,164,167,170,173,176,179,186,193,199,205},{0,10,20,30,40,50,60,62,64,66,68,70,72,74,76,78,80,85,90,95,100})</f>
        <v>74</v>
      </c>
      <c r="H615" s="4">
        <v>43</v>
      </c>
      <c r="I615" s="32">
        <f>LOOKUP(H615,{0,14,16,18,20,22,24,26,28,30,32,34,36,38,40,42,44,47,50,52,54},{0,10,20,30,40,50,60,62,64,66,68,70,72,74,76,78,80,85,90,95,100})</f>
        <v>78</v>
      </c>
      <c r="L615" s="4">
        <f t="shared" si="74"/>
        <v>78</v>
      </c>
      <c r="M615" s="4">
        <v>8.7</v>
      </c>
      <c r="N615" s="4">
        <f t="shared" si="75"/>
        <v>3.3</v>
      </c>
      <c r="O615" s="32">
        <f>LOOKUP(N615,{0,0.5,0.7,0.9,1.1,1.3,1.5,1.7,1.9,2.1,2.3,2.5,2.7,2.9,3.1,3.3,3.5,3.8,4.1,4.2,4.3},{0,10,20,30,40,50,60,62,64,66,68,70,72,74,76,78,80,85,90,95,100})</f>
        <v>78</v>
      </c>
      <c r="P615" s="4">
        <v>3.5</v>
      </c>
      <c r="Q615" s="4">
        <f t="shared" si="76"/>
        <v>6.5</v>
      </c>
      <c r="R615" s="32">
        <f>LOOKUP(Q615,{0,4.72,4.82,4.92,5.42,5.52,5.62,5.67,5.72,5.77,5.82,5.87,5.92,5.97,6.42,6.47,6.52,6.59,6.66,6.72,6.78},{0,10,20,30,40,50,60,62,64,66,68,70,72,74,76,78,80,85,90,95,100})</f>
        <v>78</v>
      </c>
      <c r="T615" s="35"/>
      <c r="U615" s="4">
        <f t="shared" si="77"/>
        <v>78</v>
      </c>
      <c r="W615" s="5">
        <f t="shared" si="73"/>
        <v>54.2</v>
      </c>
      <c r="X615" s="20">
        <f t="shared" si="78"/>
        <v>77.4285714285714</v>
      </c>
    </row>
    <row r="616" ht="15.6" hidden="1" spans="1:24">
      <c r="A616" s="4">
        <v>215</v>
      </c>
      <c r="B616" s="24" t="s">
        <v>845</v>
      </c>
      <c r="C616" s="25" t="s">
        <v>53</v>
      </c>
      <c r="D616" s="4">
        <v>13.5</v>
      </c>
      <c r="E616" s="32">
        <f>LOOKUP(D616,{0,1,1.8,2.6,3.4,4.2,5,6.3,7.6,8.9,10.2,11.5,12.8,14.1,15.4,16.7,18,19.7,21.4,23.1,24.8},{0,10,20,30,40,50,60,62,64,66,68,70,72,74,76,78,80,85,90,95,100})</f>
        <v>72</v>
      </c>
      <c r="F616" s="4">
        <v>180</v>
      </c>
      <c r="G616" s="32">
        <f>LOOKUP(F616,{0,124,129,134,139,144,149,152,155,158,161,164,167,170,173,176,179,186,193,199,205},{0,10,20,30,40,50,60,62,64,66,68,70,72,74,76,78,80,85,90,95,100})</f>
        <v>80</v>
      </c>
      <c r="H616" s="4">
        <v>42</v>
      </c>
      <c r="I616" s="32">
        <f>LOOKUP(H616,{0,14,16,18,20,22,24,26,28,30,32,34,36,38,40,42,44,47,50,52,54},{0,10,20,30,40,50,60,62,64,66,68,70,72,74,76,78,80,85,90,95,100})</f>
        <v>78</v>
      </c>
      <c r="L616" s="4">
        <f t="shared" si="74"/>
        <v>78</v>
      </c>
      <c r="M616" s="4">
        <v>8.7</v>
      </c>
      <c r="N616" s="4">
        <f t="shared" si="75"/>
        <v>3.3</v>
      </c>
      <c r="O616" s="32">
        <f>LOOKUP(N616,{0,0.5,0.7,0.9,1.1,1.3,1.5,1.7,1.9,2.1,2.3,2.5,2.7,2.9,3.1,3.3,3.5,3.8,4.1,4.2,4.3},{0,10,20,30,40,50,60,62,64,66,68,70,72,74,76,78,80,85,90,95,100})</f>
        <v>78</v>
      </c>
      <c r="P616" s="4">
        <v>3.5</v>
      </c>
      <c r="Q616" s="4">
        <f t="shared" si="76"/>
        <v>6.5</v>
      </c>
      <c r="R616" s="32">
        <f>LOOKUP(Q616,{0,4.72,4.82,4.92,5.42,5.52,5.62,5.67,5.72,5.77,5.82,5.87,5.92,5.97,6.42,6.47,6.52,6.59,6.66,6.72,6.78},{0,10,20,30,40,50,60,62,64,66,68,70,72,74,76,78,80,85,90,95,100})</f>
        <v>78</v>
      </c>
      <c r="U616" s="4">
        <f t="shared" si="77"/>
        <v>78</v>
      </c>
      <c r="W616" s="5">
        <f t="shared" si="73"/>
        <v>54.2</v>
      </c>
      <c r="X616" s="20">
        <f t="shared" si="78"/>
        <v>77.4285714285714</v>
      </c>
    </row>
    <row r="617" s="1" customFormat="1" ht="15.6" hidden="1" spans="1:24">
      <c r="A617" s="4">
        <v>204</v>
      </c>
      <c r="B617" s="33" t="s">
        <v>169</v>
      </c>
      <c r="C617" s="25" t="s">
        <v>53</v>
      </c>
      <c r="D617" s="4">
        <v>17</v>
      </c>
      <c r="E617" s="32">
        <f>LOOKUP(D617,{0,1,1.8,2.6,3.4,4.2,5,6.3,7.6,8.9,10.2,11.5,12.8,14.1,15.4,16.7,18,19.7,21.4,23.1,24.8},{0,10,20,30,40,50,60,62,64,66,68,70,72,74,76,78,80,85,90,95,100})</f>
        <v>78</v>
      </c>
      <c r="F617" s="4">
        <v>192</v>
      </c>
      <c r="G617" s="32">
        <f>LOOKUP(F617,{0,124,129,134,139,144,149,152,155,158,161,164,167,170,173,176,179,186,193,199,205},{0,10,20,30,40,50,60,62,64,66,68,70,72,74,76,78,80,85,90,95,100})</f>
        <v>85</v>
      </c>
      <c r="H617" s="4">
        <v>42</v>
      </c>
      <c r="I617" s="32">
        <f>LOOKUP(H617,{0,14,16,18,20,22,24,26,28,30,32,34,36,38,40,42,44,47,50,52,54},{0,10,20,30,40,50,60,62,64,66,68,70,72,74,76,78,80,85,90,95,100})</f>
        <v>78</v>
      </c>
      <c r="J617" s="4"/>
      <c r="K617" s="4"/>
      <c r="L617" s="4">
        <f t="shared" si="74"/>
        <v>78</v>
      </c>
      <c r="M617" s="4">
        <v>9</v>
      </c>
      <c r="N617" s="4">
        <f t="shared" si="75"/>
        <v>3</v>
      </c>
      <c r="O617" s="32">
        <f>LOOKUP(N617,{0,0.5,0.7,0.9,1.1,1.3,1.5,1.7,1.9,2.1,2.3,2.5,2.7,2.9,3.1,3.3,3.5,3.8,4.1,4.2,4.3},{0,10,20,30,40,50,60,62,64,66,68,70,72,74,76,78,80,85,90,95,100})</f>
        <v>74</v>
      </c>
      <c r="P617" s="4">
        <v>3.56</v>
      </c>
      <c r="Q617" s="4">
        <f t="shared" si="76"/>
        <v>6.44</v>
      </c>
      <c r="R617" s="32">
        <f>LOOKUP(Q617,{0,4.72,4.82,4.92,5.42,5.52,5.62,5.67,5.72,5.77,5.82,5.87,5.92,5.97,6.42,6.47,6.52,6.59,6.66,6.72,6.78},{0,10,20,30,40,50,60,62,64,66,68,70,72,74,76,78,80,85,90,95,100})</f>
        <v>76</v>
      </c>
      <c r="S617" s="4"/>
      <c r="T617" s="4"/>
      <c r="U617" s="4">
        <f t="shared" si="77"/>
        <v>76</v>
      </c>
      <c r="V617" s="4"/>
      <c r="W617" s="5">
        <f t="shared" si="73"/>
        <v>54.1</v>
      </c>
      <c r="X617" s="20">
        <f t="shared" si="78"/>
        <v>77.2857142857143</v>
      </c>
    </row>
    <row r="618" ht="15.6" hidden="1" spans="1:24">
      <c r="A618" s="4">
        <v>206</v>
      </c>
      <c r="B618" s="24" t="s">
        <v>315</v>
      </c>
      <c r="C618" s="25" t="s">
        <v>53</v>
      </c>
      <c r="D618" s="4">
        <v>20</v>
      </c>
      <c r="E618" s="32">
        <f>LOOKUP(D618,{0,1,1.8,2.6,3.4,4.2,5,6.3,7.6,8.9,10.2,11.5,12.8,14.1,15.4,16.7,18,19.7,21.4,23.1,24.8},{0,10,20,30,40,50,60,62,64,66,68,70,72,74,76,78,80,85,90,95,100})</f>
        <v>85</v>
      </c>
      <c r="F618" s="4">
        <v>172</v>
      </c>
      <c r="G618" s="32">
        <f>LOOKUP(F618,{0,124,129,134,139,144,149,152,155,158,161,164,167,170,173,176,179,186,193,199,205},{0,10,20,30,40,50,60,62,64,66,68,70,72,74,76,78,80,85,90,95,100})</f>
        <v>74</v>
      </c>
      <c r="H618" s="4">
        <v>42</v>
      </c>
      <c r="I618" s="32">
        <f>LOOKUP(H618,{0,14,16,18,20,22,24,26,28,30,32,34,36,38,40,42,44,47,50,52,54},{0,10,20,30,40,50,60,62,64,66,68,70,72,74,76,78,80,85,90,95,100})</f>
        <v>78</v>
      </c>
      <c r="L618" s="4">
        <f t="shared" si="74"/>
        <v>78</v>
      </c>
      <c r="M618" s="4">
        <v>9</v>
      </c>
      <c r="N618" s="4">
        <f t="shared" si="75"/>
        <v>3</v>
      </c>
      <c r="O618" s="32">
        <f>LOOKUP(N618,{0,0.5,0.7,0.9,1.1,1.3,1.5,1.7,1.9,2.1,2.3,2.5,2.7,2.9,3.1,3.3,3.5,3.8,4.1,4.2,4.3},{0,10,20,30,40,50,60,62,64,66,68,70,72,74,76,78,80,85,90,95,100})</f>
        <v>74</v>
      </c>
      <c r="P618" s="4">
        <v>3.5</v>
      </c>
      <c r="Q618" s="4">
        <f t="shared" si="76"/>
        <v>6.5</v>
      </c>
      <c r="R618" s="32">
        <f>LOOKUP(Q618,{0,4.72,4.82,4.92,5.42,5.52,5.62,5.67,5.72,5.77,5.82,5.87,5.92,5.97,6.42,6.47,6.52,6.59,6.66,6.72,6.78},{0,10,20,30,40,50,60,62,64,66,68,70,72,74,76,78,80,85,90,95,100})</f>
        <v>78</v>
      </c>
      <c r="T618" s="35"/>
      <c r="U618" s="4">
        <f t="shared" si="77"/>
        <v>78</v>
      </c>
      <c r="W618" s="5">
        <f t="shared" si="73"/>
        <v>54.1</v>
      </c>
      <c r="X618" s="20">
        <f t="shared" si="78"/>
        <v>77.2857142857143</v>
      </c>
    </row>
    <row r="619" ht="15.6" hidden="1" spans="1:24">
      <c r="A619" s="4">
        <v>214</v>
      </c>
      <c r="B619" s="24" t="s">
        <v>759</v>
      </c>
      <c r="C619" s="25" t="s">
        <v>53</v>
      </c>
      <c r="D619" s="4">
        <v>19.6</v>
      </c>
      <c r="E619" s="32">
        <f>LOOKUP(D619,{0,1,1.8,2.6,3.4,4.2,5,6.3,7.6,8.9,10.2,11.5,12.8,14.1,15.4,16.7,18,19.7,21.4,23.1,24.8},{0,10,20,30,40,50,60,62,64,66,68,70,72,74,76,78,80,85,90,95,100})</f>
        <v>80</v>
      </c>
      <c r="F619" s="4">
        <v>153</v>
      </c>
      <c r="G619" s="32">
        <f>LOOKUP(F619,{0,124,129,134,139,144,149,152,155,158,161,164,167,170,173,176,179,186,193,199,205},{0,10,20,30,40,50,60,62,64,66,68,70,72,74,76,78,80,85,90,95,100})</f>
        <v>62</v>
      </c>
      <c r="H619" s="4">
        <v>50</v>
      </c>
      <c r="I619" s="32">
        <f>LOOKUP(H619,{0,14,16,18,20,22,24,26,28,30,32,34,36,38,40,42,44,47,50,52,54},{0,10,20,30,40,50,60,62,64,66,68,70,72,74,76,78,80,85,90,95,100})</f>
        <v>90</v>
      </c>
      <c r="L619" s="4">
        <f t="shared" si="74"/>
        <v>90</v>
      </c>
      <c r="M619" s="4">
        <v>9.1</v>
      </c>
      <c r="N619" s="4">
        <f t="shared" si="75"/>
        <v>2.9</v>
      </c>
      <c r="O619" s="32">
        <f>LOOKUP(N619,{0,0.5,0.7,0.9,1.1,1.3,1.5,1.7,1.9,2.1,2.3,2.5,2.7,2.9,3.1,3.3,3.5,3.8,4.1,4.2,4.3},{0,10,20,30,40,50,60,62,64,66,68,70,72,74,76,78,80,85,90,95,100})</f>
        <v>74</v>
      </c>
      <c r="P619" s="4">
        <v>3.42</v>
      </c>
      <c r="Q619" s="4">
        <f t="shared" si="76"/>
        <v>6.58</v>
      </c>
      <c r="R619" s="32">
        <f>LOOKUP(Q619,{0,4.72,4.82,4.92,5.42,5.52,5.62,5.67,5.72,5.77,5.82,5.87,5.92,5.97,6.42,6.47,6.52,6.59,6.66,6.72,6.78},{0,10,20,30,40,50,60,62,64,66,68,70,72,74,76,78,80,85,90,95,100})</f>
        <v>80</v>
      </c>
      <c r="T619" s="35"/>
      <c r="U619" s="4">
        <f t="shared" si="77"/>
        <v>80</v>
      </c>
      <c r="W619" s="5">
        <f t="shared" si="73"/>
        <v>54</v>
      </c>
      <c r="X619" s="20">
        <f t="shared" si="78"/>
        <v>77.1428571428572</v>
      </c>
    </row>
    <row r="620" ht="15.6" hidden="1" spans="1:24">
      <c r="A620" s="4">
        <v>205</v>
      </c>
      <c r="B620" s="24" t="s">
        <v>263</v>
      </c>
      <c r="C620" s="25" t="s">
        <v>53</v>
      </c>
      <c r="D620" s="4">
        <v>22.8</v>
      </c>
      <c r="E620" s="32">
        <f>LOOKUP(D620,{0,1,1.8,2.6,3.4,4.2,5,6.3,7.6,8.9,10.2,11.5,12.8,14.1,15.4,16.7,18,19.7,21.4,23.1,24.8},{0,10,20,30,40,50,60,62,64,66,68,70,72,74,76,78,80,85,90,95,100})</f>
        <v>90</v>
      </c>
      <c r="F620" s="4">
        <v>165</v>
      </c>
      <c r="G620" s="32">
        <f>LOOKUP(F620,{0,124,129,134,139,144,149,152,155,158,161,164,167,170,173,176,179,186,193,199,205},{0,10,20,30,40,50,60,62,64,66,68,70,72,74,76,78,80,85,90,95,100})</f>
        <v>70</v>
      </c>
      <c r="H620" s="4">
        <v>46</v>
      </c>
      <c r="I620" s="32">
        <f>LOOKUP(H620,{0,14,16,18,20,22,24,26,28,30,32,34,36,38,40,42,44,47,50,52,54},{0,10,20,30,40,50,60,62,64,66,68,70,72,74,76,78,80,85,90,95,100})</f>
        <v>80</v>
      </c>
      <c r="L620" s="4">
        <f t="shared" si="74"/>
        <v>80</v>
      </c>
      <c r="M620" s="4">
        <v>9.3</v>
      </c>
      <c r="N620" s="4">
        <f t="shared" si="75"/>
        <v>2.7</v>
      </c>
      <c r="O620" s="32">
        <f>LOOKUP(N620,{0,0.5,0.7,0.9,1.1,1.3,1.5,1.7,1.9,2.1,2.3,2.5,2.7,2.9,3.1,3.3,3.5,3.8,4.1,4.2,4.3},{0,10,20,30,40,50,60,62,64,66,68,70,72,74,76,78,80,85,90,95,100})</f>
        <v>72</v>
      </c>
      <c r="P620" s="4">
        <v>3.51</v>
      </c>
      <c r="Q620" s="4">
        <f t="shared" si="76"/>
        <v>6.49</v>
      </c>
      <c r="R620" s="32">
        <f>LOOKUP(Q620,{0,4.72,4.82,4.92,5.42,5.52,5.62,5.67,5.72,5.77,5.82,5.87,5.92,5.97,6.42,6.47,6.52,6.59,6.66,6.72,6.78},{0,10,20,30,40,50,60,62,64,66,68,70,72,74,76,78,80,85,90,95,100})</f>
        <v>78</v>
      </c>
      <c r="U620" s="4">
        <f t="shared" si="77"/>
        <v>78</v>
      </c>
      <c r="W620" s="5">
        <f t="shared" si="73"/>
        <v>54</v>
      </c>
      <c r="X620" s="20">
        <f t="shared" si="78"/>
        <v>77.1428571428572</v>
      </c>
    </row>
    <row r="621" ht="15.6" hidden="1" spans="1:24">
      <c r="A621" s="4">
        <v>204</v>
      </c>
      <c r="B621" s="24" t="s">
        <v>173</v>
      </c>
      <c r="C621" s="25" t="s">
        <v>53</v>
      </c>
      <c r="D621" s="4">
        <v>8</v>
      </c>
      <c r="E621" s="32">
        <f>LOOKUP(D621,{0,1,1.8,2.6,3.4,4.2,5,6.3,7.6,8.9,10.2,11.5,12.8,14.1,15.4,16.7,18,19.7,21.4,23.1,24.8},{0,10,20,30,40,50,60,62,64,66,68,70,72,74,76,78,80,85,90,95,100})</f>
        <v>64</v>
      </c>
      <c r="F621" s="4">
        <v>170</v>
      </c>
      <c r="G621" s="32">
        <f>LOOKUP(F621,{0,124,129,134,139,144,149,152,155,158,161,164,167,170,173,176,179,186,193,199,205},{0,10,20,30,40,50,60,62,64,66,68,70,72,74,76,78,80,85,90,95,100})</f>
        <v>74</v>
      </c>
      <c r="H621" s="4">
        <v>51</v>
      </c>
      <c r="I621" s="32">
        <f>LOOKUP(H621,{0,14,16,18,20,22,24,26,28,30,32,34,36,38,40,42,44,47,50,52,54},{0,10,20,30,40,50,60,62,64,66,68,70,72,74,76,78,80,85,90,95,100})</f>
        <v>90</v>
      </c>
      <c r="L621" s="4">
        <f t="shared" si="74"/>
        <v>90</v>
      </c>
      <c r="M621" s="4">
        <v>8.7</v>
      </c>
      <c r="N621" s="4">
        <f t="shared" si="75"/>
        <v>3.3</v>
      </c>
      <c r="O621" s="32">
        <f>LOOKUP(N621,{0,0.5,0.7,0.9,1.1,1.3,1.5,1.7,1.9,2.1,2.3,2.5,2.7,2.9,3.1,3.3,3.5,3.8,4.1,4.2,4.3},{0,10,20,30,40,50,60,62,64,66,68,70,72,74,76,78,80,85,90,95,100})</f>
        <v>78</v>
      </c>
      <c r="P621" s="4">
        <v>3.53</v>
      </c>
      <c r="Q621" s="4">
        <f t="shared" si="76"/>
        <v>6.47</v>
      </c>
      <c r="R621" s="32">
        <f>LOOKUP(Q621,{0,4.72,4.82,4.92,5.42,5.52,5.62,5.67,5.72,5.77,5.82,5.87,5.92,5.97,6.42,6.47,6.52,6.59,6.66,6.72,6.78},{0,10,20,30,40,50,60,62,64,66,68,70,72,74,76,78,80,85,90,95,100})</f>
        <v>78</v>
      </c>
      <c r="U621" s="4">
        <f t="shared" si="77"/>
        <v>78</v>
      </c>
      <c r="W621" s="5">
        <f t="shared" si="73"/>
        <v>54</v>
      </c>
      <c r="X621" s="20">
        <f t="shared" si="78"/>
        <v>77.1428571428572</v>
      </c>
    </row>
    <row r="622" ht="15.6" hidden="1" spans="1:24">
      <c r="A622" s="4">
        <v>210</v>
      </c>
      <c r="B622" s="24" t="s">
        <v>538</v>
      </c>
      <c r="C622" s="25" t="s">
        <v>53</v>
      </c>
      <c r="D622" s="4">
        <v>17</v>
      </c>
      <c r="E622" s="32">
        <f>LOOKUP(D622,{0,1,1.8,2.6,3.4,4.2,5,6.3,7.6,8.9,10.2,11.5,12.8,14.1,15.4,16.7,18,19.7,21.4,23.1,24.8},{0,10,20,30,40,50,60,62,64,66,68,70,72,74,76,78,80,85,90,95,100})</f>
        <v>78</v>
      </c>
      <c r="F622" s="4">
        <v>153</v>
      </c>
      <c r="G622" s="32">
        <f>LOOKUP(F622,{0,124,129,134,139,144,149,152,155,158,161,164,167,170,173,176,179,186,193,199,205},{0,10,20,30,40,50,60,62,64,66,68,70,72,74,76,78,80,85,90,95,100})</f>
        <v>62</v>
      </c>
      <c r="H622" s="4">
        <v>43</v>
      </c>
      <c r="I622" s="32">
        <f>LOOKUP(H622,{0,14,16,18,20,22,24,26,28,30,32,34,36,38,40,42,44,47,50,52,54},{0,10,20,30,40,50,60,62,64,66,68,70,72,74,76,78,80,85,90,95,100})</f>
        <v>78</v>
      </c>
      <c r="L622" s="4">
        <f t="shared" si="74"/>
        <v>78</v>
      </c>
      <c r="M622" s="4">
        <v>8</v>
      </c>
      <c r="N622" s="4">
        <f t="shared" si="75"/>
        <v>4</v>
      </c>
      <c r="O622" s="32">
        <f>LOOKUP(N622,{0,0.5,0.7,0.9,1.1,1.3,1.5,1.7,1.9,2.1,2.3,2.5,2.7,2.9,3.1,3.3,3.5,3.8,4.1,4.2,4.3},{0,10,20,30,40,50,60,62,64,66,68,70,72,74,76,78,80,85,90,95,100})</f>
        <v>85</v>
      </c>
      <c r="P622" s="4">
        <v>3.56</v>
      </c>
      <c r="Q622" s="4">
        <f t="shared" si="76"/>
        <v>6.44</v>
      </c>
      <c r="R622" s="32">
        <f>LOOKUP(Q622,{0,4.72,4.82,4.92,5.42,5.52,5.62,5.67,5.72,5.77,5.82,5.87,5.92,5.97,6.42,6.47,6.52,6.59,6.66,6.72,6.78},{0,10,20,30,40,50,60,62,64,66,68,70,72,74,76,78,80,85,90,95,100})</f>
        <v>76</v>
      </c>
      <c r="U622" s="4">
        <f t="shared" si="77"/>
        <v>76</v>
      </c>
      <c r="W622" s="5">
        <f t="shared" si="73"/>
        <v>54</v>
      </c>
      <c r="X622" s="20">
        <f t="shared" si="78"/>
        <v>77.1428571428572</v>
      </c>
    </row>
    <row r="623" ht="15.6" hidden="1" spans="1:24">
      <c r="A623" s="4">
        <v>213</v>
      </c>
      <c r="B623" s="24" t="s">
        <v>710</v>
      </c>
      <c r="C623" s="25" t="s">
        <v>53</v>
      </c>
      <c r="D623" s="4">
        <v>9.1</v>
      </c>
      <c r="E623" s="32">
        <f>LOOKUP(D623,{0,1,1.8,2.6,3.4,4.2,5,6.3,7.6,8.9,10.2,11.5,12.8,14.1,15.4,16.7,18,19.7,21.4,23.1,24.8},{0,10,20,30,40,50,60,62,64,66,68,70,72,74,76,78,80,85,90,95,100})</f>
        <v>66</v>
      </c>
      <c r="F623" s="4">
        <v>175</v>
      </c>
      <c r="G623" s="32">
        <f>LOOKUP(F623,{0,124,129,134,139,144,149,152,155,158,161,164,167,170,173,176,179,186,193,199,205},{0,10,20,30,40,50,60,62,64,66,68,70,72,74,76,78,80,85,90,95,100})</f>
        <v>76</v>
      </c>
      <c r="H623" s="4">
        <v>49</v>
      </c>
      <c r="I623" s="32">
        <f>LOOKUP(H623,{0,14,16,18,20,22,24,26,28,30,32,34,36,38,40,42,44,47,50,52,54},{0,10,20,30,40,50,60,62,64,66,68,70,72,74,76,78,80,85,90,95,100})</f>
        <v>85</v>
      </c>
      <c r="L623" s="4">
        <f t="shared" si="74"/>
        <v>85</v>
      </c>
      <c r="M623" s="4">
        <v>8.6</v>
      </c>
      <c r="N623" s="4">
        <f t="shared" si="75"/>
        <v>3.4</v>
      </c>
      <c r="O623" s="32">
        <f>LOOKUP(N623,{0,0.5,0.7,0.9,1.1,1.3,1.5,1.7,1.9,2.1,2.3,2.5,2.7,2.9,3.1,3.3,3.5,3.8,4.1,4.2,4.3},{0,10,20,30,40,50,60,62,64,66,68,70,72,74,76,78,80,85,90,95,100})</f>
        <v>78</v>
      </c>
      <c r="P623" s="4">
        <v>3.5</v>
      </c>
      <c r="Q623" s="4">
        <f t="shared" si="76"/>
        <v>6.5</v>
      </c>
      <c r="R623" s="32">
        <f>LOOKUP(Q623,{0,4.72,4.82,4.92,5.42,5.52,5.62,5.67,5.72,5.77,5.82,5.87,5.92,5.97,6.42,6.47,6.52,6.59,6.66,6.72,6.78},{0,10,20,30,40,50,60,62,64,66,68,70,72,74,76,78,80,85,90,95,100})</f>
        <v>78</v>
      </c>
      <c r="T623" s="35"/>
      <c r="U623" s="4">
        <f t="shared" si="77"/>
        <v>78</v>
      </c>
      <c r="W623" s="5">
        <f t="shared" si="73"/>
        <v>53.9</v>
      </c>
      <c r="X623" s="20">
        <f t="shared" si="78"/>
        <v>77</v>
      </c>
    </row>
    <row r="624" ht="15.6" hidden="1" spans="1:24">
      <c r="A624" s="4">
        <v>204</v>
      </c>
      <c r="B624" s="24" t="s">
        <v>192</v>
      </c>
      <c r="C624" s="25" t="s">
        <v>53</v>
      </c>
      <c r="D624" s="4">
        <v>23</v>
      </c>
      <c r="E624" s="32">
        <f>LOOKUP(D624,{0,1,1.8,2.6,3.4,4.2,5,6.3,7.6,8.9,10.2,11.5,12.8,14.1,15.4,16.7,18,19.7,21.4,23.1,24.8},{0,10,20,30,40,50,60,62,64,66,68,70,72,74,76,78,80,85,90,95,100})</f>
        <v>90</v>
      </c>
      <c r="F624" s="4">
        <v>190</v>
      </c>
      <c r="G624" s="32">
        <f>LOOKUP(F624,{0,124,129,134,139,144,149,152,155,158,161,164,167,170,173,176,179,186,193,199,205},{0,10,20,30,40,50,60,62,64,66,68,70,72,74,76,78,80,85,90,95,100})</f>
        <v>85</v>
      </c>
      <c r="H624" s="4">
        <v>40</v>
      </c>
      <c r="I624" s="32">
        <f>LOOKUP(H624,{0,14,16,18,20,22,24,26,28,30,32,34,36,38,40,42,44,47,50,52,54},{0,10,20,30,40,50,60,62,64,66,68,70,72,74,76,78,80,85,90,95,100})</f>
        <v>76</v>
      </c>
      <c r="L624" s="4">
        <f t="shared" si="74"/>
        <v>76</v>
      </c>
      <c r="M624" s="4">
        <v>8.7</v>
      </c>
      <c r="N624" s="4">
        <f t="shared" si="75"/>
        <v>3.3</v>
      </c>
      <c r="O624" s="32">
        <f>LOOKUP(N624,{0,0.5,0.7,0.9,1.1,1.3,1.5,1.7,1.9,2.1,2.3,2.5,2.7,2.9,3.1,3.3,3.5,3.8,4.1,4.2,4.3},{0,10,20,30,40,50,60,62,64,66,68,70,72,74,76,78,80,85,90,95,100})</f>
        <v>78</v>
      </c>
      <c r="P624" s="4">
        <v>4.2</v>
      </c>
      <c r="Q624" s="4">
        <f t="shared" si="76"/>
        <v>5.8</v>
      </c>
      <c r="R624" s="32">
        <f>LOOKUP(Q624,{0,4.72,4.82,4.92,5.42,5.52,5.62,5.67,5.72,5.77,5.82,5.87,5.92,5.97,6.42,6.47,6.52,6.59,6.66,6.72,6.78},{0,10,20,30,40,50,60,62,64,66,68,70,72,74,76,78,80,85,90,95,100})</f>
        <v>66</v>
      </c>
      <c r="U624" s="4">
        <f t="shared" si="77"/>
        <v>66</v>
      </c>
      <c r="W624" s="5">
        <f t="shared" si="73"/>
        <v>53.9</v>
      </c>
      <c r="X624" s="20">
        <f t="shared" si="78"/>
        <v>77</v>
      </c>
    </row>
    <row r="625" ht="15.6" hidden="1" spans="1:24">
      <c r="A625" s="4">
        <v>208</v>
      </c>
      <c r="B625" s="24" t="s">
        <v>420</v>
      </c>
      <c r="C625" s="25" t="s">
        <v>53</v>
      </c>
      <c r="D625" s="4">
        <v>23.5</v>
      </c>
      <c r="E625" s="32">
        <f>LOOKUP(D625,{0,1,1.8,2.6,3.4,4.2,5,6.3,7.6,8.9,10.2,11.5,12.8,14.1,15.4,16.7,18,19.7,21.4,23.1,24.8},{0,10,20,30,40,50,60,62,64,66,68,70,72,74,76,78,80,85,90,95,100})</f>
        <v>95</v>
      </c>
      <c r="F625" s="4">
        <v>165</v>
      </c>
      <c r="G625" s="32">
        <f>LOOKUP(F625,{0,124,129,134,139,144,149,152,155,158,161,164,167,170,173,176,179,186,193,199,205},{0,10,20,30,40,50,60,62,64,66,68,70,72,74,76,78,80,85,90,95,100})</f>
        <v>70</v>
      </c>
      <c r="H625" s="4">
        <v>43</v>
      </c>
      <c r="I625" s="32">
        <f>LOOKUP(H625,{0,14,16,18,20,22,24,26,28,30,32,34,36,38,40,42,44,47,50,52,54},{0,10,20,30,40,50,60,62,64,66,68,70,72,74,76,78,80,85,90,95,100})</f>
        <v>78</v>
      </c>
      <c r="L625" s="4">
        <f t="shared" si="74"/>
        <v>78</v>
      </c>
      <c r="M625" s="4">
        <v>9.4</v>
      </c>
      <c r="N625" s="4">
        <f t="shared" si="75"/>
        <v>2.6</v>
      </c>
      <c r="O625" s="32">
        <f>LOOKUP(N625,{0,0.5,0.7,0.9,1.1,1.3,1.5,1.7,1.9,2.1,2.3,2.5,2.7,2.9,3.1,3.3,3.5,3.8,4.1,4.2,4.3},{0,10,20,30,40,50,60,62,64,66,68,70,72,74,76,78,80,85,90,95,100})</f>
        <v>70</v>
      </c>
      <c r="P625" s="4">
        <v>3.5</v>
      </c>
      <c r="Q625" s="4">
        <f t="shared" si="76"/>
        <v>6.5</v>
      </c>
      <c r="R625" s="32">
        <f>LOOKUP(Q625,{0,4.72,4.82,4.92,5.42,5.52,5.62,5.67,5.72,5.77,5.82,5.87,5.92,5.97,6.42,6.47,6.52,6.59,6.66,6.72,6.78},{0,10,20,30,40,50,60,62,64,66,68,70,72,74,76,78,80,85,90,95,100})</f>
        <v>78</v>
      </c>
      <c r="U625" s="4">
        <f t="shared" si="77"/>
        <v>78</v>
      </c>
      <c r="W625" s="5">
        <f t="shared" si="73"/>
        <v>53.9</v>
      </c>
      <c r="X625" s="20">
        <f t="shared" si="78"/>
        <v>77</v>
      </c>
    </row>
    <row r="626" ht="15.6" hidden="1" spans="1:24">
      <c r="A626" s="4">
        <v>210</v>
      </c>
      <c r="B626" s="33" t="s">
        <v>532</v>
      </c>
      <c r="C626" s="25" t="s">
        <v>53</v>
      </c>
      <c r="D626" s="4">
        <v>21</v>
      </c>
      <c r="E626" s="32">
        <f>LOOKUP(D626,{0,1,1.8,2.6,3.4,4.2,5,6.3,7.6,8.9,10.2,11.5,12.8,14.1,15.4,16.7,18,19.7,21.4,23.1,24.8},{0,10,20,30,40,50,60,62,64,66,68,70,72,74,76,78,80,85,90,95,100})</f>
        <v>85</v>
      </c>
      <c r="F626" s="4">
        <v>166</v>
      </c>
      <c r="G626" s="32">
        <f>LOOKUP(F626,{0,124,129,134,139,144,149,152,155,158,161,164,167,170,173,176,179,186,193,199,205},{0,10,20,30,40,50,60,62,64,66,68,70,72,74,76,78,80,85,90,95,100})</f>
        <v>70</v>
      </c>
      <c r="H626" s="4">
        <v>54</v>
      </c>
      <c r="I626" s="32">
        <f>LOOKUP(H626,{0,14,16,18,20,22,24,26,28,30,32,34,36,38,40,42,44,47,50,52,54},{0,10,20,30,40,50,60,62,64,66,68,70,72,74,76,78,80,85,90,95,100})</f>
        <v>100</v>
      </c>
      <c r="J626" s="4">
        <f>H626-54</f>
        <v>0</v>
      </c>
      <c r="K626" s="32">
        <f>LOOKUP(J626,{0,2,4,6,7,8,9,10,11,12,13},{0,1,2,3,4,5,6,7,8,9,10})</f>
        <v>0</v>
      </c>
      <c r="L626" s="4">
        <f t="shared" si="74"/>
        <v>100</v>
      </c>
      <c r="M626" s="4">
        <v>9.5</v>
      </c>
      <c r="N626" s="4">
        <f t="shared" si="75"/>
        <v>2.5</v>
      </c>
      <c r="O626" s="32">
        <f>LOOKUP(N626,{0,0.5,0.7,0.9,1.1,1.3,1.5,1.7,1.9,2.1,2.3,2.5,2.7,2.9,3.1,3.3,3.5,3.8,4.1,4.2,4.3},{0,10,20,30,40,50,60,62,64,66,68,70,72,74,76,78,80,85,90,95,100})</f>
        <v>70</v>
      </c>
      <c r="P626" s="4">
        <v>4.06</v>
      </c>
      <c r="Q626" s="4">
        <f t="shared" si="76"/>
        <v>5.94</v>
      </c>
      <c r="R626" s="32">
        <f>LOOKUP(Q626,{0,4.72,4.82,4.92,5.42,5.52,5.62,5.67,5.72,5.77,5.82,5.87,5.92,5.97,6.42,6.47,6.52,6.59,6.66,6.72,6.78},{0,10,20,30,40,50,60,62,64,66,68,70,72,74,76,78,80,85,90,95,100})</f>
        <v>72</v>
      </c>
      <c r="U626" s="4">
        <f t="shared" si="77"/>
        <v>72</v>
      </c>
      <c r="W626" s="5">
        <f t="shared" si="73"/>
        <v>53.9</v>
      </c>
      <c r="X626" s="20">
        <f t="shared" si="78"/>
        <v>77</v>
      </c>
    </row>
    <row r="627" ht="15.6" hidden="1" spans="1:24">
      <c r="A627" s="4">
        <v>212</v>
      </c>
      <c r="B627" s="24" t="s">
        <v>644</v>
      </c>
      <c r="C627" s="25" t="s">
        <v>53</v>
      </c>
      <c r="D627" s="4">
        <v>15.5</v>
      </c>
      <c r="E627" s="32">
        <f>LOOKUP(D627,{0,1,1.8,2.6,3.4,4.2,5,6.3,7.6,8.9,10.2,11.5,12.8,14.1,15.4,16.7,18,19.7,21.4,23.1,24.8},{0,10,20,30,40,50,60,62,64,66,68,70,72,74,76,78,80,85,90,95,100})</f>
        <v>76</v>
      </c>
      <c r="F627" s="4">
        <v>165</v>
      </c>
      <c r="G627" s="32">
        <f>LOOKUP(F627,{0,124,129,134,139,144,149,152,155,158,161,164,167,170,173,176,179,186,193,199,205},{0,10,20,30,40,50,60,62,64,66,68,70,72,74,76,78,80,85,90,95,100})</f>
        <v>70</v>
      </c>
      <c r="H627" s="4">
        <v>35</v>
      </c>
      <c r="I627" s="32">
        <f>LOOKUP(H627,{0,14,16,18,20,22,24,26,28,30,32,34,36,38,40,42,44,47,50,52,54},{0,10,20,30,40,50,60,62,64,66,68,70,72,74,76,78,80,85,90,95,100})</f>
        <v>70</v>
      </c>
      <c r="L627" s="4">
        <f t="shared" si="74"/>
        <v>70</v>
      </c>
      <c r="M627" s="4">
        <v>8.9</v>
      </c>
      <c r="N627" s="4">
        <f t="shared" si="75"/>
        <v>3.1</v>
      </c>
      <c r="O627" s="32">
        <f>LOOKUP(N627,{0,0.5,0.7,0.9,1.1,1.3,1.5,1.7,1.9,2.1,2.3,2.5,2.7,2.9,3.1,3.3,3.5,3.8,4.1,4.2,4.3},{0,10,20,30,40,50,60,62,64,66,68,70,72,74,76,78,80,85,90,95,100})</f>
        <v>76</v>
      </c>
      <c r="P627" s="4">
        <v>3.38</v>
      </c>
      <c r="Q627" s="4">
        <f t="shared" si="76"/>
        <v>6.62</v>
      </c>
      <c r="R627" s="32">
        <f>LOOKUP(Q627,{0,4.72,4.82,4.92,5.42,5.52,5.62,5.67,5.72,5.77,5.82,5.87,5.92,5.97,6.42,6.47,6.52,6.59,6.66,6.72,6.78},{0,10,20,30,40,50,60,62,64,66,68,70,72,74,76,78,80,85,90,95,100})</f>
        <v>85</v>
      </c>
      <c r="U627" s="4">
        <f t="shared" si="77"/>
        <v>85</v>
      </c>
      <c r="W627" s="5">
        <f t="shared" si="73"/>
        <v>53.8</v>
      </c>
      <c r="X627" s="20">
        <f t="shared" si="78"/>
        <v>76.8571428571429</v>
      </c>
    </row>
    <row r="628" ht="15.6" hidden="1" spans="1:24">
      <c r="A628" s="4">
        <v>211</v>
      </c>
      <c r="B628" s="24" t="s">
        <v>598</v>
      </c>
      <c r="C628" s="25" t="s">
        <v>53</v>
      </c>
      <c r="D628" s="4">
        <v>13</v>
      </c>
      <c r="E628" s="32">
        <f>LOOKUP(D628,{0,1,1.8,2.6,3.4,4.2,5,6.3,7.6,8.9,10.2,11.5,12.8,14.1,15.4,16.7,18,19.7,21.4,23.1,24.8},{0,10,20,30,40,50,60,62,64,66,68,70,72,74,76,78,80,85,90,95,100})</f>
        <v>72</v>
      </c>
      <c r="F628" s="4">
        <v>167</v>
      </c>
      <c r="G628" s="32">
        <f>LOOKUP(F628,{0,124,129,134,139,144,149,152,155,158,161,164,167,170,173,176,179,186,193,199,205},{0,10,20,30,40,50,60,62,64,66,68,70,72,74,76,78,80,85,90,95,100})</f>
        <v>72</v>
      </c>
      <c r="H628" s="4">
        <v>41</v>
      </c>
      <c r="I628" s="32">
        <f>LOOKUP(H628,{0,14,16,18,20,22,24,26,28,30,32,34,36,38,40,42,44,47,50,52,54},{0,10,20,30,40,50,60,62,64,66,68,70,72,74,76,78,80,85,90,95,100})</f>
        <v>76</v>
      </c>
      <c r="L628" s="4">
        <f t="shared" si="74"/>
        <v>76</v>
      </c>
      <c r="M628" s="4">
        <v>8</v>
      </c>
      <c r="N628" s="4">
        <f t="shared" si="75"/>
        <v>4</v>
      </c>
      <c r="O628" s="32">
        <f>LOOKUP(N628,{0,0.5,0.7,0.9,1.1,1.3,1.5,1.7,1.9,2.1,2.3,2.5,2.7,2.9,3.1,3.3,3.5,3.8,4.1,4.2,4.3},{0,10,20,30,40,50,60,62,64,66,68,70,72,74,76,78,80,85,90,95,100})</f>
        <v>85</v>
      </c>
      <c r="P628" s="4">
        <v>4.02</v>
      </c>
      <c r="Q628" s="4">
        <f t="shared" si="76"/>
        <v>5.98</v>
      </c>
      <c r="R628" s="32">
        <f>LOOKUP(Q628,{0,4.72,4.82,4.92,5.42,5.52,5.62,5.67,5.72,5.77,5.82,5.87,5.92,5.97,6.42,6.47,6.52,6.59,6.66,6.72,6.78},{0,10,20,30,40,50,60,62,64,66,68,70,72,74,76,78,80,85,90,95,100})</f>
        <v>74</v>
      </c>
      <c r="U628" s="4">
        <f t="shared" si="77"/>
        <v>74</v>
      </c>
      <c r="W628" s="5">
        <f t="shared" si="73"/>
        <v>53.8</v>
      </c>
      <c r="X628" s="20">
        <f t="shared" si="78"/>
        <v>76.8571428571429</v>
      </c>
    </row>
    <row r="629" ht="15.6" hidden="1" spans="1:24">
      <c r="A629" s="4">
        <v>213</v>
      </c>
      <c r="B629" s="24" t="s">
        <v>687</v>
      </c>
      <c r="C629" s="25" t="s">
        <v>53</v>
      </c>
      <c r="D629" s="4">
        <v>14.3</v>
      </c>
      <c r="E629" s="32">
        <f>LOOKUP(D629,{0,1,1.8,2.6,3.4,4.2,5,6.3,7.6,8.9,10.2,11.5,12.8,14.1,15.4,16.7,18,19.7,21.4,23.1,24.8},{0,10,20,30,40,50,60,62,64,66,68,70,72,74,76,78,80,85,90,95,100})</f>
        <v>74</v>
      </c>
      <c r="F629" s="4">
        <v>176</v>
      </c>
      <c r="G629" s="32">
        <f>LOOKUP(F629,{0,124,129,134,139,144,149,152,155,158,161,164,167,170,173,176,179,186,193,199,205},{0,10,20,30,40,50,60,62,64,66,68,70,72,74,76,78,80,85,90,95,100})</f>
        <v>78</v>
      </c>
      <c r="H629" s="4">
        <v>41</v>
      </c>
      <c r="I629" s="32">
        <f>LOOKUP(H629,{0,14,16,18,20,22,24,26,28,30,32,34,36,38,40,42,44,47,50,52,54},{0,10,20,30,40,50,60,62,64,66,68,70,72,74,76,78,80,85,90,95,100})</f>
        <v>76</v>
      </c>
      <c r="L629" s="4">
        <f t="shared" si="74"/>
        <v>76</v>
      </c>
      <c r="M629" s="4">
        <v>8.8</v>
      </c>
      <c r="N629" s="4">
        <f t="shared" si="75"/>
        <v>3.2</v>
      </c>
      <c r="O629" s="32">
        <f>LOOKUP(N629,{0,0.5,0.7,0.9,1.1,1.3,1.5,1.7,1.9,2.1,2.3,2.5,2.7,2.9,3.1,3.3,3.5,3.8,4.1,4.2,4.3},{0,10,20,30,40,50,60,62,64,66,68,70,72,74,76,78,80,85,90,95,100})</f>
        <v>76</v>
      </c>
      <c r="P629" s="4">
        <v>3.53</v>
      </c>
      <c r="Q629" s="4">
        <f t="shared" si="76"/>
        <v>6.47</v>
      </c>
      <c r="R629" s="32">
        <f>LOOKUP(Q629,{0,4.72,4.82,4.92,5.42,5.52,5.62,5.67,5.72,5.77,5.82,5.87,5.92,5.97,6.42,6.47,6.52,6.59,6.66,6.72,6.78},{0,10,20,30,40,50,60,62,64,66,68,70,72,74,76,78,80,85,90,95,100})</f>
        <v>78</v>
      </c>
      <c r="T629" s="35"/>
      <c r="U629" s="4">
        <f t="shared" si="77"/>
        <v>78</v>
      </c>
      <c r="W629" s="5">
        <f t="shared" si="73"/>
        <v>53.6</v>
      </c>
      <c r="X629" s="20">
        <f t="shared" si="78"/>
        <v>76.5714285714286</v>
      </c>
    </row>
    <row r="630" ht="15.6" hidden="1" spans="1:24">
      <c r="A630" s="4">
        <v>213</v>
      </c>
      <c r="B630" s="24" t="s">
        <v>719</v>
      </c>
      <c r="C630" s="25" t="s">
        <v>53</v>
      </c>
      <c r="D630" s="4">
        <v>15.6</v>
      </c>
      <c r="E630" s="32">
        <f>LOOKUP(D630,{0,1,1.8,2.6,3.4,4.2,5,6.3,7.6,8.9,10.2,11.5,12.8,14.1,15.4,16.7,18,19.7,21.4,23.1,24.8},{0,10,20,30,40,50,60,62,64,66,68,70,72,74,76,78,80,85,90,95,100})</f>
        <v>76</v>
      </c>
      <c r="F630" s="4">
        <v>175</v>
      </c>
      <c r="G630" s="32">
        <f>LOOKUP(F630,{0,124,129,134,139,144,149,152,155,158,161,164,167,170,173,176,179,186,193,199,205},{0,10,20,30,40,50,60,62,64,66,68,70,72,74,76,78,80,85,90,95,100})</f>
        <v>76</v>
      </c>
      <c r="H630" s="4">
        <v>46</v>
      </c>
      <c r="I630" s="32">
        <f>LOOKUP(H630,{0,14,16,18,20,22,24,26,28,30,32,34,36,38,40,42,44,47,50,52,54},{0,10,20,30,40,50,60,62,64,66,68,70,72,74,76,78,80,85,90,95,100})</f>
        <v>80</v>
      </c>
      <c r="L630" s="4">
        <f t="shared" si="74"/>
        <v>80</v>
      </c>
      <c r="M630" s="4">
        <v>8.7</v>
      </c>
      <c r="N630" s="4">
        <f t="shared" si="75"/>
        <v>3.3</v>
      </c>
      <c r="O630" s="32">
        <f>LOOKUP(N630,{0,0.5,0.7,0.9,1.1,1.3,1.5,1.7,1.9,2.1,2.3,2.5,2.7,2.9,3.1,3.3,3.5,3.8,4.1,4.2,4.3},{0,10,20,30,40,50,60,62,64,66,68,70,72,74,76,78,80,85,90,95,100})</f>
        <v>78</v>
      </c>
      <c r="P630" s="4">
        <v>4.01</v>
      </c>
      <c r="Q630" s="4">
        <f t="shared" si="76"/>
        <v>5.99</v>
      </c>
      <c r="R630" s="32">
        <f>LOOKUP(Q630,{0,4.72,4.82,4.92,5.42,5.52,5.62,5.67,5.72,5.77,5.82,5.87,5.92,5.97,6.42,6.47,6.52,6.59,6.66,6.72,6.78},{0,10,20,30,40,50,60,62,64,66,68,70,72,74,76,78,80,85,90,95,100})</f>
        <v>74</v>
      </c>
      <c r="U630" s="4">
        <f t="shared" si="77"/>
        <v>74</v>
      </c>
      <c r="W630" s="5">
        <f t="shared" si="73"/>
        <v>53.6</v>
      </c>
      <c r="X630" s="20">
        <f t="shared" si="78"/>
        <v>76.5714285714286</v>
      </c>
    </row>
    <row r="631" s="1" customFormat="1" ht="15.6" hidden="1" spans="1:24">
      <c r="A631" s="4">
        <v>209</v>
      </c>
      <c r="B631" s="24" t="s">
        <v>485</v>
      </c>
      <c r="C631" s="25" t="s">
        <v>53</v>
      </c>
      <c r="D631" s="4">
        <v>17.6</v>
      </c>
      <c r="E631" s="32">
        <f>LOOKUP(D631,{0,1,1.8,2.6,3.4,4.2,5,6.3,7.6,8.9,10.2,11.5,12.8,14.1,15.4,16.7,18,19.7,21.4,23.1,24.8},{0,10,20,30,40,50,60,62,64,66,68,70,72,74,76,78,80,85,90,95,100})</f>
        <v>78</v>
      </c>
      <c r="F631" s="4">
        <v>148</v>
      </c>
      <c r="G631" s="32">
        <f>LOOKUP(F631,{0,124,129,134,139,144,149,152,155,158,161,164,167,170,173,176,179,186,193,199,205},{0,10,20,30,40,50,60,62,64,66,68,70,72,74,76,78,80,85,90,95,100})</f>
        <v>50</v>
      </c>
      <c r="H631" s="4">
        <v>53</v>
      </c>
      <c r="I631" s="32">
        <f>LOOKUP(H631,{0,14,16,18,20,22,24,26,28,30,32,34,36,38,40,42,44,47,50,52,54},{0,10,20,30,40,50,60,62,64,66,68,70,72,74,76,78,80,85,90,95,100})</f>
        <v>95</v>
      </c>
      <c r="J631" s="4"/>
      <c r="K631" s="4"/>
      <c r="L631" s="4">
        <f t="shared" si="74"/>
        <v>95</v>
      </c>
      <c r="M631" s="4">
        <v>8.7</v>
      </c>
      <c r="N631" s="4">
        <f t="shared" si="75"/>
        <v>3.3</v>
      </c>
      <c r="O631" s="32">
        <f>LOOKUP(N631,{0,0.5,0.7,0.9,1.1,1.3,1.5,1.7,1.9,2.1,2.3,2.5,2.7,2.9,3.1,3.3,3.5,3.8,4.1,4.2,4.3},{0,10,20,30,40,50,60,62,64,66,68,70,72,74,76,78,80,85,90,95,100})</f>
        <v>78</v>
      </c>
      <c r="P631" s="4">
        <v>3.5</v>
      </c>
      <c r="Q631" s="4">
        <f t="shared" si="76"/>
        <v>6.5</v>
      </c>
      <c r="R631" s="32">
        <f>LOOKUP(Q631,{0,4.72,4.82,4.92,5.42,5.52,5.62,5.67,5.72,5.77,5.82,5.87,5.92,5.97,6.42,6.47,6.52,6.59,6.66,6.72,6.78},{0,10,20,30,40,50,60,62,64,66,68,70,72,74,76,78,80,85,90,95,100})</f>
        <v>78</v>
      </c>
      <c r="S631" s="4"/>
      <c r="T631" s="4"/>
      <c r="U631" s="4">
        <f t="shared" si="77"/>
        <v>78</v>
      </c>
      <c r="V631" s="4"/>
      <c r="W631" s="5">
        <f t="shared" si="73"/>
        <v>53.5</v>
      </c>
      <c r="X631" s="20">
        <f t="shared" si="78"/>
        <v>76.4285714285714</v>
      </c>
    </row>
    <row r="632" ht="15.6" hidden="1" spans="1:24">
      <c r="A632" s="4">
        <v>214</v>
      </c>
      <c r="B632" s="24" t="s">
        <v>746</v>
      </c>
      <c r="C632" s="25" t="s">
        <v>53</v>
      </c>
      <c r="D632" s="4">
        <v>22.5</v>
      </c>
      <c r="E632" s="32">
        <f>LOOKUP(D632,{0,1,1.8,2.6,3.4,4.2,5,6.3,7.6,8.9,10.2,11.5,12.8,14.1,15.4,16.7,18,19.7,21.4,23.1,24.8},{0,10,20,30,40,50,60,62,64,66,68,70,72,74,76,78,80,85,90,95,100})</f>
        <v>90</v>
      </c>
      <c r="F632" s="4">
        <v>163</v>
      </c>
      <c r="G632" s="32">
        <f>LOOKUP(F632,{0,124,129,134,139,144,149,152,155,158,161,164,167,170,173,176,179,186,193,199,205},{0,10,20,30,40,50,60,62,64,66,68,70,72,74,76,78,80,85,90,95,100})</f>
        <v>68</v>
      </c>
      <c r="H632" s="4">
        <v>47</v>
      </c>
      <c r="I632" s="32">
        <f>LOOKUP(H632,{0,14,16,18,20,22,24,26,28,30,32,34,36,38,40,42,44,47,50,52,54},{0,10,20,30,40,50,60,62,64,66,68,70,72,74,76,78,80,85,90,95,100})</f>
        <v>85</v>
      </c>
      <c r="L632" s="4">
        <f t="shared" si="74"/>
        <v>85</v>
      </c>
      <c r="M632" s="4">
        <v>9.3</v>
      </c>
      <c r="N632" s="4">
        <f t="shared" si="75"/>
        <v>2.7</v>
      </c>
      <c r="O632" s="32">
        <f>LOOKUP(N632,{0,0.5,0.7,0.9,1.1,1.3,1.5,1.7,1.9,2.1,2.3,2.5,2.7,2.9,3.1,3.3,3.5,3.8,4.1,4.2,4.3},{0,10,20,30,40,50,60,62,64,66,68,70,72,74,76,78,80,85,90,95,100})</f>
        <v>72</v>
      </c>
      <c r="P632" s="4">
        <v>4.03</v>
      </c>
      <c r="Q632" s="4">
        <f t="shared" si="76"/>
        <v>5.97</v>
      </c>
      <c r="R632" s="32">
        <f>LOOKUP(Q632,{0,4.72,4.82,4.92,5.42,5.52,5.62,5.67,5.72,5.77,5.82,5.87,5.92,5.97,6.42,6.47,6.52,6.59,6.66,6.72,6.78},{0,10,20,30,40,50,60,62,64,66,68,70,72,74,76,78,80,85,90,95,100})</f>
        <v>74</v>
      </c>
      <c r="U632" s="4">
        <f t="shared" si="77"/>
        <v>74</v>
      </c>
      <c r="W632" s="5">
        <f t="shared" si="73"/>
        <v>53.5</v>
      </c>
      <c r="X632" s="20">
        <f t="shared" si="78"/>
        <v>76.4285714285714</v>
      </c>
    </row>
    <row r="633" ht="15.6" hidden="1" spans="1:24">
      <c r="A633" s="4">
        <v>215</v>
      </c>
      <c r="B633" s="24" t="s">
        <v>819</v>
      </c>
      <c r="C633" s="25" t="s">
        <v>53</v>
      </c>
      <c r="D633" s="4">
        <v>26</v>
      </c>
      <c r="E633" s="32">
        <f>LOOKUP(D633,{0,1,1.8,2.6,3.4,4.2,5,6.3,7.6,8.9,10.2,11.5,12.8,14.1,15.4,16.7,18,19.7,21.4,23.1,24.8},{0,10,20,30,40,50,60,62,64,66,68,70,72,74,76,78,80,85,90,95,100})</f>
        <v>100</v>
      </c>
      <c r="F633" s="4">
        <v>140</v>
      </c>
      <c r="G633" s="32">
        <f>LOOKUP(F633,{0,124,129,134,139,144,149,152,155,158,161,164,167,170,173,176,179,186,193,199,205},{0,10,20,30,40,50,60,62,64,66,68,70,72,74,76,78,80,85,90,95,100})</f>
        <v>40</v>
      </c>
      <c r="H633" s="4">
        <v>44</v>
      </c>
      <c r="I633" s="32">
        <f>LOOKUP(H633,{0,14,16,18,20,22,24,26,28,30,32,34,36,38,40,42,44,47,50,52,54},{0,10,20,30,40,50,60,62,64,66,68,70,72,74,76,78,80,85,90,95,100})</f>
        <v>80</v>
      </c>
      <c r="L633" s="4">
        <f t="shared" si="74"/>
        <v>80</v>
      </c>
      <c r="M633" s="4">
        <v>9.3</v>
      </c>
      <c r="N633" s="4">
        <f t="shared" si="75"/>
        <v>2.7</v>
      </c>
      <c r="O633" s="32">
        <f>LOOKUP(N633,{0,0.5,0.7,0.9,1.1,1.3,1.5,1.7,1.9,2.1,2.3,2.5,2.7,2.9,3.1,3.3,3.5,3.8,4.1,4.2,4.3},{0,10,20,30,40,50,60,62,64,66,68,70,72,74,76,78,80,85,90,95,100})</f>
        <v>72</v>
      </c>
      <c r="P633" s="4">
        <v>3.39</v>
      </c>
      <c r="Q633" s="4">
        <f t="shared" si="76"/>
        <v>6.61</v>
      </c>
      <c r="R633" s="32">
        <f>LOOKUP(Q633,{0,4.72,4.82,4.92,5.42,5.52,5.62,5.67,5.72,5.77,5.82,5.87,5.92,5.97,6.42,6.47,6.52,6.59,6.66,6.72,6.78},{0,10,20,30,40,50,60,62,64,66,68,70,72,74,76,78,80,85,90,95,100})</f>
        <v>85</v>
      </c>
      <c r="U633" s="4">
        <f t="shared" si="77"/>
        <v>85</v>
      </c>
      <c r="W633" s="5">
        <f t="shared" si="73"/>
        <v>53.4</v>
      </c>
      <c r="X633" s="20">
        <f t="shared" si="78"/>
        <v>76.2857142857143</v>
      </c>
    </row>
    <row r="634" ht="15.6" hidden="1" spans="1:24">
      <c r="A634" s="4">
        <v>213</v>
      </c>
      <c r="B634" s="24" t="s">
        <v>716</v>
      </c>
      <c r="C634" s="25" t="s">
        <v>53</v>
      </c>
      <c r="D634" s="4">
        <v>16.5</v>
      </c>
      <c r="E634" s="32">
        <f>LOOKUP(D634,{0,1,1.8,2.6,3.4,4.2,5,6.3,7.6,8.9,10.2,11.5,12.8,14.1,15.4,16.7,18,19.7,21.4,23.1,24.8},{0,10,20,30,40,50,60,62,64,66,68,70,72,74,76,78,80,85,90,95,100})</f>
        <v>76</v>
      </c>
      <c r="F634" s="4">
        <v>170</v>
      </c>
      <c r="G634" s="32">
        <f>LOOKUP(F634,{0,124,129,134,139,144,149,152,155,158,161,164,167,170,173,176,179,186,193,199,205},{0,10,20,30,40,50,60,62,64,66,68,70,72,74,76,78,80,85,90,95,100})</f>
        <v>74</v>
      </c>
      <c r="H634" s="4">
        <v>46</v>
      </c>
      <c r="I634" s="32">
        <f>LOOKUP(H634,{0,14,16,18,20,22,24,26,28,30,32,34,36,38,40,42,44,47,50,52,54},{0,10,20,30,40,50,60,62,64,66,68,70,72,74,76,78,80,85,90,95,100})</f>
        <v>80</v>
      </c>
      <c r="L634" s="4">
        <f t="shared" si="74"/>
        <v>80</v>
      </c>
      <c r="M634" s="4">
        <v>8.7</v>
      </c>
      <c r="N634" s="4">
        <f t="shared" si="75"/>
        <v>3.3</v>
      </c>
      <c r="O634" s="32">
        <f>LOOKUP(N634,{0,0.5,0.7,0.9,1.1,1.3,1.5,1.7,1.9,2.1,2.3,2.5,2.7,2.9,3.1,3.3,3.5,3.8,4.1,4.2,4.3},{0,10,20,30,40,50,60,62,64,66,68,70,72,74,76,78,80,85,90,95,100})</f>
        <v>78</v>
      </c>
      <c r="P634" s="4">
        <v>4</v>
      </c>
      <c r="Q634" s="4">
        <f t="shared" si="76"/>
        <v>6</v>
      </c>
      <c r="R634" s="32">
        <f>LOOKUP(Q634,{0,4.72,4.82,4.92,5.42,5.52,5.62,5.67,5.72,5.77,5.82,5.87,5.92,5.97,6.42,6.47,6.52,6.59,6.66,6.72,6.78},{0,10,20,30,40,50,60,62,64,66,68,70,72,74,76,78,80,85,90,95,100})</f>
        <v>74</v>
      </c>
      <c r="U634" s="4">
        <f t="shared" si="77"/>
        <v>74</v>
      </c>
      <c r="W634" s="5">
        <f t="shared" si="73"/>
        <v>53.4</v>
      </c>
      <c r="X634" s="20">
        <f t="shared" si="78"/>
        <v>76.2857142857143</v>
      </c>
    </row>
    <row r="635" ht="15.6" hidden="1" spans="1:24">
      <c r="A635" s="4">
        <v>215</v>
      </c>
      <c r="B635" s="24" t="s">
        <v>804</v>
      </c>
      <c r="C635" s="25" t="s">
        <v>53</v>
      </c>
      <c r="D635" s="4">
        <v>31.1</v>
      </c>
      <c r="E635" s="32">
        <f>LOOKUP(D635,{0,1,1.8,2.6,3.4,4.2,5,6.3,7.6,8.9,10.2,11.5,12.8,14.1,15.4,16.7,18,19.7,21.4,23.1,24.8},{0,10,20,30,40,50,60,62,64,66,68,70,72,74,76,78,80,85,90,95,100})</f>
        <v>100</v>
      </c>
      <c r="F635" s="4">
        <v>156</v>
      </c>
      <c r="G635" s="32">
        <f>LOOKUP(F635,{0,124,129,134,139,144,149,152,155,158,161,164,167,170,173,176,179,186,193,199,205},{0,10,20,30,40,50,60,62,64,66,68,70,72,74,76,78,80,85,90,95,100})</f>
        <v>64</v>
      </c>
      <c r="H635" s="4">
        <v>51</v>
      </c>
      <c r="I635" s="32">
        <f>LOOKUP(H635,{0,14,16,18,20,22,24,26,28,30,32,34,36,38,40,42,44,47,50,52,54},{0,10,20,30,40,50,60,62,64,66,68,70,72,74,76,78,80,85,90,95,100})</f>
        <v>90</v>
      </c>
      <c r="L635" s="4">
        <f t="shared" si="74"/>
        <v>90</v>
      </c>
      <c r="M635" s="4">
        <v>9.1</v>
      </c>
      <c r="N635" s="4">
        <f t="shared" si="75"/>
        <v>2.9</v>
      </c>
      <c r="O635" s="32">
        <f>LOOKUP(N635,{0,0.5,0.7,0.9,1.1,1.3,1.5,1.7,1.9,2.1,2.3,2.5,2.7,2.9,3.1,3.3,3.5,3.8,4.1,4.2,4.3},{0,10,20,30,40,50,60,62,64,66,68,70,72,74,76,78,80,85,90,95,100})</f>
        <v>74</v>
      </c>
      <c r="P635" s="4">
        <v>4.23</v>
      </c>
      <c r="Q635" s="4">
        <f t="shared" si="76"/>
        <v>5.77</v>
      </c>
      <c r="R635" s="32">
        <f>LOOKUP(Q635,{0,4.72,4.82,4.92,5.42,5.52,5.62,5.67,5.72,5.77,5.82,5.87,5.92,5.97,6.42,6.47,6.52,6.59,6.66,6.72,6.78},{0,10,20,30,40,50,60,62,64,66,68,70,72,74,76,78,80,85,90,95,100})</f>
        <v>66</v>
      </c>
      <c r="U635" s="4">
        <f t="shared" si="77"/>
        <v>66</v>
      </c>
      <c r="W635" s="5">
        <f t="shared" si="73"/>
        <v>53.4</v>
      </c>
      <c r="X635" s="20">
        <f t="shared" si="78"/>
        <v>76.2857142857143</v>
      </c>
    </row>
    <row r="636" ht="15.6" hidden="1" spans="1:24">
      <c r="A636" s="4">
        <v>211</v>
      </c>
      <c r="B636" s="24" t="s">
        <v>594</v>
      </c>
      <c r="C636" s="25" t="s">
        <v>53</v>
      </c>
      <c r="D636" s="4">
        <v>19</v>
      </c>
      <c r="E636" s="32">
        <f>LOOKUP(D636,{0,1,1.8,2.6,3.4,4.2,5,6.3,7.6,8.9,10.2,11.5,12.8,14.1,15.4,16.7,18,19.7,21.4,23.1,24.8},{0,10,20,30,40,50,60,62,64,66,68,70,72,74,76,78,80,85,90,95,100})</f>
        <v>80</v>
      </c>
      <c r="F636" s="4">
        <v>177</v>
      </c>
      <c r="G636" s="32">
        <f>LOOKUP(F636,{0,124,129,134,139,144,149,152,155,158,161,164,167,170,173,176,179,186,193,199,205},{0,10,20,30,40,50,60,62,64,66,68,70,72,74,76,78,80,85,90,95,100})</f>
        <v>78</v>
      </c>
      <c r="H636" s="4">
        <v>57</v>
      </c>
      <c r="I636" s="32">
        <f>LOOKUP(H636,{0,14,16,18,20,22,24,26,28,30,32,34,36,38,40,42,44,47,50,52,54},{0,10,20,30,40,50,60,62,64,66,68,70,72,74,76,78,80,85,90,95,100})</f>
        <v>100</v>
      </c>
      <c r="J636" s="4">
        <f>H636-54</f>
        <v>3</v>
      </c>
      <c r="K636" s="32">
        <f>LOOKUP(J636,{0,2,4,6,7,8,9,10,11,12,13},{0,1,2,3,4,5,6,7,8,9,10})</f>
        <v>1</v>
      </c>
      <c r="L636" s="4">
        <f t="shared" si="74"/>
        <v>101</v>
      </c>
      <c r="M636" s="4">
        <v>9.7</v>
      </c>
      <c r="N636" s="4">
        <f t="shared" si="75"/>
        <v>2.3</v>
      </c>
      <c r="O636" s="32">
        <f>LOOKUP(N636,{0,0.5,0.7,0.9,1.1,1.3,1.5,1.7,1.9,2.1,2.3,2.5,2.7,2.9,3.1,3.3,3.5,3.8,4.1,4.2,4.3},{0,10,20,30,40,50,60,62,64,66,68,70,72,74,76,78,80,85,90,95,100})</f>
        <v>68</v>
      </c>
      <c r="P636" s="4">
        <v>4.21</v>
      </c>
      <c r="Q636" s="4">
        <f t="shared" si="76"/>
        <v>5.79</v>
      </c>
      <c r="R636" s="32">
        <f>LOOKUP(Q636,{0,4.72,4.82,4.92,5.42,5.52,5.62,5.67,5.72,5.77,5.82,5.87,5.92,5.97,6.42,6.47,6.52,6.59,6.66,6.72,6.78},{0,10,20,30,40,50,60,62,64,66,68,70,72,74,76,78,80,85,90,95,100})</f>
        <v>66</v>
      </c>
      <c r="T636" s="35"/>
      <c r="U636" s="4">
        <f t="shared" si="77"/>
        <v>66</v>
      </c>
      <c r="W636" s="5">
        <f t="shared" si="73"/>
        <v>52.6</v>
      </c>
      <c r="X636" s="20">
        <f t="shared" si="78"/>
        <v>76.1428571428572</v>
      </c>
    </row>
    <row r="637" ht="15.6" hidden="1" spans="1:24">
      <c r="A637" s="4">
        <v>211</v>
      </c>
      <c r="B637" s="24" t="s">
        <v>604</v>
      </c>
      <c r="C637" s="25" t="s">
        <v>53</v>
      </c>
      <c r="D637" s="4">
        <v>12.1</v>
      </c>
      <c r="E637" s="32">
        <f>LOOKUP(D637,{0,1,1.8,2.6,3.4,4.2,5,6.3,7.6,8.9,10.2,11.5,12.8,14.1,15.4,16.7,18,19.7,21.4,23.1,24.8},{0,10,20,30,40,50,60,62,64,66,68,70,72,74,76,78,80,85,90,95,100})</f>
        <v>70</v>
      </c>
      <c r="F637" s="4">
        <v>165</v>
      </c>
      <c r="G637" s="32">
        <f>LOOKUP(F637,{0,124,129,134,139,144,149,152,155,158,161,164,167,170,173,176,179,186,193,199,205},{0,10,20,30,40,50,60,62,64,66,68,70,72,74,76,78,80,85,90,95,100})</f>
        <v>70</v>
      </c>
      <c r="H637" s="4">
        <v>44</v>
      </c>
      <c r="I637" s="32">
        <f>LOOKUP(H637,{0,14,16,18,20,22,24,26,28,30,32,34,36,38,40,42,44,47,50,52,54},{0,10,20,30,40,50,60,62,64,66,68,70,72,74,76,78,80,85,90,95,100})</f>
        <v>80</v>
      </c>
      <c r="L637" s="4">
        <f t="shared" si="74"/>
        <v>80</v>
      </c>
      <c r="M637" s="4">
        <v>8.9</v>
      </c>
      <c r="N637" s="4">
        <f t="shared" si="75"/>
        <v>3.1</v>
      </c>
      <c r="O637" s="32">
        <f>LOOKUP(N637,{0,0.5,0.7,0.9,1.1,1.3,1.5,1.7,1.9,2.1,2.3,2.5,2.7,2.9,3.1,3.3,3.5,3.8,4.1,4.2,4.3},{0,10,20,30,40,50,60,62,64,66,68,70,72,74,76,78,80,85,90,95,100})</f>
        <v>76</v>
      </c>
      <c r="P637" s="4">
        <v>3.44</v>
      </c>
      <c r="Q637" s="4">
        <f t="shared" si="76"/>
        <v>6.56</v>
      </c>
      <c r="R637" s="32">
        <f>LOOKUP(Q637,{0,4.72,4.82,4.92,5.42,5.52,5.62,5.67,5.72,5.77,5.82,5.87,5.92,5.97,6.42,6.47,6.52,6.59,6.66,6.72,6.78},{0,10,20,30,40,50,60,62,64,66,68,70,72,74,76,78,80,85,90,95,100})</f>
        <v>80</v>
      </c>
      <c r="U637" s="4">
        <f t="shared" si="77"/>
        <v>80</v>
      </c>
      <c r="W637" s="5">
        <f t="shared" si="73"/>
        <v>53.2</v>
      </c>
      <c r="X637" s="20">
        <f t="shared" si="78"/>
        <v>76</v>
      </c>
    </row>
    <row r="638" ht="15.6" hidden="1" spans="1:24">
      <c r="A638" s="4">
        <v>212</v>
      </c>
      <c r="B638" s="24" t="s">
        <v>663</v>
      </c>
      <c r="C638" s="25" t="s">
        <v>53</v>
      </c>
      <c r="D638" s="4">
        <v>8.5</v>
      </c>
      <c r="E638" s="32">
        <f>LOOKUP(D638,{0,1,1.8,2.6,3.4,4.2,5,6.3,7.6,8.9,10.2,11.5,12.8,14.1,15.4,16.7,18,19.7,21.4,23.1,24.8},{0,10,20,30,40,50,60,62,64,66,68,70,72,74,76,78,80,85,90,95,100})</f>
        <v>64</v>
      </c>
      <c r="F638" s="4">
        <v>170</v>
      </c>
      <c r="G638" s="32">
        <f>LOOKUP(F638,{0,124,129,134,139,144,149,152,155,158,161,164,167,170,173,176,179,186,193,199,205},{0,10,20,30,40,50,60,62,64,66,68,70,72,74,76,78,80,85,90,95,100})</f>
        <v>74</v>
      </c>
      <c r="H638" s="4">
        <v>50</v>
      </c>
      <c r="I638" s="32">
        <f>LOOKUP(H638,{0,14,16,18,20,22,24,26,28,30,32,34,36,38,40,42,44,47,50,52,54},{0,10,20,30,40,50,60,62,64,66,68,70,72,74,76,78,80,85,90,95,100})</f>
        <v>90</v>
      </c>
      <c r="L638" s="4">
        <f t="shared" si="74"/>
        <v>90</v>
      </c>
      <c r="M638" s="4">
        <v>8.9</v>
      </c>
      <c r="N638" s="4">
        <f t="shared" si="75"/>
        <v>3.1</v>
      </c>
      <c r="O638" s="32">
        <f>LOOKUP(N638,{0,0.5,0.7,0.9,1.1,1.3,1.5,1.7,1.9,2.1,2.3,2.5,2.7,2.9,3.1,3.3,3.5,3.8,4.1,4.2,4.3},{0,10,20,30,40,50,60,62,64,66,68,70,72,74,76,78,80,85,90,95,100})</f>
        <v>76</v>
      </c>
      <c r="P638" s="4">
        <v>3.57</v>
      </c>
      <c r="Q638" s="4">
        <f t="shared" si="76"/>
        <v>6.43</v>
      </c>
      <c r="R638" s="32">
        <f>LOOKUP(Q638,{0,4.72,4.82,4.92,5.42,5.52,5.62,5.67,5.72,5.77,5.82,5.87,5.92,5.97,6.42,6.47,6.52,6.59,6.66,6.72,6.78},{0,10,20,30,40,50,60,62,64,66,68,70,72,74,76,78,80,85,90,95,100})</f>
        <v>76</v>
      </c>
      <c r="U638" s="4">
        <f t="shared" si="77"/>
        <v>76</v>
      </c>
      <c r="W638" s="5">
        <f t="shared" si="73"/>
        <v>53.2</v>
      </c>
      <c r="X638" s="20">
        <f t="shared" si="78"/>
        <v>76</v>
      </c>
    </row>
    <row r="639" ht="15.6" hidden="1" spans="1:24">
      <c r="A639" s="4">
        <v>205</v>
      </c>
      <c r="B639" s="24" t="s">
        <v>260</v>
      </c>
      <c r="C639" s="25" t="s">
        <v>53</v>
      </c>
      <c r="D639" s="4">
        <v>16.5</v>
      </c>
      <c r="E639" s="32">
        <f>LOOKUP(D639,{0,1,1.8,2.6,3.4,4.2,5,6.3,7.6,8.9,10.2,11.5,12.8,14.1,15.4,16.7,18,19.7,21.4,23.1,24.8},{0,10,20,30,40,50,60,62,64,66,68,70,72,74,76,78,80,85,90,95,100})</f>
        <v>76</v>
      </c>
      <c r="F639" s="4">
        <v>165</v>
      </c>
      <c r="G639" s="32">
        <f>LOOKUP(F639,{0,124,129,134,139,144,149,152,155,158,161,164,167,170,173,176,179,186,193,199,205},{0,10,20,30,40,50,60,62,64,66,68,70,72,74,76,78,80,85,90,95,100})</f>
        <v>70</v>
      </c>
      <c r="H639" s="4">
        <v>48</v>
      </c>
      <c r="I639" s="32">
        <f>LOOKUP(H639,{0,14,16,18,20,22,24,26,28,30,32,34,36,38,40,42,44,47,50,52,54},{0,10,20,30,40,50,60,62,64,66,68,70,72,74,76,78,80,85,90,95,100})</f>
        <v>85</v>
      </c>
      <c r="L639" s="4">
        <f t="shared" si="74"/>
        <v>85</v>
      </c>
      <c r="M639" s="4">
        <v>9.2</v>
      </c>
      <c r="N639" s="4">
        <f t="shared" si="75"/>
        <v>2.8</v>
      </c>
      <c r="O639" s="32">
        <f>LOOKUP(N639,{0,0.5,0.7,0.9,1.1,1.3,1.5,1.7,1.9,2.1,2.3,2.5,2.7,2.9,3.1,3.3,3.5,3.8,4.1,4.2,4.3},{0,10,20,30,40,50,60,62,64,66,68,70,72,74,76,78,80,85,90,95,100})</f>
        <v>72</v>
      </c>
      <c r="P639" s="4">
        <v>3.53</v>
      </c>
      <c r="Q639" s="4">
        <f t="shared" si="76"/>
        <v>6.47</v>
      </c>
      <c r="R639" s="32">
        <f>LOOKUP(Q639,{0,4.72,4.82,4.92,5.42,5.52,5.62,5.67,5.72,5.77,5.82,5.87,5.92,5.97,6.42,6.47,6.52,6.59,6.66,6.72,6.78},{0,10,20,30,40,50,60,62,64,66,68,70,72,74,76,78,80,85,90,95,100})</f>
        <v>78</v>
      </c>
      <c r="U639" s="4">
        <f t="shared" si="77"/>
        <v>78</v>
      </c>
      <c r="W639" s="5">
        <f t="shared" si="73"/>
        <v>53.1</v>
      </c>
      <c r="X639" s="20">
        <f t="shared" si="78"/>
        <v>75.8571428571429</v>
      </c>
    </row>
    <row r="640" ht="15.6" hidden="1" spans="1:24">
      <c r="A640" s="4">
        <v>207</v>
      </c>
      <c r="B640" s="24" t="s">
        <v>373</v>
      </c>
      <c r="C640" s="25" t="s">
        <v>53</v>
      </c>
      <c r="D640" s="4">
        <v>12.3</v>
      </c>
      <c r="E640" s="32">
        <f>LOOKUP(D640,{0,1,1.8,2.6,3.4,4.2,5,6.3,7.6,8.9,10.2,11.5,12.8,14.1,15.4,16.7,18,19.7,21.4,23.1,24.8},{0,10,20,30,40,50,60,62,64,66,68,70,72,74,76,78,80,85,90,95,100})</f>
        <v>70</v>
      </c>
      <c r="F640" s="4">
        <v>152</v>
      </c>
      <c r="G640" s="32">
        <f>LOOKUP(F640,{0,124,129,134,139,144,149,152,155,158,161,164,167,170,173,176,179,186,193,199,205},{0,10,20,30,40,50,60,62,64,66,68,70,72,74,76,78,80,85,90,95,100})</f>
        <v>62</v>
      </c>
      <c r="H640" s="4">
        <v>49</v>
      </c>
      <c r="I640" s="32">
        <f>LOOKUP(H640,{0,14,16,18,20,22,24,26,28,30,32,34,36,38,40,42,44,47,50,52,54},{0,10,20,30,40,50,60,62,64,66,68,70,72,74,76,78,80,85,90,95,100})</f>
        <v>85</v>
      </c>
      <c r="L640" s="4">
        <f t="shared" si="74"/>
        <v>85</v>
      </c>
      <c r="M640" s="4">
        <v>8.9</v>
      </c>
      <c r="N640" s="4">
        <f t="shared" si="75"/>
        <v>3.1</v>
      </c>
      <c r="O640" s="32">
        <f>LOOKUP(N640,{0,0.5,0.7,0.9,1.1,1.3,1.5,1.7,1.9,2.1,2.3,2.5,2.7,2.9,3.1,3.3,3.5,3.8,4.1,4.2,4.3},{0,10,20,30,40,50,60,62,64,66,68,70,72,74,76,78,80,85,90,95,100})</f>
        <v>76</v>
      </c>
      <c r="P640" s="4">
        <v>3.43</v>
      </c>
      <c r="Q640" s="4">
        <f t="shared" si="76"/>
        <v>6.57</v>
      </c>
      <c r="R640" s="32">
        <f>LOOKUP(Q640,{0,4.72,4.82,4.92,5.42,5.52,5.62,5.67,5.72,5.77,5.82,5.87,5.92,5.97,6.42,6.47,6.52,6.59,6.66,6.72,6.78},{0,10,20,30,40,50,60,62,64,66,68,70,72,74,76,78,80,85,90,95,100})</f>
        <v>80</v>
      </c>
      <c r="U640" s="4">
        <f t="shared" si="77"/>
        <v>80</v>
      </c>
      <c r="W640" s="5">
        <f t="shared" si="73"/>
        <v>52.9</v>
      </c>
      <c r="X640" s="20">
        <f t="shared" si="78"/>
        <v>75.5714285714286</v>
      </c>
    </row>
    <row r="641" ht="15.6" hidden="1" spans="1:24">
      <c r="A641" s="4">
        <v>208</v>
      </c>
      <c r="B641" s="24" t="s">
        <v>434</v>
      </c>
      <c r="C641" s="25" t="s">
        <v>53</v>
      </c>
      <c r="D641" s="4">
        <v>22</v>
      </c>
      <c r="E641" s="32">
        <f>LOOKUP(D641,{0,1,1.8,2.6,3.4,4.2,5,6.3,7.6,8.9,10.2,11.5,12.8,14.1,15.4,16.7,18,19.7,21.4,23.1,24.8},{0,10,20,30,40,50,60,62,64,66,68,70,72,74,76,78,80,85,90,95,100})</f>
        <v>90</v>
      </c>
      <c r="F641" s="4">
        <v>140</v>
      </c>
      <c r="G641" s="32">
        <f>LOOKUP(F641,{0,124,129,134,139,144,149,152,155,158,161,164,167,170,173,176,179,186,193,199,205},{0,10,20,30,40,50,60,62,64,66,68,70,72,74,76,78,80,85,90,95,100})</f>
        <v>40</v>
      </c>
      <c r="H641" s="4">
        <v>38</v>
      </c>
      <c r="I641" s="32">
        <f>LOOKUP(H641,{0,14,16,18,20,22,24,26,28,30,32,34,36,38,40,42,44,47,50,52,54},{0,10,20,30,40,50,60,62,64,66,68,70,72,74,76,78,80,85,90,95,100})</f>
        <v>74</v>
      </c>
      <c r="L641" s="4">
        <f t="shared" si="74"/>
        <v>74</v>
      </c>
      <c r="M641" s="4">
        <v>9.2</v>
      </c>
      <c r="N641" s="4">
        <f t="shared" si="75"/>
        <v>2.8</v>
      </c>
      <c r="O641" s="32">
        <f>LOOKUP(N641,{0,0.5,0.7,0.9,1.1,1.3,1.5,1.7,1.9,2.1,2.3,2.5,2.7,2.9,3.1,3.3,3.5,3.8,4.1,4.2,4.3},{0,10,20,30,40,50,60,62,64,66,68,70,72,74,76,78,80,85,90,95,100})</f>
        <v>72</v>
      </c>
      <c r="P641" s="4">
        <v>3.34</v>
      </c>
      <c r="Q641" s="4">
        <f t="shared" si="76"/>
        <v>6.66</v>
      </c>
      <c r="R641" s="32">
        <f>LOOKUP(Q641,{0,4.72,4.82,4.92,5.42,5.52,5.62,5.67,5.72,5.77,5.82,5.87,5.92,5.97,6.42,6.47,6.52,6.59,6.66,6.72,6.78},{0,10,20,30,40,50,60,62,64,66,68,70,72,74,76,78,80,85,90,95,100})</f>
        <v>90</v>
      </c>
      <c r="T641" s="35"/>
      <c r="U641" s="4">
        <f t="shared" si="77"/>
        <v>90</v>
      </c>
      <c r="W641" s="5">
        <f t="shared" si="73"/>
        <v>52.8</v>
      </c>
      <c r="X641" s="20">
        <f t="shared" si="78"/>
        <v>75.4285714285714</v>
      </c>
    </row>
    <row r="642" ht="15.6" hidden="1" spans="1:24">
      <c r="A642" s="4">
        <v>215</v>
      </c>
      <c r="B642" s="33" t="s">
        <v>814</v>
      </c>
      <c r="C642" s="25" t="s">
        <v>53</v>
      </c>
      <c r="D642" s="4">
        <v>16</v>
      </c>
      <c r="E642" s="32">
        <f>LOOKUP(D642,{0,1,1.8,2.6,3.4,4.2,5,6.3,7.6,8.9,10.2,11.5,12.8,14.1,15.4,16.7,18,19.7,21.4,23.1,24.8},{0,10,20,30,40,50,60,62,64,66,68,70,72,74,76,78,80,85,90,95,100})</f>
        <v>76</v>
      </c>
      <c r="F642" s="4">
        <v>170</v>
      </c>
      <c r="G642" s="32">
        <f>LOOKUP(F642,{0,124,129,134,139,144,149,152,155,158,161,164,167,170,173,176,179,186,193,199,205},{0,10,20,30,40,50,60,62,64,66,68,70,72,74,76,78,80,85,90,95,100})</f>
        <v>74</v>
      </c>
      <c r="H642" s="4">
        <v>43</v>
      </c>
      <c r="I642" s="32">
        <f>LOOKUP(H642,{0,14,16,18,20,22,24,26,28,30,32,34,36,38,40,42,44,47,50,52,54},{0,10,20,30,40,50,60,62,64,66,68,70,72,74,76,78,80,85,90,95,100})</f>
        <v>78</v>
      </c>
      <c r="L642" s="4">
        <f t="shared" si="74"/>
        <v>78</v>
      </c>
      <c r="M642" s="4">
        <v>9.5</v>
      </c>
      <c r="N642" s="4">
        <f t="shared" si="75"/>
        <v>2.5</v>
      </c>
      <c r="O642" s="32">
        <f>LOOKUP(N642,{0,0.5,0.7,0.9,1.1,1.3,1.5,1.7,1.9,2.1,2.3,2.5,2.7,2.9,3.1,3.3,3.5,3.8,4.1,4.2,4.3},{0,10,20,30,40,50,60,62,64,66,68,70,72,74,76,78,80,85,90,95,100})</f>
        <v>70</v>
      </c>
      <c r="P642" s="4">
        <v>3.42</v>
      </c>
      <c r="Q642" s="4">
        <f t="shared" si="76"/>
        <v>6.58</v>
      </c>
      <c r="R642" s="32">
        <f>LOOKUP(Q642,{0,4.72,4.82,4.92,5.42,5.52,5.62,5.67,5.72,5.77,5.82,5.87,5.92,5.97,6.42,6.47,6.52,6.59,6.66,6.72,6.78},{0,10,20,30,40,50,60,62,64,66,68,70,72,74,76,78,80,85,90,95,100})</f>
        <v>80</v>
      </c>
      <c r="U642" s="4">
        <f t="shared" si="77"/>
        <v>80</v>
      </c>
      <c r="W642" s="5">
        <f t="shared" ref="W642:W705" si="79">E642*0.1+G642*0.1+I642*0.1+O642*0.2+R642*0.2</f>
        <v>52.8</v>
      </c>
      <c r="X642" s="20">
        <f t="shared" si="78"/>
        <v>75.4285714285714</v>
      </c>
    </row>
    <row r="643" ht="15.6" hidden="1" spans="1:24">
      <c r="A643" s="4">
        <v>206</v>
      </c>
      <c r="B643" s="24" t="s">
        <v>321</v>
      </c>
      <c r="C643" s="25" t="s">
        <v>53</v>
      </c>
      <c r="D643" s="4">
        <v>20</v>
      </c>
      <c r="E643" s="32">
        <f>LOOKUP(D643,{0,1,1.8,2.6,3.4,4.2,5,6.3,7.6,8.9,10.2,11.5,12.8,14.1,15.4,16.7,18,19.7,21.4,23.1,24.8},{0,10,20,30,40,50,60,62,64,66,68,70,72,74,76,78,80,85,90,95,100})</f>
        <v>85</v>
      </c>
      <c r="F643" s="4">
        <v>177</v>
      </c>
      <c r="G643" s="32">
        <f>LOOKUP(F643,{0,124,129,134,139,144,149,152,155,158,161,164,167,170,173,176,179,186,193,199,205},{0,10,20,30,40,50,60,62,64,66,68,70,72,74,76,78,80,85,90,95,100})</f>
        <v>78</v>
      </c>
      <c r="H643" s="4">
        <v>47</v>
      </c>
      <c r="I643" s="32">
        <f>LOOKUP(H643,{0,14,16,18,20,22,24,26,28,30,32,34,36,38,40,42,44,47,50,52,54},{0,10,20,30,40,50,60,62,64,66,68,70,72,74,76,78,80,85,90,95,100})</f>
        <v>85</v>
      </c>
      <c r="L643" s="4">
        <f t="shared" si="74"/>
        <v>85</v>
      </c>
      <c r="M643" s="4">
        <v>8.9</v>
      </c>
      <c r="N643" s="4">
        <f t="shared" si="75"/>
        <v>3.1</v>
      </c>
      <c r="O643" s="32">
        <f>LOOKUP(N643,{0,0.5,0.7,0.9,1.1,1.3,1.5,1.7,1.9,2.1,2.3,2.5,2.7,2.9,3.1,3.3,3.5,3.8,4.1,4.2,4.3},{0,10,20,30,40,50,60,62,64,66,68,70,72,74,76,78,80,85,90,95,100})</f>
        <v>76</v>
      </c>
      <c r="P643" s="4">
        <v>4.28</v>
      </c>
      <c r="Q643" s="4">
        <f t="shared" si="76"/>
        <v>5.72</v>
      </c>
      <c r="R643" s="32">
        <f>LOOKUP(Q643,{0,4.72,4.82,4.92,5.42,5.52,5.62,5.67,5.72,5.77,5.82,5.87,5.92,5.97,6.42,6.47,6.52,6.59,6.66,6.72,6.78},{0,10,20,30,40,50,60,62,64,66,68,70,72,74,76,78,80,85,90,95,100})</f>
        <v>64</v>
      </c>
      <c r="U643" s="4">
        <f t="shared" si="77"/>
        <v>64</v>
      </c>
      <c r="W643" s="5">
        <f t="shared" si="79"/>
        <v>52.8</v>
      </c>
      <c r="X643" s="20">
        <f t="shared" si="78"/>
        <v>75.4285714285714</v>
      </c>
    </row>
    <row r="644" ht="15.6" hidden="1" spans="1:24">
      <c r="A644" s="4">
        <v>214</v>
      </c>
      <c r="B644" s="24" t="s">
        <v>781</v>
      </c>
      <c r="C644" s="25" t="s">
        <v>53</v>
      </c>
      <c r="D644" s="4">
        <v>7.7</v>
      </c>
      <c r="E644" s="32">
        <f>LOOKUP(D644,{0,1,1.8,2.6,3.4,4.2,5,6.3,7.6,8.9,10.2,11.5,12.8,14.1,15.4,16.7,18,19.7,21.4,23.1,24.8},{0,10,20,30,40,50,60,62,64,66,68,70,72,74,76,78,80,85,90,95,100})</f>
        <v>64</v>
      </c>
      <c r="F644" s="4">
        <v>166</v>
      </c>
      <c r="G644" s="32">
        <f>LOOKUP(F644,{0,124,129,134,139,144,149,152,155,158,161,164,167,170,173,176,179,186,193,199,205},{0,10,20,30,40,50,60,62,64,66,68,70,72,74,76,78,80,85,90,95,100})</f>
        <v>70</v>
      </c>
      <c r="H644" s="4">
        <v>44</v>
      </c>
      <c r="I644" s="32">
        <f>LOOKUP(H644,{0,14,16,18,20,22,24,26,28,30,32,34,36,38,40,42,44,47,50,52,54},{0,10,20,30,40,50,60,62,64,66,68,70,72,74,76,78,80,85,90,95,100})</f>
        <v>80</v>
      </c>
      <c r="L644" s="4">
        <f t="shared" si="74"/>
        <v>80</v>
      </c>
      <c r="M644" s="4">
        <v>8.8</v>
      </c>
      <c r="N644" s="4">
        <f t="shared" si="75"/>
        <v>3.2</v>
      </c>
      <c r="O644" s="32">
        <f>LOOKUP(N644,{0,0.5,0.7,0.9,1.1,1.3,1.5,1.7,1.9,2.1,2.3,2.5,2.7,2.9,3.1,3.3,3.5,3.8,4.1,4.2,4.3},{0,10,20,30,40,50,60,62,64,66,68,70,72,74,76,78,80,85,90,95,100})</f>
        <v>76</v>
      </c>
      <c r="P644" s="4">
        <v>3.46</v>
      </c>
      <c r="Q644" s="4">
        <f t="shared" si="76"/>
        <v>6.54</v>
      </c>
      <c r="R644" s="32">
        <f>LOOKUP(Q644,{0,4.72,4.82,4.92,5.42,5.52,5.62,5.67,5.72,5.77,5.82,5.87,5.92,5.97,6.42,6.47,6.52,6.59,6.66,6.72,6.78},{0,10,20,30,40,50,60,62,64,66,68,70,72,74,76,78,80,85,90,95,100})</f>
        <v>80</v>
      </c>
      <c r="T644" s="35"/>
      <c r="U644" s="4">
        <f t="shared" si="77"/>
        <v>80</v>
      </c>
      <c r="W644" s="5">
        <f t="shared" si="79"/>
        <v>52.6</v>
      </c>
      <c r="X644" s="20">
        <f t="shared" si="78"/>
        <v>75.1428571428572</v>
      </c>
    </row>
    <row r="645" ht="15.6" hidden="1" spans="1:24">
      <c r="A645" s="4">
        <v>207</v>
      </c>
      <c r="B645" s="24" t="s">
        <v>331</v>
      </c>
      <c r="C645" s="25" t="s">
        <v>11</v>
      </c>
      <c r="E645" s="32"/>
      <c r="G645" s="32"/>
      <c r="I645" s="32"/>
      <c r="O645" s="32"/>
      <c r="R645" s="32"/>
      <c r="T645" s="34"/>
      <c r="V645" s="4" t="s">
        <v>14</v>
      </c>
      <c r="W645" s="5">
        <f t="shared" si="79"/>
        <v>0</v>
      </c>
      <c r="X645" s="20">
        <v>50</v>
      </c>
    </row>
    <row r="646" ht="15.6" hidden="1" spans="1:24">
      <c r="A646" s="4">
        <v>207</v>
      </c>
      <c r="B646" s="24" t="s">
        <v>346</v>
      </c>
      <c r="C646" s="25" t="s">
        <v>11</v>
      </c>
      <c r="E646" s="32"/>
      <c r="G646" s="32"/>
      <c r="I646" s="32"/>
      <c r="O646" s="32"/>
      <c r="R646" s="32"/>
      <c r="T646" s="32"/>
      <c r="W646" s="5">
        <f t="shared" si="79"/>
        <v>0</v>
      </c>
      <c r="X646" s="23">
        <v>50</v>
      </c>
    </row>
    <row r="647" ht="15.6" hidden="1" spans="1:24">
      <c r="A647" s="4">
        <v>207</v>
      </c>
      <c r="B647" s="33" t="s">
        <v>352</v>
      </c>
      <c r="C647" s="25" t="s">
        <v>11</v>
      </c>
      <c r="E647" s="32"/>
      <c r="G647" s="32"/>
      <c r="I647" s="32"/>
      <c r="O647" s="32"/>
      <c r="R647" s="32"/>
      <c r="T647" s="34"/>
      <c r="V647" s="4" t="s">
        <v>14</v>
      </c>
      <c r="W647" s="5">
        <f t="shared" si="79"/>
        <v>0</v>
      </c>
      <c r="X647" s="20">
        <v>50</v>
      </c>
    </row>
    <row r="648" ht="15.6" hidden="1" spans="1:24">
      <c r="A648" s="4">
        <v>207</v>
      </c>
      <c r="B648" s="24" t="s">
        <v>354</v>
      </c>
      <c r="C648" s="25" t="s">
        <v>11</v>
      </c>
      <c r="E648" s="32"/>
      <c r="G648" s="32"/>
      <c r="I648" s="32"/>
      <c r="O648" s="32"/>
      <c r="R648" s="32"/>
      <c r="T648" s="32"/>
      <c r="V648" s="4" t="s">
        <v>14</v>
      </c>
      <c r="W648" s="5">
        <f t="shared" si="79"/>
        <v>0</v>
      </c>
      <c r="X648" s="20">
        <v>50</v>
      </c>
    </row>
    <row r="649" ht="15.6" hidden="1" spans="1:24">
      <c r="A649" s="4">
        <v>207</v>
      </c>
      <c r="B649" s="24" t="s">
        <v>355</v>
      </c>
      <c r="C649" s="25" t="s">
        <v>11</v>
      </c>
      <c r="E649" s="32"/>
      <c r="G649" s="32"/>
      <c r="I649" s="32"/>
      <c r="O649" s="32"/>
      <c r="R649" s="32"/>
      <c r="T649" s="34"/>
      <c r="V649" s="4" t="s">
        <v>14</v>
      </c>
      <c r="W649" s="5">
        <f t="shared" si="79"/>
        <v>0</v>
      </c>
      <c r="X649" s="20">
        <v>50</v>
      </c>
    </row>
    <row r="650" ht="15.6" hidden="1" spans="1:24">
      <c r="A650" s="4">
        <v>207</v>
      </c>
      <c r="B650" s="24" t="s">
        <v>360</v>
      </c>
      <c r="C650" s="25" t="s">
        <v>11</v>
      </c>
      <c r="E650" s="32"/>
      <c r="G650" s="32"/>
      <c r="I650" s="32"/>
      <c r="O650" s="32"/>
      <c r="R650" s="32"/>
      <c r="T650" s="34"/>
      <c r="V650" s="4" t="s">
        <v>14</v>
      </c>
      <c r="W650" s="5">
        <f t="shared" si="79"/>
        <v>0</v>
      </c>
      <c r="X650" s="20">
        <v>50</v>
      </c>
    </row>
    <row r="651" ht="15.6" hidden="1" spans="1:24">
      <c r="A651" s="4">
        <v>208</v>
      </c>
      <c r="B651" s="33" t="s">
        <v>380</v>
      </c>
      <c r="C651" s="25" t="s">
        <v>11</v>
      </c>
      <c r="E651" s="32"/>
      <c r="G651" s="32"/>
      <c r="I651" s="32"/>
      <c r="O651" s="32"/>
      <c r="R651" s="32"/>
      <c r="T651" s="32"/>
      <c r="W651" s="5">
        <f t="shared" si="79"/>
        <v>0</v>
      </c>
      <c r="X651" s="23">
        <v>50</v>
      </c>
    </row>
    <row r="652" ht="15.6" hidden="1" spans="1:24">
      <c r="A652" s="4">
        <v>208</v>
      </c>
      <c r="B652" s="24" t="s">
        <v>385</v>
      </c>
      <c r="C652" s="25" t="s">
        <v>11</v>
      </c>
      <c r="E652" s="32"/>
      <c r="G652" s="32"/>
      <c r="I652" s="32"/>
      <c r="O652" s="32"/>
      <c r="R652" s="32"/>
      <c r="T652" s="34"/>
      <c r="V652" s="4" t="s">
        <v>14</v>
      </c>
      <c r="W652" s="5">
        <f t="shared" si="79"/>
        <v>0</v>
      </c>
      <c r="X652" s="20">
        <v>50</v>
      </c>
    </row>
    <row r="653" ht="15.6" hidden="1" spans="1:24">
      <c r="A653" s="4">
        <v>208</v>
      </c>
      <c r="B653" s="24" t="s">
        <v>395</v>
      </c>
      <c r="C653" s="25" t="s">
        <v>11</v>
      </c>
      <c r="E653" s="32"/>
      <c r="G653" s="32"/>
      <c r="I653" s="32"/>
      <c r="O653" s="32"/>
      <c r="R653" s="32"/>
      <c r="T653" s="34"/>
      <c r="V653" s="4" t="s">
        <v>14</v>
      </c>
      <c r="W653" s="5">
        <f t="shared" si="79"/>
        <v>0</v>
      </c>
      <c r="X653" s="20">
        <v>50</v>
      </c>
    </row>
    <row r="654" s="1" customFormat="1" ht="15.6" hidden="1" spans="1:24">
      <c r="A654" s="4">
        <v>208</v>
      </c>
      <c r="B654" s="24" t="s">
        <v>398</v>
      </c>
      <c r="C654" s="25" t="s">
        <v>11</v>
      </c>
      <c r="D654" s="4"/>
      <c r="E654" s="32"/>
      <c r="F654" s="4"/>
      <c r="G654" s="32"/>
      <c r="H654" s="4"/>
      <c r="I654" s="32"/>
      <c r="J654" s="4"/>
      <c r="K654" s="4"/>
      <c r="L654" s="4"/>
      <c r="M654" s="4"/>
      <c r="N654" s="4"/>
      <c r="O654" s="32"/>
      <c r="P654" s="4"/>
      <c r="Q654" s="4"/>
      <c r="R654" s="32"/>
      <c r="S654" s="4"/>
      <c r="T654" s="32"/>
      <c r="U654" s="4"/>
      <c r="V654" s="4" t="s">
        <v>14</v>
      </c>
      <c r="W654" s="5">
        <f t="shared" si="79"/>
        <v>0</v>
      </c>
      <c r="X654" s="20">
        <v>50</v>
      </c>
    </row>
    <row r="655" ht="15.6" hidden="1" spans="1:24">
      <c r="A655" s="4">
        <v>208</v>
      </c>
      <c r="B655" s="24" t="s">
        <v>402</v>
      </c>
      <c r="C655" s="25" t="s">
        <v>11</v>
      </c>
      <c r="E655" s="32"/>
      <c r="G655" s="32"/>
      <c r="I655" s="32"/>
      <c r="O655" s="32"/>
      <c r="R655" s="32"/>
      <c r="T655" s="34"/>
      <c r="V655" s="4" t="s">
        <v>14</v>
      </c>
      <c r="W655" s="5">
        <f t="shared" si="79"/>
        <v>0</v>
      </c>
      <c r="X655" s="20">
        <v>50</v>
      </c>
    </row>
    <row r="656" ht="15.6" hidden="1" spans="1:24">
      <c r="A656" s="4">
        <v>208</v>
      </c>
      <c r="B656" s="24" t="s">
        <v>416</v>
      </c>
      <c r="C656" s="25" t="s">
        <v>11</v>
      </c>
      <c r="E656" s="32"/>
      <c r="G656" s="32"/>
      <c r="I656" s="32"/>
      <c r="O656" s="32"/>
      <c r="R656" s="32"/>
      <c r="T656" s="32"/>
      <c r="V656" s="4" t="s">
        <v>14</v>
      </c>
      <c r="W656" s="5">
        <f t="shared" si="79"/>
        <v>0</v>
      </c>
      <c r="X656" s="20">
        <v>50</v>
      </c>
    </row>
    <row r="657" ht="15.6" hidden="1" spans="1:24">
      <c r="A657" s="4">
        <v>209</v>
      </c>
      <c r="B657" s="24" t="s">
        <v>444</v>
      </c>
      <c r="C657" s="25" t="s">
        <v>11</v>
      </c>
      <c r="E657" s="32"/>
      <c r="G657" s="32"/>
      <c r="I657" s="32"/>
      <c r="O657" s="32"/>
      <c r="R657" s="32"/>
      <c r="T657" s="34"/>
      <c r="V657" s="4" t="s">
        <v>14</v>
      </c>
      <c r="W657" s="5">
        <f t="shared" si="79"/>
        <v>0</v>
      </c>
      <c r="X657" s="20">
        <v>50</v>
      </c>
    </row>
    <row r="658" ht="15.6" hidden="1" spans="1:24">
      <c r="A658" s="4">
        <v>214</v>
      </c>
      <c r="B658" s="24" t="s">
        <v>747</v>
      </c>
      <c r="C658" s="25" t="s">
        <v>53</v>
      </c>
      <c r="D658" s="4">
        <v>14</v>
      </c>
      <c r="E658" s="32">
        <f>LOOKUP(D658,{0,1,1.8,2.6,3.4,4.2,5,6.3,7.6,8.9,10.2,11.5,12.8,14.1,15.4,16.7,18,19.7,21.4,23.1,24.8},{0,10,20,30,40,50,60,62,64,66,68,70,72,74,76,78,80,85,90,95,100})</f>
        <v>72</v>
      </c>
      <c r="F658" s="4">
        <v>162</v>
      </c>
      <c r="G658" s="32">
        <f>LOOKUP(F658,{0,124,129,134,139,144,149,152,155,158,161,164,167,170,173,176,179,186,193,199,205},{0,10,20,30,40,50,60,62,64,66,68,70,72,74,76,78,80,85,90,95,100})</f>
        <v>68</v>
      </c>
      <c r="H658" s="4">
        <v>39</v>
      </c>
      <c r="I658" s="32">
        <f>LOOKUP(H658,{0,14,16,18,20,22,24,26,28,30,32,34,36,38,40,42,44,47,50,52,54},{0,10,20,30,40,50,60,62,64,66,68,70,72,74,76,78,80,85,90,95,100})</f>
        <v>74</v>
      </c>
      <c r="L658" s="4">
        <f t="shared" ref="L658:L699" si="80">I658+K658</f>
        <v>74</v>
      </c>
      <c r="M658" s="4">
        <v>8.8</v>
      </c>
      <c r="N658" s="4">
        <f t="shared" ref="N658:N699" si="81">12-M658</f>
        <v>3.2</v>
      </c>
      <c r="O658" s="32">
        <f>LOOKUP(N658,{0,0.5,0.7,0.9,1.1,1.3,1.5,1.7,1.9,2.1,2.3,2.5,2.7,2.9,3.1,3.3,3.5,3.8,4.1,4.2,4.3},{0,10,20,30,40,50,60,62,64,66,68,70,72,74,76,78,80,85,90,95,100})</f>
        <v>76</v>
      </c>
      <c r="P658" s="4">
        <v>3.46</v>
      </c>
      <c r="Q658" s="4">
        <f t="shared" ref="Q658:Q699" si="82">10-P658</f>
        <v>6.54</v>
      </c>
      <c r="R658" s="32">
        <f>LOOKUP(Q658,{0,4.72,4.82,4.92,5.42,5.52,5.62,5.67,5.72,5.77,5.82,5.87,5.92,5.97,6.42,6.47,6.52,6.59,6.66,6.72,6.78},{0,10,20,30,40,50,60,62,64,66,68,70,72,74,76,78,80,85,90,95,100})</f>
        <v>80</v>
      </c>
      <c r="U658" s="4">
        <f t="shared" ref="U658:U699" si="83">R658+T658</f>
        <v>80</v>
      </c>
      <c r="W658" s="5">
        <f t="shared" si="79"/>
        <v>52.6</v>
      </c>
      <c r="X658" s="20">
        <f t="shared" ref="X658:X699" si="84">W658/0.7+K658+T658</f>
        <v>75.1428571428572</v>
      </c>
    </row>
    <row r="659" ht="15.6" hidden="1" spans="1:24">
      <c r="A659" s="4">
        <v>215</v>
      </c>
      <c r="B659" s="24" t="s">
        <v>828</v>
      </c>
      <c r="C659" s="25" t="s">
        <v>53</v>
      </c>
      <c r="D659" s="4">
        <v>8</v>
      </c>
      <c r="E659" s="32">
        <f>LOOKUP(D659,{0,1,1.8,2.6,3.4,4.2,5,6.3,7.6,8.9,10.2,11.5,12.8,14.1,15.4,16.7,18,19.7,21.4,23.1,24.8},{0,10,20,30,40,50,60,62,64,66,68,70,72,74,76,78,80,85,90,95,100})</f>
        <v>64</v>
      </c>
      <c r="F659" s="4">
        <v>170</v>
      </c>
      <c r="G659" s="32">
        <f>LOOKUP(F659,{0,124,129,134,139,144,149,152,155,158,161,164,167,170,173,176,179,186,193,199,205},{0,10,20,30,40,50,60,62,64,66,68,70,72,74,76,78,80,85,90,95,100})</f>
        <v>74</v>
      </c>
      <c r="H659" s="4">
        <v>45</v>
      </c>
      <c r="I659" s="32">
        <f>LOOKUP(H659,{0,14,16,18,20,22,24,26,28,30,32,34,36,38,40,42,44,47,50,52,54},{0,10,20,30,40,50,60,62,64,66,68,70,72,74,76,78,80,85,90,95,100})</f>
        <v>80</v>
      </c>
      <c r="L659" s="4">
        <f t="shared" si="80"/>
        <v>80</v>
      </c>
      <c r="M659" s="4">
        <v>8.3</v>
      </c>
      <c r="N659" s="4">
        <f t="shared" si="81"/>
        <v>3.7</v>
      </c>
      <c r="O659" s="32">
        <f>LOOKUP(N659,{0,0.5,0.7,0.9,1.1,1.3,1.5,1.7,1.9,2.1,2.3,2.5,2.7,2.9,3.1,3.3,3.5,3.8,4.1,4.2,4.3},{0,10,20,30,40,50,60,62,64,66,68,70,72,74,76,78,80,85,90,95,100})</f>
        <v>80</v>
      </c>
      <c r="P659" s="4">
        <v>3.59</v>
      </c>
      <c r="Q659" s="4">
        <f t="shared" si="82"/>
        <v>6.41</v>
      </c>
      <c r="R659" s="32">
        <f>LOOKUP(Q659,{0,4.72,4.82,4.92,5.42,5.52,5.62,5.67,5.72,5.77,5.82,5.87,5.92,5.97,6.42,6.47,6.52,6.59,6.66,6.72,6.78},{0,10,20,30,40,50,60,62,64,66,68,70,72,74,76,78,80,85,90,95,100})</f>
        <v>74</v>
      </c>
      <c r="U659" s="4">
        <f t="shared" si="83"/>
        <v>74</v>
      </c>
      <c r="W659" s="5">
        <f t="shared" si="79"/>
        <v>52.6</v>
      </c>
      <c r="X659" s="20">
        <f t="shared" si="84"/>
        <v>75.1428571428571</v>
      </c>
    </row>
    <row r="660" ht="15.6" hidden="1" spans="1:24">
      <c r="A660" s="4">
        <v>213</v>
      </c>
      <c r="B660" s="24" t="s">
        <v>708</v>
      </c>
      <c r="C660" s="25" t="s">
        <v>53</v>
      </c>
      <c r="D660" s="4">
        <v>23</v>
      </c>
      <c r="E660" s="32">
        <f>LOOKUP(D660,{0,1,1.8,2.6,3.4,4.2,5,6.3,7.6,8.9,10.2,11.5,12.8,14.1,15.4,16.7,18,19.7,21.4,23.1,24.8},{0,10,20,30,40,50,60,62,64,66,68,70,72,74,76,78,80,85,90,95,100})</f>
        <v>90</v>
      </c>
      <c r="F660" s="4">
        <v>160</v>
      </c>
      <c r="G660" s="32">
        <f>LOOKUP(F660,{0,124,129,134,139,144,149,152,155,158,161,164,167,170,173,176,179,186,193,199,205},{0,10,20,30,40,50,60,62,64,66,68,70,72,74,76,78,80,85,90,95,100})</f>
        <v>66</v>
      </c>
      <c r="H660" s="4">
        <v>47</v>
      </c>
      <c r="I660" s="32">
        <f>LOOKUP(H660,{0,14,16,18,20,22,24,26,28,30,32,34,36,38,40,42,44,47,50,52,54},{0,10,20,30,40,50,60,62,64,66,68,70,72,74,76,78,80,85,90,95,100})</f>
        <v>85</v>
      </c>
      <c r="L660" s="4">
        <f t="shared" si="80"/>
        <v>85</v>
      </c>
      <c r="M660" s="4">
        <v>8.9</v>
      </c>
      <c r="N660" s="4">
        <f t="shared" si="81"/>
        <v>3.1</v>
      </c>
      <c r="O660" s="32">
        <f>LOOKUP(N660,{0,0.5,0.7,0.9,1.1,1.3,1.5,1.7,1.9,2.1,2.3,2.5,2.7,2.9,3.1,3.3,3.5,3.8,4.1,4.2,4.3},{0,10,20,30,40,50,60,62,64,66,68,70,72,74,76,78,80,85,90,95,100})</f>
        <v>76</v>
      </c>
      <c r="P660" s="4">
        <v>4.21</v>
      </c>
      <c r="Q660" s="4">
        <f t="shared" si="82"/>
        <v>5.79</v>
      </c>
      <c r="R660" s="32">
        <f>LOOKUP(Q660,{0,4.72,4.82,4.92,5.42,5.52,5.62,5.67,5.72,5.77,5.82,5.87,5.92,5.97,6.42,6.47,6.52,6.59,6.66,6.72,6.78},{0,10,20,30,40,50,60,62,64,66,68,70,72,74,76,78,80,85,90,95,100})</f>
        <v>66</v>
      </c>
      <c r="U660" s="4">
        <f t="shared" si="83"/>
        <v>66</v>
      </c>
      <c r="W660" s="5">
        <f t="shared" si="79"/>
        <v>52.5</v>
      </c>
      <c r="X660" s="20">
        <f t="shared" si="84"/>
        <v>75</v>
      </c>
    </row>
    <row r="661" ht="15.6" hidden="1" spans="1:24">
      <c r="A661" s="4">
        <v>214</v>
      </c>
      <c r="B661" s="24" t="s">
        <v>748</v>
      </c>
      <c r="C661" s="25" t="s">
        <v>53</v>
      </c>
      <c r="D661" s="4">
        <v>25.5</v>
      </c>
      <c r="E661" s="32">
        <f>LOOKUP(D661,{0,1,1.8,2.6,3.4,4.2,5,6.3,7.6,8.9,10.2,11.5,12.8,14.1,15.4,16.7,18,19.7,21.4,23.1,24.8},{0,10,20,30,40,50,60,62,64,66,68,70,72,74,76,78,80,85,90,95,100})</f>
        <v>100</v>
      </c>
      <c r="F661" s="4">
        <v>180</v>
      </c>
      <c r="G661" s="32">
        <f>LOOKUP(F661,{0,124,129,134,139,144,149,152,155,158,161,164,167,170,173,176,179,186,193,199,205},{0,10,20,30,40,50,60,62,64,66,68,70,72,74,76,78,80,85,90,95,100})</f>
        <v>80</v>
      </c>
      <c r="H661" s="4">
        <v>47</v>
      </c>
      <c r="I661" s="32">
        <f>LOOKUP(H661,{0,14,16,18,20,22,24,26,28,30,32,34,36,38,40,42,44,47,50,52,54},{0,10,20,30,40,50,60,62,64,66,68,70,72,74,76,78,80,85,90,95,100})</f>
        <v>85</v>
      </c>
      <c r="L661" s="4">
        <f t="shared" si="80"/>
        <v>85</v>
      </c>
      <c r="M661" s="4">
        <v>10.5</v>
      </c>
      <c r="N661" s="4">
        <f t="shared" si="81"/>
        <v>1.5</v>
      </c>
      <c r="O661" s="32">
        <f>LOOKUP(N661,{0,0.5,0.7,0.9,1.1,1.3,1.5,1.7,1.9,2.1,2.3,2.5,2.7,2.9,3.1,3.3,3.5,3.8,4.1,4.2,4.3},{0,10,20,30,40,50,60,62,64,66,68,70,72,74,76,78,80,85,90,95,100})</f>
        <v>60</v>
      </c>
      <c r="P661" s="4">
        <v>4.13</v>
      </c>
      <c r="Q661" s="4">
        <f t="shared" si="82"/>
        <v>5.87</v>
      </c>
      <c r="R661" s="32">
        <f>LOOKUP(Q661,{0,4.72,4.82,4.92,5.42,5.52,5.62,5.67,5.72,5.77,5.82,5.87,5.92,5.97,6.42,6.47,6.52,6.59,6.66,6.72,6.78},{0,10,20,30,40,50,60,62,64,66,68,70,72,74,76,78,80,85,90,95,100})</f>
        <v>70</v>
      </c>
      <c r="U661" s="4">
        <f t="shared" si="83"/>
        <v>70</v>
      </c>
      <c r="W661" s="5">
        <f t="shared" si="79"/>
        <v>52.5</v>
      </c>
      <c r="X661" s="20">
        <f t="shared" si="84"/>
        <v>75</v>
      </c>
    </row>
    <row r="662" ht="15.6" hidden="1" spans="1:24">
      <c r="A662" s="4">
        <v>213</v>
      </c>
      <c r="B662" s="24" t="s">
        <v>705</v>
      </c>
      <c r="C662" s="25" t="s">
        <v>53</v>
      </c>
      <c r="D662" s="4">
        <v>26</v>
      </c>
      <c r="E662" s="32">
        <f>LOOKUP(D662,{0,1,1.8,2.6,3.4,4.2,5,6.3,7.6,8.9,10.2,11.5,12.8,14.1,15.4,16.7,18,19.7,21.4,23.1,24.8},{0,10,20,30,40,50,60,62,64,66,68,70,72,74,76,78,80,85,90,95,100})</f>
        <v>100</v>
      </c>
      <c r="F662" s="4">
        <v>146</v>
      </c>
      <c r="G662" s="32">
        <f>LOOKUP(F662,{0,124,129,134,139,144,149,152,155,158,161,164,167,170,173,176,179,186,193,199,205},{0,10,20,30,40,50,60,62,64,66,68,70,72,74,76,78,80,85,90,95,100})</f>
        <v>50</v>
      </c>
      <c r="H662" s="4">
        <v>42</v>
      </c>
      <c r="I662" s="32">
        <f>LOOKUP(H662,{0,14,16,18,20,22,24,26,28,30,32,34,36,38,40,42,44,47,50,52,54},{0,10,20,30,40,50,60,62,64,66,68,70,72,74,76,78,80,85,90,95,100})</f>
        <v>78</v>
      </c>
      <c r="L662" s="4">
        <f t="shared" si="80"/>
        <v>78</v>
      </c>
      <c r="M662" s="4">
        <v>9.7</v>
      </c>
      <c r="N662" s="4">
        <f t="shared" si="81"/>
        <v>2.3</v>
      </c>
      <c r="O662" s="32">
        <f>LOOKUP(N662,{0,0.5,0.7,0.9,1.1,1.3,1.5,1.7,1.9,2.1,2.3,2.5,2.7,2.9,3.1,3.3,3.5,3.8,4.1,4.2,4.3},{0,10,20,30,40,50,60,62,64,66,68,70,72,74,76,78,80,85,90,95,100})</f>
        <v>68</v>
      </c>
      <c r="P662" s="4">
        <v>3.44</v>
      </c>
      <c r="Q662" s="4">
        <f t="shared" si="82"/>
        <v>6.56</v>
      </c>
      <c r="R662" s="32">
        <f>LOOKUP(Q662,{0,4.72,4.82,4.92,5.42,5.52,5.62,5.67,5.72,5.77,5.82,5.87,5.92,5.97,6.42,6.47,6.52,6.59,6.66,6.72,6.78},{0,10,20,30,40,50,60,62,64,66,68,70,72,74,76,78,80,85,90,95,100})</f>
        <v>80</v>
      </c>
      <c r="U662" s="4">
        <f t="shared" si="83"/>
        <v>80</v>
      </c>
      <c r="W662" s="5">
        <f t="shared" si="79"/>
        <v>52.4</v>
      </c>
      <c r="X662" s="20">
        <f t="shared" si="84"/>
        <v>74.8571428571429</v>
      </c>
    </row>
    <row r="663" ht="15.6" hidden="1" spans="1:24">
      <c r="A663" s="4">
        <v>211</v>
      </c>
      <c r="B663" s="33" t="s">
        <v>586</v>
      </c>
      <c r="C663" s="25" t="s">
        <v>53</v>
      </c>
      <c r="D663" s="4">
        <v>22.2</v>
      </c>
      <c r="E663" s="32">
        <f>LOOKUP(D663,{0,1,1.8,2.6,3.4,4.2,5,6.3,7.6,8.9,10.2,11.5,12.8,14.1,15.4,16.7,18,19.7,21.4,23.1,24.8},{0,10,20,30,40,50,60,62,64,66,68,70,72,74,76,78,80,85,90,95,100})</f>
        <v>90</v>
      </c>
      <c r="F663" s="4">
        <v>150</v>
      </c>
      <c r="G663" s="32">
        <f>LOOKUP(F663,{0,124,129,134,139,144,149,152,155,158,161,164,167,170,173,176,179,186,193,199,205},{0,10,20,30,40,50,60,62,64,66,68,70,72,74,76,78,80,85,90,95,100})</f>
        <v>60</v>
      </c>
      <c r="H663" s="4">
        <v>35</v>
      </c>
      <c r="I663" s="32">
        <f>LOOKUP(H663,{0,14,16,18,20,22,24,26,28,30,32,34,36,38,40,42,44,47,50,52,54},{0,10,20,30,40,50,60,62,64,66,68,70,72,74,76,78,80,85,90,95,100})</f>
        <v>70</v>
      </c>
      <c r="L663" s="4">
        <f t="shared" si="80"/>
        <v>70</v>
      </c>
      <c r="M663" s="4">
        <v>9.2</v>
      </c>
      <c r="N663" s="4">
        <f t="shared" si="81"/>
        <v>2.8</v>
      </c>
      <c r="O663" s="32">
        <f>LOOKUP(N663,{0,0.5,0.7,0.9,1.1,1.3,1.5,1.7,1.9,2.1,2.3,2.5,2.7,2.9,3.1,3.3,3.5,3.8,4.1,4.2,4.3},{0,10,20,30,40,50,60,62,64,66,68,70,72,74,76,78,80,85,90,95,100})</f>
        <v>72</v>
      </c>
      <c r="P663" s="4">
        <v>3.45</v>
      </c>
      <c r="Q663" s="4">
        <f t="shared" si="82"/>
        <v>6.55</v>
      </c>
      <c r="R663" s="32">
        <f>LOOKUP(Q663,{0,4.72,4.82,4.92,5.42,5.52,5.62,5.67,5.72,5.77,5.82,5.87,5.92,5.97,6.42,6.47,6.52,6.59,6.66,6.72,6.78},{0,10,20,30,40,50,60,62,64,66,68,70,72,74,76,78,80,85,90,95,100})</f>
        <v>80</v>
      </c>
      <c r="T663" s="35"/>
      <c r="U663" s="4">
        <f t="shared" si="83"/>
        <v>80</v>
      </c>
      <c r="W663" s="5">
        <f t="shared" si="79"/>
        <v>52.4</v>
      </c>
      <c r="X663" s="20">
        <f t="shared" si="84"/>
        <v>74.8571428571429</v>
      </c>
    </row>
    <row r="664" ht="15.6" hidden="1" spans="1:24">
      <c r="A664" s="4">
        <v>204</v>
      </c>
      <c r="B664" s="24" t="s">
        <v>172</v>
      </c>
      <c r="C664" s="25" t="s">
        <v>53</v>
      </c>
      <c r="D664" s="4">
        <v>12</v>
      </c>
      <c r="E664" s="32">
        <f>LOOKUP(D664,{0,1,1.8,2.6,3.4,4.2,5,6.3,7.6,8.9,10.2,11.5,12.8,14.1,15.4,16.7,18,19.7,21.4,23.1,24.8},{0,10,20,30,40,50,60,62,64,66,68,70,72,74,76,78,80,85,90,95,100})</f>
        <v>70</v>
      </c>
      <c r="F664" s="4">
        <v>171</v>
      </c>
      <c r="G664" s="32">
        <f>LOOKUP(F664,{0,124,129,134,139,144,149,152,155,158,161,164,167,170,173,176,179,186,193,199,205},{0,10,20,30,40,50,60,62,64,66,68,70,72,74,76,78,80,85,90,95,100})</f>
        <v>74</v>
      </c>
      <c r="H664" s="4">
        <v>40</v>
      </c>
      <c r="I664" s="32">
        <f>LOOKUP(H664,{0,14,16,18,20,22,24,26,28,30,32,34,36,38,40,42,44,47,50,52,54},{0,10,20,30,40,50,60,62,64,66,68,70,72,74,76,78,80,85,90,95,100})</f>
        <v>76</v>
      </c>
      <c r="L664" s="4">
        <f t="shared" si="80"/>
        <v>76</v>
      </c>
      <c r="M664" s="4">
        <v>9.1</v>
      </c>
      <c r="N664" s="4">
        <f t="shared" si="81"/>
        <v>2.9</v>
      </c>
      <c r="O664" s="32">
        <f>LOOKUP(N664,{0,0.5,0.7,0.9,1.1,1.3,1.5,1.7,1.9,2.1,2.3,2.5,2.7,2.9,3.1,3.3,3.5,3.8,4.1,4.2,4.3},{0,10,20,30,40,50,60,62,64,66,68,70,72,74,76,78,80,85,90,95,100})</f>
        <v>74</v>
      </c>
      <c r="P664" s="4">
        <v>3.52</v>
      </c>
      <c r="Q664" s="4">
        <f t="shared" si="82"/>
        <v>6.48</v>
      </c>
      <c r="R664" s="32">
        <f>LOOKUP(Q664,{0,4.72,4.82,4.92,5.42,5.52,5.62,5.67,5.72,5.77,5.82,5.87,5.92,5.97,6.42,6.47,6.52,6.59,6.66,6.72,6.78},{0,10,20,30,40,50,60,62,64,66,68,70,72,74,76,78,80,85,90,95,100})</f>
        <v>78</v>
      </c>
      <c r="U664" s="4">
        <f t="shared" si="83"/>
        <v>78</v>
      </c>
      <c r="W664" s="5">
        <f t="shared" si="79"/>
        <v>52.4</v>
      </c>
      <c r="X664" s="20">
        <f t="shared" si="84"/>
        <v>74.8571428571429</v>
      </c>
    </row>
    <row r="665" ht="15.6" hidden="1" spans="1:24">
      <c r="A665" s="4">
        <v>206</v>
      </c>
      <c r="B665" s="24" t="s">
        <v>313</v>
      </c>
      <c r="C665" s="25" t="s">
        <v>53</v>
      </c>
      <c r="D665" s="4">
        <v>16</v>
      </c>
      <c r="E665" s="32">
        <f>LOOKUP(D665,{0,1,1.8,2.6,3.4,4.2,5,6.3,7.6,8.9,10.2,11.5,12.8,14.1,15.4,16.7,18,19.7,21.4,23.1,24.8},{0,10,20,30,40,50,60,62,64,66,68,70,72,74,76,78,80,85,90,95,100})</f>
        <v>76</v>
      </c>
      <c r="F665" s="4">
        <v>186</v>
      </c>
      <c r="G665" s="32">
        <f>LOOKUP(F665,{0,124,129,134,139,144,149,152,155,158,161,164,167,170,173,176,179,186,193,199,205},{0,10,20,30,40,50,60,62,64,66,68,70,72,74,76,78,80,85,90,95,100})</f>
        <v>85</v>
      </c>
      <c r="H665" s="4">
        <v>39</v>
      </c>
      <c r="I665" s="32">
        <f>LOOKUP(H665,{0,14,16,18,20,22,24,26,28,30,32,34,36,38,40,42,44,47,50,52,54},{0,10,20,30,40,50,60,62,64,66,68,70,72,74,76,78,80,85,90,95,100})</f>
        <v>74</v>
      </c>
      <c r="L665" s="4">
        <f t="shared" si="80"/>
        <v>74</v>
      </c>
      <c r="M665" s="4">
        <v>9</v>
      </c>
      <c r="N665" s="4">
        <f t="shared" si="81"/>
        <v>3</v>
      </c>
      <c r="O665" s="32">
        <f>LOOKUP(N665,{0,0.5,0.7,0.9,1.1,1.3,1.5,1.7,1.9,2.1,2.3,2.5,2.7,2.9,3.1,3.3,3.5,3.8,4.1,4.2,4.3},{0,10,20,30,40,50,60,62,64,66,68,70,72,74,76,78,80,85,90,95,100})</f>
        <v>74</v>
      </c>
      <c r="P665" s="4">
        <v>4.1</v>
      </c>
      <c r="Q665" s="4">
        <f t="shared" si="82"/>
        <v>5.9</v>
      </c>
      <c r="R665" s="32">
        <f>LOOKUP(Q665,{0,4.72,4.82,4.92,5.42,5.52,5.62,5.67,5.72,5.77,5.82,5.87,5.92,5.97,6.42,6.47,6.52,6.59,6.66,6.72,6.78},{0,10,20,30,40,50,60,62,64,66,68,70,72,74,76,78,80,85,90,95,100})</f>
        <v>70</v>
      </c>
      <c r="U665" s="4">
        <f t="shared" si="83"/>
        <v>70</v>
      </c>
      <c r="W665" s="5">
        <f t="shared" si="79"/>
        <v>52.3</v>
      </c>
      <c r="X665" s="20">
        <f t="shared" si="84"/>
        <v>74.7142857142857</v>
      </c>
    </row>
    <row r="666" ht="15.6" hidden="1" spans="1:24">
      <c r="A666" s="4">
        <v>213</v>
      </c>
      <c r="B666" s="24" t="s">
        <v>690</v>
      </c>
      <c r="C666" s="25" t="s">
        <v>53</v>
      </c>
      <c r="D666" s="4">
        <v>6.5</v>
      </c>
      <c r="E666" s="32">
        <f>LOOKUP(D666,{0,1,1.8,2.6,3.4,4.2,5,6.3,7.6,8.9,10.2,11.5,12.8,14.1,15.4,16.7,18,19.7,21.4,23.1,24.8},{0,10,20,30,40,50,60,62,64,66,68,70,72,74,76,78,80,85,90,95,100})</f>
        <v>62</v>
      </c>
      <c r="F666" s="4">
        <v>170</v>
      </c>
      <c r="G666" s="32">
        <f>LOOKUP(F666,{0,124,129,134,139,144,149,152,155,158,161,164,167,170,173,176,179,186,193,199,205},{0,10,20,30,40,50,60,62,64,66,68,70,72,74,76,78,80,85,90,95,100})</f>
        <v>74</v>
      </c>
      <c r="H666" s="4">
        <v>38</v>
      </c>
      <c r="I666" s="32">
        <f>LOOKUP(H666,{0,14,16,18,20,22,24,26,28,30,32,34,36,38,40,42,44,47,50,52,54},{0,10,20,30,40,50,60,62,64,66,68,70,72,74,76,78,80,85,90,95,100})</f>
        <v>74</v>
      </c>
      <c r="L666" s="4">
        <f t="shared" si="80"/>
        <v>74</v>
      </c>
      <c r="M666" s="4">
        <v>8.8</v>
      </c>
      <c r="N666" s="4">
        <f t="shared" si="81"/>
        <v>3.2</v>
      </c>
      <c r="O666" s="32">
        <f>LOOKUP(N666,{0,0.5,0.7,0.9,1.1,1.3,1.5,1.7,1.9,2.1,2.3,2.5,2.7,2.9,3.1,3.3,3.5,3.8,4.1,4.2,4.3},{0,10,20,30,40,50,60,62,64,66,68,70,72,74,76,78,80,85,90,95,100})</f>
        <v>76</v>
      </c>
      <c r="P666" s="4">
        <v>3.45</v>
      </c>
      <c r="Q666" s="4">
        <f t="shared" si="82"/>
        <v>6.55</v>
      </c>
      <c r="R666" s="32">
        <f>LOOKUP(Q666,{0,4.72,4.82,4.92,5.42,5.52,5.62,5.67,5.72,5.77,5.82,5.87,5.92,5.97,6.42,6.47,6.52,6.59,6.66,6.72,6.78},{0,10,20,30,40,50,60,62,64,66,68,70,72,74,76,78,80,85,90,95,100})</f>
        <v>80</v>
      </c>
      <c r="U666" s="4">
        <f t="shared" si="83"/>
        <v>80</v>
      </c>
      <c r="W666" s="5">
        <f t="shared" si="79"/>
        <v>52.2</v>
      </c>
      <c r="X666" s="20">
        <f t="shared" si="84"/>
        <v>74.5714285714286</v>
      </c>
    </row>
    <row r="667" s="1" customFormat="1" ht="15.6" hidden="1" spans="1:24">
      <c r="A667" s="4">
        <v>212</v>
      </c>
      <c r="B667" s="24" t="s">
        <v>651</v>
      </c>
      <c r="C667" s="25" t="s">
        <v>53</v>
      </c>
      <c r="D667" s="4">
        <v>11</v>
      </c>
      <c r="E667" s="32">
        <f>LOOKUP(D667,{0,1,1.8,2.6,3.4,4.2,5,6.3,7.6,8.9,10.2,11.5,12.8,14.1,15.4,16.7,18,19.7,21.4,23.1,24.8},{0,10,20,30,40,50,60,62,64,66,68,70,72,74,76,78,80,85,90,95,100})</f>
        <v>68</v>
      </c>
      <c r="F667" s="4">
        <v>165</v>
      </c>
      <c r="G667" s="32">
        <f>LOOKUP(F667,{0,124,129,134,139,144,149,152,155,158,161,164,167,170,173,176,179,186,193,199,205},{0,10,20,30,40,50,60,62,64,66,68,70,72,74,76,78,80,85,90,95,100})</f>
        <v>70</v>
      </c>
      <c r="H667" s="4">
        <v>42</v>
      </c>
      <c r="I667" s="32">
        <f>LOOKUP(H667,{0,14,16,18,20,22,24,26,28,30,32,34,36,38,40,42,44,47,50,52,54},{0,10,20,30,40,50,60,62,64,66,68,70,72,74,76,78,80,85,90,95,100})</f>
        <v>78</v>
      </c>
      <c r="J667" s="4"/>
      <c r="K667" s="4"/>
      <c r="L667" s="4">
        <f t="shared" si="80"/>
        <v>78</v>
      </c>
      <c r="M667" s="4">
        <v>9</v>
      </c>
      <c r="N667" s="4">
        <f t="shared" si="81"/>
        <v>3</v>
      </c>
      <c r="O667" s="32">
        <f>LOOKUP(N667,{0,0.5,0.7,0.9,1.1,1.3,1.5,1.7,1.9,2.1,2.3,2.5,2.7,2.9,3.1,3.3,3.5,3.8,4.1,4.2,4.3},{0,10,20,30,40,50,60,62,64,66,68,70,72,74,76,78,80,85,90,95,100})</f>
        <v>74</v>
      </c>
      <c r="P667" s="4">
        <v>3.49</v>
      </c>
      <c r="Q667" s="4">
        <f t="shared" si="82"/>
        <v>6.51</v>
      </c>
      <c r="R667" s="32">
        <f>LOOKUP(Q667,{0,4.72,4.82,4.92,5.42,5.52,5.62,5.67,5.72,5.77,5.82,5.87,5.92,5.97,6.42,6.47,6.52,6.59,6.66,6.72,6.78},{0,10,20,30,40,50,60,62,64,66,68,70,72,74,76,78,80,85,90,95,100})</f>
        <v>78</v>
      </c>
      <c r="S667" s="4"/>
      <c r="T667" s="4"/>
      <c r="U667" s="4">
        <f t="shared" si="83"/>
        <v>78</v>
      </c>
      <c r="V667" s="4"/>
      <c r="W667" s="5">
        <f t="shared" si="79"/>
        <v>52</v>
      </c>
      <c r="X667" s="20">
        <f t="shared" si="84"/>
        <v>74.2857142857143</v>
      </c>
    </row>
    <row r="668" ht="15.6" hidden="1" spans="1:24">
      <c r="A668" s="4">
        <v>213</v>
      </c>
      <c r="B668" s="24" t="s">
        <v>683</v>
      </c>
      <c r="C668" s="25" t="s">
        <v>53</v>
      </c>
      <c r="D668" s="4">
        <v>12</v>
      </c>
      <c r="E668" s="32">
        <f>LOOKUP(D668,{0,1,1.8,2.6,3.4,4.2,5,6.3,7.6,8.9,10.2,11.5,12.8,14.1,15.4,16.7,18,19.7,21.4,23.1,24.8},{0,10,20,30,40,50,60,62,64,66,68,70,72,74,76,78,80,85,90,95,100})</f>
        <v>70</v>
      </c>
      <c r="F668" s="4">
        <v>145</v>
      </c>
      <c r="G668" s="32">
        <f>LOOKUP(F668,{0,124,129,134,139,144,149,152,155,158,161,164,167,170,173,176,179,186,193,199,205},{0,10,20,30,40,50,60,62,64,66,68,70,72,74,76,78,80,85,90,95,100})</f>
        <v>50</v>
      </c>
      <c r="H668" s="4">
        <v>59</v>
      </c>
      <c r="I668" s="32">
        <f>LOOKUP(H668,{0,14,16,18,20,22,24,26,28,30,32,34,36,38,40,42,44,47,50,52,54},{0,10,20,30,40,50,60,62,64,66,68,70,72,74,76,78,80,85,90,95,100})</f>
        <v>100</v>
      </c>
      <c r="J668" s="4">
        <f>H668-54</f>
        <v>5</v>
      </c>
      <c r="K668" s="32">
        <f>LOOKUP(J668,{0,2,4,6,7,8,9,10,11,12,13},{0,1,2,3,4,5,6,7,8,9,10})</f>
        <v>2</v>
      </c>
      <c r="L668" s="4">
        <f t="shared" si="80"/>
        <v>102</v>
      </c>
      <c r="M668" s="4">
        <v>9.9</v>
      </c>
      <c r="N668" s="4">
        <f t="shared" si="81"/>
        <v>2.1</v>
      </c>
      <c r="O668" s="32">
        <f>LOOKUP(N668,{0,0.5,0.7,0.9,1.1,1.3,1.5,1.7,1.9,2.1,2.3,2.5,2.7,2.9,3.1,3.3,3.5,3.8,4.1,4.2,4.3},{0,10,20,30,40,50,60,62,64,66,68,70,72,74,76,78,80,85,90,95,100})</f>
        <v>66</v>
      </c>
      <c r="P668" s="4">
        <v>3.57</v>
      </c>
      <c r="Q668" s="4">
        <f t="shared" si="82"/>
        <v>6.43</v>
      </c>
      <c r="R668" s="32">
        <f>LOOKUP(Q668,{0,4.72,4.82,4.92,5.42,5.52,5.62,5.67,5.72,5.77,5.82,5.87,5.92,5.97,6.42,6.47,6.52,6.59,6.66,6.72,6.78},{0,10,20,30,40,50,60,62,64,66,68,70,72,74,76,78,80,85,90,95,100})</f>
        <v>76</v>
      </c>
      <c r="U668" s="4">
        <f t="shared" si="83"/>
        <v>76</v>
      </c>
      <c r="W668" s="5">
        <f t="shared" si="79"/>
        <v>50.4</v>
      </c>
      <c r="X668" s="20">
        <f t="shared" si="84"/>
        <v>74</v>
      </c>
    </row>
    <row r="669" ht="15.6" hidden="1" spans="1:24">
      <c r="A669" s="4">
        <v>215</v>
      </c>
      <c r="B669" s="24" t="s">
        <v>810</v>
      </c>
      <c r="C669" s="25" t="s">
        <v>53</v>
      </c>
      <c r="D669" s="4">
        <v>15.6</v>
      </c>
      <c r="E669" s="32">
        <f>LOOKUP(D669,{0,1,1.8,2.6,3.4,4.2,5,6.3,7.6,8.9,10.2,11.5,12.8,14.1,15.4,16.7,18,19.7,21.4,23.1,24.8},{0,10,20,30,40,50,60,62,64,66,68,70,72,74,76,78,80,85,90,95,100})</f>
        <v>76</v>
      </c>
      <c r="F669" s="4">
        <v>195</v>
      </c>
      <c r="G669" s="32">
        <f>LOOKUP(F669,{0,124,129,134,139,144,149,152,155,158,161,164,167,170,173,176,179,186,193,199,205},{0,10,20,30,40,50,60,62,64,66,68,70,72,74,76,78,80,85,90,95,100})</f>
        <v>90</v>
      </c>
      <c r="H669" s="4">
        <v>45</v>
      </c>
      <c r="I669" s="32">
        <f>LOOKUP(H669,{0,14,16,18,20,22,24,26,28,30,32,34,36,38,40,42,44,47,50,52,54},{0,10,20,30,40,50,60,62,64,66,68,70,72,74,76,78,80,85,90,95,100})</f>
        <v>80</v>
      </c>
      <c r="L669" s="4">
        <f t="shared" si="80"/>
        <v>80</v>
      </c>
      <c r="M669" s="4">
        <v>8.9</v>
      </c>
      <c r="N669" s="4">
        <f t="shared" si="81"/>
        <v>3.1</v>
      </c>
      <c r="O669" s="32">
        <f>LOOKUP(N669,{0,0.5,0.7,0.9,1.1,1.3,1.5,1.7,1.9,2.1,2.3,2.5,2.7,2.9,3.1,3.3,3.5,3.8,4.1,4.2,4.3},{0,10,20,30,40,50,60,62,64,66,68,70,72,74,76,78,80,85,90,95,100})</f>
        <v>76</v>
      </c>
      <c r="P669" s="4">
        <v>4.35</v>
      </c>
      <c r="Q669" s="4">
        <f t="shared" si="82"/>
        <v>5.65</v>
      </c>
      <c r="R669" s="32">
        <f>LOOKUP(Q669,{0,4.72,4.82,4.92,5.42,5.52,5.62,5.67,5.72,5.77,5.82,5.87,5.92,5.97,6.42,6.47,6.52,6.59,6.66,6.72,6.78},{0,10,20,30,40,50,60,62,64,66,68,70,72,74,76,78,80,85,90,95,100})</f>
        <v>60</v>
      </c>
      <c r="U669" s="4">
        <f t="shared" si="83"/>
        <v>60</v>
      </c>
      <c r="W669" s="5">
        <f t="shared" si="79"/>
        <v>51.8</v>
      </c>
      <c r="X669" s="20">
        <f t="shared" si="84"/>
        <v>74</v>
      </c>
    </row>
    <row r="670" ht="15.6" hidden="1" spans="1:24">
      <c r="A670" s="4">
        <v>204</v>
      </c>
      <c r="B670" s="24" t="s">
        <v>194</v>
      </c>
      <c r="C670" s="25" t="s">
        <v>53</v>
      </c>
      <c r="D670" s="4">
        <v>12.5</v>
      </c>
      <c r="E670" s="32">
        <f>LOOKUP(D670,{0,1,1.8,2.6,3.4,4.2,5,6.3,7.6,8.9,10.2,11.5,12.8,14.1,15.4,16.7,18,19.7,21.4,23.1,24.8},{0,10,20,30,40,50,60,62,64,66,68,70,72,74,76,78,80,85,90,95,100})</f>
        <v>70</v>
      </c>
      <c r="F670" s="4">
        <v>173</v>
      </c>
      <c r="G670" s="32">
        <f>LOOKUP(F670,{0,124,129,134,139,144,149,152,155,158,161,164,167,170,173,176,179,186,193,199,205},{0,10,20,30,40,50,60,62,64,66,68,70,72,74,76,78,80,85,90,95,100})</f>
        <v>76</v>
      </c>
      <c r="H670" s="4">
        <v>37</v>
      </c>
      <c r="I670" s="32">
        <f>LOOKUP(H670,{0,14,16,18,20,22,24,26,28,30,32,34,36,38,40,42,44,47,50,52,54},{0,10,20,30,40,50,60,62,64,66,68,70,72,74,76,78,80,85,90,95,100})</f>
        <v>72</v>
      </c>
      <c r="L670" s="4">
        <f t="shared" si="80"/>
        <v>72</v>
      </c>
      <c r="M670" s="4">
        <v>8.8</v>
      </c>
      <c r="N670" s="4">
        <f t="shared" si="81"/>
        <v>3.2</v>
      </c>
      <c r="O670" s="32">
        <f>LOOKUP(N670,{0,0.5,0.7,0.9,1.1,1.3,1.5,1.7,1.9,2.1,2.3,2.5,2.7,2.9,3.1,3.3,3.5,3.8,4.1,4.2,4.3},{0,10,20,30,40,50,60,62,64,66,68,70,72,74,76,78,80,85,90,95,100})</f>
        <v>76</v>
      </c>
      <c r="P670" s="4">
        <v>4.03</v>
      </c>
      <c r="Q670" s="4">
        <f t="shared" si="82"/>
        <v>5.97</v>
      </c>
      <c r="R670" s="32">
        <f>LOOKUP(Q670,{0,4.72,4.82,4.92,5.42,5.52,5.62,5.67,5.72,5.77,5.82,5.87,5.92,5.97,6.42,6.47,6.52,6.59,6.66,6.72,6.78},{0,10,20,30,40,50,60,62,64,66,68,70,72,74,76,78,80,85,90,95,100})</f>
        <v>74</v>
      </c>
      <c r="T670" s="35"/>
      <c r="U670" s="4">
        <f t="shared" si="83"/>
        <v>74</v>
      </c>
      <c r="W670" s="5">
        <f t="shared" si="79"/>
        <v>51.8</v>
      </c>
      <c r="X670" s="20">
        <f t="shared" si="84"/>
        <v>74</v>
      </c>
    </row>
    <row r="671" ht="15.6" hidden="1" spans="1:24">
      <c r="A671" s="4">
        <v>214</v>
      </c>
      <c r="B671" s="33" t="s">
        <v>776</v>
      </c>
      <c r="C671" s="25" t="s">
        <v>53</v>
      </c>
      <c r="D671" s="4">
        <v>17.8</v>
      </c>
      <c r="E671" s="32">
        <f>LOOKUP(D671,{0,1,1.8,2.6,3.4,4.2,5,6.3,7.6,8.9,10.2,11.5,12.8,14.1,15.4,16.7,18,19.7,21.4,23.1,24.8},{0,10,20,30,40,50,60,62,64,66,68,70,72,74,76,78,80,85,90,95,100})</f>
        <v>78</v>
      </c>
      <c r="F671" s="4">
        <v>171</v>
      </c>
      <c r="G671" s="32">
        <f>LOOKUP(F671,{0,124,129,134,139,144,149,152,155,158,161,164,167,170,173,176,179,186,193,199,205},{0,10,20,30,40,50,60,62,64,66,68,70,72,74,76,78,80,85,90,95,100})</f>
        <v>74</v>
      </c>
      <c r="H671" s="4">
        <v>29</v>
      </c>
      <c r="I671" s="32">
        <f>LOOKUP(H671,{0,14,16,18,20,22,24,26,28,30,32,34,36,38,40,42,44,47,50,52,54},{0,10,20,30,40,50,60,62,64,66,68,70,72,74,76,78,80,85,90,95,100})</f>
        <v>64</v>
      </c>
      <c r="L671" s="4">
        <f t="shared" si="80"/>
        <v>64</v>
      </c>
      <c r="M671" s="4">
        <v>9.4</v>
      </c>
      <c r="N671" s="4">
        <f t="shared" si="81"/>
        <v>2.6</v>
      </c>
      <c r="O671" s="32">
        <f>LOOKUP(N671,{0,0.5,0.7,0.9,1.1,1.3,1.5,1.7,1.9,2.1,2.3,2.5,2.7,2.9,3.1,3.3,3.5,3.8,4.1,4.2,4.3},{0,10,20,30,40,50,60,62,64,66,68,70,72,74,76,78,80,85,90,95,100})</f>
        <v>70</v>
      </c>
      <c r="P671" s="4">
        <v>3.43</v>
      </c>
      <c r="Q671" s="4">
        <f t="shared" si="82"/>
        <v>6.57</v>
      </c>
      <c r="R671" s="32">
        <f>LOOKUP(Q671,{0,4.72,4.82,4.92,5.42,5.52,5.62,5.67,5.72,5.77,5.82,5.87,5.92,5.97,6.42,6.47,6.52,6.59,6.66,6.72,6.78},{0,10,20,30,40,50,60,62,64,66,68,70,72,74,76,78,80,85,90,95,100})</f>
        <v>80</v>
      </c>
      <c r="U671" s="4">
        <f t="shared" si="83"/>
        <v>80</v>
      </c>
      <c r="W671" s="5">
        <f t="shared" si="79"/>
        <v>51.6</v>
      </c>
      <c r="X671" s="20">
        <f t="shared" si="84"/>
        <v>73.7142857142857</v>
      </c>
    </row>
    <row r="672" ht="15.6" hidden="1" spans="1:24">
      <c r="A672" s="4">
        <v>215</v>
      </c>
      <c r="B672" s="24" t="s">
        <v>809</v>
      </c>
      <c r="C672" s="25" t="s">
        <v>53</v>
      </c>
      <c r="D672" s="4">
        <v>19</v>
      </c>
      <c r="E672" s="32">
        <f>LOOKUP(D672,{0,1,1.8,2.6,3.4,4.2,5,6.3,7.6,8.9,10.2,11.5,12.8,14.1,15.4,16.7,18,19.7,21.4,23.1,24.8},{0,10,20,30,40,50,60,62,64,66,68,70,72,74,76,78,80,85,90,95,100})</f>
        <v>80</v>
      </c>
      <c r="F672" s="4">
        <v>165</v>
      </c>
      <c r="G672" s="32">
        <f>LOOKUP(F672,{0,124,129,134,139,144,149,152,155,158,161,164,167,170,173,176,179,186,193,199,205},{0,10,20,30,40,50,60,62,64,66,68,70,72,74,76,78,80,85,90,95,100})</f>
        <v>70</v>
      </c>
      <c r="H672" s="4">
        <v>30</v>
      </c>
      <c r="I672" s="32">
        <f>LOOKUP(H672,{0,14,16,18,20,22,24,26,28,30,32,34,36,38,40,42,44,47,50,52,54},{0,10,20,30,40,50,60,62,64,66,68,70,72,74,76,78,80,85,90,95,100})</f>
        <v>66</v>
      </c>
      <c r="L672" s="4">
        <f t="shared" si="80"/>
        <v>66</v>
      </c>
      <c r="M672" s="4">
        <v>9.4</v>
      </c>
      <c r="N672" s="4">
        <f t="shared" si="81"/>
        <v>2.6</v>
      </c>
      <c r="O672" s="32">
        <f>LOOKUP(N672,{0,0.5,0.7,0.9,1.1,1.3,1.5,1.7,1.9,2.1,2.3,2.5,2.7,2.9,3.1,3.3,3.5,3.8,4.1,4.2,4.3},{0,10,20,30,40,50,60,62,64,66,68,70,72,74,76,78,80,85,90,95,100})</f>
        <v>70</v>
      </c>
      <c r="P672" s="4">
        <v>3.45</v>
      </c>
      <c r="Q672" s="4">
        <f t="shared" si="82"/>
        <v>6.55</v>
      </c>
      <c r="R672" s="32">
        <f>LOOKUP(Q672,{0,4.72,4.82,4.92,5.42,5.52,5.62,5.67,5.72,5.77,5.82,5.87,5.92,5.97,6.42,6.47,6.52,6.59,6.66,6.72,6.78},{0,10,20,30,40,50,60,62,64,66,68,70,72,74,76,78,80,85,90,95,100})</f>
        <v>80</v>
      </c>
      <c r="T672" s="35"/>
      <c r="U672" s="4">
        <f t="shared" si="83"/>
        <v>80</v>
      </c>
      <c r="W672" s="5">
        <f t="shared" si="79"/>
        <v>51.6</v>
      </c>
      <c r="X672" s="20">
        <f t="shared" si="84"/>
        <v>73.7142857142857</v>
      </c>
    </row>
    <row r="673" ht="15.6" hidden="1" spans="1:24">
      <c r="A673" s="4">
        <v>208</v>
      </c>
      <c r="B673" s="24" t="s">
        <v>422</v>
      </c>
      <c r="C673" s="25" t="s">
        <v>53</v>
      </c>
      <c r="D673" s="4">
        <v>9</v>
      </c>
      <c r="E673" s="32">
        <f>LOOKUP(D673,{0,1,1.8,2.6,3.4,4.2,5,6.3,7.6,8.9,10.2,11.5,12.8,14.1,15.4,16.7,18,19.7,21.4,23.1,24.8},{0,10,20,30,40,50,60,62,64,66,68,70,72,74,76,78,80,85,90,95,100})</f>
        <v>66</v>
      </c>
      <c r="F673" s="4">
        <v>167</v>
      </c>
      <c r="G673" s="32">
        <f>LOOKUP(F673,{0,124,129,134,139,144,149,152,155,158,161,164,167,170,173,176,179,186,193,199,205},{0,10,20,30,40,50,60,62,64,66,68,70,72,74,76,78,80,85,90,95,100})</f>
        <v>72</v>
      </c>
      <c r="H673" s="4">
        <v>46</v>
      </c>
      <c r="I673" s="32">
        <f>LOOKUP(H673,{0,14,16,18,20,22,24,26,28,30,32,34,36,38,40,42,44,47,50,52,54},{0,10,20,30,40,50,60,62,64,66,68,70,72,74,76,78,80,85,90,95,100})</f>
        <v>80</v>
      </c>
      <c r="L673" s="4">
        <f t="shared" si="80"/>
        <v>80</v>
      </c>
      <c r="M673" s="4">
        <v>9.7</v>
      </c>
      <c r="N673" s="4">
        <f t="shared" si="81"/>
        <v>2.3</v>
      </c>
      <c r="O673" s="32">
        <f>LOOKUP(N673,{0,0.5,0.7,0.9,1.1,1.3,1.5,1.7,1.9,2.1,2.3,2.5,2.7,2.9,3.1,3.3,3.5,3.8,4.1,4.2,4.3},{0,10,20,30,40,50,60,62,64,66,68,70,72,74,76,78,80,85,90,95,100})</f>
        <v>68</v>
      </c>
      <c r="P673" s="4">
        <v>3.47</v>
      </c>
      <c r="Q673" s="4">
        <f t="shared" si="82"/>
        <v>6.53</v>
      </c>
      <c r="R673" s="32">
        <f>LOOKUP(Q673,{0,4.72,4.82,4.92,5.42,5.52,5.62,5.67,5.72,5.77,5.82,5.87,5.92,5.97,6.42,6.47,6.52,6.59,6.66,6.72,6.78},{0,10,20,30,40,50,60,62,64,66,68,70,72,74,76,78,80,85,90,95,100})</f>
        <v>80</v>
      </c>
      <c r="U673" s="4">
        <f t="shared" si="83"/>
        <v>80</v>
      </c>
      <c r="W673" s="5">
        <f t="shared" si="79"/>
        <v>51.4</v>
      </c>
      <c r="X673" s="20">
        <f t="shared" si="84"/>
        <v>73.4285714285714</v>
      </c>
    </row>
    <row r="674" ht="15.6" hidden="1" spans="1:24">
      <c r="A674" s="4">
        <v>207</v>
      </c>
      <c r="B674" s="24" t="s">
        <v>378</v>
      </c>
      <c r="C674" s="25" t="s">
        <v>53</v>
      </c>
      <c r="D674" s="4">
        <v>10.2</v>
      </c>
      <c r="E674" s="32">
        <f>LOOKUP(D674,{0,1,1.8,2.6,3.4,4.2,5,6.3,7.6,8.9,10.2,11.5,12.8,14.1,15.4,16.7,18,19.7,21.4,23.1,24.8},{0,10,20,30,40,50,60,62,64,66,68,70,72,74,76,78,80,85,90,95,100})</f>
        <v>68</v>
      </c>
      <c r="F674" s="4">
        <v>173</v>
      </c>
      <c r="G674" s="32">
        <f>LOOKUP(F674,{0,124,129,134,139,144,149,152,155,158,161,164,167,170,173,176,179,186,193,199,205},{0,10,20,30,40,50,60,62,64,66,68,70,72,74,76,78,80,85,90,95,100})</f>
        <v>76</v>
      </c>
      <c r="H674" s="4">
        <v>42</v>
      </c>
      <c r="I674" s="32">
        <f>LOOKUP(H674,{0,14,16,18,20,22,24,26,28,30,32,34,36,38,40,42,44,47,50,52,54},{0,10,20,30,40,50,60,62,64,66,68,70,72,74,76,78,80,85,90,95,100})</f>
        <v>78</v>
      </c>
      <c r="L674" s="4">
        <f t="shared" si="80"/>
        <v>78</v>
      </c>
      <c r="M674" s="4">
        <v>9.2</v>
      </c>
      <c r="N674" s="4">
        <f t="shared" si="81"/>
        <v>2.8</v>
      </c>
      <c r="O674" s="32">
        <f>LOOKUP(N674,{0,0.5,0.7,0.9,1.1,1.3,1.5,1.7,1.9,2.1,2.3,2.5,2.7,2.9,3.1,3.3,3.5,3.8,4.1,4.2,4.3},{0,10,20,30,40,50,60,62,64,66,68,70,72,74,76,78,80,85,90,95,100})</f>
        <v>72</v>
      </c>
      <c r="P674" s="4">
        <v>3.59</v>
      </c>
      <c r="Q674" s="4">
        <f t="shared" si="82"/>
        <v>6.41</v>
      </c>
      <c r="R674" s="32">
        <f>LOOKUP(Q674,{0,4.72,4.82,4.92,5.42,5.52,5.62,5.67,5.72,5.77,5.82,5.87,5.92,5.97,6.42,6.47,6.52,6.59,6.66,6.72,6.78},{0,10,20,30,40,50,60,62,64,66,68,70,72,74,76,78,80,85,90,95,100})</f>
        <v>74</v>
      </c>
      <c r="U674" s="4">
        <f t="shared" si="83"/>
        <v>74</v>
      </c>
      <c r="W674" s="5">
        <f t="shared" si="79"/>
        <v>51.4</v>
      </c>
      <c r="X674" s="20">
        <f t="shared" si="84"/>
        <v>73.4285714285714</v>
      </c>
    </row>
    <row r="675" ht="15.6" hidden="1" spans="1:24">
      <c r="A675" s="4">
        <v>214</v>
      </c>
      <c r="B675" s="24" t="s">
        <v>765</v>
      </c>
      <c r="C675" s="25" t="s">
        <v>53</v>
      </c>
      <c r="D675" s="4">
        <v>12</v>
      </c>
      <c r="E675" s="32">
        <f>LOOKUP(D675,{0,1,1.8,2.6,3.4,4.2,5,6.3,7.6,8.9,10.2,11.5,12.8,14.1,15.4,16.7,18,19.7,21.4,23.1,24.8},{0,10,20,30,40,50,60,62,64,66,68,70,72,74,76,78,80,85,90,95,100})</f>
        <v>70</v>
      </c>
      <c r="F675" s="4">
        <v>175</v>
      </c>
      <c r="G675" s="32">
        <f>LOOKUP(F675,{0,124,129,134,139,144,149,152,155,158,161,164,167,170,173,176,179,186,193,199,205},{0,10,20,30,40,50,60,62,64,66,68,70,72,74,76,78,80,85,90,95,100})</f>
        <v>76</v>
      </c>
      <c r="H675" s="4">
        <v>42</v>
      </c>
      <c r="I675" s="32">
        <f>LOOKUP(H675,{0,14,16,18,20,22,24,26,28,30,32,34,36,38,40,42,44,47,50,52,54},{0,10,20,30,40,50,60,62,64,66,68,70,72,74,76,78,80,85,90,95,100})</f>
        <v>78</v>
      </c>
      <c r="L675" s="4">
        <f t="shared" si="80"/>
        <v>78</v>
      </c>
      <c r="M675" s="4">
        <v>9.2</v>
      </c>
      <c r="N675" s="4">
        <f t="shared" si="81"/>
        <v>2.8</v>
      </c>
      <c r="O675" s="32">
        <f>LOOKUP(N675,{0,0.5,0.7,0.9,1.1,1.3,1.5,1.7,1.9,2.1,2.3,2.5,2.7,2.9,3.1,3.3,3.5,3.8,4.1,4.2,4.3},{0,10,20,30,40,50,60,62,64,66,68,70,72,74,76,78,80,85,90,95,100})</f>
        <v>72</v>
      </c>
      <c r="P675" s="4">
        <v>4.04</v>
      </c>
      <c r="Q675" s="4">
        <f t="shared" si="82"/>
        <v>5.96</v>
      </c>
      <c r="R675" s="32">
        <f>LOOKUP(Q675,{0,4.72,4.82,4.92,5.42,5.52,5.62,5.67,5.72,5.77,5.82,5.87,5.92,5.97,6.42,6.47,6.52,6.59,6.66,6.72,6.78},{0,10,20,30,40,50,60,62,64,66,68,70,72,74,76,78,80,85,90,95,100})</f>
        <v>72</v>
      </c>
      <c r="U675" s="4">
        <f t="shared" si="83"/>
        <v>72</v>
      </c>
      <c r="W675" s="5">
        <f t="shared" si="79"/>
        <v>51.2</v>
      </c>
      <c r="X675" s="20">
        <f t="shared" si="84"/>
        <v>73.1428571428572</v>
      </c>
    </row>
    <row r="676" ht="15.6" hidden="1" spans="1:24">
      <c r="A676" s="4">
        <v>213</v>
      </c>
      <c r="B676" s="24" t="s">
        <v>685</v>
      </c>
      <c r="C676" s="25" t="s">
        <v>53</v>
      </c>
      <c r="D676" s="4">
        <v>14</v>
      </c>
      <c r="E676" s="32">
        <f>LOOKUP(D676,{0,1,1.8,2.6,3.4,4.2,5,6.3,7.6,8.9,10.2,11.5,12.8,14.1,15.4,16.7,18,19.7,21.4,23.1,24.8},{0,10,20,30,40,50,60,62,64,66,68,70,72,74,76,78,80,85,90,95,100})</f>
        <v>72</v>
      </c>
      <c r="F676" s="4">
        <v>175</v>
      </c>
      <c r="G676" s="32">
        <f>LOOKUP(F676,{0,124,129,134,139,144,149,152,155,158,161,164,167,170,173,176,179,186,193,199,205},{0,10,20,30,40,50,60,62,64,66,68,70,72,74,76,78,80,85,90,95,100})</f>
        <v>76</v>
      </c>
      <c r="H676" s="4">
        <v>41</v>
      </c>
      <c r="I676" s="32">
        <f>LOOKUP(H676,{0,14,16,18,20,22,24,26,28,30,32,34,36,38,40,42,44,47,50,52,54},{0,10,20,30,40,50,60,62,64,66,68,70,72,74,76,78,80,85,90,95,100})</f>
        <v>76</v>
      </c>
      <c r="L676" s="4">
        <f t="shared" si="80"/>
        <v>76</v>
      </c>
      <c r="M676" s="4">
        <v>8.7</v>
      </c>
      <c r="N676" s="4">
        <f t="shared" si="81"/>
        <v>3.3</v>
      </c>
      <c r="O676" s="32">
        <f>LOOKUP(N676,{0,0.5,0.7,0.9,1.1,1.3,1.5,1.7,1.9,2.1,2.3,2.5,2.7,2.9,3.1,3.3,3.5,3.8,4.1,4.2,4.3},{0,10,20,30,40,50,60,62,64,66,68,70,72,74,76,78,80,85,90,95,100})</f>
        <v>78</v>
      </c>
      <c r="P676" s="4">
        <v>4.23</v>
      </c>
      <c r="Q676" s="4">
        <f t="shared" si="82"/>
        <v>5.77</v>
      </c>
      <c r="R676" s="32">
        <f>LOOKUP(Q676,{0,4.72,4.82,4.92,5.42,5.52,5.62,5.67,5.72,5.77,5.82,5.87,5.92,5.97,6.42,6.47,6.52,6.59,6.66,6.72,6.78},{0,10,20,30,40,50,60,62,64,66,68,70,72,74,76,78,80,85,90,95,100})</f>
        <v>66</v>
      </c>
      <c r="U676" s="4">
        <f t="shared" si="83"/>
        <v>66</v>
      </c>
      <c r="W676" s="5">
        <f t="shared" si="79"/>
        <v>51.2</v>
      </c>
      <c r="X676" s="20">
        <f t="shared" si="84"/>
        <v>73.1428571428572</v>
      </c>
    </row>
    <row r="677" ht="15.6" hidden="1" spans="1:24">
      <c r="A677" s="4">
        <v>208</v>
      </c>
      <c r="B677" s="24" t="s">
        <v>425</v>
      </c>
      <c r="C677" s="25" t="s">
        <v>53</v>
      </c>
      <c r="D677" s="4">
        <v>21</v>
      </c>
      <c r="E677" s="32">
        <f>LOOKUP(D677,{0,1,1.8,2.6,3.4,4.2,5,6.3,7.6,8.9,10.2,11.5,12.8,14.1,15.4,16.7,18,19.7,21.4,23.1,24.8},{0,10,20,30,40,50,60,62,64,66,68,70,72,74,76,78,80,85,90,95,100})</f>
        <v>85</v>
      </c>
      <c r="F677" s="4">
        <v>166</v>
      </c>
      <c r="G677" s="32">
        <f>LOOKUP(F677,{0,124,129,134,139,144,149,152,155,158,161,164,167,170,173,176,179,186,193,199,205},{0,10,20,30,40,50,60,62,64,66,68,70,72,74,76,78,80,85,90,95,100})</f>
        <v>70</v>
      </c>
      <c r="H677" s="4">
        <v>45</v>
      </c>
      <c r="I677" s="32">
        <f>LOOKUP(H677,{0,14,16,18,20,22,24,26,28,30,32,34,36,38,40,42,44,47,50,52,54},{0,10,20,30,40,50,60,62,64,66,68,70,72,74,76,78,80,85,90,95,100})</f>
        <v>80</v>
      </c>
      <c r="L677" s="4">
        <f t="shared" si="80"/>
        <v>80</v>
      </c>
      <c r="M677" s="4">
        <v>9.3</v>
      </c>
      <c r="N677" s="4">
        <f t="shared" si="81"/>
        <v>2.7</v>
      </c>
      <c r="O677" s="32">
        <f>LOOKUP(N677,{0,0.5,0.7,0.9,1.1,1.3,1.5,1.7,1.9,2.1,2.3,2.5,2.7,2.9,3.1,3.3,3.5,3.8,4.1,4.2,4.3},{0,10,20,30,40,50,60,62,64,66,68,70,72,74,76,78,80,85,90,95,100})</f>
        <v>72</v>
      </c>
      <c r="P677" s="4">
        <v>4.2</v>
      </c>
      <c r="Q677" s="4">
        <f t="shared" si="82"/>
        <v>5.8</v>
      </c>
      <c r="R677" s="32">
        <f>LOOKUP(Q677,{0,4.72,4.82,4.92,5.42,5.52,5.62,5.67,5.72,5.77,5.82,5.87,5.92,5.97,6.42,6.47,6.52,6.59,6.66,6.72,6.78},{0,10,20,30,40,50,60,62,64,66,68,70,72,74,76,78,80,85,90,95,100})</f>
        <v>66</v>
      </c>
      <c r="U677" s="4">
        <f t="shared" si="83"/>
        <v>66</v>
      </c>
      <c r="W677" s="5">
        <f t="shared" si="79"/>
        <v>51.1</v>
      </c>
      <c r="X677" s="20">
        <f t="shared" si="84"/>
        <v>73</v>
      </c>
    </row>
    <row r="678" s="1" customFormat="1" ht="15.6" hidden="1" spans="1:24">
      <c r="A678" s="4">
        <v>215</v>
      </c>
      <c r="B678" s="33" t="s">
        <v>192</v>
      </c>
      <c r="C678" s="25" t="s">
        <v>53</v>
      </c>
      <c r="D678" s="4">
        <v>7.5</v>
      </c>
      <c r="E678" s="32">
        <f>LOOKUP(D678,{0,1,1.8,2.6,3.4,4.2,5,6.3,7.6,8.9,10.2,11.5,12.8,14.1,15.4,16.7,18,19.7,21.4,23.1,24.8},{0,10,20,30,40,50,60,62,64,66,68,70,72,74,76,78,80,85,90,95,100})</f>
        <v>62</v>
      </c>
      <c r="F678" s="4">
        <v>165</v>
      </c>
      <c r="G678" s="32">
        <f>LOOKUP(F678,{0,124,129,134,139,144,149,152,155,158,161,164,167,170,173,176,179,186,193,199,205},{0,10,20,30,40,50,60,62,64,66,68,70,72,74,76,78,80,85,90,95,100})</f>
        <v>70</v>
      </c>
      <c r="H678" s="4">
        <v>34</v>
      </c>
      <c r="I678" s="32">
        <f>LOOKUP(H678,{0,14,16,18,20,22,24,26,28,30,32,34,36,38,40,42,44,47,50,52,54},{0,10,20,30,40,50,60,62,64,66,68,70,72,74,76,78,80,85,90,95,100})</f>
        <v>70</v>
      </c>
      <c r="J678" s="4"/>
      <c r="K678" s="4"/>
      <c r="L678" s="4">
        <f t="shared" si="80"/>
        <v>70</v>
      </c>
      <c r="M678" s="4">
        <v>8.8</v>
      </c>
      <c r="N678" s="4">
        <f t="shared" si="81"/>
        <v>3.2</v>
      </c>
      <c r="O678" s="32">
        <f>LOOKUP(N678,{0,0.5,0.7,0.9,1.1,1.3,1.5,1.7,1.9,2.1,2.3,2.5,2.7,2.9,3.1,3.3,3.5,3.8,4.1,4.2,4.3},{0,10,20,30,40,50,60,62,64,66,68,70,72,74,76,78,80,85,90,95,100})</f>
        <v>76</v>
      </c>
      <c r="P678" s="4">
        <v>3.49</v>
      </c>
      <c r="Q678" s="4">
        <f t="shared" si="82"/>
        <v>6.51</v>
      </c>
      <c r="R678" s="32">
        <f>LOOKUP(Q678,{0,4.72,4.82,4.92,5.42,5.52,5.62,5.67,5.72,5.77,5.82,5.87,5.92,5.97,6.42,6.47,6.52,6.59,6.66,6.72,6.78},{0,10,20,30,40,50,60,62,64,66,68,70,72,74,76,78,80,85,90,95,100})</f>
        <v>78</v>
      </c>
      <c r="S678" s="4"/>
      <c r="T678" s="4"/>
      <c r="U678" s="4">
        <f t="shared" si="83"/>
        <v>78</v>
      </c>
      <c r="V678" s="4"/>
      <c r="W678" s="5">
        <f t="shared" si="79"/>
        <v>51</v>
      </c>
      <c r="X678" s="20">
        <f t="shared" si="84"/>
        <v>72.8571428571429</v>
      </c>
    </row>
    <row r="679" ht="15.6" hidden="1" spans="1:24">
      <c r="A679" s="4">
        <v>215</v>
      </c>
      <c r="B679" s="24" t="s">
        <v>846</v>
      </c>
      <c r="C679" s="25" t="s">
        <v>53</v>
      </c>
      <c r="D679" s="4">
        <v>19.8</v>
      </c>
      <c r="E679" s="32">
        <f>LOOKUP(D679,{0,1,1.8,2.6,3.4,4.2,5,6.3,7.6,8.9,10.2,11.5,12.8,14.1,15.4,16.7,18,19.7,21.4,23.1,24.8},{0,10,20,30,40,50,60,62,64,66,68,70,72,74,76,78,80,85,90,95,100})</f>
        <v>85</v>
      </c>
      <c r="F679" s="4">
        <v>140</v>
      </c>
      <c r="G679" s="32">
        <f>LOOKUP(F679,{0,124,129,134,139,144,149,152,155,158,161,164,167,170,173,176,179,186,193,199,205},{0,10,20,30,40,50,60,62,64,66,68,70,72,74,76,78,80,85,90,95,100})</f>
        <v>40</v>
      </c>
      <c r="H679" s="4">
        <v>49</v>
      </c>
      <c r="I679" s="32">
        <f>LOOKUP(H679,{0,14,16,18,20,22,24,26,28,30,32,34,36,38,40,42,44,47,50,52,54},{0,10,20,30,40,50,60,62,64,66,68,70,72,74,76,78,80,85,90,95,100})</f>
        <v>85</v>
      </c>
      <c r="L679" s="4">
        <f t="shared" si="80"/>
        <v>85</v>
      </c>
      <c r="M679" s="4">
        <v>9.3</v>
      </c>
      <c r="N679" s="4">
        <f t="shared" si="81"/>
        <v>2.7</v>
      </c>
      <c r="O679" s="32">
        <f>LOOKUP(N679,{0,0.5,0.7,0.9,1.1,1.3,1.5,1.7,1.9,2.1,2.3,2.5,2.7,2.9,3.1,3.3,3.5,3.8,4.1,4.2,4.3},{0,10,20,30,40,50,60,62,64,66,68,70,72,74,76,78,80,85,90,95,100})</f>
        <v>72</v>
      </c>
      <c r="P679" s="4">
        <v>3.53</v>
      </c>
      <c r="Q679" s="4">
        <f t="shared" si="82"/>
        <v>6.47</v>
      </c>
      <c r="R679" s="32">
        <f>LOOKUP(Q679,{0,4.72,4.82,4.92,5.42,5.52,5.62,5.67,5.72,5.77,5.82,5.87,5.92,5.97,6.42,6.47,6.52,6.59,6.66,6.72,6.78},{0,10,20,30,40,50,60,62,64,66,68,70,72,74,76,78,80,85,90,95,100})</f>
        <v>78</v>
      </c>
      <c r="U679" s="4">
        <f t="shared" si="83"/>
        <v>78</v>
      </c>
      <c r="W679" s="5">
        <f t="shared" si="79"/>
        <v>51</v>
      </c>
      <c r="X679" s="20">
        <f t="shared" si="84"/>
        <v>72.8571428571429</v>
      </c>
    </row>
    <row r="680" ht="15.6" hidden="1" spans="1:24">
      <c r="A680" s="4">
        <v>212</v>
      </c>
      <c r="B680" s="24" t="s">
        <v>654</v>
      </c>
      <c r="C680" s="25" t="s">
        <v>53</v>
      </c>
      <c r="D680" s="4">
        <v>23</v>
      </c>
      <c r="E680" s="32">
        <f>LOOKUP(D680,{0,1,1.8,2.6,3.4,4.2,5,6.3,7.6,8.9,10.2,11.5,12.8,14.1,15.4,16.7,18,19.7,21.4,23.1,24.8},{0,10,20,30,40,50,60,62,64,66,68,70,72,74,76,78,80,85,90,95,100})</f>
        <v>90</v>
      </c>
      <c r="F680" s="4">
        <v>157</v>
      </c>
      <c r="G680" s="32">
        <f>LOOKUP(F680,{0,124,129,134,139,144,149,152,155,158,161,164,167,170,173,176,179,186,193,199,205},{0,10,20,30,40,50,60,62,64,66,68,70,72,74,76,78,80,85,90,95,100})</f>
        <v>64</v>
      </c>
      <c r="H680" s="4">
        <v>29</v>
      </c>
      <c r="I680" s="32">
        <f>LOOKUP(H680,{0,14,16,18,20,22,24,26,28,30,32,34,36,38,40,42,44,47,50,52,54},{0,10,20,30,40,50,60,62,64,66,68,70,72,74,76,78,80,85,90,95,100})</f>
        <v>64</v>
      </c>
      <c r="L680" s="4">
        <f t="shared" si="80"/>
        <v>64</v>
      </c>
      <c r="M680" s="4">
        <v>9.3</v>
      </c>
      <c r="N680" s="4">
        <f t="shared" si="81"/>
        <v>2.7</v>
      </c>
      <c r="O680" s="32">
        <f>LOOKUP(N680,{0,0.5,0.7,0.9,1.1,1.3,1.5,1.7,1.9,2.1,2.3,2.5,2.7,2.9,3.1,3.3,3.5,3.8,4.1,4.2,4.3},{0,10,20,30,40,50,60,62,64,66,68,70,72,74,76,78,80,85,90,95,100})</f>
        <v>72</v>
      </c>
      <c r="P680" s="4">
        <v>4</v>
      </c>
      <c r="Q680" s="4">
        <f t="shared" si="82"/>
        <v>6</v>
      </c>
      <c r="R680" s="32">
        <f>LOOKUP(Q680,{0,4.72,4.82,4.92,5.42,5.52,5.62,5.67,5.72,5.77,5.82,5.87,5.92,5.97,6.42,6.47,6.52,6.59,6.66,6.72,6.78},{0,10,20,30,40,50,60,62,64,66,68,70,72,74,76,78,80,85,90,95,100})</f>
        <v>74</v>
      </c>
      <c r="T680" s="35"/>
      <c r="U680" s="4">
        <f t="shared" si="83"/>
        <v>74</v>
      </c>
      <c r="W680" s="5">
        <f t="shared" si="79"/>
        <v>51</v>
      </c>
      <c r="X680" s="20">
        <f t="shared" si="84"/>
        <v>72.8571428571429</v>
      </c>
    </row>
    <row r="681" ht="15.6" hidden="1" spans="1:24">
      <c r="A681" s="4">
        <v>210</v>
      </c>
      <c r="B681" s="33" t="s">
        <v>541</v>
      </c>
      <c r="C681" s="25" t="s">
        <v>53</v>
      </c>
      <c r="D681" s="4">
        <v>25.6</v>
      </c>
      <c r="E681" s="32">
        <f>LOOKUP(D681,{0,1,1.8,2.6,3.4,4.2,5,6.3,7.6,8.9,10.2,11.5,12.8,14.1,15.4,16.7,18,19.7,21.4,23.1,24.8},{0,10,20,30,40,50,60,62,64,66,68,70,72,74,76,78,80,85,90,95,100})</f>
        <v>100</v>
      </c>
      <c r="F681" s="4">
        <v>156</v>
      </c>
      <c r="G681" s="32">
        <f>LOOKUP(F681,{0,124,129,134,139,144,149,152,155,158,161,164,167,170,173,176,179,186,193,199,205},{0,10,20,30,40,50,60,62,64,66,68,70,72,74,76,78,80,85,90,95,100})</f>
        <v>64</v>
      </c>
      <c r="H681" s="4">
        <v>37</v>
      </c>
      <c r="I681" s="32">
        <f>LOOKUP(H681,{0,14,16,18,20,22,24,26,28,30,32,34,36,38,40,42,44,47,50,52,54},{0,10,20,30,40,50,60,62,64,66,68,70,72,74,76,78,80,85,90,95,100})</f>
        <v>72</v>
      </c>
      <c r="L681" s="4">
        <f t="shared" si="80"/>
        <v>72</v>
      </c>
      <c r="M681" s="4">
        <v>9.9</v>
      </c>
      <c r="N681" s="4">
        <f t="shared" si="81"/>
        <v>2.1</v>
      </c>
      <c r="O681" s="32">
        <f>LOOKUP(N681,{0,0.5,0.7,0.9,1.1,1.3,1.5,1.7,1.9,2.1,2.3,2.5,2.7,2.9,3.1,3.3,3.5,3.8,4.1,4.2,4.3},{0,10,20,30,40,50,60,62,64,66,68,70,72,74,76,78,80,85,90,95,100})</f>
        <v>66</v>
      </c>
      <c r="P681" s="4">
        <v>4.11</v>
      </c>
      <c r="Q681" s="4">
        <f t="shared" si="82"/>
        <v>5.89</v>
      </c>
      <c r="R681" s="32">
        <f>LOOKUP(Q681,{0,4.72,4.82,4.92,5.42,5.52,5.62,5.67,5.72,5.77,5.82,5.87,5.92,5.97,6.42,6.47,6.52,6.59,6.66,6.72,6.78},{0,10,20,30,40,50,60,62,64,66,68,70,72,74,76,78,80,85,90,95,100})</f>
        <v>70</v>
      </c>
      <c r="U681" s="4">
        <f t="shared" si="83"/>
        <v>70</v>
      </c>
      <c r="W681" s="5">
        <f t="shared" si="79"/>
        <v>50.8</v>
      </c>
      <c r="X681" s="20">
        <f t="shared" si="84"/>
        <v>72.5714285714286</v>
      </c>
    </row>
    <row r="682" ht="15.6" hidden="1" spans="1:24">
      <c r="A682" s="4">
        <v>214</v>
      </c>
      <c r="B682" s="24" t="s">
        <v>755</v>
      </c>
      <c r="C682" s="25" t="s">
        <v>53</v>
      </c>
      <c r="D682" s="4">
        <v>23</v>
      </c>
      <c r="E682" s="32">
        <f>LOOKUP(D682,{0,1,1.8,2.6,3.4,4.2,5,6.3,7.6,8.9,10.2,11.5,12.8,14.1,15.4,16.7,18,19.7,21.4,23.1,24.8},{0,10,20,30,40,50,60,62,64,66,68,70,72,74,76,78,80,85,90,95,100})</f>
        <v>90</v>
      </c>
      <c r="F682" s="4">
        <v>150</v>
      </c>
      <c r="G682" s="32">
        <f>LOOKUP(F682,{0,124,129,134,139,144,149,152,155,158,161,164,167,170,173,176,179,186,193,199,205},{0,10,20,30,40,50,60,62,64,66,68,70,72,74,76,78,80,85,90,95,100})</f>
        <v>60</v>
      </c>
      <c r="H682" s="4">
        <v>36</v>
      </c>
      <c r="I682" s="32">
        <f>LOOKUP(H682,{0,14,16,18,20,22,24,26,28,30,32,34,36,38,40,42,44,47,50,52,54},{0,10,20,30,40,50,60,62,64,66,68,70,72,74,76,78,80,85,90,95,100})</f>
        <v>72</v>
      </c>
      <c r="L682" s="4">
        <f t="shared" si="80"/>
        <v>72</v>
      </c>
      <c r="M682" s="4">
        <v>9.2</v>
      </c>
      <c r="N682" s="4">
        <f t="shared" si="81"/>
        <v>2.8</v>
      </c>
      <c r="O682" s="32">
        <f>LOOKUP(N682,{0,0.5,0.7,0.9,1.1,1.3,1.5,1.7,1.9,2.1,2.3,2.5,2.7,2.9,3.1,3.3,3.5,3.8,4.1,4.2,4.3},{0,10,20,30,40,50,60,62,64,66,68,70,72,74,76,78,80,85,90,95,100})</f>
        <v>72</v>
      </c>
      <c r="P682" s="4">
        <v>4.11</v>
      </c>
      <c r="Q682" s="4">
        <f t="shared" si="82"/>
        <v>5.89</v>
      </c>
      <c r="R682" s="32">
        <f>LOOKUP(Q682,{0,4.72,4.82,4.92,5.42,5.52,5.62,5.67,5.72,5.77,5.82,5.87,5.92,5.97,6.42,6.47,6.52,6.59,6.66,6.72,6.78},{0,10,20,30,40,50,60,62,64,66,68,70,72,74,76,78,80,85,90,95,100})</f>
        <v>70</v>
      </c>
      <c r="U682" s="4">
        <f t="shared" si="83"/>
        <v>70</v>
      </c>
      <c r="W682" s="5">
        <f t="shared" si="79"/>
        <v>50.6</v>
      </c>
      <c r="X682" s="20">
        <f t="shared" si="84"/>
        <v>72.2857142857143</v>
      </c>
    </row>
    <row r="683" ht="15.6" hidden="1" spans="1:24">
      <c r="A683" s="4">
        <v>215</v>
      </c>
      <c r="B683" s="24" t="s">
        <v>812</v>
      </c>
      <c r="C683" s="25" t="s">
        <v>53</v>
      </c>
      <c r="D683" s="4">
        <v>28.8</v>
      </c>
      <c r="E683" s="32">
        <f>LOOKUP(D683,{0,1,1.8,2.6,3.4,4.2,5,6.3,7.6,8.9,10.2,11.5,12.8,14.1,15.4,16.7,18,19.7,21.4,23.1,24.8},{0,10,20,30,40,50,60,62,64,66,68,70,72,74,76,78,80,85,90,95,100})</f>
        <v>100</v>
      </c>
      <c r="F683" s="4">
        <v>178</v>
      </c>
      <c r="G683" s="32">
        <f>LOOKUP(F683,{0,124,129,134,139,144,149,152,155,158,161,164,167,170,173,176,179,186,193,199,205},{0,10,20,30,40,50,60,62,64,66,68,70,72,74,76,78,80,85,90,95,100})</f>
        <v>78</v>
      </c>
      <c r="H683" s="4">
        <v>44</v>
      </c>
      <c r="I683" s="32">
        <f>LOOKUP(H683,{0,14,16,18,20,22,24,26,28,30,32,34,36,38,40,42,44,47,50,52,54},{0,10,20,30,40,50,60,62,64,66,68,70,72,74,76,78,80,85,90,95,100})</f>
        <v>80</v>
      </c>
      <c r="L683" s="4">
        <f t="shared" si="80"/>
        <v>80</v>
      </c>
      <c r="M683" s="4">
        <v>9</v>
      </c>
      <c r="N683" s="4">
        <f t="shared" si="81"/>
        <v>3</v>
      </c>
      <c r="O683" s="32">
        <f>LOOKUP(N683,{0,0.5,0.7,0.9,1.1,1.3,1.5,1.7,1.9,2.1,2.3,2.5,2.7,2.9,3.1,3.3,3.5,3.8,4.1,4.2,4.3},{0,10,20,30,40,50,60,62,64,66,68,70,72,74,76,78,80,85,90,95,100})</f>
        <v>74</v>
      </c>
      <c r="P683" s="4">
        <v>4.4</v>
      </c>
      <c r="Q683" s="4">
        <f t="shared" si="82"/>
        <v>5.6</v>
      </c>
      <c r="R683" s="32">
        <f>LOOKUP(Q683,{0,4.72,4.82,4.92,5.42,5.52,5.62,5.67,5.72,5.77,5.82,5.87,5.92,5.97,6.42,6.47,6.52,6.59,6.66,6.72,6.78},{0,10,20,30,40,50,60,62,64,66,68,70,72,74,76,78,80,85,90,95,100})</f>
        <v>50</v>
      </c>
      <c r="U683" s="4">
        <f t="shared" si="83"/>
        <v>50</v>
      </c>
      <c r="W683" s="5">
        <f t="shared" si="79"/>
        <v>50.6</v>
      </c>
      <c r="X683" s="20">
        <f t="shared" si="84"/>
        <v>72.2857142857143</v>
      </c>
    </row>
    <row r="684" ht="15.6" hidden="1" spans="1:24">
      <c r="A684" s="4">
        <v>204</v>
      </c>
      <c r="B684" s="24" t="s">
        <v>204</v>
      </c>
      <c r="C684" s="25" t="s">
        <v>53</v>
      </c>
      <c r="D684" s="4">
        <v>9.2</v>
      </c>
      <c r="E684" s="32">
        <f>LOOKUP(D684,{0,1,1.8,2.6,3.4,4.2,5,6.3,7.6,8.9,10.2,11.5,12.8,14.1,15.4,16.7,18,19.7,21.4,23.1,24.8},{0,10,20,30,40,50,60,62,64,66,68,70,72,74,76,78,80,85,90,95,100})</f>
        <v>66</v>
      </c>
      <c r="F684" s="4">
        <v>175</v>
      </c>
      <c r="G684" s="32">
        <f>LOOKUP(F684,{0,124,129,134,139,144,149,152,155,158,161,164,167,170,173,176,179,186,193,199,205},{0,10,20,30,40,50,60,62,64,66,68,70,72,74,76,78,80,85,90,95,100})</f>
        <v>76</v>
      </c>
      <c r="H684" s="4">
        <v>43</v>
      </c>
      <c r="I684" s="32">
        <f>LOOKUP(H684,{0,14,16,18,20,22,24,26,28,30,32,34,36,38,40,42,44,47,50,52,54},{0,10,20,30,40,50,60,62,64,66,68,70,72,74,76,78,80,85,90,95,100})</f>
        <v>78</v>
      </c>
      <c r="L684" s="4">
        <f t="shared" si="80"/>
        <v>78</v>
      </c>
      <c r="M684" s="4">
        <v>9.2</v>
      </c>
      <c r="N684" s="4">
        <f t="shared" si="81"/>
        <v>2.8</v>
      </c>
      <c r="O684" s="32">
        <f>LOOKUP(N684,{0,0.5,0.7,0.9,1.1,1.3,1.5,1.7,1.9,2.1,2.3,2.5,2.7,2.9,3.1,3.3,3.5,3.8,4.1,4.2,4.3},{0,10,20,30,40,50,60,62,64,66,68,70,72,74,76,78,80,85,90,95,100})</f>
        <v>72</v>
      </c>
      <c r="P684" s="4">
        <v>4.17</v>
      </c>
      <c r="Q684" s="4">
        <f t="shared" si="82"/>
        <v>5.83</v>
      </c>
      <c r="R684" s="32">
        <f>LOOKUP(Q684,{0,4.72,4.82,4.92,5.42,5.52,5.62,5.67,5.72,5.77,5.82,5.87,5.92,5.97,6.42,6.47,6.52,6.59,6.66,6.72,6.78},{0,10,20,30,40,50,60,62,64,66,68,70,72,74,76,78,80,85,90,95,100})</f>
        <v>68</v>
      </c>
      <c r="U684" s="4">
        <f t="shared" si="83"/>
        <v>68</v>
      </c>
      <c r="W684" s="5">
        <f t="shared" si="79"/>
        <v>50</v>
      </c>
      <c r="X684" s="20">
        <f t="shared" si="84"/>
        <v>71.4285714285714</v>
      </c>
    </row>
    <row r="685" ht="15.6" hidden="1" spans="1:24">
      <c r="A685" s="4">
        <v>202</v>
      </c>
      <c r="B685" s="24" t="s">
        <v>110</v>
      </c>
      <c r="C685" s="25" t="s">
        <v>53</v>
      </c>
      <c r="D685" s="4">
        <v>10</v>
      </c>
      <c r="E685" s="32">
        <f>LOOKUP(D685,{0,1,1.8,2.6,3.4,4.2,5,6.3,7.6,8.9,10.2,11.5,12.8,14.1,15.4,16.7,18,19.7,21.4,23.1,24.8},{0,10,20,30,40,50,60,62,64,66,68,70,72,74,76,78,80,85,90,95,100})</f>
        <v>66</v>
      </c>
      <c r="F685" s="4">
        <v>161</v>
      </c>
      <c r="G685" s="32">
        <f>LOOKUP(F685,{0,124,129,134,139,144,149,152,155,158,161,164,167,170,173,176,179,186,193,199,205},{0,10,20,30,40,50,60,62,64,66,68,70,72,74,76,78,80,85,90,95,100})</f>
        <v>68</v>
      </c>
      <c r="H685" s="4">
        <v>40</v>
      </c>
      <c r="I685" s="32">
        <f>LOOKUP(H685,{0,14,16,18,20,22,24,26,28,30,32,34,36,38,40,42,44,47,50,52,54},{0,10,20,30,40,50,60,62,64,66,68,70,72,74,76,78,80,85,90,95,100})</f>
        <v>76</v>
      </c>
      <c r="L685" s="4">
        <f t="shared" si="80"/>
        <v>76</v>
      </c>
      <c r="M685" s="4">
        <v>9.2</v>
      </c>
      <c r="N685" s="4">
        <f t="shared" si="81"/>
        <v>2.8</v>
      </c>
      <c r="O685" s="32">
        <f>LOOKUP(N685,{0,0.5,0.7,0.9,1.1,1.3,1.5,1.7,1.9,2.1,2.3,2.5,2.7,2.9,3.1,3.3,3.5,3.8,4.1,4.2,4.3},{0,10,20,30,40,50,60,62,64,66,68,70,72,74,76,78,80,85,90,95,100})</f>
        <v>72</v>
      </c>
      <c r="P685" s="4">
        <v>4.08</v>
      </c>
      <c r="Q685" s="4">
        <f t="shared" si="82"/>
        <v>5.92</v>
      </c>
      <c r="R685" s="32">
        <f>LOOKUP(Q685,{0,4.72,4.82,4.92,5.42,5.52,5.62,5.67,5.72,5.77,5.82,5.87,5.92,5.97,6.42,6.47,6.52,6.59,6.66,6.72,6.78},{0,10,20,30,40,50,60,62,64,66,68,70,72,74,76,78,80,85,90,95,100})</f>
        <v>72</v>
      </c>
      <c r="U685" s="4">
        <f t="shared" si="83"/>
        <v>72</v>
      </c>
      <c r="W685" s="5">
        <f t="shared" si="79"/>
        <v>49.8</v>
      </c>
      <c r="X685" s="20">
        <f t="shared" si="84"/>
        <v>71.1428571428572</v>
      </c>
    </row>
    <row r="686" ht="15.6" hidden="1" spans="1:24">
      <c r="A686" s="4">
        <v>214</v>
      </c>
      <c r="B686" s="24" t="s">
        <v>756</v>
      </c>
      <c r="C686" s="25" t="s">
        <v>53</v>
      </c>
      <c r="D686" s="4">
        <v>10</v>
      </c>
      <c r="E686" s="32">
        <f>LOOKUP(D686,{0,1,1.8,2.6,3.4,4.2,5,6.3,7.6,8.9,10.2,11.5,12.8,14.1,15.4,16.7,18,19.7,21.4,23.1,24.8},{0,10,20,30,40,50,60,62,64,66,68,70,72,74,76,78,80,85,90,95,100})</f>
        <v>66</v>
      </c>
      <c r="F686" s="4">
        <v>157</v>
      </c>
      <c r="G686" s="32">
        <f>LOOKUP(F686,{0,124,129,134,139,144,149,152,155,158,161,164,167,170,173,176,179,186,193,199,205},{0,10,20,30,40,50,60,62,64,66,68,70,72,74,76,78,80,85,90,95,100})</f>
        <v>64</v>
      </c>
      <c r="H686" s="4">
        <v>45</v>
      </c>
      <c r="I686" s="32">
        <f>LOOKUP(H686,{0,14,16,18,20,22,24,26,28,30,32,34,36,38,40,42,44,47,50,52,54},{0,10,20,30,40,50,60,62,64,66,68,70,72,74,76,78,80,85,90,95,100})</f>
        <v>80</v>
      </c>
      <c r="L686" s="4">
        <f t="shared" si="80"/>
        <v>80</v>
      </c>
      <c r="M686" s="4">
        <v>9</v>
      </c>
      <c r="N686" s="4">
        <f t="shared" si="81"/>
        <v>3</v>
      </c>
      <c r="O686" s="32">
        <f>LOOKUP(N686,{0,0.5,0.7,0.9,1.1,1.3,1.5,1.7,1.9,2.1,2.3,2.5,2.7,2.9,3.1,3.3,3.5,3.8,4.1,4.2,4.3},{0,10,20,30,40,50,60,62,64,66,68,70,72,74,76,78,80,85,90,95,100})</f>
        <v>74</v>
      </c>
      <c r="P686" s="4">
        <v>4.1</v>
      </c>
      <c r="Q686" s="4">
        <f t="shared" si="82"/>
        <v>5.9</v>
      </c>
      <c r="R686" s="32">
        <f>LOOKUP(Q686,{0,4.72,4.82,4.92,5.42,5.52,5.62,5.67,5.72,5.77,5.82,5.87,5.92,5.97,6.42,6.47,6.52,6.59,6.66,6.72,6.78},{0,10,20,30,40,50,60,62,64,66,68,70,72,74,76,78,80,85,90,95,100})</f>
        <v>70</v>
      </c>
      <c r="U686" s="4">
        <f t="shared" si="83"/>
        <v>70</v>
      </c>
      <c r="W686" s="5">
        <f t="shared" si="79"/>
        <v>49.8</v>
      </c>
      <c r="X686" s="20">
        <f t="shared" si="84"/>
        <v>71.1428571428571</v>
      </c>
    </row>
    <row r="687" ht="15.6" hidden="1" spans="1:24">
      <c r="A687" s="4">
        <v>206</v>
      </c>
      <c r="B687" s="24" t="s">
        <v>314</v>
      </c>
      <c r="C687" s="25" t="s">
        <v>53</v>
      </c>
      <c r="D687" s="4">
        <v>12.5</v>
      </c>
      <c r="E687" s="32">
        <f>LOOKUP(D687,{0,1,1.8,2.6,3.4,4.2,5,6.3,7.6,8.9,10.2,11.5,12.8,14.1,15.4,16.7,18,19.7,21.4,23.1,24.8},{0,10,20,30,40,50,60,62,64,66,68,70,72,74,76,78,80,85,90,95,100})</f>
        <v>70</v>
      </c>
      <c r="F687" s="4">
        <v>160</v>
      </c>
      <c r="G687" s="32">
        <f>LOOKUP(F687,{0,124,129,134,139,144,149,152,155,158,161,164,167,170,173,176,179,186,193,199,205},{0,10,20,30,40,50,60,62,64,66,68,70,72,74,76,78,80,85,90,95,100})</f>
        <v>66</v>
      </c>
      <c r="H687" s="4">
        <v>44</v>
      </c>
      <c r="I687" s="32">
        <f>LOOKUP(H687,{0,14,16,18,20,22,24,26,28,30,32,34,36,38,40,42,44,47,50,52,54},{0,10,20,30,40,50,60,62,64,66,68,70,72,74,76,78,80,85,90,95,100})</f>
        <v>80</v>
      </c>
      <c r="L687" s="4">
        <f t="shared" si="80"/>
        <v>80</v>
      </c>
      <c r="M687" s="4">
        <v>9.6</v>
      </c>
      <c r="N687" s="4">
        <f t="shared" si="81"/>
        <v>2.4</v>
      </c>
      <c r="O687" s="32">
        <f>LOOKUP(N687,{0,0.5,0.7,0.9,1.1,1.3,1.5,1.7,1.9,2.1,2.3,2.5,2.7,2.9,3.1,3.3,3.5,3.8,4.1,4.2,4.3},{0,10,20,30,40,50,60,62,64,66,68,70,72,74,76,78,80,85,90,95,100})</f>
        <v>68</v>
      </c>
      <c r="P687" s="4">
        <v>4.13</v>
      </c>
      <c r="Q687" s="4">
        <f t="shared" si="82"/>
        <v>5.87</v>
      </c>
      <c r="R687" s="32">
        <f>LOOKUP(Q687,{0,4.72,4.82,4.92,5.42,5.52,5.62,5.67,5.72,5.77,5.82,5.87,5.92,5.97,6.42,6.47,6.52,6.59,6.66,6.72,6.78},{0,10,20,30,40,50,60,62,64,66,68,70,72,74,76,78,80,85,90,95,100})</f>
        <v>70</v>
      </c>
      <c r="U687" s="4">
        <f t="shared" si="83"/>
        <v>70</v>
      </c>
      <c r="W687" s="5">
        <f t="shared" si="79"/>
        <v>49.2</v>
      </c>
      <c r="X687" s="20">
        <f t="shared" si="84"/>
        <v>70.2857142857143</v>
      </c>
    </row>
    <row r="688" ht="15.6" hidden="1" spans="1:24">
      <c r="A688" s="4">
        <v>214</v>
      </c>
      <c r="B688" s="24" t="s">
        <v>749</v>
      </c>
      <c r="C688" s="25" t="s">
        <v>53</v>
      </c>
      <c r="D688" s="4">
        <v>27</v>
      </c>
      <c r="E688" s="32">
        <f>LOOKUP(D688,{0,1,1.8,2.6,3.4,4.2,5,6.3,7.6,8.9,10.2,11.5,12.8,14.1,15.4,16.7,18,19.7,21.4,23.1,24.8},{0,10,20,30,40,50,60,62,64,66,68,70,72,74,76,78,80,85,90,95,100})</f>
        <v>100</v>
      </c>
      <c r="F688" s="4">
        <v>148</v>
      </c>
      <c r="G688" s="32">
        <f>LOOKUP(F688,{0,124,129,134,139,144,149,152,155,158,161,164,167,170,173,176,179,186,193,199,205},{0,10,20,30,40,50,60,62,64,66,68,70,72,74,76,78,80,85,90,95,100})</f>
        <v>50</v>
      </c>
      <c r="H688" s="4">
        <v>32</v>
      </c>
      <c r="I688" s="32">
        <f>LOOKUP(H688,{0,14,16,18,20,22,24,26,28,30,32,34,36,38,40,42,44,47,50,52,54},{0,10,20,30,40,50,60,62,64,66,68,70,72,74,76,78,80,85,90,95,100})</f>
        <v>68</v>
      </c>
      <c r="L688" s="4">
        <f t="shared" si="80"/>
        <v>68</v>
      </c>
      <c r="M688" s="4">
        <v>10.1</v>
      </c>
      <c r="N688" s="4">
        <f t="shared" si="81"/>
        <v>1.9</v>
      </c>
      <c r="O688" s="32">
        <f>LOOKUP(N688,{0,0.5,0.7,0.9,1.1,1.3,1.5,1.7,1.9,2.1,2.3,2.5,2.7,2.9,3.1,3.3,3.5,3.8,4.1,4.2,4.3},{0,10,20,30,40,50,60,62,64,66,68,70,72,74,76,78,80,85,90,95,100})</f>
        <v>64</v>
      </c>
      <c r="P688" s="4">
        <v>4.12</v>
      </c>
      <c r="Q688" s="4">
        <f t="shared" si="82"/>
        <v>5.88</v>
      </c>
      <c r="R688" s="32">
        <f>LOOKUP(Q688,{0,4.72,4.82,4.92,5.42,5.52,5.62,5.67,5.72,5.77,5.82,5.87,5.92,5.97,6.42,6.47,6.52,6.59,6.66,6.72,6.78},{0,10,20,30,40,50,60,62,64,66,68,70,72,74,76,78,80,85,90,95,100})</f>
        <v>70</v>
      </c>
      <c r="U688" s="4">
        <f t="shared" si="83"/>
        <v>70</v>
      </c>
      <c r="W688" s="5">
        <f t="shared" si="79"/>
        <v>48.6</v>
      </c>
      <c r="X688" s="20">
        <f t="shared" si="84"/>
        <v>69.4285714285714</v>
      </c>
    </row>
    <row r="689" s="1" customFormat="1" ht="15.6" hidden="1" spans="1:24">
      <c r="A689" s="4">
        <v>215</v>
      </c>
      <c r="B689" s="24" t="s">
        <v>841</v>
      </c>
      <c r="C689" s="25" t="s">
        <v>53</v>
      </c>
      <c r="D689" s="4">
        <v>24</v>
      </c>
      <c r="E689" s="32">
        <f>LOOKUP(D689,{0,1,1.8,2.6,3.4,4.2,5,6.3,7.6,8.9,10.2,11.5,12.8,14.1,15.4,16.7,18,19.7,21.4,23.1,24.8},{0,10,20,30,40,50,60,62,64,66,68,70,72,74,76,78,80,85,90,95,100})</f>
        <v>95</v>
      </c>
      <c r="F689" s="4">
        <v>134</v>
      </c>
      <c r="G689" s="32">
        <f>LOOKUP(F689,{0,124,129,134,139,144,149,152,155,158,161,164,167,170,173,176,179,186,193,199,205},{0,10,20,30,40,50,60,62,64,66,68,70,72,74,76,78,80,85,90,95,100})</f>
        <v>30</v>
      </c>
      <c r="H689" s="4">
        <v>45</v>
      </c>
      <c r="I689" s="32">
        <f>LOOKUP(H689,{0,14,16,18,20,22,24,26,28,30,32,34,36,38,40,42,44,47,50,52,54},{0,10,20,30,40,50,60,62,64,66,68,70,72,74,76,78,80,85,90,95,100})</f>
        <v>80</v>
      </c>
      <c r="J689" s="4"/>
      <c r="K689" s="4"/>
      <c r="L689" s="4">
        <f t="shared" si="80"/>
        <v>80</v>
      </c>
      <c r="M689" s="4">
        <v>9.3</v>
      </c>
      <c r="N689" s="4">
        <f t="shared" si="81"/>
        <v>2.7</v>
      </c>
      <c r="O689" s="32">
        <f>LOOKUP(N689,{0,0.5,0.7,0.9,1.1,1.3,1.5,1.7,1.9,2.1,2.3,2.5,2.7,2.9,3.1,3.3,3.5,3.8,4.1,4.2,4.3},{0,10,20,30,40,50,60,62,64,66,68,70,72,74,76,78,80,85,90,95,100})</f>
        <v>72</v>
      </c>
      <c r="P689" s="4">
        <v>4.17</v>
      </c>
      <c r="Q689" s="4">
        <f t="shared" si="82"/>
        <v>5.83</v>
      </c>
      <c r="R689" s="32">
        <f>LOOKUP(Q689,{0,4.72,4.82,4.92,5.42,5.52,5.62,5.67,5.72,5.77,5.82,5.87,5.92,5.97,6.42,6.47,6.52,6.59,6.66,6.72,6.78},{0,10,20,30,40,50,60,62,64,66,68,70,72,74,76,78,80,85,90,95,100})</f>
        <v>68</v>
      </c>
      <c r="S689" s="4"/>
      <c r="T689" s="4"/>
      <c r="U689" s="4">
        <f t="shared" si="83"/>
        <v>68</v>
      </c>
      <c r="V689" s="4"/>
      <c r="W689" s="5">
        <f t="shared" si="79"/>
        <v>48.5</v>
      </c>
      <c r="X689" s="20">
        <f t="shared" si="84"/>
        <v>69.2857142857143</v>
      </c>
    </row>
    <row r="690" ht="15.6" hidden="1" spans="1:24">
      <c r="A690" s="4">
        <v>213</v>
      </c>
      <c r="B690" s="24" t="s">
        <v>692</v>
      </c>
      <c r="C690" s="25" t="s">
        <v>53</v>
      </c>
      <c r="D690" s="4">
        <v>18.5</v>
      </c>
      <c r="E690" s="32">
        <f>LOOKUP(D690,{0,1,1.8,2.6,3.4,4.2,5,6.3,7.6,8.9,10.2,11.5,12.8,14.1,15.4,16.7,18,19.7,21.4,23.1,24.8},{0,10,20,30,40,50,60,62,64,66,68,70,72,74,76,78,80,85,90,95,100})</f>
        <v>80</v>
      </c>
      <c r="F690" s="4">
        <v>169</v>
      </c>
      <c r="G690" s="32">
        <f>LOOKUP(F690,{0,124,129,134,139,144,149,152,155,158,161,164,167,170,173,176,179,186,193,199,205},{0,10,20,30,40,50,60,62,64,66,68,70,72,74,76,78,80,85,90,95,100})</f>
        <v>72</v>
      </c>
      <c r="H690" s="4">
        <v>54</v>
      </c>
      <c r="I690" s="32">
        <f>LOOKUP(H690,{0,14,16,18,20,22,24,26,28,30,32,34,36,38,40,42,44,47,50,52,54},{0,10,20,30,40,50,60,62,64,66,68,70,72,74,76,78,80,85,90,95,100})</f>
        <v>100</v>
      </c>
      <c r="J690" s="4">
        <f>H690-54</f>
        <v>0</v>
      </c>
      <c r="K690" s="32">
        <f>LOOKUP(J690,{0,2,4,6,7,8,9,10,11,12,13},{0,1,2,3,4,5,6,7,8,9,10})</f>
        <v>0</v>
      </c>
      <c r="L690" s="4">
        <f t="shared" si="80"/>
        <v>100</v>
      </c>
      <c r="M690" s="4">
        <v>8.9</v>
      </c>
      <c r="N690" s="4">
        <f t="shared" si="81"/>
        <v>3.1</v>
      </c>
      <c r="O690" s="32">
        <f>LOOKUP(N690,{0,0.5,0.7,0.9,1.1,1.3,1.5,1.7,1.9,2.1,2.3,2.5,2.7,2.9,3.1,3.3,3.5,3.8,4.1,4.2,4.3},{0,10,20,30,40,50,60,62,64,66,68,70,72,74,76,78,80,85,90,95,100})</f>
        <v>76</v>
      </c>
      <c r="P690" s="4">
        <v>4.52</v>
      </c>
      <c r="Q690" s="4">
        <f t="shared" si="82"/>
        <v>5.48</v>
      </c>
      <c r="R690" s="32">
        <f>LOOKUP(Q690,{0,4.72,4.82,4.92,5.42,5.52,5.62,5.67,5.72,5.77,5.82,5.87,5.92,5.97,6.42,6.47,6.52,6.59,6.66,6.72,6.78},{0,10,20,30,40,50,60,62,64,66,68,70,72,74,76,78,80,85,90,95,100})</f>
        <v>40</v>
      </c>
      <c r="U690" s="4">
        <f t="shared" si="83"/>
        <v>40</v>
      </c>
      <c r="W690" s="5">
        <f t="shared" si="79"/>
        <v>48.4</v>
      </c>
      <c r="X690" s="20">
        <f t="shared" si="84"/>
        <v>69.1428571428571</v>
      </c>
    </row>
    <row r="691" ht="15.6" hidden="1" spans="1:24">
      <c r="A691" s="4">
        <v>215</v>
      </c>
      <c r="B691" s="24" t="s">
        <v>839</v>
      </c>
      <c r="C691" s="25" t="s">
        <v>53</v>
      </c>
      <c r="D691" s="4">
        <v>7</v>
      </c>
      <c r="E691" s="32">
        <f>LOOKUP(D691,{0,1,1.8,2.6,3.4,4.2,5,6.3,7.6,8.9,10.2,11.5,12.8,14.1,15.4,16.7,18,19.7,21.4,23.1,24.8},{0,10,20,30,40,50,60,62,64,66,68,70,72,74,76,78,80,85,90,95,100})</f>
        <v>62</v>
      </c>
      <c r="F691" s="4">
        <v>159</v>
      </c>
      <c r="G691" s="32">
        <f>LOOKUP(F691,{0,124,129,134,139,144,149,152,155,158,161,164,167,170,173,176,179,186,193,199,205},{0,10,20,30,40,50,60,62,64,66,68,70,72,74,76,78,80,85,90,95,100})</f>
        <v>66</v>
      </c>
      <c r="H691" s="4">
        <v>38</v>
      </c>
      <c r="I691" s="32">
        <f>LOOKUP(H691,{0,14,16,18,20,22,24,26,28,30,32,34,36,38,40,42,44,47,50,52,54},{0,10,20,30,40,50,60,62,64,66,68,70,72,74,76,78,80,85,90,95,100})</f>
        <v>74</v>
      </c>
      <c r="L691" s="4">
        <f t="shared" si="80"/>
        <v>74</v>
      </c>
      <c r="M691" s="4">
        <v>9.4</v>
      </c>
      <c r="N691" s="4">
        <f t="shared" si="81"/>
        <v>2.6</v>
      </c>
      <c r="O691" s="32">
        <f>LOOKUP(N691,{0,0.5,0.7,0.9,1.1,1.3,1.5,1.7,1.9,2.1,2.3,2.5,2.7,2.9,3.1,3.3,3.5,3.8,4.1,4.2,4.3},{0,10,20,30,40,50,60,62,64,66,68,70,72,74,76,78,80,85,90,95,100})</f>
        <v>70</v>
      </c>
      <c r="P691" s="4">
        <v>4.1</v>
      </c>
      <c r="Q691" s="4">
        <f t="shared" si="82"/>
        <v>5.9</v>
      </c>
      <c r="R691" s="32">
        <f>LOOKUP(Q691,{0,4.72,4.82,4.92,5.42,5.52,5.62,5.67,5.72,5.77,5.82,5.87,5.92,5.97,6.42,6.47,6.52,6.59,6.66,6.72,6.78},{0,10,20,30,40,50,60,62,64,66,68,70,72,74,76,78,80,85,90,95,100})</f>
        <v>70</v>
      </c>
      <c r="U691" s="4">
        <f t="shared" si="83"/>
        <v>70</v>
      </c>
      <c r="W691" s="5">
        <f t="shared" si="79"/>
        <v>48.2</v>
      </c>
      <c r="X691" s="20">
        <f t="shared" si="84"/>
        <v>68.8571428571429</v>
      </c>
    </row>
    <row r="692" ht="15.6" hidden="1" spans="1:24">
      <c r="A692" s="4">
        <v>206</v>
      </c>
      <c r="B692" s="33" t="s">
        <v>312</v>
      </c>
      <c r="C692" s="25" t="s">
        <v>53</v>
      </c>
      <c r="D692" s="4">
        <v>14.9</v>
      </c>
      <c r="E692" s="32">
        <f>LOOKUP(D692,{0,1,1.8,2.6,3.4,4.2,5,6.3,7.6,8.9,10.2,11.5,12.8,14.1,15.4,16.7,18,19.7,21.4,23.1,24.8},{0,10,20,30,40,50,60,62,64,66,68,70,72,74,76,78,80,85,90,95,100})</f>
        <v>74</v>
      </c>
      <c r="F692" s="4">
        <v>155</v>
      </c>
      <c r="G692" s="32">
        <f>LOOKUP(F692,{0,124,129,134,139,144,149,152,155,158,161,164,167,170,173,176,179,186,193,199,205},{0,10,20,30,40,50,60,62,64,66,68,70,72,74,76,78,80,85,90,95,100})</f>
        <v>64</v>
      </c>
      <c r="H692" s="4">
        <v>36</v>
      </c>
      <c r="I692" s="32">
        <f>LOOKUP(H692,{0,14,16,18,20,22,24,26,28,30,32,34,36,38,40,42,44,47,50,52,54},{0,10,20,30,40,50,60,62,64,66,68,70,72,74,76,78,80,85,90,95,100})</f>
        <v>72</v>
      </c>
      <c r="L692" s="4">
        <f t="shared" si="80"/>
        <v>72</v>
      </c>
      <c r="M692" s="4">
        <v>9.2</v>
      </c>
      <c r="N692" s="4">
        <f t="shared" si="81"/>
        <v>2.8</v>
      </c>
      <c r="O692" s="32">
        <f>LOOKUP(N692,{0,0.5,0.7,0.9,1.1,1.3,1.5,1.7,1.9,2.1,2.3,2.5,2.7,2.9,3.1,3.3,3.5,3.8,4.1,4.2,4.3},{0,10,20,30,40,50,60,62,64,66,68,70,72,74,76,78,80,85,90,95,100})</f>
        <v>72</v>
      </c>
      <c r="P692" s="4">
        <v>4.34</v>
      </c>
      <c r="Q692" s="4">
        <f t="shared" si="82"/>
        <v>5.66</v>
      </c>
      <c r="R692" s="32">
        <f>LOOKUP(Q692,{0,4.72,4.82,4.92,5.42,5.52,5.62,5.67,5.72,5.77,5.82,5.87,5.92,5.97,6.42,6.47,6.52,6.59,6.66,6.72,6.78},{0,10,20,30,40,50,60,62,64,66,68,70,72,74,76,78,80,85,90,95,100})</f>
        <v>60</v>
      </c>
      <c r="U692" s="4">
        <f t="shared" si="83"/>
        <v>60</v>
      </c>
      <c r="W692" s="5">
        <f t="shared" si="79"/>
        <v>47.4</v>
      </c>
      <c r="X692" s="20">
        <f t="shared" si="84"/>
        <v>67.7142857142857</v>
      </c>
    </row>
    <row r="693" ht="15.6" hidden="1" spans="1:24">
      <c r="A693" s="4">
        <v>211</v>
      </c>
      <c r="B693" s="24" t="s">
        <v>605</v>
      </c>
      <c r="C693" s="25" t="s">
        <v>53</v>
      </c>
      <c r="D693" s="4">
        <v>17.3</v>
      </c>
      <c r="E693" s="32">
        <f>LOOKUP(D693,{0,1,1.8,2.6,3.4,4.2,5,6.3,7.6,8.9,10.2,11.5,12.8,14.1,15.4,16.7,18,19.7,21.4,23.1,24.8},{0,10,20,30,40,50,60,62,64,66,68,70,72,74,76,78,80,85,90,95,100})</f>
        <v>78</v>
      </c>
      <c r="F693" s="4">
        <v>155</v>
      </c>
      <c r="G693" s="32">
        <f>LOOKUP(F693,{0,124,129,134,139,144,149,152,155,158,161,164,167,170,173,176,179,186,193,199,205},{0,10,20,30,40,50,60,62,64,66,68,70,72,74,76,78,80,85,90,95,100})</f>
        <v>64</v>
      </c>
      <c r="H693" s="4">
        <v>39</v>
      </c>
      <c r="I693" s="32">
        <f>LOOKUP(H693,{0,14,16,18,20,22,24,26,28,30,32,34,36,38,40,42,44,47,50,52,54},{0,10,20,30,40,50,60,62,64,66,68,70,72,74,76,78,80,85,90,95,100})</f>
        <v>74</v>
      </c>
      <c r="L693" s="4">
        <f t="shared" si="80"/>
        <v>74</v>
      </c>
      <c r="M693" s="4">
        <v>10</v>
      </c>
      <c r="N693" s="4">
        <f t="shared" si="81"/>
        <v>2</v>
      </c>
      <c r="O693" s="32">
        <f>LOOKUP(N693,{0,0.5,0.7,0.9,1.1,1.3,1.5,1.7,1.9,2.1,2.3,2.5,2.7,2.9,3.1,3.3,3.5,3.8,4.1,4.2,4.3},{0,10,20,30,40,50,60,62,64,66,68,70,72,74,76,78,80,85,90,95,100})</f>
        <v>64</v>
      </c>
      <c r="P693" s="4">
        <v>4.28</v>
      </c>
      <c r="Q693" s="4">
        <f t="shared" si="82"/>
        <v>5.72</v>
      </c>
      <c r="R693" s="32">
        <f>LOOKUP(Q693,{0,4.72,4.82,4.92,5.42,5.52,5.62,5.67,5.72,5.77,5.82,5.87,5.92,5.97,6.42,6.47,6.52,6.59,6.66,6.72,6.78},{0,10,20,30,40,50,60,62,64,66,68,70,72,74,76,78,80,85,90,95,100})</f>
        <v>64</v>
      </c>
      <c r="U693" s="4">
        <f t="shared" si="83"/>
        <v>64</v>
      </c>
      <c r="W693" s="5">
        <f t="shared" si="79"/>
        <v>47.2</v>
      </c>
      <c r="X693" s="20">
        <f t="shared" si="84"/>
        <v>67.4285714285714</v>
      </c>
    </row>
    <row r="694" ht="15.6" hidden="1" spans="1:24">
      <c r="A694" s="4">
        <v>204</v>
      </c>
      <c r="B694" s="24" t="s">
        <v>181</v>
      </c>
      <c r="C694" s="25" t="s">
        <v>53</v>
      </c>
      <c r="D694" s="4">
        <v>20</v>
      </c>
      <c r="E694" s="32">
        <f>LOOKUP(D694,{0,1,1.8,2.6,3.4,4.2,5,6.3,7.6,8.9,10.2,11.5,12.8,14.1,15.4,16.7,18,19.7,21.4,23.1,24.8},{0,10,20,30,40,50,60,62,64,66,68,70,72,74,76,78,80,85,90,95,100})</f>
        <v>85</v>
      </c>
      <c r="F694" s="4">
        <v>173</v>
      </c>
      <c r="G694" s="32">
        <f>LOOKUP(F694,{0,124,129,134,139,144,149,152,155,158,161,164,167,170,173,176,179,186,193,199,205},{0,10,20,30,40,50,60,62,64,66,68,70,72,74,76,78,80,85,90,95,100})</f>
        <v>76</v>
      </c>
      <c r="H694" s="4">
        <v>42</v>
      </c>
      <c r="I694" s="32">
        <f>LOOKUP(H694,{0,14,16,18,20,22,24,26,28,30,32,34,36,38,40,42,44,47,50,52,54},{0,10,20,30,40,50,60,62,64,66,68,70,72,74,76,78,80,85,90,95,100})</f>
        <v>78</v>
      </c>
      <c r="L694" s="4">
        <f t="shared" si="80"/>
        <v>78</v>
      </c>
      <c r="M694" s="4">
        <v>9.1</v>
      </c>
      <c r="N694" s="4">
        <f t="shared" si="81"/>
        <v>2.9</v>
      </c>
      <c r="O694" s="32">
        <f>LOOKUP(N694,{0,0.5,0.7,0.9,1.1,1.3,1.5,1.7,1.9,2.1,2.3,2.5,2.7,2.9,3.1,3.3,3.5,3.8,4.1,4.2,4.3},{0,10,20,30,40,50,60,62,64,66,68,70,72,74,76,78,80,85,90,95,100})</f>
        <v>74</v>
      </c>
      <c r="P694" s="4">
        <v>4.52</v>
      </c>
      <c r="Q694" s="4">
        <f t="shared" si="82"/>
        <v>5.48</v>
      </c>
      <c r="R694" s="32">
        <f>LOOKUP(Q694,{0,4.72,4.82,4.92,5.42,5.52,5.62,5.67,5.72,5.77,5.82,5.87,5.92,5.97,6.42,6.47,6.52,6.59,6.66,6.72,6.78},{0,10,20,30,40,50,60,62,64,66,68,70,72,74,76,78,80,85,90,95,100})</f>
        <v>40</v>
      </c>
      <c r="U694" s="4">
        <f t="shared" si="83"/>
        <v>40</v>
      </c>
      <c r="W694" s="5">
        <f t="shared" si="79"/>
        <v>46.7</v>
      </c>
      <c r="X694" s="20">
        <f t="shared" si="84"/>
        <v>66.7142857142857</v>
      </c>
    </row>
    <row r="695" ht="15.6" hidden="1" spans="1:24">
      <c r="A695" s="4">
        <v>214</v>
      </c>
      <c r="B695" s="24" t="s">
        <v>760</v>
      </c>
      <c r="C695" s="25" t="s">
        <v>53</v>
      </c>
      <c r="D695" s="4">
        <v>9.3</v>
      </c>
      <c r="E695" s="32">
        <f>LOOKUP(D695,{0,1,1.8,2.6,3.4,4.2,5,6.3,7.6,8.9,10.2,11.5,12.8,14.1,15.4,16.7,18,19.7,21.4,23.1,24.8},{0,10,20,30,40,50,60,62,64,66,68,70,72,74,76,78,80,85,90,95,100})</f>
        <v>66</v>
      </c>
      <c r="F695" s="4">
        <v>135</v>
      </c>
      <c r="G695" s="32">
        <f>LOOKUP(F695,{0,124,129,134,139,144,149,152,155,158,161,164,167,170,173,176,179,186,193,199,205},{0,10,20,30,40,50,60,62,64,66,68,70,72,74,76,78,80,85,90,95,100})</f>
        <v>30</v>
      </c>
      <c r="H695" s="4">
        <v>43</v>
      </c>
      <c r="I695" s="32">
        <f>LOOKUP(H695,{0,14,16,18,20,22,24,26,28,30,32,34,36,38,40,42,44,47,50,52,54},{0,10,20,30,40,50,60,62,64,66,68,70,72,74,76,78,80,85,90,95,100})</f>
        <v>78</v>
      </c>
      <c r="L695" s="4">
        <f t="shared" si="80"/>
        <v>78</v>
      </c>
      <c r="M695" s="4">
        <v>9.5</v>
      </c>
      <c r="N695" s="4">
        <f t="shared" si="81"/>
        <v>2.5</v>
      </c>
      <c r="O695" s="32">
        <f>LOOKUP(N695,{0,0.5,0.7,0.9,1.1,1.3,1.5,1.7,1.9,2.1,2.3,2.5,2.7,2.9,3.1,3.3,3.5,3.8,4.1,4.2,4.3},{0,10,20,30,40,50,60,62,64,66,68,70,72,74,76,78,80,85,90,95,100})</f>
        <v>70</v>
      </c>
      <c r="P695" s="4">
        <v>4.1</v>
      </c>
      <c r="Q695" s="4">
        <f t="shared" si="82"/>
        <v>5.9</v>
      </c>
      <c r="R695" s="32">
        <f>LOOKUP(Q695,{0,4.72,4.82,4.92,5.42,5.52,5.62,5.67,5.72,5.77,5.82,5.87,5.92,5.97,6.42,6.47,6.52,6.59,6.66,6.72,6.78},{0,10,20,30,40,50,60,62,64,66,68,70,72,74,76,78,80,85,90,95,100})</f>
        <v>70</v>
      </c>
      <c r="U695" s="4">
        <f t="shared" si="83"/>
        <v>70</v>
      </c>
      <c r="W695" s="5">
        <f t="shared" si="79"/>
        <v>45.4</v>
      </c>
      <c r="X695" s="20">
        <f t="shared" si="84"/>
        <v>64.8571428571429</v>
      </c>
    </row>
    <row r="696" ht="15.6" hidden="1" spans="1:24">
      <c r="A696" s="4">
        <v>215</v>
      </c>
      <c r="B696" s="24" t="s">
        <v>805</v>
      </c>
      <c r="C696" s="25" t="s">
        <v>53</v>
      </c>
      <c r="D696" s="4">
        <v>17</v>
      </c>
      <c r="E696" s="32">
        <f>LOOKUP(D696,{0,1,1.8,2.6,3.4,4.2,5,6.3,7.6,8.9,10.2,11.5,12.8,14.1,15.4,16.7,18,19.7,21.4,23.1,24.8},{0,10,20,30,40,50,60,62,64,66,68,70,72,74,76,78,80,85,90,95,100})</f>
        <v>78</v>
      </c>
      <c r="F696" s="4">
        <v>148</v>
      </c>
      <c r="G696" s="32">
        <f>LOOKUP(F696,{0,124,129,134,139,144,149,152,155,158,161,164,167,170,173,176,179,186,193,199,205},{0,10,20,30,40,50,60,62,64,66,68,70,72,74,76,78,80,85,90,95,100})</f>
        <v>50</v>
      </c>
      <c r="H696" s="4">
        <v>50</v>
      </c>
      <c r="I696" s="32">
        <f>LOOKUP(H696,{0,14,16,18,20,22,24,26,28,30,32,34,36,38,40,42,44,47,50,52,54},{0,10,20,30,40,50,60,62,64,66,68,70,72,74,76,78,80,85,90,95,100})</f>
        <v>90</v>
      </c>
      <c r="L696" s="4">
        <f t="shared" si="80"/>
        <v>90</v>
      </c>
      <c r="M696" s="4">
        <v>10</v>
      </c>
      <c r="N696" s="4">
        <f t="shared" si="81"/>
        <v>2</v>
      </c>
      <c r="O696" s="32">
        <f>LOOKUP(N696,{0,0.5,0.7,0.9,1.1,1.3,1.5,1.7,1.9,2.1,2.3,2.5,2.7,2.9,3.1,3.3,3.5,3.8,4.1,4.2,4.3},{0,10,20,30,40,50,60,62,64,66,68,70,72,74,76,78,80,85,90,95,100})</f>
        <v>64</v>
      </c>
      <c r="P696" s="4">
        <v>4.4</v>
      </c>
      <c r="Q696" s="4">
        <f t="shared" si="82"/>
        <v>5.6</v>
      </c>
      <c r="R696" s="32">
        <f>LOOKUP(Q696,{0,4.72,4.82,4.92,5.42,5.52,5.62,5.67,5.72,5.77,5.82,5.87,5.92,5.97,6.42,6.47,6.52,6.59,6.66,6.72,6.78},{0,10,20,30,40,50,60,62,64,66,68,70,72,74,76,78,80,85,90,95,100})</f>
        <v>50</v>
      </c>
      <c r="U696" s="4">
        <f t="shared" si="83"/>
        <v>50</v>
      </c>
      <c r="W696" s="5">
        <f t="shared" si="79"/>
        <v>44.6</v>
      </c>
      <c r="X696" s="20">
        <f t="shared" si="84"/>
        <v>63.7142857142857</v>
      </c>
    </row>
    <row r="697" ht="15.6" hidden="1" spans="1:24">
      <c r="A697" s="4">
        <v>214</v>
      </c>
      <c r="B697" s="24" t="s">
        <v>770</v>
      </c>
      <c r="C697" s="25" t="s">
        <v>53</v>
      </c>
      <c r="D697" s="4">
        <v>11.5</v>
      </c>
      <c r="E697" s="32">
        <f>LOOKUP(D697,{0,1,1.8,2.6,3.4,4.2,5,6.3,7.6,8.9,10.2,11.5,12.8,14.1,15.4,16.7,18,19.7,21.4,23.1,24.8},{0,10,20,30,40,50,60,62,64,66,68,70,72,74,76,78,80,85,90,95,100})</f>
        <v>70</v>
      </c>
      <c r="F697" s="4">
        <v>135</v>
      </c>
      <c r="G697" s="32">
        <f>LOOKUP(F697,{0,124,129,134,139,144,149,152,155,158,161,164,167,170,173,176,179,186,193,199,205},{0,10,20,30,40,50,60,62,64,66,68,70,72,74,76,78,80,85,90,95,100})</f>
        <v>30</v>
      </c>
      <c r="H697" s="4">
        <v>43</v>
      </c>
      <c r="I697" s="32">
        <f>LOOKUP(H697,{0,14,16,18,20,22,24,26,28,30,32,34,36,38,40,42,44,47,50,52,54},{0,10,20,30,40,50,60,62,64,66,68,70,72,74,76,78,80,85,90,95,100})</f>
        <v>78</v>
      </c>
      <c r="L697" s="4">
        <f t="shared" si="80"/>
        <v>78</v>
      </c>
      <c r="M697" s="4">
        <v>10</v>
      </c>
      <c r="N697" s="4">
        <f t="shared" si="81"/>
        <v>2</v>
      </c>
      <c r="O697" s="32">
        <f>LOOKUP(N697,{0,0.5,0.7,0.9,1.1,1.3,1.5,1.7,1.9,2.1,2.3,2.5,2.7,2.9,3.1,3.3,3.5,3.8,4.1,4.2,4.3},{0,10,20,30,40,50,60,62,64,66,68,70,72,74,76,78,80,85,90,95,100})</f>
        <v>64</v>
      </c>
      <c r="P697" s="4">
        <v>4.15</v>
      </c>
      <c r="Q697" s="4">
        <f t="shared" si="82"/>
        <v>5.85</v>
      </c>
      <c r="R697" s="32">
        <f>LOOKUP(Q697,{0,4.72,4.82,4.92,5.42,5.52,5.62,5.67,5.72,5.77,5.82,5.87,5.92,5.97,6.42,6.47,6.52,6.59,6.66,6.72,6.78},{0,10,20,30,40,50,60,62,64,66,68,70,72,74,76,78,80,85,90,95,100})</f>
        <v>68</v>
      </c>
      <c r="U697" s="4">
        <f t="shared" si="83"/>
        <v>68</v>
      </c>
      <c r="W697" s="5">
        <f t="shared" si="79"/>
        <v>44.2</v>
      </c>
      <c r="X697" s="20">
        <f t="shared" si="84"/>
        <v>63.1428571428572</v>
      </c>
    </row>
    <row r="698" ht="15.6" hidden="1" spans="1:24">
      <c r="A698" s="4">
        <v>215</v>
      </c>
      <c r="B698" s="24" t="s">
        <v>811</v>
      </c>
      <c r="C698" s="25" t="s">
        <v>53</v>
      </c>
      <c r="D698" s="4">
        <v>15.5</v>
      </c>
      <c r="E698" s="32">
        <f>LOOKUP(D698,{0,1,1.8,2.6,3.4,4.2,5,6.3,7.6,8.9,10.2,11.5,12.8,14.1,15.4,16.7,18,19.7,21.4,23.1,24.8},{0,10,20,30,40,50,60,62,64,66,68,70,72,74,76,78,80,85,90,95,100})</f>
        <v>76</v>
      </c>
      <c r="F698" s="4">
        <v>144</v>
      </c>
      <c r="G698" s="32">
        <f>LOOKUP(F698,{0,124,129,134,139,144,149,152,155,158,161,164,167,170,173,176,179,186,193,199,205},{0,10,20,30,40,50,60,62,64,66,68,70,72,74,76,78,80,85,90,95,100})</f>
        <v>50</v>
      </c>
      <c r="H698" s="4">
        <v>46</v>
      </c>
      <c r="I698" s="32">
        <f>LOOKUP(H698,{0,14,16,18,20,22,24,26,28,30,32,34,36,38,40,42,44,47,50,52,54},{0,10,20,30,40,50,60,62,64,66,68,70,72,74,76,78,80,85,90,95,100})</f>
        <v>80</v>
      </c>
      <c r="L698" s="4">
        <f t="shared" si="80"/>
        <v>80</v>
      </c>
      <c r="M698" s="4">
        <v>9.6</v>
      </c>
      <c r="N698" s="4">
        <f t="shared" si="81"/>
        <v>2.4</v>
      </c>
      <c r="O698" s="32">
        <f>LOOKUP(N698,{0,0.5,0.7,0.9,1.1,1.3,1.5,1.7,1.9,2.1,2.3,2.5,2.7,2.9,3.1,3.3,3.5,3.8,4.1,4.2,4.3},{0,10,20,30,40,50,60,62,64,66,68,70,72,74,76,78,80,85,90,95,100})</f>
        <v>68</v>
      </c>
      <c r="P698" s="4">
        <v>4.42</v>
      </c>
      <c r="Q698" s="4">
        <f t="shared" si="82"/>
        <v>5.58</v>
      </c>
      <c r="R698" s="32">
        <f>LOOKUP(Q698,{0,4.72,4.82,4.92,5.42,5.52,5.62,5.67,5.72,5.77,5.82,5.87,5.92,5.97,6.42,6.47,6.52,6.59,6.66,6.72,6.78},{0,10,20,30,40,50,60,62,64,66,68,70,72,74,76,78,80,85,90,95,100})</f>
        <v>50</v>
      </c>
      <c r="U698" s="4">
        <f t="shared" si="83"/>
        <v>50</v>
      </c>
      <c r="W698" s="5">
        <f t="shared" si="79"/>
        <v>44.2</v>
      </c>
      <c r="X698" s="20">
        <f t="shared" si="84"/>
        <v>63.1428571428572</v>
      </c>
    </row>
    <row r="699" ht="15.6" hidden="1" spans="1:24">
      <c r="A699" s="4">
        <v>211</v>
      </c>
      <c r="B699" s="24" t="s">
        <v>601</v>
      </c>
      <c r="C699" s="25" t="s">
        <v>53</v>
      </c>
      <c r="D699" s="4">
        <v>18.2</v>
      </c>
      <c r="E699" s="32">
        <f>LOOKUP(D699,{0,1,1.8,2.6,3.4,4.2,5,6.3,7.6,8.9,10.2,11.5,12.8,14.1,15.4,16.7,18,19.7,21.4,23.1,24.8},{0,10,20,30,40,50,60,62,64,66,68,70,72,74,76,78,80,85,90,95,100})</f>
        <v>80</v>
      </c>
      <c r="F699" s="4">
        <v>155</v>
      </c>
      <c r="G699" s="32">
        <f>LOOKUP(F699,{0,124,129,134,139,144,149,152,155,158,161,164,167,170,173,176,179,186,193,199,205},{0,10,20,30,40,50,60,62,64,66,68,70,72,74,76,78,80,85,90,95,100})</f>
        <v>64</v>
      </c>
      <c r="H699" s="4">
        <v>36</v>
      </c>
      <c r="I699" s="32">
        <f>LOOKUP(H699,{0,14,16,18,20,22,24,26,28,30,32,34,36,38,40,42,44,47,50,52,54},{0,10,20,30,40,50,60,62,64,66,68,70,72,74,76,78,80,85,90,95,100})</f>
        <v>72</v>
      </c>
      <c r="L699" s="4">
        <f t="shared" si="80"/>
        <v>72</v>
      </c>
      <c r="M699" s="4">
        <v>10.3</v>
      </c>
      <c r="N699" s="4">
        <f t="shared" si="81"/>
        <v>1.7</v>
      </c>
      <c r="O699" s="32">
        <f>LOOKUP(N699,{0,0.5,0.7,0.9,1.1,1.3,1.5,1.7,1.9,2.1,2.3,2.5,2.7,2.9,3.1,3.3,3.5,3.8,4.1,4.2,4.3},{0,10,20,30,40,50,60,62,64,66,68,70,72,74,76,78,80,85,90,95,100})</f>
        <v>62</v>
      </c>
      <c r="P699" s="4">
        <v>4.39</v>
      </c>
      <c r="Q699" s="4">
        <f t="shared" si="82"/>
        <v>5.61</v>
      </c>
      <c r="R699" s="32">
        <f>LOOKUP(Q699,{0,4.72,4.82,4.92,5.42,5.52,5.62,5.67,5.72,5.77,5.82,5.87,5.92,5.97,6.42,6.47,6.52,6.59,6.66,6.72,6.78},{0,10,20,30,40,50,60,62,64,66,68,70,72,74,76,78,80,85,90,95,100})</f>
        <v>50</v>
      </c>
      <c r="U699" s="4">
        <f t="shared" si="83"/>
        <v>50</v>
      </c>
      <c r="W699" s="5">
        <f t="shared" si="79"/>
        <v>44</v>
      </c>
      <c r="X699" s="20">
        <f t="shared" si="84"/>
        <v>62.8571428571429</v>
      </c>
    </row>
    <row r="700" ht="15.6" hidden="1" spans="1:24">
      <c r="A700" s="4">
        <v>210</v>
      </c>
      <c r="B700" s="24" t="s">
        <v>496</v>
      </c>
      <c r="C700" s="25" t="s">
        <v>11</v>
      </c>
      <c r="E700" s="32"/>
      <c r="G700" s="32"/>
      <c r="I700" s="32"/>
      <c r="O700" s="32"/>
      <c r="R700" s="32"/>
      <c r="T700" s="32"/>
      <c r="W700" s="5">
        <f t="shared" si="79"/>
        <v>0</v>
      </c>
      <c r="X700" s="23">
        <v>50</v>
      </c>
    </row>
    <row r="701" ht="15.6" hidden="1" spans="1:24">
      <c r="A701" s="4">
        <v>210</v>
      </c>
      <c r="B701" s="24" t="s">
        <v>497</v>
      </c>
      <c r="C701" s="25" t="s">
        <v>11</v>
      </c>
      <c r="E701" s="32"/>
      <c r="G701" s="32"/>
      <c r="I701" s="32"/>
      <c r="O701" s="32"/>
      <c r="R701" s="32"/>
      <c r="T701" s="34"/>
      <c r="W701" s="5">
        <f t="shared" si="79"/>
        <v>0</v>
      </c>
      <c r="X701" s="23">
        <v>50</v>
      </c>
    </row>
    <row r="702" s="1" customFormat="1" ht="15.6" hidden="1" spans="1:24">
      <c r="A702" s="4">
        <v>210</v>
      </c>
      <c r="B702" s="24" t="s">
        <v>500</v>
      </c>
      <c r="C702" s="25" t="s">
        <v>11</v>
      </c>
      <c r="D702" s="4"/>
      <c r="E702" s="32"/>
      <c r="F702" s="4"/>
      <c r="G702" s="32"/>
      <c r="H702" s="4"/>
      <c r="I702" s="32"/>
      <c r="J702" s="4"/>
      <c r="K702" s="4"/>
      <c r="L702" s="4"/>
      <c r="M702" s="4"/>
      <c r="N702" s="4"/>
      <c r="O702" s="32"/>
      <c r="P702" s="4"/>
      <c r="Q702" s="4"/>
      <c r="R702" s="32"/>
      <c r="S702" s="4"/>
      <c r="T702" s="32"/>
      <c r="U702" s="4"/>
      <c r="V702" s="4"/>
      <c r="W702" s="5">
        <f t="shared" si="79"/>
        <v>0</v>
      </c>
      <c r="X702" s="23">
        <v>50</v>
      </c>
    </row>
    <row r="703" ht="15.6" hidden="1" spans="1:24">
      <c r="A703" s="4">
        <v>210</v>
      </c>
      <c r="B703" s="24" t="s">
        <v>504</v>
      </c>
      <c r="C703" s="25" t="s">
        <v>11</v>
      </c>
      <c r="E703" s="32"/>
      <c r="G703" s="32"/>
      <c r="I703" s="32"/>
      <c r="O703" s="32"/>
      <c r="R703" s="32"/>
      <c r="T703" s="32"/>
      <c r="W703" s="5">
        <f t="shared" si="79"/>
        <v>0</v>
      </c>
      <c r="X703" s="23">
        <v>50</v>
      </c>
    </row>
    <row r="704" ht="15.6" hidden="1" spans="1:24">
      <c r="A704" s="4">
        <v>210</v>
      </c>
      <c r="B704" s="24" t="s">
        <v>523</v>
      </c>
      <c r="C704" s="25" t="s">
        <v>11</v>
      </c>
      <c r="E704" s="32"/>
      <c r="G704" s="32"/>
      <c r="I704" s="32"/>
      <c r="O704" s="32"/>
      <c r="R704" s="32"/>
      <c r="T704" s="32"/>
      <c r="W704" s="5">
        <f t="shared" si="79"/>
        <v>0</v>
      </c>
      <c r="X704" s="23">
        <v>50</v>
      </c>
    </row>
    <row r="705" ht="15.6" spans="1:24">
      <c r="A705" s="4">
        <v>211</v>
      </c>
      <c r="B705" s="33" t="s">
        <v>563</v>
      </c>
      <c r="C705" s="25" t="s">
        <v>11</v>
      </c>
      <c r="E705" s="32"/>
      <c r="G705" s="32"/>
      <c r="I705" s="32"/>
      <c r="O705" s="32"/>
      <c r="R705" s="32"/>
      <c r="T705" s="32"/>
      <c r="W705" s="5">
        <f t="shared" si="79"/>
        <v>0</v>
      </c>
      <c r="X705" s="23">
        <v>50</v>
      </c>
    </row>
    <row r="706" ht="15.6" spans="1:24">
      <c r="A706" s="4">
        <v>211</v>
      </c>
      <c r="B706" s="33" t="s">
        <v>575</v>
      </c>
      <c r="C706" s="25" t="s">
        <v>11</v>
      </c>
      <c r="E706" s="32"/>
      <c r="G706" s="32"/>
      <c r="I706" s="32"/>
      <c r="O706" s="32"/>
      <c r="R706" s="32"/>
      <c r="T706" s="34"/>
      <c r="V706" s="4" t="s">
        <v>14</v>
      </c>
      <c r="W706" s="5">
        <f t="shared" ref="W706:W755" si="85">E706*0.1+G706*0.1+I706*0.1+O706*0.2+R706*0.2</f>
        <v>0</v>
      </c>
      <c r="X706" s="20">
        <v>50</v>
      </c>
    </row>
    <row r="707" ht="15.6" hidden="1" spans="1:24">
      <c r="A707" s="4">
        <v>212</v>
      </c>
      <c r="B707" s="24" t="s">
        <v>616</v>
      </c>
      <c r="C707" s="25" t="s">
        <v>11</v>
      </c>
      <c r="E707" s="32"/>
      <c r="G707" s="32"/>
      <c r="I707" s="32"/>
      <c r="O707" s="32"/>
      <c r="R707" s="32"/>
      <c r="T707" s="32"/>
      <c r="V707" s="4" t="s">
        <v>617</v>
      </c>
      <c r="W707" s="5">
        <f t="shared" si="85"/>
        <v>0</v>
      </c>
      <c r="X707" s="20">
        <v>50</v>
      </c>
    </row>
    <row r="708" ht="15.6" hidden="1" spans="1:24">
      <c r="A708" s="4">
        <v>212</v>
      </c>
      <c r="B708" s="26" t="s">
        <v>622</v>
      </c>
      <c r="C708" s="25" t="s">
        <v>11</v>
      </c>
      <c r="E708" s="32"/>
      <c r="G708" s="32"/>
      <c r="I708" s="32"/>
      <c r="O708" s="32"/>
      <c r="R708" s="32"/>
      <c r="T708" s="32"/>
      <c r="V708" s="4" t="s">
        <v>617</v>
      </c>
      <c r="W708" s="5">
        <f t="shared" si="85"/>
        <v>0</v>
      </c>
      <c r="X708" s="20">
        <v>50</v>
      </c>
    </row>
    <row r="709" ht="15.6" hidden="1" spans="1:24">
      <c r="A709" s="4">
        <v>212</v>
      </c>
      <c r="B709" s="24" t="s">
        <v>628</v>
      </c>
      <c r="C709" s="25" t="s">
        <v>11</v>
      </c>
      <c r="E709" s="32"/>
      <c r="G709" s="32"/>
      <c r="I709" s="32"/>
      <c r="O709" s="32"/>
      <c r="R709" s="32"/>
      <c r="T709" s="34"/>
      <c r="V709" s="4" t="s">
        <v>617</v>
      </c>
      <c r="W709" s="5">
        <f t="shared" si="85"/>
        <v>0</v>
      </c>
      <c r="X709" s="20">
        <v>50</v>
      </c>
    </row>
    <row r="710" ht="15.6" hidden="1" spans="1:24">
      <c r="A710" s="4">
        <v>212</v>
      </c>
      <c r="B710" s="24" t="s">
        <v>633</v>
      </c>
      <c r="C710" s="25" t="s">
        <v>11</v>
      </c>
      <c r="E710" s="32"/>
      <c r="G710" s="32"/>
      <c r="I710" s="32"/>
      <c r="O710" s="32"/>
      <c r="R710" s="32"/>
      <c r="T710" s="34"/>
      <c r="V710" s="4" t="s">
        <v>617</v>
      </c>
      <c r="W710" s="5">
        <f t="shared" si="85"/>
        <v>0</v>
      </c>
      <c r="X710" s="20">
        <v>50</v>
      </c>
    </row>
    <row r="711" ht="15.6" hidden="1" spans="1:24">
      <c r="A711" s="4">
        <v>214</v>
      </c>
      <c r="B711" s="24" t="s">
        <v>729</v>
      </c>
      <c r="C711" s="25" t="s">
        <v>11</v>
      </c>
      <c r="E711" s="32"/>
      <c r="G711" s="32"/>
      <c r="I711" s="32"/>
      <c r="O711" s="32"/>
      <c r="R711" s="32"/>
      <c r="T711" s="32"/>
      <c r="W711" s="5">
        <f t="shared" si="85"/>
        <v>0</v>
      </c>
      <c r="X711" s="23">
        <v>50</v>
      </c>
    </row>
    <row r="712" ht="15.6" hidden="1" spans="1:24">
      <c r="A712" s="4">
        <v>214</v>
      </c>
      <c r="B712" s="24" t="s">
        <v>736</v>
      </c>
      <c r="C712" s="25" t="s">
        <v>11</v>
      </c>
      <c r="E712" s="32"/>
      <c r="G712" s="32"/>
      <c r="I712" s="32"/>
      <c r="O712" s="32"/>
      <c r="R712" s="32"/>
      <c r="T712" s="34"/>
      <c r="W712" s="5">
        <f t="shared" si="85"/>
        <v>0</v>
      </c>
      <c r="X712" s="23">
        <v>50</v>
      </c>
    </row>
    <row r="713" ht="15.6" hidden="1" spans="1:24">
      <c r="A713" s="4">
        <v>213</v>
      </c>
      <c r="B713" s="24" t="s">
        <v>721</v>
      </c>
      <c r="C713" s="25" t="s">
        <v>53</v>
      </c>
      <c r="D713" s="4">
        <v>19.7</v>
      </c>
      <c r="E713" s="32">
        <f>LOOKUP(D713,{0,1,1.8,2.6,3.4,4.2,5,6.3,7.6,8.9,10.2,11.5,12.8,14.1,15.4,16.7,18,19.7,21.4,23.1,24.8},{0,10,20,30,40,50,60,62,64,66,68,70,72,74,76,78,80,85,90,95,100})</f>
        <v>85</v>
      </c>
      <c r="F713" s="4">
        <v>203</v>
      </c>
      <c r="G713" s="32">
        <f>LOOKUP(F713,{0,124,129,134,139,144,149,152,155,158,161,164,167,170,173,176,179,186,193,199,205},{0,10,20,30,40,50,60,62,64,66,68,70,72,74,76,78,80,85,90,95,100})</f>
        <v>95</v>
      </c>
      <c r="H713" s="4">
        <v>57</v>
      </c>
      <c r="I713" s="32">
        <f>LOOKUP(H713,{0,14,16,18,20,22,24,26,28,30,32,34,36,38,40,42,44,47,50,52,54},{0,10,20,30,40,50,60,62,64,66,68,70,72,74,76,78,80,85,90,95,100})</f>
        <v>100</v>
      </c>
      <c r="J713" s="4">
        <f>H713-54</f>
        <v>3</v>
      </c>
      <c r="K713" s="32">
        <f>LOOKUP(J713,{0,2,4,6,7,8,9,10,11,12,13},{0,1,2,3,4,5,6,7,8,9,10})</f>
        <v>1</v>
      </c>
      <c r="L713" s="4">
        <f t="shared" ref="L713:L725" si="86">I713+K713</f>
        <v>101</v>
      </c>
      <c r="O713" s="32"/>
      <c r="P713" s="4">
        <v>4</v>
      </c>
      <c r="Q713" s="4">
        <f>10-P713</f>
        <v>6</v>
      </c>
      <c r="R713" s="32">
        <f>LOOKUP(Q713,{0,4.72,4.82,4.92,5.42,5.52,5.62,5.67,5.72,5.77,5.82,5.87,5.92,5.97,6.42,6.47,6.52,6.59,6.66,6.72,6.78},{0,10,20,30,40,50,60,62,64,66,68,70,72,74,76,78,80,85,90,95,100})</f>
        <v>74</v>
      </c>
      <c r="U713" s="4">
        <f>R713+T713</f>
        <v>74</v>
      </c>
      <c r="W713" s="5">
        <f t="shared" si="85"/>
        <v>42.8</v>
      </c>
      <c r="X713" s="20">
        <f t="shared" ref="X713:X723" si="87">W713/0.7+K713+T713</f>
        <v>62.1428571428571</v>
      </c>
    </row>
    <row r="714" ht="15.6" hidden="1" spans="1:24">
      <c r="A714" s="4">
        <v>208</v>
      </c>
      <c r="B714" s="24" t="s">
        <v>429</v>
      </c>
      <c r="C714" s="25" t="s">
        <v>53</v>
      </c>
      <c r="D714" s="4">
        <v>20.7</v>
      </c>
      <c r="E714" s="32">
        <f>LOOKUP(D714,{0,1,1.8,2.6,3.4,4.2,5,6.3,7.6,8.9,10.2,11.5,12.8,14.1,15.4,16.7,18,19.7,21.4,23.1,24.8},{0,10,20,30,40,50,60,62,64,66,68,70,72,74,76,78,80,85,90,95,100})</f>
        <v>85</v>
      </c>
      <c r="F714" s="4">
        <v>180</v>
      </c>
      <c r="G714" s="32">
        <f>LOOKUP(F714,{0,124,129,134,139,144,149,152,155,158,161,164,167,170,173,176,179,186,193,199,205},{0,10,20,30,40,50,60,62,64,66,68,70,72,74,76,78,80,85,90,95,100})</f>
        <v>80</v>
      </c>
      <c r="H714" s="4">
        <v>58</v>
      </c>
      <c r="I714" s="32">
        <f>LOOKUP(H714,{0,14,16,18,20,22,24,26,28,30,32,34,36,38,40,42,44,47,50,52,54},{0,10,20,30,40,50,60,62,64,66,68,70,72,74,76,78,80,85,90,95,100})</f>
        <v>100</v>
      </c>
      <c r="J714" s="4">
        <f>H714-54</f>
        <v>4</v>
      </c>
      <c r="K714" s="32">
        <f>LOOKUP(J714,{0,2,4,6,7,8,9,10,11,12,13},{0,1,2,3,4,5,6,7,8,9,10})</f>
        <v>2</v>
      </c>
      <c r="L714" s="4">
        <f t="shared" si="86"/>
        <v>102</v>
      </c>
      <c r="M714" s="4">
        <v>8.7</v>
      </c>
      <c r="N714" s="4">
        <f>12-M714</f>
        <v>3.3</v>
      </c>
      <c r="O714" s="32">
        <f>LOOKUP(N714,{0,0.5,0.7,0.9,1.1,1.3,1.5,1.7,1.9,2.1,2.3,2.5,2.7,2.9,3.1,3.3,3.5,3.8,4.1,4.2,4.3},{0,10,20,30,40,50,60,62,64,66,68,70,72,74,76,78,80,85,90,95,100})</f>
        <v>78</v>
      </c>
      <c r="R714" s="32"/>
      <c r="S714" s="39"/>
      <c r="T714" s="32"/>
      <c r="W714" s="5">
        <f t="shared" si="85"/>
        <v>42.1</v>
      </c>
      <c r="X714" s="20">
        <f t="shared" si="87"/>
        <v>62.1428571428571</v>
      </c>
    </row>
    <row r="715" ht="15.6" hidden="1" spans="1:24">
      <c r="A715" s="4">
        <v>206</v>
      </c>
      <c r="B715" s="24" t="s">
        <v>319</v>
      </c>
      <c r="C715" s="25" t="s">
        <v>53</v>
      </c>
      <c r="D715" s="4">
        <v>17.2</v>
      </c>
      <c r="E715" s="32">
        <f>LOOKUP(D715,{0,1,1.8,2.6,3.4,4.2,5,6.3,7.6,8.9,10.2,11.5,12.8,14.1,15.4,16.7,18,19.7,21.4,23.1,24.8},{0,10,20,30,40,50,60,62,64,66,68,70,72,74,76,78,80,85,90,95,100})</f>
        <v>78</v>
      </c>
      <c r="F715" s="4">
        <v>138</v>
      </c>
      <c r="G715" s="32">
        <f>LOOKUP(F715,{0,124,129,134,139,144,149,152,155,158,161,164,167,170,173,176,179,186,193,199,205},{0,10,20,30,40,50,60,62,64,66,68,70,72,74,76,78,80,85,90,95,100})</f>
        <v>30</v>
      </c>
      <c r="H715" s="4">
        <v>54</v>
      </c>
      <c r="I715" s="32">
        <f>LOOKUP(H715,{0,14,16,18,20,22,24,26,28,30,32,34,36,38,40,42,44,47,50,52,54},{0,10,20,30,40,50,60,62,64,66,68,70,72,74,76,78,80,85,90,95,100})</f>
        <v>100</v>
      </c>
      <c r="J715" s="4">
        <f>H715-54</f>
        <v>0</v>
      </c>
      <c r="K715" s="32">
        <f>LOOKUP(J715,{0,2,4,6,7,8,9,10,11,12,13},{0,1,2,3,4,5,6,7,8,9,10})</f>
        <v>0</v>
      </c>
      <c r="L715" s="4">
        <f t="shared" si="86"/>
        <v>100</v>
      </c>
      <c r="M715" s="4">
        <v>10.6</v>
      </c>
      <c r="N715" s="4">
        <f>12-M715</f>
        <v>1.4</v>
      </c>
      <c r="O715" s="32">
        <f>LOOKUP(N715,{0,0.5,0.7,0.9,1.1,1.3,1.5,1.7,1.9,2.1,2.3,2.5,2.7,2.9,3.1,3.3,3.5,3.8,4.1,4.2,4.3},{0,10,20,30,40,50,60,62,64,66,68,70,72,74,76,78,80,85,90,95,100})</f>
        <v>50</v>
      </c>
      <c r="P715" s="4">
        <v>4.32</v>
      </c>
      <c r="Q715" s="4">
        <f>10-P715</f>
        <v>5.68</v>
      </c>
      <c r="R715" s="32">
        <f>LOOKUP(Q715,{0,4.72,4.82,4.92,5.42,5.52,5.62,5.67,5.72,5.77,5.82,5.87,5.92,5.97,6.42,6.47,6.52,6.59,6.66,6.72,6.78},{0,10,20,30,40,50,60,62,64,66,68,70,72,74,76,78,80,85,90,95,100})</f>
        <v>62</v>
      </c>
      <c r="U715" s="4">
        <f>R715+T715</f>
        <v>62</v>
      </c>
      <c r="W715" s="5">
        <f t="shared" si="85"/>
        <v>43.2</v>
      </c>
      <c r="X715" s="20">
        <f t="shared" si="87"/>
        <v>61.7142857142857</v>
      </c>
    </row>
    <row r="716" ht="15.6" hidden="1" spans="1:24">
      <c r="A716" s="4">
        <v>212</v>
      </c>
      <c r="B716" s="24" t="s">
        <v>658</v>
      </c>
      <c r="C716" s="25" t="s">
        <v>53</v>
      </c>
      <c r="D716" s="4">
        <v>31</v>
      </c>
      <c r="E716" s="32">
        <f>LOOKUP(D716,{0,1,1.8,2.6,3.4,4.2,5,6.3,7.6,8.9,10.2,11.5,12.8,14.1,15.4,16.7,18,19.7,21.4,23.1,24.8},{0,10,20,30,40,50,60,62,64,66,68,70,72,74,76,78,80,85,90,95,100})</f>
        <v>100</v>
      </c>
      <c r="F716" s="4">
        <v>192</v>
      </c>
      <c r="G716" s="32">
        <f>LOOKUP(F716,{0,124,129,134,139,144,149,152,155,158,161,164,167,170,173,176,179,186,193,199,205},{0,10,20,30,40,50,60,62,64,66,68,70,72,74,76,78,80,85,90,95,100})</f>
        <v>85</v>
      </c>
      <c r="H716" s="4">
        <v>46</v>
      </c>
      <c r="I716" s="32">
        <f>LOOKUP(H716,{0,14,16,18,20,22,24,26,28,30,32,34,36,38,40,42,44,47,50,52,54},{0,10,20,30,40,50,60,62,64,66,68,70,72,74,76,78,80,85,90,95,100})</f>
        <v>80</v>
      </c>
      <c r="L716" s="4">
        <f t="shared" si="86"/>
        <v>80</v>
      </c>
      <c r="M716" s="4">
        <v>8.8</v>
      </c>
      <c r="N716" s="4">
        <f>12-M716</f>
        <v>3.2</v>
      </c>
      <c r="O716" s="32">
        <f>LOOKUP(N716,{0,0.5,0.7,0.9,1.1,1.3,1.5,1.7,1.9,2.1,2.3,2.5,2.7,2.9,3.1,3.3,3.5,3.8,4.1,4.2,4.3},{0,10,20,30,40,50,60,62,64,66,68,70,72,74,76,78,80,85,90,95,100})</f>
        <v>76</v>
      </c>
      <c r="R716" s="32"/>
      <c r="S716" s="39"/>
      <c r="T716" s="32"/>
      <c r="W716" s="5">
        <f t="shared" si="85"/>
        <v>41.7</v>
      </c>
      <c r="X716" s="20">
        <f t="shared" si="87"/>
        <v>59.5714285714286</v>
      </c>
    </row>
    <row r="717" ht="15.6" hidden="1" spans="1:24">
      <c r="A717" s="4">
        <v>215</v>
      </c>
      <c r="B717" s="24" t="s">
        <v>822</v>
      </c>
      <c r="C717" s="25" t="s">
        <v>53</v>
      </c>
      <c r="D717" s="4">
        <v>22.5</v>
      </c>
      <c r="E717" s="32">
        <f>LOOKUP(D717,{0,1,1.8,2.6,3.4,4.2,5,6.3,7.6,8.9,10.2,11.5,12.8,14.1,15.4,16.7,18,19.7,21.4,23.1,24.8},{0,10,20,30,40,50,60,62,64,66,68,70,72,74,76,78,80,85,90,95,100})</f>
        <v>90</v>
      </c>
      <c r="F717" s="4">
        <v>175</v>
      </c>
      <c r="G717" s="32">
        <f>LOOKUP(F717,{0,124,129,134,139,144,149,152,155,158,161,164,167,170,173,176,179,186,193,199,205},{0,10,20,30,40,50,60,62,64,66,68,70,72,74,76,78,80,85,90,95,100})</f>
        <v>76</v>
      </c>
      <c r="H717" s="4">
        <v>51</v>
      </c>
      <c r="I717" s="32">
        <f>LOOKUP(H717,{0,14,16,18,20,22,24,26,28,30,32,34,36,38,40,42,44,47,50,52,54},{0,10,20,30,40,50,60,62,64,66,68,70,72,74,76,78,80,85,90,95,100})</f>
        <v>90</v>
      </c>
      <c r="L717" s="4">
        <f t="shared" si="86"/>
        <v>90</v>
      </c>
      <c r="O717" s="32"/>
      <c r="P717" s="4">
        <v>3.47</v>
      </c>
      <c r="Q717" s="4">
        <f>10-P717</f>
        <v>6.53</v>
      </c>
      <c r="R717" s="32">
        <f>LOOKUP(Q717,{0,4.72,4.82,4.92,5.42,5.52,5.62,5.67,5.72,5.77,5.82,5.87,5.92,5.97,6.42,6.47,6.52,6.59,6.66,6.72,6.78},{0,10,20,30,40,50,60,62,64,66,68,70,72,74,76,78,80,85,90,95,100})</f>
        <v>80</v>
      </c>
      <c r="U717" s="4">
        <f>R717+T717</f>
        <v>80</v>
      </c>
      <c r="W717" s="5">
        <f t="shared" si="85"/>
        <v>41.6</v>
      </c>
      <c r="X717" s="20">
        <f t="shared" si="87"/>
        <v>59.4285714285714</v>
      </c>
    </row>
    <row r="718" ht="15.6" hidden="1" spans="1:24">
      <c r="A718" s="4">
        <v>204</v>
      </c>
      <c r="B718" s="24" t="s">
        <v>185</v>
      </c>
      <c r="C718" s="25" t="s">
        <v>53</v>
      </c>
      <c r="D718" s="4">
        <v>27</v>
      </c>
      <c r="E718" s="32">
        <f>LOOKUP(D718,{0,1,1.8,2.6,3.4,4.2,5,6.3,7.6,8.9,10.2,11.5,12.8,14.1,15.4,16.7,18,19.7,21.4,23.1,24.8},{0,10,20,30,40,50,60,62,64,66,68,70,72,74,76,78,80,85,90,95,100})</f>
        <v>100</v>
      </c>
      <c r="F718" s="4">
        <v>185</v>
      </c>
      <c r="G718" s="32">
        <f>LOOKUP(F718,{0,124,129,134,139,144,149,152,155,158,161,164,167,170,173,176,179,186,193,199,205},{0,10,20,30,40,50,60,62,64,66,68,70,72,74,76,78,80,85,90,95,100})</f>
        <v>80</v>
      </c>
      <c r="H718" s="4">
        <v>49</v>
      </c>
      <c r="I718" s="32">
        <f>LOOKUP(H718,{0,14,16,18,20,22,24,26,28,30,32,34,36,38,40,42,44,47,50,52,54},{0,10,20,30,40,50,60,62,64,66,68,70,72,74,76,78,80,85,90,95,100})</f>
        <v>85</v>
      </c>
      <c r="L718" s="4">
        <f t="shared" si="86"/>
        <v>85</v>
      </c>
      <c r="M718" s="4">
        <v>9</v>
      </c>
      <c r="N718" s="4">
        <f>12-M718</f>
        <v>3</v>
      </c>
      <c r="O718" s="32">
        <f>LOOKUP(N718,{0,0.5,0.7,0.9,1.1,1.3,1.5,1.7,1.9,2.1,2.3,2.5,2.7,2.9,3.1,3.3,3.5,3.8,4.1,4.2,4.3},{0,10,20,30,40,50,60,62,64,66,68,70,72,74,76,78,80,85,90,95,100})</f>
        <v>74</v>
      </c>
      <c r="R718" s="32"/>
      <c r="S718" s="39"/>
      <c r="T718" s="32"/>
      <c r="W718" s="5">
        <f t="shared" si="85"/>
        <v>41.3</v>
      </c>
      <c r="X718" s="20">
        <f t="shared" si="87"/>
        <v>59</v>
      </c>
    </row>
    <row r="719" ht="15.6" hidden="1" spans="1:24">
      <c r="A719" s="4">
        <v>213</v>
      </c>
      <c r="B719" s="24" t="s">
        <v>712</v>
      </c>
      <c r="C719" s="25" t="s">
        <v>53</v>
      </c>
      <c r="D719" s="4">
        <v>23</v>
      </c>
      <c r="E719" s="32">
        <f>LOOKUP(D719,{0,1,1.8,2.6,3.4,4.2,5,6.3,7.6,8.9,10.2,11.5,12.8,14.1,15.4,16.7,18,19.7,21.4,23.1,24.8},{0,10,20,30,40,50,60,62,64,66,68,70,72,74,76,78,80,85,90,95,100})</f>
        <v>90</v>
      </c>
      <c r="F719" s="4">
        <v>154</v>
      </c>
      <c r="G719" s="32">
        <f>LOOKUP(F719,{0,124,129,134,139,144,149,152,155,158,161,164,167,170,173,176,179,186,193,199,205},{0,10,20,30,40,50,60,62,64,66,68,70,72,74,76,78,80,85,90,95,100})</f>
        <v>62</v>
      </c>
      <c r="H719" s="4">
        <v>39</v>
      </c>
      <c r="I719" s="32">
        <f>LOOKUP(H719,{0,14,16,18,20,22,24,26,28,30,32,34,36,38,40,42,44,47,50,52,54},{0,10,20,30,40,50,60,62,64,66,68,70,72,74,76,78,80,85,90,95,100})</f>
        <v>74</v>
      </c>
      <c r="L719" s="4">
        <f t="shared" si="86"/>
        <v>74</v>
      </c>
      <c r="M719" s="4">
        <v>10.2</v>
      </c>
      <c r="N719" s="4">
        <f>12-M719</f>
        <v>1.8</v>
      </c>
      <c r="O719" s="32">
        <f>LOOKUP(N719,{0,0.5,0.7,0.9,1.1,1.3,1.5,1.7,1.9,2.1,2.3,2.5,2.7,2.9,3.1,3.3,3.5,3.8,4.1,4.2,4.3},{0,10,20,30,40,50,60,62,64,66,68,70,72,74,76,78,80,85,90,95,100})</f>
        <v>62</v>
      </c>
      <c r="P719" s="4">
        <v>5.03</v>
      </c>
      <c r="Q719" s="4">
        <f>10-P719</f>
        <v>4.97</v>
      </c>
      <c r="R719" s="32">
        <f>LOOKUP(Q719,{0,4.72,4.82,4.92,5.42,5.52,5.62,5.67,5.72,5.77,5.82,5.87,5.92,5.97,6.42,6.47,6.52,6.59,6.66,6.72,6.78},{0,10,20,30,40,50,60,62,64,66,68,70,72,74,76,78,80,85,90,95,100})</f>
        <v>30</v>
      </c>
      <c r="U719" s="4">
        <f>R719+T719</f>
        <v>30</v>
      </c>
      <c r="W719" s="5">
        <f t="shared" si="85"/>
        <v>41</v>
      </c>
      <c r="X719" s="20">
        <f t="shared" si="87"/>
        <v>58.5714285714286</v>
      </c>
    </row>
    <row r="720" ht="15.6" hidden="1" spans="1:24">
      <c r="A720" s="4">
        <v>203</v>
      </c>
      <c r="B720" s="24" t="s">
        <v>156</v>
      </c>
      <c r="C720" s="25" t="s">
        <v>53</v>
      </c>
      <c r="D720" s="4">
        <v>15</v>
      </c>
      <c r="E720" s="32">
        <f>LOOKUP(D720,{0,1,1.8,2.6,3.4,4.2,5,6.3,7.6,8.9,10.2,11.5,12.8,14.1,15.4,16.7,18,19.7,21.4,23.1,24.8},{0,10,20,30,40,50,60,62,64,66,68,70,72,74,76,78,80,85,90,95,100})</f>
        <v>74</v>
      </c>
      <c r="F720" s="4">
        <v>162</v>
      </c>
      <c r="G720" s="32">
        <f>LOOKUP(F720,{0,124,129,134,139,144,149,152,155,158,161,164,167,170,173,176,179,186,193,199,205},{0,10,20,30,40,50,60,62,64,66,68,70,72,74,76,78,80,85,90,95,100})</f>
        <v>68</v>
      </c>
      <c r="H720" s="4">
        <v>43</v>
      </c>
      <c r="I720" s="32">
        <f>LOOKUP(H720,{0,14,16,18,20,22,24,26,28,30,32,34,36,38,40,42,44,47,50,52,54},{0,10,20,30,40,50,60,62,64,66,68,70,72,74,76,78,80,85,90,95,100})</f>
        <v>78</v>
      </c>
      <c r="L720" s="4">
        <f t="shared" si="86"/>
        <v>78</v>
      </c>
      <c r="M720" s="4">
        <v>10</v>
      </c>
      <c r="N720" s="4">
        <f>12-M720</f>
        <v>2</v>
      </c>
      <c r="O720" s="32">
        <f>LOOKUP(N720,{0,0.5,0.7,0.9,1.1,1.3,1.5,1.7,1.9,2.1,2.3,2.5,2.7,2.9,3.1,3.3,3.5,3.8,4.1,4.2,4.3},{0,10,20,30,40,50,60,62,64,66,68,70,72,74,76,78,80,85,90,95,100})</f>
        <v>64</v>
      </c>
      <c r="P720" s="4">
        <v>5.1</v>
      </c>
      <c r="Q720" s="4">
        <f>10-P720</f>
        <v>4.9</v>
      </c>
      <c r="R720" s="32">
        <f>LOOKUP(Q720,{0,4.72,4.82,4.92,5.42,5.52,5.62,5.67,5.72,5.77,5.82,5.87,5.92,5.97,6.42,6.47,6.52,6.59,6.66,6.72,6.78},{0,10,20,30,40,50,60,62,64,66,68,70,72,74,76,78,80,85,90,95,100})</f>
        <v>20</v>
      </c>
      <c r="U720" s="4">
        <f>R720+T720</f>
        <v>20</v>
      </c>
      <c r="W720" s="5">
        <f t="shared" si="85"/>
        <v>38.8</v>
      </c>
      <c r="X720" s="20">
        <f t="shared" si="87"/>
        <v>55.4285714285714</v>
      </c>
    </row>
    <row r="721" ht="15.6" hidden="1" spans="1:24">
      <c r="A721" s="4">
        <v>203</v>
      </c>
      <c r="B721" s="24" t="s">
        <v>154</v>
      </c>
      <c r="C721" s="25" t="s">
        <v>53</v>
      </c>
      <c r="D721" s="4">
        <v>12</v>
      </c>
      <c r="E721" s="32">
        <f>LOOKUP(D721,{0,1,1.8,2.6,3.4,4.2,5,6.3,7.6,8.9,10.2,11.5,12.8,14.1,15.4,16.7,18,19.7,21.4,23.1,24.8},{0,10,20,30,40,50,60,62,64,66,68,70,72,74,76,78,80,85,90,95,100})</f>
        <v>70</v>
      </c>
      <c r="F721" s="4">
        <v>182</v>
      </c>
      <c r="G721" s="32">
        <f>LOOKUP(F721,{0,124,129,134,139,144,149,152,155,158,161,164,167,170,173,176,179,186,193,199,205},{0,10,20,30,40,50,60,62,64,66,68,70,72,74,76,78,80,85,90,95,100})</f>
        <v>80</v>
      </c>
      <c r="H721" s="4">
        <v>43</v>
      </c>
      <c r="I721" s="32">
        <f>LOOKUP(H721,{0,14,16,18,20,22,24,26,28,30,32,34,36,38,40,42,44,47,50,52,54},{0,10,20,30,40,50,60,62,64,66,68,70,72,74,76,78,80,85,90,95,100})</f>
        <v>78</v>
      </c>
      <c r="L721" s="4">
        <f t="shared" si="86"/>
        <v>78</v>
      </c>
      <c r="M721" s="4">
        <v>8.3</v>
      </c>
      <c r="N721" s="4">
        <f>12-M721</f>
        <v>3.7</v>
      </c>
      <c r="O721" s="32">
        <f>LOOKUP(N721,{0,0.5,0.7,0.9,1.1,1.3,1.5,1.7,1.9,2.1,2.3,2.5,2.7,2.9,3.1,3.3,3.5,3.8,4.1,4.2,4.3},{0,10,20,30,40,50,60,62,64,66,68,70,72,74,76,78,80,85,90,95,100})</f>
        <v>80</v>
      </c>
      <c r="R721" s="32"/>
      <c r="S721" s="39"/>
      <c r="T721" s="32"/>
      <c r="W721" s="5">
        <f t="shared" si="85"/>
        <v>38.8</v>
      </c>
      <c r="X721" s="20">
        <f t="shared" si="87"/>
        <v>55.4285714285714</v>
      </c>
    </row>
    <row r="722" ht="15.6" hidden="1" spans="1:24">
      <c r="A722" s="4">
        <v>208</v>
      </c>
      <c r="B722" s="24" t="s">
        <v>426</v>
      </c>
      <c r="C722" s="25" t="s">
        <v>53</v>
      </c>
      <c r="D722" s="4">
        <v>16</v>
      </c>
      <c r="E722" s="32">
        <f>LOOKUP(D722,{0,1,1.8,2.6,3.4,4.2,5,6.3,7.6,8.9,10.2,11.5,12.8,14.1,15.4,16.7,18,19.7,21.4,23.1,24.8},{0,10,20,30,40,50,60,62,64,66,68,70,72,74,76,78,80,85,90,95,100})</f>
        <v>76</v>
      </c>
      <c r="F722" s="4">
        <v>168</v>
      </c>
      <c r="G722" s="32">
        <f>LOOKUP(F722,{0,124,129,134,139,144,149,152,155,158,161,164,167,170,173,176,179,186,193,199,205},{0,10,20,30,40,50,60,62,64,66,68,70,72,74,76,78,80,85,90,95,100})</f>
        <v>72</v>
      </c>
      <c r="H722" s="4">
        <v>44</v>
      </c>
      <c r="I722" s="32">
        <f>LOOKUP(H722,{0,14,16,18,20,22,24,26,28,30,32,34,36,38,40,42,44,47,50,52,54},{0,10,20,30,40,50,60,62,64,66,68,70,72,74,76,78,80,85,90,95,100})</f>
        <v>80</v>
      </c>
      <c r="L722" s="4">
        <f t="shared" si="86"/>
        <v>80</v>
      </c>
      <c r="M722" s="4">
        <v>8.7</v>
      </c>
      <c r="N722" s="4">
        <f>12-M722</f>
        <v>3.3</v>
      </c>
      <c r="O722" s="32">
        <f>LOOKUP(N722,{0,0.5,0.7,0.9,1.1,1.3,1.5,1.7,1.9,2.1,2.3,2.5,2.7,2.9,3.1,3.3,3.5,3.8,4.1,4.2,4.3},{0,10,20,30,40,50,60,62,64,66,68,70,72,74,76,78,80,85,90,95,100})</f>
        <v>78</v>
      </c>
      <c r="R722" s="32"/>
      <c r="S722" s="39"/>
      <c r="T722" s="32"/>
      <c r="W722" s="5">
        <f t="shared" si="85"/>
        <v>38.4</v>
      </c>
      <c r="X722" s="20">
        <f t="shared" si="87"/>
        <v>54.8571428571429</v>
      </c>
    </row>
    <row r="723" ht="15.6" hidden="1" spans="1:24">
      <c r="A723" s="4">
        <v>209</v>
      </c>
      <c r="B723" s="24" t="s">
        <v>489</v>
      </c>
      <c r="C723" s="25" t="s">
        <v>53</v>
      </c>
      <c r="D723" s="4">
        <v>24.5</v>
      </c>
      <c r="E723" s="32">
        <f>LOOKUP(D723,{0,1,1.8,2.6,3.4,4.2,5,6.3,7.6,8.9,10.2,11.5,12.8,14.1,15.4,16.7,18,19.7,21.4,23.1,24.8},{0,10,20,30,40,50,60,62,64,66,68,70,72,74,76,78,80,85,90,95,100})</f>
        <v>95</v>
      </c>
      <c r="F723" s="4">
        <v>190</v>
      </c>
      <c r="G723" s="32">
        <f>LOOKUP(F723,{0,124,129,134,139,144,149,152,155,158,161,164,167,170,173,176,179,186,193,199,205},{0,10,20,30,40,50,60,62,64,66,68,70,72,74,76,78,80,85,90,95,100})</f>
        <v>85</v>
      </c>
      <c r="H723" s="4">
        <v>40</v>
      </c>
      <c r="I723" s="32">
        <f>LOOKUP(H723,{0,14,16,18,20,22,24,26,28,30,32,34,36,38,40,42,44,47,50,52,54},{0,10,20,30,40,50,60,62,64,66,68,70,72,74,76,78,80,85,90,95,100})</f>
        <v>76</v>
      </c>
      <c r="L723" s="4">
        <f t="shared" si="86"/>
        <v>76</v>
      </c>
      <c r="O723" s="32"/>
      <c r="P723" s="4">
        <v>4.45</v>
      </c>
      <c r="Q723" s="4">
        <f>10-P723</f>
        <v>5.55</v>
      </c>
      <c r="R723" s="32">
        <f>LOOKUP(Q723,{0,4.72,4.82,4.92,5.42,5.52,5.62,5.67,5.72,5.77,5.82,5.87,5.92,5.97,6.42,6.47,6.52,6.59,6.66,6.72,6.78},{0,10,20,30,40,50,60,62,64,66,68,70,72,74,76,78,80,85,90,95,100})</f>
        <v>50</v>
      </c>
      <c r="U723" s="4">
        <f>R723+T723</f>
        <v>50</v>
      </c>
      <c r="W723" s="5">
        <f t="shared" si="85"/>
        <v>35.6</v>
      </c>
      <c r="X723" s="20">
        <f t="shared" si="87"/>
        <v>50.8571428571429</v>
      </c>
    </row>
    <row r="724" s="1" customFormat="1" ht="15.6" hidden="1" spans="1:24">
      <c r="A724" s="4">
        <v>204</v>
      </c>
      <c r="B724" s="24" t="s">
        <v>210</v>
      </c>
      <c r="C724" s="25" t="s">
        <v>53</v>
      </c>
      <c r="D724" s="4">
        <v>28</v>
      </c>
      <c r="E724" s="32">
        <f>LOOKUP(D724,{0,1,1.8,2.6,3.4,4.2,5,6.3,7.6,8.9,10.2,11.5,12.8,14.1,15.4,16.7,18,19.7,21.4,23.1,24.8},{0,10,20,30,40,50,60,62,64,66,68,70,72,74,76,78,80,85,90,95,100})</f>
        <v>100</v>
      </c>
      <c r="F724" s="4">
        <v>166</v>
      </c>
      <c r="G724" s="32">
        <f>LOOKUP(F724,{0,124,129,134,139,144,149,152,155,158,161,164,167,170,173,176,179,186,193,199,205},{0,10,20,30,40,50,60,62,64,66,68,70,72,74,76,78,80,85,90,95,100})</f>
        <v>70</v>
      </c>
      <c r="H724" s="4">
        <v>42</v>
      </c>
      <c r="I724" s="32">
        <f>LOOKUP(H724,{0,14,16,18,20,22,24,26,28,30,32,34,36,38,40,42,44,47,50,52,54},{0,10,20,30,40,50,60,62,64,66,68,70,72,74,76,78,80,85,90,95,100})</f>
        <v>78</v>
      </c>
      <c r="J724" s="4"/>
      <c r="K724" s="4"/>
      <c r="L724" s="4">
        <f t="shared" si="86"/>
        <v>78</v>
      </c>
      <c r="M724" s="4"/>
      <c r="N724" s="4"/>
      <c r="O724" s="32"/>
      <c r="P724" s="4">
        <v>4.39</v>
      </c>
      <c r="Q724" s="4">
        <f>10-P724</f>
        <v>5.61</v>
      </c>
      <c r="R724" s="32">
        <f>LOOKUP(Q724,{0,4.72,4.82,4.92,5.42,5.52,5.62,5.67,5.72,5.77,5.82,5.87,5.92,5.97,6.42,6.47,6.52,6.59,6.66,6.72,6.78},{0,10,20,30,40,50,60,62,64,66,68,70,72,74,76,78,80,85,90,95,100})</f>
        <v>50</v>
      </c>
      <c r="S724" s="4"/>
      <c r="T724" s="4"/>
      <c r="U724" s="4">
        <f>R724+T724</f>
        <v>50</v>
      </c>
      <c r="V724" s="4"/>
      <c r="W724" s="5">
        <f t="shared" si="85"/>
        <v>34.8</v>
      </c>
      <c r="X724" s="23">
        <v>50</v>
      </c>
    </row>
    <row r="725" ht="15.6" hidden="1" spans="1:24">
      <c r="A725" s="4">
        <v>204</v>
      </c>
      <c r="B725" s="24" t="s">
        <v>211</v>
      </c>
      <c r="C725" s="25" t="s">
        <v>53</v>
      </c>
      <c r="D725" s="4">
        <v>11.5</v>
      </c>
      <c r="E725" s="32">
        <f>LOOKUP(D725,{0,1,1.8,2.6,3.4,4.2,5,6.3,7.6,8.9,10.2,11.5,12.8,14.1,15.4,16.7,18,19.7,21.4,23.1,24.8},{0,10,20,30,40,50,60,62,64,66,68,70,72,74,76,78,80,85,90,95,100})</f>
        <v>70</v>
      </c>
      <c r="F725" s="4">
        <v>157</v>
      </c>
      <c r="G725" s="32">
        <f>LOOKUP(F725,{0,124,129,134,139,144,149,152,155,158,161,164,167,170,173,176,179,186,193,199,205},{0,10,20,30,40,50,60,62,64,66,68,70,72,74,76,78,80,85,90,95,100})</f>
        <v>64</v>
      </c>
      <c r="H725" s="4">
        <v>44</v>
      </c>
      <c r="I725" s="32">
        <f>LOOKUP(H725,{0,14,16,18,20,22,24,26,28,30,32,34,36,38,40,42,44,47,50,52,54},{0,10,20,30,40,50,60,62,64,66,68,70,72,74,76,78,80,85,90,95,100})</f>
        <v>80</v>
      </c>
      <c r="L725" s="4">
        <f t="shared" si="86"/>
        <v>80</v>
      </c>
      <c r="O725" s="32"/>
      <c r="P725" s="4">
        <v>4.4</v>
      </c>
      <c r="Q725" s="4">
        <f>10-P725</f>
        <v>5.6</v>
      </c>
      <c r="R725" s="32">
        <f>LOOKUP(Q725,{0,4.72,4.82,4.92,5.42,5.52,5.62,5.67,5.72,5.77,5.82,5.87,5.92,5.97,6.42,6.47,6.52,6.59,6.66,6.72,6.78},{0,10,20,30,40,50,60,62,64,66,68,70,72,74,76,78,80,85,90,95,100})</f>
        <v>50</v>
      </c>
      <c r="U725" s="4">
        <f>R725+T725</f>
        <v>50</v>
      </c>
      <c r="W725" s="5">
        <f t="shared" si="85"/>
        <v>31.4</v>
      </c>
      <c r="X725" s="23">
        <v>50</v>
      </c>
    </row>
    <row r="726" ht="15.6" hidden="1" spans="1:24">
      <c r="A726" s="4">
        <v>209</v>
      </c>
      <c r="B726" s="24" t="s">
        <v>484</v>
      </c>
      <c r="C726" s="25" t="s">
        <v>53</v>
      </c>
      <c r="E726" s="32"/>
      <c r="G726" s="32"/>
      <c r="I726" s="32"/>
      <c r="M726" s="4">
        <v>8.5</v>
      </c>
      <c r="N726" s="4">
        <f>12-M726</f>
        <v>3.5</v>
      </c>
      <c r="O726" s="32">
        <f>LOOKUP(N726,{0,0.5,0.7,0.9,1.1,1.3,1.5,1.7,1.9,2.1,2.3,2.5,2.7,2.9,3.1,3.3,3.5,3.8,4.1,4.2,4.3},{0,10,20,30,40,50,60,62,64,66,68,70,72,74,76,78,80,85,90,95,100})</f>
        <v>80</v>
      </c>
      <c r="R726" s="32"/>
      <c r="S726" s="39"/>
      <c r="T726" s="32"/>
      <c r="V726" s="4" t="s">
        <v>16</v>
      </c>
      <c r="W726" s="5">
        <f t="shared" si="85"/>
        <v>16</v>
      </c>
      <c r="X726" s="20">
        <v>50</v>
      </c>
    </row>
    <row r="727" ht="15.6" hidden="1" spans="1:24">
      <c r="A727" s="4">
        <v>212</v>
      </c>
      <c r="B727" s="24" t="s">
        <v>648</v>
      </c>
      <c r="C727" s="25" t="s">
        <v>53</v>
      </c>
      <c r="E727" s="32"/>
      <c r="G727" s="32"/>
      <c r="I727" s="32"/>
      <c r="M727" s="4">
        <v>8.8</v>
      </c>
      <c r="N727" s="4">
        <f>12-M727</f>
        <v>3.2</v>
      </c>
      <c r="O727" s="32">
        <f>LOOKUP(N727,{0,0.5,0.7,0.9,1.1,1.3,1.5,1.7,1.9,2.1,2.3,2.5,2.7,2.9,3.1,3.3,3.5,3.8,4.1,4.2,4.3},{0,10,20,30,40,50,60,62,64,66,68,70,72,74,76,78,80,85,90,95,100})</f>
        <v>76</v>
      </c>
      <c r="R727" s="32"/>
      <c r="S727" s="39"/>
      <c r="T727" s="32"/>
      <c r="V727" s="4" t="s">
        <v>617</v>
      </c>
      <c r="W727" s="5">
        <f t="shared" si="85"/>
        <v>15.2</v>
      </c>
      <c r="X727" s="20">
        <v>50</v>
      </c>
    </row>
    <row r="728" ht="15.6" hidden="1" spans="1:24">
      <c r="A728" s="4">
        <v>212</v>
      </c>
      <c r="B728" s="24" t="s">
        <v>655</v>
      </c>
      <c r="C728" s="25" t="s">
        <v>53</v>
      </c>
      <c r="E728" s="32"/>
      <c r="G728" s="32"/>
      <c r="I728" s="32"/>
      <c r="M728" s="4">
        <v>11.1</v>
      </c>
      <c r="N728" s="4">
        <f>12-M728</f>
        <v>0.9</v>
      </c>
      <c r="O728" s="32">
        <f>LOOKUP(N728,{0,0.5,0.7,0.9,1.1,1.3,1.5,1.7,1.9,2.1,2.3,2.5,2.7,2.9,3.1,3.3,3.5,3.8,4.1,4.2,4.3},{0,10,20,30,40,50,60,62,64,66,68,70,72,74,76,78,80,85,90,95,100})</f>
        <v>30</v>
      </c>
      <c r="R728" s="32"/>
      <c r="S728" s="39"/>
      <c r="T728" s="32"/>
      <c r="V728" s="4" t="s">
        <v>617</v>
      </c>
      <c r="W728" s="5">
        <f t="shared" si="85"/>
        <v>6</v>
      </c>
      <c r="X728" s="20">
        <v>50</v>
      </c>
    </row>
    <row r="729" ht="15.6" hidden="1" spans="1:24">
      <c r="A729" s="4">
        <v>204</v>
      </c>
      <c r="B729" s="24" t="s">
        <v>197</v>
      </c>
      <c r="C729" s="25" t="s">
        <v>53</v>
      </c>
      <c r="D729" s="4">
        <v>30</v>
      </c>
      <c r="E729" s="32">
        <f>LOOKUP(D729,{0,1,1.8,2.6,3.4,4.2,5,6.3,7.6,8.9,10.2,11.5,12.8,14.1,15.4,16.7,18,19.7,21.4,23.1,24.8},{0,10,20,30,40,50,60,62,64,66,68,70,72,74,76,78,80,85,90,95,100})</f>
        <v>100</v>
      </c>
      <c r="G729" s="32"/>
      <c r="H729" s="4">
        <v>45</v>
      </c>
      <c r="I729" s="32">
        <f>LOOKUP(H729,{0,14,16,18,20,22,24,26,28,30,32,34,36,38,40,42,44,47,50,52,54},{0,10,20,30,40,50,60,62,64,66,68,70,72,74,76,78,80,85,90,95,100})</f>
        <v>80</v>
      </c>
      <c r="L729" s="4">
        <f>I729+K729</f>
        <v>80</v>
      </c>
      <c r="O729" s="32"/>
      <c r="R729" s="32"/>
      <c r="S729" s="39"/>
      <c r="T729" s="32"/>
      <c r="W729" s="5">
        <f t="shared" si="85"/>
        <v>18</v>
      </c>
      <c r="X729" s="23">
        <v>50</v>
      </c>
    </row>
    <row r="730" ht="15.6" hidden="1" spans="1:24">
      <c r="A730" s="46">
        <v>201</v>
      </c>
      <c r="B730" s="24" t="s">
        <v>52</v>
      </c>
      <c r="C730" s="25" t="s">
        <v>53</v>
      </c>
      <c r="D730" s="46"/>
      <c r="E730" s="32"/>
      <c r="F730" s="46"/>
      <c r="G730" s="32"/>
      <c r="H730" s="46"/>
      <c r="I730" s="32"/>
      <c r="J730" s="46"/>
      <c r="K730" s="46"/>
      <c r="L730" s="46"/>
      <c r="M730" s="46"/>
      <c r="N730" s="46"/>
      <c r="O730" s="32"/>
      <c r="P730" s="46"/>
      <c r="Q730" s="46"/>
      <c r="R730" s="46"/>
      <c r="S730" s="46"/>
      <c r="T730" s="47"/>
      <c r="U730" s="46"/>
      <c r="V730" s="46" t="s">
        <v>14</v>
      </c>
      <c r="W730" s="2">
        <f t="shared" si="85"/>
        <v>0</v>
      </c>
      <c r="X730" s="19">
        <v>50</v>
      </c>
    </row>
    <row r="731" ht="15.6" hidden="1" spans="1:24">
      <c r="A731" s="4">
        <v>201</v>
      </c>
      <c r="B731" s="33" t="s">
        <v>54</v>
      </c>
      <c r="C731" s="25" t="s">
        <v>53</v>
      </c>
      <c r="E731" s="32"/>
      <c r="G731" s="32"/>
      <c r="I731" s="32"/>
      <c r="O731" s="32"/>
      <c r="V731" s="4" t="s">
        <v>55</v>
      </c>
      <c r="W731" s="5">
        <f t="shared" si="85"/>
        <v>0</v>
      </c>
      <c r="X731" s="20">
        <v>50</v>
      </c>
    </row>
    <row r="732" ht="15.6" hidden="1" spans="1:24">
      <c r="A732" s="46">
        <v>201</v>
      </c>
      <c r="B732" s="24" t="s">
        <v>60</v>
      </c>
      <c r="C732" s="25" t="s">
        <v>53</v>
      </c>
      <c r="D732" s="46"/>
      <c r="E732" s="32"/>
      <c r="F732" s="46"/>
      <c r="G732" s="32"/>
      <c r="H732" s="46"/>
      <c r="I732" s="32"/>
      <c r="J732" s="46"/>
      <c r="K732" s="46"/>
      <c r="L732" s="46"/>
      <c r="M732" s="46"/>
      <c r="N732" s="46"/>
      <c r="O732" s="32"/>
      <c r="P732" s="46"/>
      <c r="Q732" s="46"/>
      <c r="R732" s="32"/>
      <c r="S732" s="46"/>
      <c r="T732" s="32"/>
      <c r="U732" s="46"/>
      <c r="V732" s="46" t="s">
        <v>14</v>
      </c>
      <c r="W732" s="2">
        <f t="shared" si="85"/>
        <v>0</v>
      </c>
      <c r="X732" s="19">
        <v>50</v>
      </c>
    </row>
    <row r="733" ht="15.6" hidden="1" spans="1:24">
      <c r="A733" s="4">
        <v>201</v>
      </c>
      <c r="B733" s="24" t="s">
        <v>62</v>
      </c>
      <c r="C733" s="25" t="s">
        <v>53</v>
      </c>
      <c r="E733" s="32"/>
      <c r="G733" s="32"/>
      <c r="I733" s="32"/>
      <c r="O733" s="32"/>
      <c r="R733" s="32"/>
      <c r="S733" s="39"/>
      <c r="T733" s="34"/>
      <c r="V733" s="4" t="s">
        <v>14</v>
      </c>
      <c r="W733" s="5">
        <f t="shared" si="85"/>
        <v>0</v>
      </c>
      <c r="X733" s="20">
        <v>50</v>
      </c>
    </row>
    <row r="734" ht="15.6" hidden="1" spans="1:24">
      <c r="A734" s="4">
        <v>203</v>
      </c>
      <c r="B734" s="24" t="s">
        <v>151</v>
      </c>
      <c r="C734" s="25" t="s">
        <v>53</v>
      </c>
      <c r="E734" s="32"/>
      <c r="G734" s="32"/>
      <c r="I734" s="32"/>
      <c r="O734" s="32"/>
      <c r="R734" s="32"/>
      <c r="S734" s="39"/>
      <c r="T734" s="32"/>
      <c r="V734" s="4" t="s">
        <v>14</v>
      </c>
      <c r="W734" s="5">
        <f t="shared" si="85"/>
        <v>0</v>
      </c>
      <c r="X734" s="20">
        <v>50</v>
      </c>
    </row>
    <row r="735" ht="15.6" hidden="1" spans="1:24">
      <c r="A735" s="4">
        <v>203</v>
      </c>
      <c r="B735" s="24" t="s">
        <v>157</v>
      </c>
      <c r="C735" s="25" t="s">
        <v>53</v>
      </c>
      <c r="E735" s="32"/>
      <c r="G735" s="32"/>
      <c r="I735" s="32"/>
      <c r="O735" s="32"/>
      <c r="R735" s="32"/>
      <c r="S735" s="39"/>
      <c r="T735" s="32"/>
      <c r="V735" s="4" t="s">
        <v>14</v>
      </c>
      <c r="W735" s="5">
        <f t="shared" si="85"/>
        <v>0</v>
      </c>
      <c r="X735" s="20">
        <v>50</v>
      </c>
    </row>
    <row r="736" s="1" customFormat="1" ht="15.6" hidden="1" spans="1:24">
      <c r="A736" s="4">
        <v>204</v>
      </c>
      <c r="B736" s="24" t="s">
        <v>175</v>
      </c>
      <c r="C736" s="25" t="s">
        <v>53</v>
      </c>
      <c r="D736" s="4"/>
      <c r="E736" s="32"/>
      <c r="F736" s="4"/>
      <c r="G736" s="32"/>
      <c r="H736" s="4"/>
      <c r="I736" s="32"/>
      <c r="J736" s="4"/>
      <c r="K736" s="4"/>
      <c r="L736" s="4"/>
      <c r="M736" s="4"/>
      <c r="N736" s="4"/>
      <c r="O736" s="32"/>
      <c r="P736" s="4"/>
      <c r="Q736" s="4"/>
      <c r="R736" s="32"/>
      <c r="S736" s="39"/>
      <c r="T736" s="32"/>
      <c r="U736" s="4"/>
      <c r="V736" s="4" t="s">
        <v>14</v>
      </c>
      <c r="W736" s="5">
        <f t="shared" si="85"/>
        <v>0</v>
      </c>
      <c r="X736" s="20">
        <v>50</v>
      </c>
    </row>
    <row r="737" ht="15.6" hidden="1" spans="1:24">
      <c r="A737" s="4">
        <v>204</v>
      </c>
      <c r="B737" s="24" t="s">
        <v>196</v>
      </c>
      <c r="C737" s="25" t="s">
        <v>53</v>
      </c>
      <c r="E737" s="32"/>
      <c r="G737" s="32"/>
      <c r="I737" s="32"/>
      <c r="O737" s="32"/>
      <c r="R737" s="32"/>
      <c r="S737" s="39"/>
      <c r="T737" s="32"/>
      <c r="V737" s="4" t="s">
        <v>16</v>
      </c>
      <c r="W737" s="5">
        <f t="shared" si="85"/>
        <v>0</v>
      </c>
      <c r="X737" s="20">
        <v>50</v>
      </c>
    </row>
    <row r="738" ht="15.6" hidden="1" spans="1:24">
      <c r="A738" s="4">
        <v>204</v>
      </c>
      <c r="B738" s="24" t="s">
        <v>199</v>
      </c>
      <c r="C738" s="25" t="s">
        <v>53</v>
      </c>
      <c r="E738" s="32"/>
      <c r="G738" s="32"/>
      <c r="I738" s="32"/>
      <c r="O738" s="32"/>
      <c r="R738" s="32"/>
      <c r="S738" s="39"/>
      <c r="T738" s="32"/>
      <c r="V738" s="4" t="s">
        <v>16</v>
      </c>
      <c r="W738" s="5">
        <f t="shared" si="85"/>
        <v>0</v>
      </c>
      <c r="X738" s="20">
        <v>50</v>
      </c>
    </row>
    <row r="739" ht="15.6" hidden="1" spans="1:24">
      <c r="A739" s="4">
        <v>205</v>
      </c>
      <c r="B739" s="24" t="s">
        <v>265</v>
      </c>
      <c r="C739" s="25" t="s">
        <v>53</v>
      </c>
      <c r="E739" s="32"/>
      <c r="G739" s="32"/>
      <c r="I739" s="32"/>
      <c r="O739" s="32"/>
      <c r="R739" s="32"/>
      <c r="S739" s="39"/>
      <c r="T739" s="32"/>
      <c r="V739" s="4" t="s">
        <v>89</v>
      </c>
      <c r="W739" s="5">
        <f t="shared" si="85"/>
        <v>0</v>
      </c>
      <c r="X739" s="20">
        <v>50</v>
      </c>
    </row>
    <row r="740" ht="15.6" hidden="1" spans="1:24">
      <c r="A740" s="4">
        <v>205</v>
      </c>
      <c r="B740" s="24" t="s">
        <v>266</v>
      </c>
      <c r="C740" s="25" t="s">
        <v>53</v>
      </c>
      <c r="E740" s="32"/>
      <c r="G740" s="32"/>
      <c r="I740" s="32"/>
      <c r="O740" s="32"/>
      <c r="R740" s="32"/>
      <c r="S740" s="39"/>
      <c r="T740" s="32"/>
      <c r="V740" s="4" t="s">
        <v>14</v>
      </c>
      <c r="W740" s="5">
        <f t="shared" si="85"/>
        <v>0</v>
      </c>
      <c r="X740" s="20">
        <v>50</v>
      </c>
    </row>
    <row r="741" ht="15.6" hidden="1" spans="1:24">
      <c r="A741" s="4">
        <v>209</v>
      </c>
      <c r="B741" s="24" t="s">
        <v>491</v>
      </c>
      <c r="C741" s="25" t="s">
        <v>53</v>
      </c>
      <c r="E741" s="32"/>
      <c r="G741" s="32"/>
      <c r="I741" s="32"/>
      <c r="O741" s="32"/>
      <c r="R741" s="32"/>
      <c r="S741" s="39"/>
      <c r="T741" s="32"/>
      <c r="V741" s="4" t="s">
        <v>16</v>
      </c>
      <c r="W741" s="5">
        <f t="shared" si="85"/>
        <v>0</v>
      </c>
      <c r="X741" s="20">
        <v>50</v>
      </c>
    </row>
    <row r="742" ht="15.6" hidden="1" spans="1:24">
      <c r="A742" s="4">
        <v>210</v>
      </c>
      <c r="B742" s="24" t="s">
        <v>547</v>
      </c>
      <c r="C742" s="25" t="s">
        <v>53</v>
      </c>
      <c r="E742" s="32"/>
      <c r="G742" s="32"/>
      <c r="I742" s="32"/>
      <c r="O742" s="32"/>
      <c r="R742" s="32"/>
      <c r="S742" s="39"/>
      <c r="T742" s="32"/>
      <c r="V742" s="4" t="s">
        <v>14</v>
      </c>
      <c r="W742" s="5">
        <f t="shared" si="85"/>
        <v>0</v>
      </c>
      <c r="X742" s="20">
        <v>50</v>
      </c>
    </row>
    <row r="743" ht="15.6" hidden="1" spans="1:24">
      <c r="A743" s="4">
        <v>212</v>
      </c>
      <c r="B743" s="24" t="s">
        <v>659</v>
      </c>
      <c r="C743" s="25" t="s">
        <v>53</v>
      </c>
      <c r="E743" s="32"/>
      <c r="G743" s="32"/>
      <c r="I743" s="32"/>
      <c r="O743" s="32"/>
      <c r="R743" s="32"/>
      <c r="S743" s="39"/>
      <c r="T743" s="32"/>
      <c r="V743" s="4" t="s">
        <v>660</v>
      </c>
      <c r="W743" s="5">
        <f t="shared" si="85"/>
        <v>0</v>
      </c>
      <c r="X743" s="20">
        <v>50</v>
      </c>
    </row>
    <row r="744" ht="15.6" hidden="1" spans="1:24">
      <c r="A744" s="4">
        <v>212</v>
      </c>
      <c r="B744" s="24" t="s">
        <v>664</v>
      </c>
      <c r="C744" s="25" t="s">
        <v>53</v>
      </c>
      <c r="E744" s="32"/>
      <c r="G744" s="32"/>
      <c r="I744" s="32"/>
      <c r="O744" s="32"/>
      <c r="R744" s="32"/>
      <c r="S744" s="39"/>
      <c r="T744" s="32"/>
      <c r="V744" s="4" t="s">
        <v>617</v>
      </c>
      <c r="W744" s="5">
        <f t="shared" si="85"/>
        <v>0</v>
      </c>
      <c r="X744" s="20">
        <v>50</v>
      </c>
    </row>
    <row r="745" ht="15.6" hidden="1" spans="1:24">
      <c r="A745" s="4">
        <v>213</v>
      </c>
      <c r="B745" s="24" t="s">
        <v>681</v>
      </c>
      <c r="C745" s="25" t="s">
        <v>53</v>
      </c>
      <c r="E745" s="32"/>
      <c r="G745" s="32"/>
      <c r="I745" s="32"/>
      <c r="O745" s="32"/>
      <c r="R745" s="32"/>
      <c r="S745" s="39"/>
      <c r="T745" s="32"/>
      <c r="W745" s="5">
        <f t="shared" si="85"/>
        <v>0</v>
      </c>
      <c r="X745" s="23">
        <v>50</v>
      </c>
    </row>
    <row r="746" ht="15.6" hidden="1" spans="1:24">
      <c r="A746" s="4">
        <v>213</v>
      </c>
      <c r="B746" s="33" t="s">
        <v>689</v>
      </c>
      <c r="C746" s="25" t="s">
        <v>53</v>
      </c>
      <c r="E746" s="32"/>
      <c r="G746" s="32"/>
      <c r="I746" s="32"/>
      <c r="O746" s="32"/>
      <c r="R746" s="32"/>
      <c r="S746" s="39"/>
      <c r="T746" s="32"/>
      <c r="V746" s="4" t="s">
        <v>617</v>
      </c>
      <c r="W746" s="5">
        <f t="shared" si="85"/>
        <v>0</v>
      </c>
      <c r="X746" s="20">
        <v>50</v>
      </c>
    </row>
    <row r="747" ht="15.6" hidden="1" spans="1:24">
      <c r="A747" s="4">
        <v>213</v>
      </c>
      <c r="B747" s="24" t="s">
        <v>694</v>
      </c>
      <c r="C747" s="25" t="s">
        <v>53</v>
      </c>
      <c r="E747" s="32"/>
      <c r="G747" s="32"/>
      <c r="I747" s="32"/>
      <c r="O747" s="32"/>
      <c r="R747" s="32"/>
      <c r="S747" s="39"/>
      <c r="T747" s="32"/>
      <c r="V747" s="4" t="s">
        <v>617</v>
      </c>
      <c r="W747" s="5">
        <f t="shared" si="85"/>
        <v>0</v>
      </c>
      <c r="X747" s="20">
        <v>50</v>
      </c>
    </row>
    <row r="748" s="1" customFormat="1" ht="15.6" hidden="1" spans="1:24">
      <c r="A748" s="4">
        <v>213</v>
      </c>
      <c r="B748" s="24" t="s">
        <v>700</v>
      </c>
      <c r="C748" s="25" t="s">
        <v>53</v>
      </c>
      <c r="D748" s="4"/>
      <c r="E748" s="32"/>
      <c r="F748" s="4"/>
      <c r="G748" s="32"/>
      <c r="H748" s="4"/>
      <c r="I748" s="32"/>
      <c r="J748" s="4"/>
      <c r="K748" s="4"/>
      <c r="L748" s="4"/>
      <c r="M748" s="4"/>
      <c r="N748" s="4"/>
      <c r="O748" s="32"/>
      <c r="P748" s="4"/>
      <c r="Q748" s="4"/>
      <c r="R748" s="32"/>
      <c r="S748" s="39"/>
      <c r="T748" s="32"/>
      <c r="U748" s="4"/>
      <c r="V748" s="4" t="s">
        <v>617</v>
      </c>
      <c r="W748" s="5">
        <f t="shared" si="85"/>
        <v>0</v>
      </c>
      <c r="X748" s="20">
        <v>50</v>
      </c>
    </row>
    <row r="749" ht="15.6" hidden="1" spans="1:24">
      <c r="A749" s="4">
        <v>213</v>
      </c>
      <c r="B749" s="24" t="s">
        <v>706</v>
      </c>
      <c r="C749" s="25" t="s">
        <v>53</v>
      </c>
      <c r="E749" s="32"/>
      <c r="G749" s="32"/>
      <c r="I749" s="32"/>
      <c r="O749" s="32"/>
      <c r="R749" s="32"/>
      <c r="S749" s="39"/>
      <c r="T749" s="32"/>
      <c r="V749" s="4" t="s">
        <v>617</v>
      </c>
      <c r="W749" s="5">
        <f t="shared" si="85"/>
        <v>0</v>
      </c>
      <c r="X749" s="20">
        <v>50</v>
      </c>
    </row>
    <row r="750" ht="15.6" hidden="1" spans="1:24">
      <c r="A750" s="4">
        <v>213</v>
      </c>
      <c r="B750" s="24" t="s">
        <v>709</v>
      </c>
      <c r="C750" s="25" t="s">
        <v>53</v>
      </c>
      <c r="E750" s="32"/>
      <c r="G750" s="32"/>
      <c r="I750" s="32"/>
      <c r="O750" s="32"/>
      <c r="R750" s="32"/>
      <c r="S750" s="39"/>
      <c r="T750" s="34"/>
      <c r="V750" s="4" t="s">
        <v>617</v>
      </c>
      <c r="W750" s="5">
        <f t="shared" si="85"/>
        <v>0</v>
      </c>
      <c r="X750" s="20">
        <v>50</v>
      </c>
    </row>
    <row r="751" ht="15.6" hidden="1" spans="1:24">
      <c r="A751" s="4">
        <v>213</v>
      </c>
      <c r="B751" s="24" t="s">
        <v>711</v>
      </c>
      <c r="C751" s="25" t="s">
        <v>53</v>
      </c>
      <c r="E751" s="32"/>
      <c r="G751" s="32"/>
      <c r="I751" s="32"/>
      <c r="O751" s="32"/>
      <c r="R751" s="32"/>
      <c r="S751" s="39"/>
      <c r="T751" s="32"/>
      <c r="V751" s="4" t="s">
        <v>617</v>
      </c>
      <c r="W751" s="5">
        <f t="shared" si="85"/>
        <v>0</v>
      </c>
      <c r="X751" s="20">
        <v>50</v>
      </c>
    </row>
    <row r="752" ht="15.6" hidden="1" spans="1:24">
      <c r="A752" s="4">
        <v>213</v>
      </c>
      <c r="B752" s="24" t="s">
        <v>718</v>
      </c>
      <c r="C752" s="25" t="s">
        <v>53</v>
      </c>
      <c r="E752" s="32"/>
      <c r="G752" s="32"/>
      <c r="I752" s="32"/>
      <c r="O752" s="32"/>
      <c r="R752" s="32"/>
      <c r="S752" s="39"/>
      <c r="T752" s="32"/>
      <c r="W752" s="5">
        <f t="shared" si="85"/>
        <v>0</v>
      </c>
      <c r="X752" s="23">
        <v>50</v>
      </c>
    </row>
    <row r="753" ht="15.6" hidden="1" spans="1:24">
      <c r="A753" s="4">
        <v>214</v>
      </c>
      <c r="B753" s="24" t="s">
        <v>784</v>
      </c>
      <c r="C753" s="25" t="s">
        <v>53</v>
      </c>
      <c r="E753" s="32"/>
      <c r="G753" s="32"/>
      <c r="I753" s="32"/>
      <c r="O753" s="32"/>
      <c r="R753" s="32"/>
      <c r="S753" s="39"/>
      <c r="T753" s="32"/>
      <c r="V753" s="4" t="s">
        <v>785</v>
      </c>
      <c r="W753" s="5">
        <f t="shared" si="85"/>
        <v>0</v>
      </c>
      <c r="X753" s="20">
        <v>50</v>
      </c>
    </row>
    <row r="754" ht="15.6" hidden="1" spans="1:24">
      <c r="A754" s="4">
        <v>215</v>
      </c>
      <c r="B754" s="24" t="s">
        <v>824</v>
      </c>
      <c r="C754" s="25" t="s">
        <v>53</v>
      </c>
      <c r="E754" s="32"/>
      <c r="G754" s="32"/>
      <c r="I754" s="32"/>
      <c r="O754" s="32"/>
      <c r="R754" s="32"/>
      <c r="S754" s="39"/>
      <c r="T754" s="32"/>
      <c r="W754" s="5">
        <f t="shared" si="85"/>
        <v>0</v>
      </c>
      <c r="X754" s="23">
        <v>50</v>
      </c>
    </row>
    <row r="755" ht="15.6" hidden="1" spans="1:24">
      <c r="A755" s="4">
        <v>215</v>
      </c>
      <c r="B755" s="24" t="s">
        <v>842</v>
      </c>
      <c r="C755" s="25" t="s">
        <v>53</v>
      </c>
      <c r="E755" s="32"/>
      <c r="G755" s="32"/>
      <c r="I755" s="32"/>
      <c r="O755" s="32"/>
      <c r="R755" s="32"/>
      <c r="S755" s="39"/>
      <c r="T755" s="32"/>
      <c r="V755" s="4" t="s">
        <v>617</v>
      </c>
      <c r="W755" s="5">
        <f t="shared" si="85"/>
        <v>0</v>
      </c>
      <c r="X755" s="20">
        <v>50</v>
      </c>
    </row>
    <row r="756" spans="2:3">
      <c r="B756" s="24"/>
      <c r="C756" s="25"/>
    </row>
    <row r="757" s="1" customFormat="1" spans="1:23">
      <c r="A757" s="4"/>
      <c r="B757" s="24"/>
      <c r="C757" s="2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5"/>
    </row>
    <row r="758" spans="2:3">
      <c r="B758" s="24"/>
      <c r="C758" s="25"/>
    </row>
    <row r="759" spans="2:3">
      <c r="B759" s="24"/>
      <c r="C759" s="25"/>
    </row>
    <row r="760" spans="2:3">
      <c r="B760" s="24"/>
      <c r="C760" s="25"/>
    </row>
    <row r="761" spans="2:3">
      <c r="B761" s="24"/>
      <c r="C761" s="25"/>
    </row>
    <row r="762" spans="2:3">
      <c r="B762" s="24"/>
      <c r="C762" s="25"/>
    </row>
    <row r="763" spans="2:3">
      <c r="B763" s="24"/>
      <c r="C763" s="25"/>
    </row>
    <row r="764" spans="2:3">
      <c r="B764" s="24"/>
      <c r="C764" s="25"/>
    </row>
    <row r="765" spans="2:3">
      <c r="B765" s="24"/>
      <c r="C765" s="25"/>
    </row>
    <row r="766" spans="2:3">
      <c r="B766" s="24"/>
      <c r="C766" s="25"/>
    </row>
    <row r="767" spans="2:3">
      <c r="B767" s="24"/>
      <c r="C767" s="25"/>
    </row>
    <row r="768" spans="2:3">
      <c r="B768" s="24"/>
      <c r="C768" s="25"/>
    </row>
    <row r="769" spans="2:3">
      <c r="B769" s="24"/>
      <c r="C769" s="25"/>
    </row>
    <row r="770" spans="2:3">
      <c r="B770" s="24"/>
      <c r="C770" s="25"/>
    </row>
    <row r="771" s="1" customFormat="1" spans="1:22">
      <c r="A771" s="4"/>
      <c r="B771" s="24"/>
      <c r="C771" s="2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2:3">
      <c r="B772" s="24"/>
      <c r="C772" s="25"/>
    </row>
    <row r="773" spans="2:3">
      <c r="B773" s="24"/>
      <c r="C773" s="25"/>
    </row>
    <row r="774" spans="2:3">
      <c r="B774" s="24"/>
      <c r="C774" s="25"/>
    </row>
    <row r="776" spans="2:3">
      <c r="B776" s="24"/>
      <c r="C776" s="25"/>
    </row>
    <row r="777" spans="2:3">
      <c r="B777" s="24"/>
      <c r="C777" s="25"/>
    </row>
    <row r="778" spans="2:3">
      <c r="B778" s="24"/>
      <c r="C778" s="25"/>
    </row>
    <row r="779" spans="2:3">
      <c r="B779" s="24"/>
      <c r="C779" s="25"/>
    </row>
    <row r="780" spans="2:3">
      <c r="B780" s="24"/>
      <c r="C780" s="25"/>
    </row>
    <row r="781" spans="2:3">
      <c r="B781" s="24"/>
      <c r="C781" s="25"/>
    </row>
    <row r="782" spans="2:3">
      <c r="B782" s="24"/>
      <c r="C782" s="25"/>
    </row>
    <row r="783" spans="2:3">
      <c r="B783" s="24"/>
      <c r="C783" s="25"/>
    </row>
    <row r="784" spans="2:3">
      <c r="B784" s="24"/>
      <c r="C784" s="25"/>
    </row>
    <row r="785" spans="2:3">
      <c r="B785" s="24"/>
      <c r="C785" s="25"/>
    </row>
    <row r="786" spans="2:3">
      <c r="B786" s="24"/>
      <c r="C786" s="25"/>
    </row>
    <row r="787" spans="2:3">
      <c r="B787" s="24"/>
      <c r="C787" s="25"/>
    </row>
    <row r="788" spans="2:3">
      <c r="B788" s="24"/>
      <c r="C788" s="25"/>
    </row>
    <row r="789" spans="2:3">
      <c r="B789" s="24"/>
      <c r="C789" s="25"/>
    </row>
    <row r="790" spans="2:3">
      <c r="B790" s="24"/>
      <c r="C790" s="25"/>
    </row>
    <row r="791" spans="2:3">
      <c r="B791" s="24"/>
      <c r="C791" s="25"/>
    </row>
    <row r="792" s="1" customFormat="1" spans="1:22">
      <c r="A792" s="4"/>
      <c r="B792" s="24"/>
      <c r="C792" s="2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2:3">
      <c r="B793" s="24"/>
      <c r="C793" s="25"/>
    </row>
    <row r="794" spans="2:3">
      <c r="B794" s="24"/>
      <c r="C794" s="25"/>
    </row>
    <row r="795" spans="2:3">
      <c r="B795" s="24"/>
      <c r="C795" s="25"/>
    </row>
    <row r="796" spans="2:3">
      <c r="B796" s="24"/>
      <c r="C796" s="25"/>
    </row>
    <row r="797" spans="2:3">
      <c r="B797" s="24"/>
      <c r="C797" s="25"/>
    </row>
    <row r="799" spans="2:3">
      <c r="B799" s="24"/>
      <c r="C799" s="25"/>
    </row>
    <row r="800" spans="2:3">
      <c r="B800" s="24"/>
      <c r="C800" s="25"/>
    </row>
    <row r="801" spans="2:3">
      <c r="B801" s="24"/>
      <c r="C801" s="25"/>
    </row>
    <row r="802" spans="2:3">
      <c r="B802" s="24"/>
      <c r="C802" s="25"/>
    </row>
    <row r="803" spans="2:3">
      <c r="B803" s="24"/>
      <c r="C803" s="25"/>
    </row>
    <row r="804" spans="2:3">
      <c r="B804" s="24"/>
      <c r="C804" s="25"/>
    </row>
    <row r="805" spans="2:3">
      <c r="B805" s="24"/>
      <c r="C805" s="25"/>
    </row>
    <row r="806" s="1" customFormat="1" spans="1:22">
      <c r="A806" s="4"/>
      <c r="B806" s="24"/>
      <c r="C806" s="2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2:3">
      <c r="B807" s="24"/>
      <c r="C807" s="25"/>
    </row>
    <row r="809" spans="2:3">
      <c r="B809" s="24"/>
      <c r="C809" s="25"/>
    </row>
    <row r="810" spans="2:3">
      <c r="B810" s="24"/>
      <c r="C810" s="25"/>
    </row>
    <row r="813" spans="2:3">
      <c r="B813" s="24"/>
      <c r="C813" s="25"/>
    </row>
    <row r="816" spans="1:22">
      <c r="A816" s="24"/>
      <c r="B816" s="27"/>
      <c r="C816" s="27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6"/>
      <c r="R816" s="26"/>
      <c r="S816" s="26"/>
      <c r="T816" s="26"/>
      <c r="U816" s="26"/>
      <c r="V816" s="26"/>
    </row>
    <row r="818" spans="2:3">
      <c r="B818" s="24"/>
      <c r="C818" s="25"/>
    </row>
    <row r="819" spans="2:3">
      <c r="B819" s="24"/>
      <c r="C819" s="25"/>
    </row>
    <row r="820" spans="2:3">
      <c r="B820" s="24"/>
      <c r="C820" s="25"/>
    </row>
    <row r="821" spans="2:3">
      <c r="B821" s="24"/>
      <c r="C821" s="25"/>
    </row>
    <row r="822" spans="2:3">
      <c r="B822" s="24"/>
      <c r="C822" s="25"/>
    </row>
    <row r="823" spans="2:3">
      <c r="B823" s="24"/>
      <c r="C823" s="25"/>
    </row>
    <row r="824" spans="2:3">
      <c r="B824" s="24"/>
      <c r="C824" s="25"/>
    </row>
    <row r="825" spans="2:3">
      <c r="B825" s="24"/>
      <c r="C825" s="25"/>
    </row>
    <row r="826" spans="2:3">
      <c r="B826" s="24"/>
      <c r="C826" s="25"/>
    </row>
    <row r="827" s="1" customFormat="1" spans="1:22">
      <c r="A827" s="4"/>
      <c r="B827" s="24"/>
      <c r="C827" s="2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2:3">
      <c r="B828" s="24"/>
      <c r="C828" s="25"/>
    </row>
    <row r="829" spans="2:3">
      <c r="B829" s="24"/>
      <c r="C829" s="25"/>
    </row>
    <row r="830" spans="2:3">
      <c r="B830" s="24"/>
      <c r="C830" s="25"/>
    </row>
    <row r="832" spans="2:3">
      <c r="B832" s="24"/>
      <c r="C832" s="25"/>
    </row>
    <row r="833" spans="2:3">
      <c r="B833" s="24"/>
      <c r="C833" s="25"/>
    </row>
    <row r="834" spans="2:3">
      <c r="B834" s="24"/>
      <c r="C834" s="25"/>
    </row>
    <row r="835" spans="2:3">
      <c r="B835" s="24"/>
      <c r="C835" s="25"/>
    </row>
    <row r="836" spans="2:3">
      <c r="B836" s="24"/>
      <c r="C836" s="25"/>
    </row>
    <row r="837" spans="2:3">
      <c r="B837" s="24"/>
      <c r="C837" s="25"/>
    </row>
    <row r="838" spans="2:3">
      <c r="B838" s="24"/>
      <c r="C838" s="25"/>
    </row>
    <row r="839" spans="2:3">
      <c r="B839" s="24"/>
      <c r="C839" s="25"/>
    </row>
    <row r="840" spans="2:3">
      <c r="B840" s="24"/>
      <c r="C840" s="25"/>
    </row>
    <row r="841" s="1" customFormat="1" spans="1:22">
      <c r="A841" s="4"/>
      <c r="B841" s="24"/>
      <c r="C841" s="2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2:3">
      <c r="B842" s="24"/>
      <c r="C842" s="25"/>
    </row>
    <row r="843" spans="2:3">
      <c r="B843" s="24"/>
      <c r="C843" s="25"/>
    </row>
    <row r="845" spans="2:3">
      <c r="B845" s="24"/>
      <c r="C845" s="25"/>
    </row>
    <row r="847" spans="2:3">
      <c r="B847" s="26"/>
      <c r="C847" s="26"/>
    </row>
    <row r="855" spans="2:3">
      <c r="B855" s="24"/>
      <c r="C855" s="25"/>
    </row>
    <row r="856" spans="2:3">
      <c r="B856" s="24"/>
      <c r="C856" s="25"/>
    </row>
    <row r="857" spans="2:3">
      <c r="B857" s="24"/>
      <c r="C857" s="25"/>
    </row>
    <row r="858" spans="2:3">
      <c r="B858" s="24"/>
      <c r="C858" s="25"/>
    </row>
    <row r="859" spans="2:3">
      <c r="B859" s="24"/>
      <c r="C859" s="25"/>
    </row>
    <row r="860" spans="2:3">
      <c r="B860" s="24"/>
      <c r="C860" s="25"/>
    </row>
    <row r="861" s="1" customFormat="1" spans="1:22">
      <c r="A861" s="4"/>
      <c r="B861" s="24"/>
      <c r="C861" s="2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71" spans="2:3">
      <c r="B871" s="24"/>
      <c r="C871" s="25"/>
    </row>
    <row r="872" spans="2:3">
      <c r="B872" s="24"/>
      <c r="C872" s="25"/>
    </row>
    <row r="873" spans="2:3">
      <c r="B873" s="24"/>
      <c r="C873" s="25"/>
    </row>
    <row r="874" spans="2:3">
      <c r="B874" s="24"/>
      <c r="C874" s="25"/>
    </row>
    <row r="875" spans="2:3">
      <c r="B875" s="24"/>
      <c r="C875" s="25"/>
    </row>
    <row r="876" s="1" customFormat="1" spans="1:22">
      <c r="A876" s="4"/>
      <c r="B876" s="24"/>
      <c r="C876" s="2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2:3">
      <c r="B877" s="24"/>
      <c r="C877" s="25"/>
    </row>
    <row r="880" spans="2:3">
      <c r="B880" s="24"/>
      <c r="C880" s="25"/>
    </row>
    <row r="881" spans="2:3">
      <c r="B881" s="24"/>
      <c r="C881" s="25"/>
    </row>
    <row r="889" spans="2:3">
      <c r="B889" s="24"/>
      <c r="C889" s="25"/>
    </row>
    <row r="899" s="1" customFormat="1" spans="1:22">
      <c r="A899" s="4"/>
      <c r="B899" s="24"/>
      <c r="C899" s="2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2:3">
      <c r="B900" s="24"/>
      <c r="C900" s="25"/>
    </row>
    <row r="901" spans="2:3">
      <c r="B901" s="24"/>
      <c r="C901" s="25"/>
    </row>
    <row r="902" spans="2:3">
      <c r="B902" s="24"/>
      <c r="C902" s="25"/>
    </row>
    <row r="903" spans="2:3">
      <c r="B903" s="24"/>
      <c r="C903" s="25"/>
    </row>
    <row r="904" spans="2:3">
      <c r="B904" s="24"/>
      <c r="C904" s="25"/>
    </row>
    <row r="905" spans="2:3">
      <c r="B905" s="24"/>
      <c r="C905" s="25"/>
    </row>
    <row r="906" spans="2:3">
      <c r="B906" s="24"/>
      <c r="C906" s="25"/>
    </row>
    <row r="907" spans="2:3">
      <c r="B907" s="24"/>
      <c r="C907" s="25"/>
    </row>
    <row r="909" spans="2:3">
      <c r="B909" s="24"/>
      <c r="C909" s="25"/>
    </row>
    <row r="910" spans="2:3">
      <c r="B910" s="24"/>
      <c r="C910" s="25"/>
    </row>
    <row r="911" s="1" customFormat="1" spans="1:2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4" spans="2:3">
      <c r="B914" s="24"/>
      <c r="C914" s="25"/>
    </row>
    <row r="915" spans="2:3">
      <c r="B915" s="24"/>
      <c r="C915" s="25"/>
    </row>
    <row r="916" spans="2:3">
      <c r="B916" s="24"/>
      <c r="C916" s="25"/>
    </row>
    <row r="917" spans="2:3">
      <c r="B917" s="24"/>
      <c r="C917" s="25"/>
    </row>
    <row r="918" spans="2:3">
      <c r="B918" s="24"/>
      <c r="C918" s="25"/>
    </row>
    <row r="919" spans="2:3">
      <c r="B919" s="24"/>
      <c r="C919" s="25"/>
    </row>
    <row r="920" spans="2:3">
      <c r="B920" s="24"/>
      <c r="C920" s="25"/>
    </row>
    <row r="921" spans="2:3">
      <c r="B921" s="24"/>
      <c r="C921" s="25"/>
    </row>
    <row r="922" spans="2:3">
      <c r="B922" s="24"/>
      <c r="C922" s="25"/>
    </row>
    <row r="923" spans="2:3">
      <c r="B923" s="24"/>
      <c r="C923" s="25"/>
    </row>
    <row r="929" spans="2:3">
      <c r="B929" s="24"/>
      <c r="C929" s="25"/>
    </row>
    <row r="930" spans="2:3">
      <c r="B930" s="24"/>
      <c r="C930" s="25"/>
    </row>
    <row r="931" s="1" customFormat="1" spans="1:22">
      <c r="A931" s="4"/>
      <c r="B931" s="24"/>
      <c r="C931" s="2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2:3">
      <c r="B932" s="24"/>
      <c r="C932" s="25"/>
    </row>
    <row r="933" spans="2:3">
      <c r="B933" s="24"/>
      <c r="C933" s="25"/>
    </row>
    <row r="934" spans="2:3">
      <c r="B934" s="24"/>
      <c r="C934" s="25"/>
    </row>
    <row r="935" spans="2:3">
      <c r="B935" s="24"/>
      <c r="C935" s="25"/>
    </row>
    <row r="936" spans="2:3">
      <c r="B936" s="24"/>
      <c r="C936" s="25"/>
    </row>
    <row r="937" spans="2:3">
      <c r="B937" s="24"/>
      <c r="C937" s="25"/>
    </row>
    <row r="938" spans="2:3">
      <c r="B938" s="24"/>
      <c r="C938" s="25"/>
    </row>
    <row r="939" spans="2:3">
      <c r="B939" s="24"/>
      <c r="C939" s="25"/>
    </row>
    <row r="940" spans="2:3">
      <c r="B940" s="24"/>
      <c r="C940" s="25"/>
    </row>
    <row r="942" spans="2:3">
      <c r="B942" s="24"/>
      <c r="C942" s="25"/>
    </row>
    <row r="943" spans="2:3">
      <c r="B943" s="24"/>
      <c r="C943" s="25"/>
    </row>
    <row r="944" spans="2:3">
      <c r="B944" s="24"/>
      <c r="C944" s="25"/>
    </row>
    <row r="945" spans="2:3">
      <c r="B945" s="24"/>
      <c r="C945" s="25"/>
    </row>
    <row r="946" s="1" customFormat="1" spans="1:22">
      <c r="A946" s="4"/>
      <c r="B946" s="24"/>
      <c r="C946" s="2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2:3">
      <c r="B947" s="24"/>
      <c r="C947" s="25"/>
    </row>
    <row r="948" spans="2:3">
      <c r="B948" s="24"/>
      <c r="C948" s="25"/>
    </row>
    <row r="949" spans="2:3">
      <c r="B949" s="24"/>
      <c r="C949" s="25"/>
    </row>
    <row r="953" spans="2:3">
      <c r="B953" s="24"/>
      <c r="C953" s="25"/>
    </row>
    <row r="954" spans="2:3">
      <c r="B954" s="24"/>
      <c r="C954" s="25"/>
    </row>
    <row r="955" spans="2:3">
      <c r="B955" s="24"/>
      <c r="C955" s="25"/>
    </row>
    <row r="956" spans="2:3">
      <c r="B956" s="24"/>
      <c r="C956" s="25"/>
    </row>
    <row r="957" spans="2:3">
      <c r="B957" s="24"/>
      <c r="C957" s="25"/>
    </row>
    <row r="958" spans="2:3">
      <c r="B958" s="24"/>
      <c r="C958" s="25"/>
    </row>
    <row r="959" spans="2:3">
      <c r="B959" s="24"/>
      <c r="C959" s="25"/>
    </row>
    <row r="960" spans="2:3">
      <c r="B960" s="24"/>
      <c r="C960" s="25"/>
    </row>
    <row r="961" spans="2:3">
      <c r="B961" s="24"/>
      <c r="C961" s="25"/>
    </row>
    <row r="962" spans="2:3">
      <c r="B962" s="24"/>
      <c r="C962" s="25"/>
    </row>
    <row r="965" spans="2:3">
      <c r="B965" s="24"/>
      <c r="C965" s="25"/>
    </row>
    <row r="966" spans="2:3">
      <c r="B966" s="24"/>
      <c r="C966" s="25"/>
    </row>
    <row r="967" spans="2:3">
      <c r="B967" s="24"/>
      <c r="C967" s="25"/>
    </row>
    <row r="968" s="1" customFormat="1" spans="1:22">
      <c r="A968" s="4"/>
      <c r="B968" s="24"/>
      <c r="C968" s="2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2:3">
      <c r="B969" s="24"/>
      <c r="C969" s="25"/>
    </row>
    <row r="970" spans="2:3">
      <c r="B970" s="24"/>
      <c r="C970" s="25"/>
    </row>
    <row r="971" spans="2:3">
      <c r="B971" s="24"/>
      <c r="C971" s="25"/>
    </row>
    <row r="979" customFormat="1" spans="1:2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customFormat="1" spans="1:2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="1" customFormat="1" spans="1:2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3" spans="2:3">
      <c r="B983" s="24"/>
      <c r="C983" s="25"/>
    </row>
    <row r="984" spans="2:3">
      <c r="B984" s="24"/>
      <c r="C984" s="25"/>
    </row>
    <row r="985" spans="2:3">
      <c r="B985" s="24"/>
      <c r="C985" s="25"/>
    </row>
    <row r="986" spans="2:3">
      <c r="B986" s="24"/>
      <c r="C986" s="25"/>
    </row>
    <row r="987" spans="2:3">
      <c r="B987" s="24"/>
      <c r="C987" s="25"/>
    </row>
    <row r="988" spans="2:3">
      <c r="B988" s="24"/>
      <c r="C988" s="25"/>
    </row>
    <row r="989" spans="2:3">
      <c r="B989" s="24"/>
      <c r="C989" s="25"/>
    </row>
    <row r="990" spans="2:3">
      <c r="B990" s="24"/>
      <c r="C990" s="25"/>
    </row>
    <row r="991" spans="2:3">
      <c r="B991" s="24"/>
      <c r="C991" s="25"/>
    </row>
    <row r="992" spans="2:3">
      <c r="B992" s="24"/>
      <c r="C992" s="25"/>
    </row>
    <row r="993" spans="2:3">
      <c r="B993" s="24"/>
      <c r="C993" s="25"/>
    </row>
    <row r="996" spans="2:3">
      <c r="B996" s="24"/>
      <c r="C996" s="25"/>
    </row>
    <row r="997" spans="2:3">
      <c r="B997" s="24"/>
      <c r="C997" s="25"/>
    </row>
    <row r="998" spans="2:3">
      <c r="B998" s="24"/>
      <c r="C998" s="25"/>
    </row>
    <row r="999" spans="2:3">
      <c r="B999" s="24"/>
      <c r="C999" s="25"/>
    </row>
    <row r="1000" spans="2:3">
      <c r="B1000" s="24"/>
      <c r="C1000" s="25"/>
    </row>
    <row r="1001" spans="2:3">
      <c r="B1001" s="24"/>
      <c r="C1001" s="25"/>
    </row>
    <row r="1002" spans="2:3">
      <c r="B1002" s="24"/>
      <c r="C1002" s="25"/>
    </row>
    <row r="1003" s="1" customFormat="1" spans="1:2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  <row r="1007" spans="2:3">
      <c r="B1007" s="24"/>
      <c r="C1007" s="25"/>
    </row>
    <row r="1008" spans="2:3">
      <c r="B1008" s="24"/>
      <c r="C1008" s="25"/>
    </row>
    <row r="1009" spans="2:3">
      <c r="B1009" s="24"/>
      <c r="C1009" s="25"/>
    </row>
    <row r="1010" spans="2:3">
      <c r="B1010" s="24"/>
      <c r="C1010" s="25"/>
    </row>
    <row r="1011" spans="2:3">
      <c r="B1011" s="24"/>
      <c r="C1011" s="25"/>
    </row>
    <row r="1012" spans="2:3">
      <c r="B1012" s="24"/>
      <c r="C1012" s="25"/>
    </row>
    <row r="1013" spans="2:3">
      <c r="B1013" s="24"/>
      <c r="C1013" s="25"/>
    </row>
    <row r="1015" spans="2:3">
      <c r="B1015" s="24"/>
      <c r="C1015" s="25"/>
    </row>
    <row r="1016" s="1" customFormat="1" spans="1:22">
      <c r="A1016" s="4"/>
      <c r="B1016" s="24"/>
      <c r="C1016" s="25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</row>
    <row r="1017" spans="2:3">
      <c r="B1017" s="24"/>
      <c r="C1017" s="25"/>
    </row>
    <row r="1018" spans="2:3">
      <c r="B1018" s="24"/>
      <c r="C1018" s="25"/>
    </row>
    <row r="1019" spans="2:3">
      <c r="B1019" s="24"/>
      <c r="C1019" s="25"/>
    </row>
    <row r="1020" spans="2:3">
      <c r="B1020" s="24"/>
      <c r="C1020" s="25"/>
    </row>
    <row r="1021" spans="2:3">
      <c r="B1021" s="24"/>
      <c r="C1021" s="25"/>
    </row>
    <row r="1022" spans="2:3">
      <c r="B1022" s="24"/>
      <c r="C1022" s="25"/>
    </row>
    <row r="1023" spans="2:3">
      <c r="B1023" s="24"/>
      <c r="C1023" s="25"/>
    </row>
    <row r="1024" spans="2:3">
      <c r="B1024" s="24"/>
      <c r="C1024" s="25"/>
    </row>
    <row r="1025" spans="2:3">
      <c r="B1025" s="24"/>
      <c r="C1025" s="25"/>
    </row>
  </sheetData>
  <autoFilter ref="A1:X755">
    <filterColumn colId="0">
      <customFilters>
        <customFilter operator="equal" val="211"/>
      </customFilters>
    </filterColumn>
    <filterColumn colId="2">
      <customFilters>
        <customFilter operator="equal" val="男"/>
      </customFilters>
    </filterColumn>
    <extLst/>
  </autoFilter>
  <sortState ref="A2:X1025">
    <sortCondition ref="X2" descending="1"/>
  </sortState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39"/>
  <sheetViews>
    <sheetView topLeftCell="J1" workbookViewId="0">
      <selection activeCell="A547" sqref="$A547:$XFD547"/>
    </sheetView>
  </sheetViews>
  <sheetFormatPr defaultColWidth="9" defaultRowHeight="14.4"/>
  <cols>
    <col min="1" max="4" width="9" style="4"/>
    <col min="5" max="23" width="12.3796296296296" style="4" customWidth="1"/>
    <col min="24" max="24" width="12.6296296296296" style="5"/>
    <col min="25" max="25" width="12.8888888888889" style="5"/>
    <col min="26" max="16384" width="9" style="5"/>
  </cols>
  <sheetData>
    <row r="1" s="1" customFormat="1" spans="1:25">
      <c r="A1" s="6" t="s">
        <v>1</v>
      </c>
      <c r="B1" s="6" t="s">
        <v>2</v>
      </c>
      <c r="C1" s="7" t="s">
        <v>3</v>
      </c>
      <c r="D1" s="7" t="s">
        <v>4</v>
      </c>
      <c r="E1" s="8" t="s">
        <v>5</v>
      </c>
      <c r="F1" s="9" t="s">
        <v>847</v>
      </c>
      <c r="G1" s="8" t="s">
        <v>6</v>
      </c>
      <c r="H1" s="9" t="s">
        <v>847</v>
      </c>
      <c r="I1" s="8" t="s">
        <v>7</v>
      </c>
      <c r="J1" s="9" t="s">
        <v>847</v>
      </c>
      <c r="K1" s="8" t="s">
        <v>848</v>
      </c>
      <c r="L1" s="9" t="s">
        <v>849</v>
      </c>
      <c r="M1" s="9" t="s">
        <v>850</v>
      </c>
      <c r="N1" s="8">
        <v>50</v>
      </c>
      <c r="O1" s="8" t="s">
        <v>851</v>
      </c>
      <c r="P1" s="9" t="s">
        <v>847</v>
      </c>
      <c r="Q1" s="8" t="s">
        <v>8</v>
      </c>
      <c r="R1" s="6" t="s">
        <v>851</v>
      </c>
      <c r="S1" s="17" t="s">
        <v>847</v>
      </c>
      <c r="T1" s="6" t="s">
        <v>852</v>
      </c>
      <c r="U1" s="6" t="s">
        <v>849</v>
      </c>
      <c r="V1" s="17" t="s">
        <v>850</v>
      </c>
      <c r="W1" s="6" t="s">
        <v>9</v>
      </c>
      <c r="X1" s="18" t="s">
        <v>853</v>
      </c>
      <c r="Y1" s="22" t="s">
        <v>854</v>
      </c>
    </row>
    <row r="2" ht="15.6" hidden="1" outlineLevel="2" spans="1:25">
      <c r="A2" s="12">
        <v>201</v>
      </c>
      <c r="B2" s="12">
        <v>1</v>
      </c>
      <c r="C2" s="13" t="s">
        <v>10</v>
      </c>
      <c r="D2" s="6" t="s">
        <v>11</v>
      </c>
      <c r="E2" s="12">
        <v>12</v>
      </c>
      <c r="F2" s="11">
        <f>LOOKUP(E2,{0,-2.9,-1.9,-0.9,0.1,1.1,2.1,3.5,4.9,6.3,7.7,9.1,10.5,11.9,13.3,14.7,16.1,18.3,20.5,22.4,24.3},{0,10,20,30,40,50,60,62,64,66,68,70,72,74,76,78,80,85,90,95,100})</f>
        <v>74</v>
      </c>
      <c r="G2" s="12">
        <v>260</v>
      </c>
      <c r="H2" s="11">
        <f>LOOKUP(G2,{0,175,180,185,190,195,200,204,208,212,216,220,224,228,232,236,240,248,255,260,265},{0,10,20,30,40,50,60,62,64,66,68,70,72,74,76,78,80,85,90,95,100})</f>
        <v>95</v>
      </c>
      <c r="I2" s="12">
        <v>12</v>
      </c>
      <c r="J2" s="11">
        <f>LOOKUP(I2,{0,3,4,5,6,7,8,9,10,11,12,13,14,15,16,17},{0,10,20,30,40,50,60,64,68,72,76,80,85,90,95,100})</f>
        <v>76</v>
      </c>
      <c r="K2" s="12"/>
      <c r="L2" s="12"/>
      <c r="M2" s="12">
        <f t="shared" ref="M2:M7" si="0">J2+L2</f>
        <v>76</v>
      </c>
      <c r="N2" s="12">
        <v>7.3</v>
      </c>
      <c r="O2" s="12">
        <f t="shared" ref="O2:O6" si="1">12-N2</f>
        <v>4.7</v>
      </c>
      <c r="P2" s="11">
        <f>LOOKUP(O2,{0,1.6,1.8,2,2.2,2.4,2.6,2.8,3,3.2,3.4,3.6,3.8,4,4.2,4.4,4.6,4.7,4.8,4.9,5},{0,10,20,30,40,50,60,62,64,66,68,70,72,74,76,78,80,85,90,95,100})</f>
        <v>85</v>
      </c>
      <c r="Q2" s="12">
        <v>3.44</v>
      </c>
      <c r="R2" s="12">
        <f t="shared" ref="R2:R7" si="2">10-Q2</f>
        <v>6.56</v>
      </c>
      <c r="S2" s="11">
        <f>LOOKUP(R2,{0,3.8,4,4.6,4.8,5,5.6,5.65,5.7,5.75,5.8,5.85,5.9,5.95,6,6.45,6.5,6.58,6.65,6.7,6.75},{0,10,20,30,40,50,60,62,64,66,68,70,72,74,76,78,80,85,90,95,100})</f>
        <v>80</v>
      </c>
      <c r="T2" s="12"/>
      <c r="U2" s="12"/>
      <c r="V2" s="12">
        <f t="shared" ref="V2:V7" si="3">S2+U2</f>
        <v>80</v>
      </c>
      <c r="W2" s="12"/>
      <c r="X2" s="20">
        <f t="shared" ref="X2:X65" si="4">F2*0.1+H2*0.1+J2*0.1+P2*0.2+S2*0.2</f>
        <v>57.5</v>
      </c>
      <c r="Y2" s="20">
        <f t="shared" ref="Y2:Y6" si="5">X2/0.7+L2+U2</f>
        <v>82.1428571428572</v>
      </c>
    </row>
    <row r="3" ht="15.6" hidden="1" outlineLevel="2" spans="1:25">
      <c r="A3" s="12">
        <v>201</v>
      </c>
      <c r="B3" s="12">
        <v>2</v>
      </c>
      <c r="C3" s="6" t="s">
        <v>12</v>
      </c>
      <c r="D3" s="6" t="s">
        <v>11</v>
      </c>
      <c r="E3" s="12">
        <v>13</v>
      </c>
      <c r="F3" s="11">
        <f>LOOKUP(E3,{0,-2.9,-1.9,-0.9,0.1,1.1,2.1,3.5,4.9,6.3,7.7,9.1,10.5,11.9,13.3,14.7,16.1,18.3,20.5,22.4,24.3},{0,10,20,30,40,50,60,62,64,66,68,70,72,74,76,78,80,85,90,95,100})</f>
        <v>74</v>
      </c>
      <c r="G3" s="12">
        <v>257</v>
      </c>
      <c r="H3" s="11">
        <f>LOOKUP(G3,{0,175,180,185,190,195,200,204,208,212,216,220,224,228,232,236,240,248,255,260,265},{0,10,20,30,40,50,60,62,64,66,68,70,72,74,76,78,80,85,90,95,100})</f>
        <v>90</v>
      </c>
      <c r="I3" s="12">
        <v>27</v>
      </c>
      <c r="J3" s="11">
        <f>LOOKUP(I3,{0,3,4,5,6,7,8,9,10,11,12,13,14,15,16,17},{0,10,20,30,40,50,60,64,68,72,76,80,85,90,95,100})</f>
        <v>100</v>
      </c>
      <c r="K3" s="12">
        <f>I3-17</f>
        <v>10</v>
      </c>
      <c r="L3" s="16">
        <f>LOOKUP(K3,{0,1,2,3,4,5,6,7,8,9,10},{0,1,2,3,4,5,6,7,8,9,10})</f>
        <v>10</v>
      </c>
      <c r="M3" s="12">
        <f t="shared" si="0"/>
        <v>110</v>
      </c>
      <c r="N3" s="12">
        <v>7.3</v>
      </c>
      <c r="O3" s="12">
        <f t="shared" si="1"/>
        <v>4.7</v>
      </c>
      <c r="P3" s="11">
        <f>LOOKUP(O3,{0,1.6,1.8,2,2.2,2.4,2.6,2.8,3,3.2,3.4,3.6,3.8,4,4.2,4.4,4.6,4.7,4.8,4.9,5},{0,10,20,30,40,50,60,62,64,66,68,70,72,74,76,78,80,85,90,95,100})</f>
        <v>85</v>
      </c>
      <c r="Q3" s="12">
        <v>3.47</v>
      </c>
      <c r="R3" s="12">
        <f t="shared" si="2"/>
        <v>6.53</v>
      </c>
      <c r="S3" s="11">
        <f>LOOKUP(R3,{0,3.8,4,4.6,4.8,5,5.6,5.65,5.7,5.75,5.8,5.85,5.9,5.95,6,6.45,6.5,6.58,6.65,6.7,6.75},{0,10,20,30,40,50,60,62,64,66,68,70,72,74,76,78,80,85,90,95,100})</f>
        <v>80</v>
      </c>
      <c r="T3" s="12"/>
      <c r="U3" s="12"/>
      <c r="V3" s="12">
        <f t="shared" si="3"/>
        <v>80</v>
      </c>
      <c r="W3" s="12"/>
      <c r="X3" s="20">
        <f t="shared" si="4"/>
        <v>59.4</v>
      </c>
      <c r="Y3" s="20">
        <f t="shared" si="5"/>
        <v>94.8571428571429</v>
      </c>
    </row>
    <row r="4" ht="15.6" hidden="1" outlineLevel="2" spans="1:25">
      <c r="A4" s="12">
        <v>201</v>
      </c>
      <c r="B4" s="12">
        <v>3</v>
      </c>
      <c r="C4" s="6" t="s">
        <v>13</v>
      </c>
      <c r="D4" s="6" t="s">
        <v>11</v>
      </c>
      <c r="E4" s="12"/>
      <c r="F4" s="11"/>
      <c r="G4" s="12"/>
      <c r="H4" s="11"/>
      <c r="I4" s="12"/>
      <c r="J4" s="11"/>
      <c r="K4" s="12"/>
      <c r="L4" s="12"/>
      <c r="M4" s="12"/>
      <c r="N4" s="12"/>
      <c r="O4" s="12"/>
      <c r="P4" s="11"/>
      <c r="Q4" s="12"/>
      <c r="R4" s="12"/>
      <c r="S4" s="11"/>
      <c r="T4" s="12"/>
      <c r="U4" s="11"/>
      <c r="V4" s="12"/>
      <c r="W4" s="12" t="s">
        <v>14</v>
      </c>
      <c r="X4" s="20">
        <f t="shared" si="4"/>
        <v>0</v>
      </c>
      <c r="Y4" s="20">
        <v>50</v>
      </c>
    </row>
    <row r="5" ht="15.6" hidden="1" outlineLevel="2" spans="1:25">
      <c r="A5" s="12">
        <v>201</v>
      </c>
      <c r="B5" s="12">
        <v>4</v>
      </c>
      <c r="C5" s="6" t="s">
        <v>15</v>
      </c>
      <c r="D5" s="6" t="s">
        <v>11</v>
      </c>
      <c r="E5" s="12"/>
      <c r="F5" s="11"/>
      <c r="G5" s="12"/>
      <c r="H5" s="11"/>
      <c r="I5" s="12"/>
      <c r="J5" s="11"/>
      <c r="K5" s="12"/>
      <c r="L5" s="12"/>
      <c r="M5" s="12"/>
      <c r="N5" s="12"/>
      <c r="O5" s="12"/>
      <c r="P5" s="11"/>
      <c r="Q5" s="12"/>
      <c r="R5" s="12"/>
      <c r="S5" s="11"/>
      <c r="T5" s="12"/>
      <c r="U5" s="11"/>
      <c r="V5" s="12"/>
      <c r="W5" s="12" t="s">
        <v>16</v>
      </c>
      <c r="X5" s="20">
        <f t="shared" si="4"/>
        <v>0</v>
      </c>
      <c r="Y5" s="20">
        <v>50</v>
      </c>
    </row>
    <row r="6" ht="15.6" hidden="1" outlineLevel="2" spans="1:25">
      <c r="A6" s="12">
        <v>201</v>
      </c>
      <c r="B6" s="12">
        <v>5</v>
      </c>
      <c r="C6" s="6" t="s">
        <v>17</v>
      </c>
      <c r="D6" s="6" t="s">
        <v>11</v>
      </c>
      <c r="E6" s="12">
        <v>11</v>
      </c>
      <c r="F6" s="11">
        <f>LOOKUP(E6,{0,-2.9,-1.9,-0.9,0.1,1.1,2.1,3.5,4.9,6.3,7.7,9.1,10.5,11.9,13.3,14.7,16.1,18.3,20.5,22.4,24.3},{0,10,20,30,40,50,60,62,64,66,68,70,72,74,76,78,80,85,90,95,100})</f>
        <v>72</v>
      </c>
      <c r="G6" s="12">
        <v>230</v>
      </c>
      <c r="H6" s="11">
        <f>LOOKUP(G6,{0,175,180,185,190,195,200,204,208,212,216,220,224,228,232,236,240,248,255,260,265},{0,10,20,30,40,50,60,62,64,66,68,70,72,74,76,78,80,85,90,95,100})</f>
        <v>74</v>
      </c>
      <c r="I6" s="12">
        <v>3</v>
      </c>
      <c r="J6" s="11">
        <f>LOOKUP(I6,{0,3,4,5,6,7,8,9,10,11,12,13,14,15,16,17},{0,10,20,30,40,50,60,64,68,72,76,80,85,90,95,100})</f>
        <v>10</v>
      </c>
      <c r="K6" s="12"/>
      <c r="L6" s="12"/>
      <c r="M6" s="12">
        <f t="shared" si="0"/>
        <v>10</v>
      </c>
      <c r="N6" s="12">
        <v>7.2</v>
      </c>
      <c r="O6" s="12">
        <f t="shared" si="1"/>
        <v>4.8</v>
      </c>
      <c r="P6" s="11">
        <f>LOOKUP(O6,{0,1.6,1.8,2,2.2,2.4,2.6,2.8,3,3.2,3.4,3.6,3.8,4,4.2,4.4,4.6,4.7,4.8,4.9,5},{0,10,20,30,40,50,60,62,64,66,68,70,72,74,76,78,80,85,90,95,100})</f>
        <v>90</v>
      </c>
      <c r="Q6" s="12">
        <v>4.14</v>
      </c>
      <c r="R6" s="12">
        <f t="shared" si="2"/>
        <v>5.86</v>
      </c>
      <c r="S6" s="11">
        <f>LOOKUP(R6,{0,3.8,4,4.6,4.8,5,5.6,5.65,5.7,5.75,5.8,5.85,5.9,5.95,6,6.45,6.5,6.58,6.65,6.7,6.75},{0,10,20,30,40,50,60,62,64,66,68,70,72,74,76,78,80,85,90,95,100})</f>
        <v>70</v>
      </c>
      <c r="T6" s="12"/>
      <c r="U6" s="12"/>
      <c r="V6" s="12">
        <f t="shared" si="3"/>
        <v>70</v>
      </c>
      <c r="W6" s="12"/>
      <c r="X6" s="20">
        <f t="shared" si="4"/>
        <v>47.6</v>
      </c>
      <c r="Y6" s="20">
        <f t="shared" si="5"/>
        <v>68</v>
      </c>
    </row>
    <row r="7" ht="15.6" hidden="1" outlineLevel="2" spans="1:25">
      <c r="A7" s="12">
        <v>201</v>
      </c>
      <c r="B7" s="12">
        <v>6</v>
      </c>
      <c r="C7" s="6" t="s">
        <v>18</v>
      </c>
      <c r="D7" s="6" t="s">
        <v>11</v>
      </c>
      <c r="E7" s="12">
        <v>14</v>
      </c>
      <c r="F7" s="11">
        <f>LOOKUP(E7,{0,-2.9,-1.9,-0.9,0.1,1.1,2.1,3.5,4.9,6.3,7.7,9.1,10.5,11.9,13.3,14.7,16.1,18.3,20.5,22.4,24.3},{0,10,20,30,40,50,60,62,64,66,68,70,72,74,76,78,80,85,90,95,100})</f>
        <v>76</v>
      </c>
      <c r="G7" s="12">
        <v>230</v>
      </c>
      <c r="H7" s="11">
        <f>LOOKUP(G7,{0,175,180,185,190,195,200,204,208,212,216,220,224,228,232,236,240,248,255,260,265},{0,10,20,30,40,50,60,62,64,66,68,70,72,74,76,78,80,85,90,95,100})</f>
        <v>74</v>
      </c>
      <c r="I7" s="12">
        <v>1</v>
      </c>
      <c r="J7" s="11">
        <f>LOOKUP(I7,{0,3,4,5,6,7,8,9,10,11,12,13,14,15,16,17},{0,10,20,30,40,50,60,64,68,72,76,80,85,90,95,100})</f>
        <v>0</v>
      </c>
      <c r="K7" s="12"/>
      <c r="L7" s="12"/>
      <c r="M7" s="12">
        <f t="shared" si="0"/>
        <v>0</v>
      </c>
      <c r="N7" s="12"/>
      <c r="O7" s="12"/>
      <c r="P7" s="11"/>
      <c r="Q7" s="12">
        <v>4.39</v>
      </c>
      <c r="R7" s="12">
        <f t="shared" si="2"/>
        <v>5.61</v>
      </c>
      <c r="S7" s="11">
        <f>LOOKUP(R7,{0,3.8,4,4.6,4.8,5,5.6,5.65,5.7,5.75,5.8,5.85,5.9,5.95,6,6.45,6.5,6.58,6.65,6.7,6.75},{0,10,20,30,40,50,60,62,64,66,68,70,72,74,76,78,80,85,90,95,100})</f>
        <v>60</v>
      </c>
      <c r="T7" s="12"/>
      <c r="U7" s="12"/>
      <c r="V7" s="12">
        <f t="shared" si="3"/>
        <v>60</v>
      </c>
      <c r="W7" s="12"/>
      <c r="X7" s="20">
        <f t="shared" si="4"/>
        <v>27</v>
      </c>
      <c r="Y7" s="23">
        <v>50</v>
      </c>
    </row>
    <row r="8" ht="15.6" hidden="1" outlineLevel="2" spans="1:25">
      <c r="A8" s="12">
        <v>201</v>
      </c>
      <c r="B8" s="12">
        <v>7</v>
      </c>
      <c r="C8" s="6" t="s">
        <v>19</v>
      </c>
      <c r="D8" s="6" t="s">
        <v>11</v>
      </c>
      <c r="E8" s="12"/>
      <c r="F8" s="11"/>
      <c r="G8" s="12"/>
      <c r="H8" s="11"/>
      <c r="I8" s="12"/>
      <c r="J8" s="11"/>
      <c r="K8" s="12"/>
      <c r="L8" s="12"/>
      <c r="M8" s="12"/>
      <c r="N8" s="12"/>
      <c r="O8" s="12"/>
      <c r="P8" s="11"/>
      <c r="Q8" s="12"/>
      <c r="R8" s="12"/>
      <c r="S8" s="11"/>
      <c r="T8" s="12"/>
      <c r="U8" s="11"/>
      <c r="V8" s="12"/>
      <c r="W8" s="12" t="s">
        <v>14</v>
      </c>
      <c r="X8" s="20">
        <f t="shared" si="4"/>
        <v>0</v>
      </c>
      <c r="Y8" s="20">
        <v>50</v>
      </c>
    </row>
    <row r="9" ht="15.6" hidden="1" outlineLevel="2" spans="1:25">
      <c r="A9" s="12">
        <v>201</v>
      </c>
      <c r="B9" s="12">
        <v>8</v>
      </c>
      <c r="C9" s="6" t="s">
        <v>20</v>
      </c>
      <c r="D9" s="6" t="s">
        <v>11</v>
      </c>
      <c r="E9" s="12">
        <v>14.5</v>
      </c>
      <c r="F9" s="11">
        <f>LOOKUP(E9,{0,-2.9,-1.9,-0.9,0.1,1.1,2.1,3.5,4.9,6.3,7.7,9.1,10.5,11.9,13.3,14.7,16.1,18.3,20.5,22.4,24.3},{0,10,20,30,40,50,60,62,64,66,68,70,72,74,76,78,80,85,90,95,100})</f>
        <v>76</v>
      </c>
      <c r="G9" s="12">
        <v>239</v>
      </c>
      <c r="H9" s="11">
        <f>LOOKUP(G9,{0,175,180,185,190,195,200,204,208,212,216,220,224,228,232,236,240,248,255,260,265},{0,10,20,30,40,50,60,62,64,66,68,70,72,74,76,78,80,85,90,95,100})</f>
        <v>78</v>
      </c>
      <c r="I9" s="12">
        <v>0</v>
      </c>
      <c r="J9" s="11">
        <f>LOOKUP(I9,{0,3,4,5,6,7,8,9,10,11,12,13,14,15,16,17},{0,10,20,30,40,50,60,64,68,72,76,80,85,90,95,100})</f>
        <v>0</v>
      </c>
      <c r="K9" s="12"/>
      <c r="L9" s="12"/>
      <c r="M9" s="12">
        <f t="shared" ref="M9:M21" si="6">J9+L9</f>
        <v>0</v>
      </c>
      <c r="N9" s="12">
        <v>7.4</v>
      </c>
      <c r="O9" s="12">
        <f t="shared" ref="O9:O14" si="7">12-N9</f>
        <v>4.6</v>
      </c>
      <c r="P9" s="11">
        <f>LOOKUP(O9,{0,1.6,1.8,2,2.2,2.4,2.6,2.8,3,3.2,3.4,3.6,3.8,4,4.2,4.4,4.6,4.7,4.8,4.9,5},{0,10,20,30,40,50,60,62,64,66,68,70,72,74,76,78,80,85,90,95,100})</f>
        <v>80</v>
      </c>
      <c r="Q9" s="12">
        <v>3.57</v>
      </c>
      <c r="R9" s="12">
        <f t="shared" ref="R9:R21" si="8">10-Q9</f>
        <v>6.43</v>
      </c>
      <c r="S9" s="11">
        <f>LOOKUP(R9,{0,3.8,4,4.6,4.8,5,5.6,5.65,5.7,5.75,5.8,5.85,5.9,5.95,6,6.45,6.5,6.58,6.65,6.7,6.75},{0,10,20,30,40,50,60,62,64,66,68,70,72,74,76,78,80,85,90,95,100})</f>
        <v>76</v>
      </c>
      <c r="T9" s="12"/>
      <c r="U9" s="12"/>
      <c r="V9" s="12">
        <f t="shared" ref="V9:V21" si="9">S9+U9</f>
        <v>76</v>
      </c>
      <c r="W9" s="12"/>
      <c r="X9" s="20">
        <f t="shared" si="4"/>
        <v>46.6</v>
      </c>
      <c r="Y9" s="20">
        <f t="shared" ref="Y9:Y21" si="10">X9/0.7+L9+U9</f>
        <v>66.5714285714286</v>
      </c>
    </row>
    <row r="10" ht="15.6" hidden="1" outlineLevel="2" spans="1:25">
      <c r="A10" s="12">
        <v>201</v>
      </c>
      <c r="B10" s="12">
        <v>9</v>
      </c>
      <c r="C10" s="6" t="s">
        <v>21</v>
      </c>
      <c r="D10" s="6" t="s">
        <v>11</v>
      </c>
      <c r="E10" s="12">
        <v>11</v>
      </c>
      <c r="F10" s="11">
        <f>LOOKUP(E10,{0,-2.9,-1.9,-0.9,0.1,1.1,2.1,3.5,4.9,6.3,7.7,9.1,10.5,11.9,13.3,14.7,16.1,18.3,20.5,22.4,24.3},{0,10,20,30,40,50,60,62,64,66,68,70,72,74,76,78,80,85,90,95,100})</f>
        <v>72</v>
      </c>
      <c r="G10" s="12">
        <v>260</v>
      </c>
      <c r="H10" s="11">
        <f>LOOKUP(G10,{0,175,180,185,190,195,200,204,208,212,216,220,224,228,232,236,240,248,255,260,265},{0,10,20,30,40,50,60,62,64,66,68,70,72,74,76,78,80,85,90,95,100})</f>
        <v>95</v>
      </c>
      <c r="I10" s="12">
        <v>13</v>
      </c>
      <c r="J10" s="11">
        <f>LOOKUP(I10,{0,3,4,5,6,7,8,9,10,11,12,13,14,15,16,17},{0,10,20,30,40,50,60,64,68,72,76,80,85,90,95,100})</f>
        <v>80</v>
      </c>
      <c r="K10" s="12"/>
      <c r="L10" s="12"/>
      <c r="M10" s="12">
        <f t="shared" si="6"/>
        <v>80</v>
      </c>
      <c r="N10" s="12"/>
      <c r="O10" s="12"/>
      <c r="P10" s="11"/>
      <c r="Q10" s="12">
        <v>3.25</v>
      </c>
      <c r="R10" s="12">
        <f t="shared" si="8"/>
        <v>6.75</v>
      </c>
      <c r="S10" s="11">
        <f>LOOKUP(R10,{0,3.8,4,4.6,4.8,5,5.6,5.65,5.7,5.75,5.8,5.85,5.9,5.95,6,6.45,6.5,6.58,6.65,6.7,6.75},{0,10,20,30,40,50,60,62,64,66,68,70,72,74,76,78,80,85,90,95,100})</f>
        <v>100</v>
      </c>
      <c r="T10" s="12">
        <f t="shared" ref="T10:T15" si="11">3.25-Q10</f>
        <v>0</v>
      </c>
      <c r="U10" s="11">
        <f>LOOKUP(T10,{0,0.04,0.08,0.12,0.16,0.2,0.23,0.26,0.29,0.32,0.35},{0,1,2,3,4,5,6,7,8,9,10})</f>
        <v>0</v>
      </c>
      <c r="V10" s="12">
        <f t="shared" si="9"/>
        <v>100</v>
      </c>
      <c r="W10" s="12"/>
      <c r="X10" s="20">
        <f t="shared" si="4"/>
        <v>44.7</v>
      </c>
      <c r="Y10" s="20">
        <f t="shared" si="10"/>
        <v>63.8571428571429</v>
      </c>
    </row>
    <row r="11" ht="15.6" hidden="1" outlineLevel="2" spans="1:25">
      <c r="A11" s="12">
        <v>201</v>
      </c>
      <c r="B11" s="12">
        <v>10</v>
      </c>
      <c r="C11" s="6" t="s">
        <v>22</v>
      </c>
      <c r="D11" s="6" t="s">
        <v>11</v>
      </c>
      <c r="E11" s="12">
        <v>10</v>
      </c>
      <c r="F11" s="11">
        <f>LOOKUP(E11,{0,-2.9,-1.9,-0.9,0.1,1.1,2.1,3.5,4.9,6.3,7.7,9.1,10.5,11.9,13.3,14.7,16.1,18.3,20.5,22.4,24.3},{0,10,20,30,40,50,60,62,64,66,68,70,72,74,76,78,80,85,90,95,100})</f>
        <v>70</v>
      </c>
      <c r="G11" s="12">
        <v>208</v>
      </c>
      <c r="H11" s="11">
        <f>LOOKUP(G11,{0,175,180,185,190,195,200,204,208,212,216,220,224,228,232,236,240,248,255,260,265},{0,10,20,30,40,50,60,62,64,66,68,70,72,74,76,78,80,85,90,95,100})</f>
        <v>64</v>
      </c>
      <c r="I11" s="12">
        <v>17</v>
      </c>
      <c r="J11" s="11">
        <f>LOOKUP(I11,{0,3,4,5,6,7,8,9,10,11,12,13,14,15,16,17},{0,10,20,30,40,50,60,64,68,72,76,80,85,90,95,100})</f>
        <v>100</v>
      </c>
      <c r="K11" s="12">
        <f>I11-17</f>
        <v>0</v>
      </c>
      <c r="L11" s="16">
        <f>LOOKUP(K11,{0,1,2,3,4,5,6,7,8,9,10},{0,1,2,3,4,5,6,7,8,9,10})</f>
        <v>0</v>
      </c>
      <c r="M11" s="12">
        <f t="shared" si="6"/>
        <v>100</v>
      </c>
      <c r="N11" s="12">
        <v>7.8</v>
      </c>
      <c r="O11" s="12">
        <f t="shared" si="7"/>
        <v>4.2</v>
      </c>
      <c r="P11" s="11">
        <f>LOOKUP(O11,{0,1.6,1.8,2,2.2,2.4,2.6,2.8,3,3.2,3.4,3.6,3.8,4,4.2,4.4,4.6,4.7,4.8,4.9,5},{0,10,20,30,40,50,60,62,64,66,68,70,72,74,76,78,80,85,90,95,100})</f>
        <v>76</v>
      </c>
      <c r="Q11" s="12">
        <v>4.07</v>
      </c>
      <c r="R11" s="12">
        <f t="shared" si="8"/>
        <v>5.93</v>
      </c>
      <c r="S11" s="11">
        <f>LOOKUP(R11,{0,3.8,4,4.6,4.8,5,5.6,5.65,5.7,5.75,5.8,5.85,5.9,5.95,6,6.45,6.5,6.58,6.65,6.7,6.75},{0,10,20,30,40,50,60,62,64,66,68,70,72,74,76,78,80,85,90,95,100})</f>
        <v>72</v>
      </c>
      <c r="T11" s="12"/>
      <c r="U11" s="12"/>
      <c r="V11" s="12">
        <f t="shared" si="9"/>
        <v>72</v>
      </c>
      <c r="W11" s="12"/>
      <c r="X11" s="20">
        <f t="shared" si="4"/>
        <v>53</v>
      </c>
      <c r="Y11" s="20">
        <f t="shared" si="10"/>
        <v>75.7142857142857</v>
      </c>
    </row>
    <row r="12" ht="15.6" hidden="1" outlineLevel="2" spans="1:25">
      <c r="A12" s="12">
        <v>201</v>
      </c>
      <c r="B12" s="12">
        <v>11</v>
      </c>
      <c r="C12" s="6" t="s">
        <v>23</v>
      </c>
      <c r="D12" s="6" t="s">
        <v>11</v>
      </c>
      <c r="E12" s="12">
        <v>13</v>
      </c>
      <c r="F12" s="11">
        <f>LOOKUP(E12,{0,-2.9,-1.9,-0.9,0.1,1.1,2.1,3.5,4.9,6.3,7.7,9.1,10.5,11.9,13.3,14.7,16.1,18.3,20.5,22.4,24.3},{0,10,20,30,40,50,60,62,64,66,68,70,72,74,76,78,80,85,90,95,100})</f>
        <v>74</v>
      </c>
      <c r="G12" s="12">
        <v>230</v>
      </c>
      <c r="H12" s="11">
        <f>LOOKUP(G12,{0,175,180,185,190,195,200,204,208,212,216,220,224,228,232,236,240,248,255,260,265},{0,10,20,30,40,50,60,62,64,66,68,70,72,74,76,78,80,85,90,95,100})</f>
        <v>74</v>
      </c>
      <c r="I12" s="12">
        <v>8</v>
      </c>
      <c r="J12" s="11">
        <f>LOOKUP(I12,{0,3,4,5,6,7,8,9,10,11,12,13,14,15,16,17},{0,10,20,30,40,50,60,64,68,72,76,80,85,90,95,100})</f>
        <v>60</v>
      </c>
      <c r="K12" s="12"/>
      <c r="L12" s="12"/>
      <c r="M12" s="12">
        <f t="shared" si="6"/>
        <v>60</v>
      </c>
      <c r="N12" s="12">
        <v>7.4</v>
      </c>
      <c r="O12" s="12">
        <f t="shared" si="7"/>
        <v>4.6</v>
      </c>
      <c r="P12" s="11">
        <f>LOOKUP(O12,{0,1.6,1.8,2,2.2,2.4,2.6,2.8,3,3.2,3.4,3.6,3.8,4,4.2,4.4,4.6,4.7,4.8,4.9,5},{0,10,20,30,40,50,60,62,64,66,68,70,72,74,76,78,80,85,90,95,100})</f>
        <v>80</v>
      </c>
      <c r="Q12" s="12">
        <v>4</v>
      </c>
      <c r="R12" s="12">
        <f t="shared" si="8"/>
        <v>6</v>
      </c>
      <c r="S12" s="11">
        <f>LOOKUP(R12,{0,3.8,4,4.6,4.8,5,5.6,5.65,5.7,5.75,5.8,5.85,5.9,5.95,6,6.45,6.5,6.58,6.65,6.7,6.75},{0,10,20,30,40,50,60,62,64,66,68,70,72,74,76,78,80,85,90,95,100})</f>
        <v>76</v>
      </c>
      <c r="T12" s="12"/>
      <c r="U12" s="12"/>
      <c r="V12" s="12">
        <f t="shared" si="9"/>
        <v>76</v>
      </c>
      <c r="W12" s="12"/>
      <c r="X12" s="20">
        <f t="shared" si="4"/>
        <v>52</v>
      </c>
      <c r="Y12" s="20">
        <f t="shared" si="10"/>
        <v>74.2857142857143</v>
      </c>
    </row>
    <row r="13" ht="15.6" hidden="1" outlineLevel="2" spans="1:25">
      <c r="A13" s="12">
        <v>201</v>
      </c>
      <c r="B13" s="12">
        <v>12</v>
      </c>
      <c r="C13" s="6" t="s">
        <v>24</v>
      </c>
      <c r="D13" s="6" t="s">
        <v>11</v>
      </c>
      <c r="E13" s="12">
        <v>6.5</v>
      </c>
      <c r="F13" s="11">
        <f>LOOKUP(E13,{0,-2.9,-1.9,-0.9,0.1,1.1,2.1,3.5,4.9,6.3,7.7,9.1,10.5,11.9,13.3,14.7,16.1,18.3,20.5,22.4,24.3},{0,10,20,30,40,50,60,62,64,66,68,70,72,74,76,78,80,85,90,95,100})</f>
        <v>66</v>
      </c>
      <c r="G13" s="12">
        <v>207</v>
      </c>
      <c r="H13" s="11">
        <f>LOOKUP(G13,{0,175,180,185,190,195,200,204,208,212,216,220,224,228,232,236,240,248,255,260,265},{0,10,20,30,40,50,60,62,64,66,68,70,72,74,76,78,80,85,90,95,100})</f>
        <v>62</v>
      </c>
      <c r="I13" s="12">
        <v>8</v>
      </c>
      <c r="J13" s="11">
        <f>LOOKUP(I13,{0,3,4,5,6,7,8,9,10,11,12,13,14,15,16,17},{0,10,20,30,40,50,60,64,68,72,76,80,85,90,95,100})</f>
        <v>60</v>
      </c>
      <c r="K13" s="12"/>
      <c r="L13" s="12"/>
      <c r="M13" s="12">
        <f t="shared" si="6"/>
        <v>60</v>
      </c>
      <c r="N13" s="12">
        <v>6.9</v>
      </c>
      <c r="O13" s="12">
        <f t="shared" si="7"/>
        <v>5.1</v>
      </c>
      <c r="P13" s="11">
        <f>LOOKUP(O13,{0,1.6,1.8,2,2.2,2.4,2.6,2.8,3,3.2,3.4,3.6,3.8,4,4.2,4.4,4.6,4.7,4.8,4.9,5},{0,10,20,30,40,50,60,62,64,66,68,70,72,74,76,78,80,85,90,95,100})</f>
        <v>100</v>
      </c>
      <c r="Q13" s="12">
        <v>3.51</v>
      </c>
      <c r="R13" s="12">
        <f t="shared" si="8"/>
        <v>6.49</v>
      </c>
      <c r="S13" s="11">
        <f>LOOKUP(R13,{0,3.8,4,4.6,4.8,5,5.6,5.65,5.7,5.75,5.8,5.85,5.9,5.95,6,6.45,6.5,6.58,6.65,6.7,6.75},{0,10,20,30,40,50,60,62,64,66,68,70,72,74,76,78,80,85,90,95,100})</f>
        <v>78</v>
      </c>
      <c r="T13" s="12"/>
      <c r="U13" s="12"/>
      <c r="V13" s="12">
        <f t="shared" si="9"/>
        <v>78</v>
      </c>
      <c r="W13" s="12"/>
      <c r="X13" s="20">
        <f t="shared" si="4"/>
        <v>54.4</v>
      </c>
      <c r="Y13" s="20">
        <f t="shared" si="10"/>
        <v>77.7142857142857</v>
      </c>
    </row>
    <row r="14" customFormat="1" ht="15.6" hidden="1" outlineLevel="2" spans="1:25">
      <c r="A14" s="12">
        <v>201</v>
      </c>
      <c r="B14" s="12">
        <v>13</v>
      </c>
      <c r="C14" s="13" t="s">
        <v>26</v>
      </c>
      <c r="D14" s="6" t="s">
        <v>11</v>
      </c>
      <c r="E14" s="12">
        <v>7.8</v>
      </c>
      <c r="F14" s="11">
        <f>LOOKUP(E14,{0,-2.9,-1.9,-0.9,0.1,1.1,2.1,3.5,4.9,6.3,7.7,9.1,10.5,11.9,13.3,14.7,16.1,18.3,20.5,22.4,24.3},{0,10,20,30,40,50,60,62,64,66,68,70,72,74,76,78,80,85,90,95,100})</f>
        <v>68</v>
      </c>
      <c r="G14" s="12">
        <v>258</v>
      </c>
      <c r="H14" s="11">
        <f>LOOKUP(G14,{0,175,180,185,190,195,200,204,208,212,216,220,224,228,232,236,240,248,255,260,265},{0,10,20,30,40,50,60,62,64,66,68,70,72,74,76,78,80,85,90,95,100})</f>
        <v>90</v>
      </c>
      <c r="I14" s="12">
        <v>32</v>
      </c>
      <c r="J14" s="11">
        <f>LOOKUP(I14,{0,3,4,5,6,7,8,9,10,11,12,13,14,15,16,17},{0,10,20,30,40,50,60,64,68,72,76,80,85,90,95,100})</f>
        <v>100</v>
      </c>
      <c r="K14" s="12">
        <f>I14-17</f>
        <v>15</v>
      </c>
      <c r="L14" s="16">
        <f>LOOKUP(K14,{0,1,2,3,4,5,6,7,8,9,10},{0,1,2,3,4,5,6,7,8,9,10})</f>
        <v>10</v>
      </c>
      <c r="M14" s="12">
        <f t="shared" si="6"/>
        <v>110</v>
      </c>
      <c r="N14" s="12">
        <v>7</v>
      </c>
      <c r="O14" s="12">
        <f t="shared" si="7"/>
        <v>5</v>
      </c>
      <c r="P14" s="11">
        <f>LOOKUP(O14,{0,1.6,1.8,2,2.2,2.4,2.6,2.8,3,3.2,3.4,3.6,3.8,4,4.2,4.4,4.6,4.7,4.8,4.9,5},{0,10,20,30,40,50,60,62,64,66,68,70,72,74,76,78,80,85,90,95,100})</f>
        <v>100</v>
      </c>
      <c r="Q14" s="12">
        <v>3.23</v>
      </c>
      <c r="R14" s="12">
        <f t="shared" si="8"/>
        <v>6.77</v>
      </c>
      <c r="S14" s="11">
        <f>LOOKUP(R14,{0,3.8,4,4.6,4.8,5,5.6,5.65,5.7,5.75,5.8,5.85,5.9,5.95,6,6.45,6.5,6.58,6.65,6.7,6.75},{0,10,20,30,40,50,60,62,64,66,68,70,72,74,76,78,80,85,90,95,100})</f>
        <v>100</v>
      </c>
      <c r="T14" s="12">
        <f t="shared" si="11"/>
        <v>0.02</v>
      </c>
      <c r="U14" s="11">
        <f>LOOKUP(T14,{0,0.04,0.08,0.12,0.16,0.2,0.23,0.26,0.29,0.32,0.35},{0,1,2,3,4,5,6,7,8,9,10})</f>
        <v>0</v>
      </c>
      <c r="V14" s="12">
        <f t="shared" si="9"/>
        <v>100</v>
      </c>
      <c r="W14" s="12"/>
      <c r="X14" s="20">
        <f t="shared" si="4"/>
        <v>65.8</v>
      </c>
      <c r="Y14" s="20">
        <f t="shared" si="10"/>
        <v>104</v>
      </c>
    </row>
    <row r="15" customFormat="1" ht="15.6" hidden="1" outlineLevel="2" spans="1:25">
      <c r="A15" s="12">
        <v>201</v>
      </c>
      <c r="B15" s="12">
        <v>14</v>
      </c>
      <c r="C15" s="6" t="s">
        <v>27</v>
      </c>
      <c r="D15" s="6" t="s">
        <v>11</v>
      </c>
      <c r="E15" s="12">
        <v>15.9</v>
      </c>
      <c r="F15" s="11">
        <f>LOOKUP(E15,{0,-2.9,-1.9,-0.9,0.1,1.1,2.1,3.5,4.9,6.3,7.7,9.1,10.5,11.9,13.3,14.7,16.1,18.3,20.5,22.4,24.3},{0,10,20,30,40,50,60,62,64,66,68,70,72,74,76,78,80,85,90,95,100})</f>
        <v>78</v>
      </c>
      <c r="G15" s="12">
        <v>261</v>
      </c>
      <c r="H15" s="11">
        <f>LOOKUP(G15,{0,175,180,185,190,195,200,204,208,212,216,220,224,228,232,236,240,248,255,260,265},{0,10,20,30,40,50,60,62,64,66,68,70,72,74,76,78,80,85,90,95,100})</f>
        <v>95</v>
      </c>
      <c r="I15" s="12">
        <v>16</v>
      </c>
      <c r="J15" s="11">
        <f>LOOKUP(I15,{0,3,4,5,6,7,8,9,10,11,12,13,14,15,16,17},{0,10,20,30,40,50,60,64,68,72,76,80,85,90,95,100})</f>
        <v>95</v>
      </c>
      <c r="K15" s="12"/>
      <c r="L15" s="12"/>
      <c r="M15" s="12">
        <f t="shared" si="6"/>
        <v>95</v>
      </c>
      <c r="N15" s="12"/>
      <c r="O15" s="12"/>
      <c r="P15" s="11"/>
      <c r="Q15" s="12">
        <v>3.24</v>
      </c>
      <c r="R15" s="12">
        <f t="shared" si="8"/>
        <v>6.76</v>
      </c>
      <c r="S15" s="11">
        <f>LOOKUP(R15,{0,3.8,4,4.6,4.8,5,5.6,5.65,5.7,5.75,5.8,5.85,5.9,5.95,6,6.45,6.5,6.58,6.65,6.7,6.75},{0,10,20,30,40,50,60,62,64,66,68,70,72,74,76,78,80,85,90,95,100})</f>
        <v>100</v>
      </c>
      <c r="T15" s="12">
        <f t="shared" si="11"/>
        <v>0.00999999999999979</v>
      </c>
      <c r="U15" s="11">
        <f>LOOKUP(T15,{0,0.04,0.08,0.12,0.16,0.2,0.23,0.26,0.29,0.32,0.35},{0,1,2,3,4,5,6,7,8,9,10})</f>
        <v>0</v>
      </c>
      <c r="V15" s="12">
        <f t="shared" si="9"/>
        <v>100</v>
      </c>
      <c r="W15" s="12"/>
      <c r="X15" s="20">
        <f t="shared" si="4"/>
        <v>46.8</v>
      </c>
      <c r="Y15" s="20">
        <f t="shared" si="10"/>
        <v>66.8571428571429</v>
      </c>
    </row>
    <row r="16" customFormat="1" ht="15.6" hidden="1" outlineLevel="2" spans="1:25">
      <c r="A16" s="12">
        <v>201</v>
      </c>
      <c r="B16" s="12">
        <v>15</v>
      </c>
      <c r="C16" s="6" t="s">
        <v>28</v>
      </c>
      <c r="D16" s="6" t="s">
        <v>11</v>
      </c>
      <c r="E16" s="12">
        <v>18.5</v>
      </c>
      <c r="F16" s="11">
        <f>LOOKUP(E16,{0,-2.9,-1.9,-0.9,0.1,1.1,2.1,3.5,4.9,6.3,7.7,9.1,10.5,11.9,13.3,14.7,16.1,18.3,20.5,22.4,24.3},{0,10,20,30,40,50,60,62,64,66,68,70,72,74,76,78,80,85,90,95,100})</f>
        <v>85</v>
      </c>
      <c r="G16" s="12">
        <v>260</v>
      </c>
      <c r="H16" s="11">
        <f>LOOKUP(G16,{0,175,180,185,190,195,200,204,208,212,216,220,224,228,232,236,240,248,255,260,265},{0,10,20,30,40,50,60,62,64,66,68,70,72,74,76,78,80,85,90,95,100})</f>
        <v>95</v>
      </c>
      <c r="I16" s="12">
        <v>2</v>
      </c>
      <c r="J16" s="11">
        <f>LOOKUP(I16,{0,3,4,5,6,7,8,9,10,11,12,13,14,15,16,17},{0,10,20,30,40,50,60,64,68,72,76,80,85,90,95,100})</f>
        <v>0</v>
      </c>
      <c r="K16" s="12"/>
      <c r="L16" s="12"/>
      <c r="M16" s="12">
        <f t="shared" si="6"/>
        <v>0</v>
      </c>
      <c r="N16" s="12">
        <v>6.8</v>
      </c>
      <c r="O16" s="12">
        <f t="shared" ref="O16:O21" si="12">12-N16</f>
        <v>5.2</v>
      </c>
      <c r="P16" s="11">
        <f>LOOKUP(O16,{0,1.6,1.8,2,2.2,2.4,2.6,2.8,3,3.2,3.4,3.6,3.8,4,4.2,4.4,4.6,4.7,4.8,4.9,5},{0,10,20,30,40,50,60,62,64,66,68,70,72,74,76,78,80,85,90,95,100})</f>
        <v>100</v>
      </c>
      <c r="Q16" s="12">
        <v>3.57</v>
      </c>
      <c r="R16" s="12">
        <f t="shared" si="8"/>
        <v>6.43</v>
      </c>
      <c r="S16" s="11">
        <f>LOOKUP(R16,{0,3.8,4,4.6,4.8,5,5.6,5.65,5.7,5.75,5.8,5.85,5.9,5.95,6,6.45,6.5,6.58,6.65,6.7,6.75},{0,10,20,30,40,50,60,62,64,66,68,70,72,74,76,78,80,85,90,95,100})</f>
        <v>76</v>
      </c>
      <c r="T16" s="12"/>
      <c r="U16" s="12"/>
      <c r="V16" s="12">
        <f t="shared" si="9"/>
        <v>76</v>
      </c>
      <c r="W16" s="12"/>
      <c r="X16" s="20">
        <f t="shared" si="4"/>
        <v>53.2</v>
      </c>
      <c r="Y16" s="20">
        <f t="shared" si="10"/>
        <v>76</v>
      </c>
    </row>
    <row r="17" customFormat="1" ht="15.6" hidden="1" outlineLevel="2" spans="1:25">
      <c r="A17" s="12">
        <v>201</v>
      </c>
      <c r="B17" s="12">
        <v>16</v>
      </c>
      <c r="C17" s="6" t="s">
        <v>29</v>
      </c>
      <c r="D17" s="6" t="s">
        <v>11</v>
      </c>
      <c r="E17" s="12">
        <v>15</v>
      </c>
      <c r="F17" s="11">
        <f>LOOKUP(E17,{0,-2.9,-1.9,-0.9,0.1,1.1,2.1,3.5,4.9,6.3,7.7,9.1,10.5,11.9,13.3,14.7,16.1,18.3,20.5,22.4,24.3},{0,10,20,30,40,50,60,62,64,66,68,70,72,74,76,78,80,85,90,95,100})</f>
        <v>78</v>
      </c>
      <c r="G17" s="12">
        <v>245</v>
      </c>
      <c r="H17" s="11">
        <f>LOOKUP(G17,{0,175,180,185,190,195,200,204,208,212,216,220,224,228,232,236,240,248,255,260,265},{0,10,20,30,40,50,60,62,64,66,68,70,72,74,76,78,80,85,90,95,100})</f>
        <v>80</v>
      </c>
      <c r="I17" s="12">
        <v>15</v>
      </c>
      <c r="J17" s="11">
        <f>LOOKUP(I17,{0,3,4,5,6,7,8,9,10,11,12,13,14,15,16,17},{0,10,20,30,40,50,60,64,68,72,76,80,85,90,95,100})</f>
        <v>90</v>
      </c>
      <c r="K17" s="12"/>
      <c r="L17" s="12"/>
      <c r="M17" s="12">
        <f t="shared" si="6"/>
        <v>90</v>
      </c>
      <c r="N17" s="12">
        <v>6.9</v>
      </c>
      <c r="O17" s="12">
        <f t="shared" si="12"/>
        <v>5.1</v>
      </c>
      <c r="P17" s="11">
        <f>LOOKUP(O17,{0,1.6,1.8,2,2.2,2.4,2.6,2.8,3,3.2,3.4,3.6,3.8,4,4.2,4.4,4.6,4.7,4.8,4.9,5},{0,10,20,30,40,50,60,62,64,66,68,70,72,74,76,78,80,85,90,95,100})</f>
        <v>100</v>
      </c>
      <c r="Q17" s="12">
        <v>3.19</v>
      </c>
      <c r="R17" s="12">
        <f t="shared" si="8"/>
        <v>6.81</v>
      </c>
      <c r="S17" s="11">
        <f>LOOKUP(R17,{0,3.8,4,4.6,4.8,5,5.6,5.65,5.7,5.75,5.8,5.85,5.9,5.95,6,6.45,6.5,6.58,6.65,6.7,6.75},{0,10,20,30,40,50,60,62,64,66,68,70,72,74,76,78,80,85,90,95,100})</f>
        <v>100</v>
      </c>
      <c r="T17" s="12">
        <f>3.25-Q17</f>
        <v>0.0600000000000001</v>
      </c>
      <c r="U17" s="11">
        <f>LOOKUP(T17,{0,0.04,0.08,0.12,0.16,0.2,0.23,0.26,0.29,0.32,0.35},{0,1,2,3,4,5,6,7,8,9,10})</f>
        <v>1</v>
      </c>
      <c r="V17" s="12">
        <f t="shared" si="9"/>
        <v>101</v>
      </c>
      <c r="W17" s="12"/>
      <c r="X17" s="20">
        <f t="shared" si="4"/>
        <v>64.8</v>
      </c>
      <c r="Y17" s="20">
        <f t="shared" si="10"/>
        <v>93.5714285714286</v>
      </c>
    </row>
    <row r="18" customFormat="1" ht="15.6" hidden="1" outlineLevel="2" spans="1:25">
      <c r="A18" s="12">
        <v>201</v>
      </c>
      <c r="B18" s="12">
        <v>17</v>
      </c>
      <c r="C18" s="6" t="s">
        <v>30</v>
      </c>
      <c r="D18" s="6" t="s">
        <v>11</v>
      </c>
      <c r="E18" s="12">
        <v>8.8</v>
      </c>
      <c r="F18" s="11">
        <f>LOOKUP(E18,{0,-2.9,-1.9,-0.9,0.1,1.1,2.1,3.5,4.9,6.3,7.7,9.1,10.5,11.9,13.3,14.7,16.1,18.3,20.5,22.4,24.3},{0,10,20,30,40,50,60,62,64,66,68,70,72,74,76,78,80,85,90,95,100})</f>
        <v>68</v>
      </c>
      <c r="G18" s="12">
        <v>236</v>
      </c>
      <c r="H18" s="11">
        <f>LOOKUP(G18,{0,175,180,185,190,195,200,204,208,212,216,220,224,228,232,236,240,248,255,260,265},{0,10,20,30,40,50,60,62,64,66,68,70,72,74,76,78,80,85,90,95,100})</f>
        <v>78</v>
      </c>
      <c r="I18" s="12">
        <v>0</v>
      </c>
      <c r="J18" s="11">
        <f>LOOKUP(I18,{0,3,4,5,6,7,8,9,10,11,12,13,14,15,16,17},{0,10,20,30,40,50,60,64,68,72,76,80,85,90,95,100})</f>
        <v>0</v>
      </c>
      <c r="K18" s="12"/>
      <c r="L18" s="12"/>
      <c r="M18" s="12">
        <f t="shared" si="6"/>
        <v>0</v>
      </c>
      <c r="N18" s="12">
        <v>7.4</v>
      </c>
      <c r="O18" s="12">
        <f t="shared" si="12"/>
        <v>4.6</v>
      </c>
      <c r="P18" s="11">
        <f>LOOKUP(O18,{0,1.6,1.8,2,2.2,2.4,2.6,2.8,3,3.2,3.4,3.6,3.8,4,4.2,4.4,4.6,4.7,4.8,4.9,5},{0,10,20,30,40,50,60,62,64,66,68,70,72,74,76,78,80,85,90,95,100})</f>
        <v>80</v>
      </c>
      <c r="Q18" s="12">
        <v>3.48</v>
      </c>
      <c r="R18" s="12">
        <f t="shared" si="8"/>
        <v>6.52</v>
      </c>
      <c r="S18" s="11">
        <f>LOOKUP(R18,{0,3.8,4,4.6,4.8,5,5.6,5.65,5.7,5.75,5.8,5.85,5.9,5.95,6,6.45,6.5,6.58,6.65,6.7,6.75},{0,10,20,30,40,50,60,62,64,66,68,70,72,74,76,78,80,85,90,95,100})</f>
        <v>80</v>
      </c>
      <c r="T18" s="12"/>
      <c r="U18" s="12"/>
      <c r="V18" s="12">
        <f t="shared" si="9"/>
        <v>80</v>
      </c>
      <c r="W18" s="12"/>
      <c r="X18" s="20">
        <f t="shared" si="4"/>
        <v>46.6</v>
      </c>
      <c r="Y18" s="20">
        <f t="shared" si="10"/>
        <v>66.5714285714286</v>
      </c>
    </row>
    <row r="19" customFormat="1" ht="15.6" hidden="1" outlineLevel="2" spans="1:25">
      <c r="A19" s="12">
        <v>201</v>
      </c>
      <c r="B19" s="12">
        <v>18</v>
      </c>
      <c r="C19" s="6" t="s">
        <v>31</v>
      </c>
      <c r="D19" s="6" t="s">
        <v>11</v>
      </c>
      <c r="E19" s="12">
        <v>17</v>
      </c>
      <c r="F19" s="11">
        <f>LOOKUP(E19,{0,-2.9,-1.9,-0.9,0.1,1.1,2.1,3.5,4.9,6.3,7.7,9.1,10.5,11.9,13.3,14.7,16.1,18.3,20.5,22.4,24.3},{0,10,20,30,40,50,60,62,64,66,68,70,72,74,76,78,80,85,90,95,100})</f>
        <v>80</v>
      </c>
      <c r="G19" s="12">
        <v>256</v>
      </c>
      <c r="H19" s="11">
        <f>LOOKUP(G19,{0,175,180,185,190,195,200,204,208,212,216,220,224,228,232,236,240,248,255,260,265},{0,10,20,30,40,50,60,62,64,66,68,70,72,74,76,78,80,85,90,95,100})</f>
        <v>90</v>
      </c>
      <c r="I19" s="12">
        <v>0</v>
      </c>
      <c r="J19" s="11">
        <f>LOOKUP(I19,{0,3,4,5,6,7,8,9,10,11,12,13,14,15,16,17},{0,10,20,30,40,50,60,64,68,72,76,80,85,90,95,100})</f>
        <v>0</v>
      </c>
      <c r="K19" s="12"/>
      <c r="L19" s="12"/>
      <c r="M19" s="12">
        <f t="shared" si="6"/>
        <v>0</v>
      </c>
      <c r="N19" s="12">
        <v>7</v>
      </c>
      <c r="O19" s="12">
        <f t="shared" si="12"/>
        <v>5</v>
      </c>
      <c r="P19" s="11">
        <f>LOOKUP(O19,{0,1.6,1.8,2,2.2,2.4,2.6,2.8,3,3.2,3.4,3.6,3.8,4,4.2,4.4,4.6,4.7,4.8,4.9,5},{0,10,20,30,40,50,60,62,64,66,68,70,72,74,76,78,80,85,90,95,100})</f>
        <v>100</v>
      </c>
      <c r="Q19" s="12">
        <v>3.35</v>
      </c>
      <c r="R19" s="12">
        <f t="shared" si="8"/>
        <v>6.65</v>
      </c>
      <c r="S19" s="11">
        <f>LOOKUP(R19,{0,3.8,4,4.6,4.8,5,5.6,5.65,5.7,5.75,5.8,5.85,5.9,5.95,6,6.45,6.5,6.58,6.65,6.7,6.75},{0,10,20,30,40,50,60,62,64,66,68,70,72,74,76,78,80,85,90,95,100})</f>
        <v>90</v>
      </c>
      <c r="T19" s="12"/>
      <c r="U19" s="12"/>
      <c r="V19" s="12">
        <f t="shared" si="9"/>
        <v>90</v>
      </c>
      <c r="W19" s="12"/>
      <c r="X19" s="20">
        <f t="shared" si="4"/>
        <v>55</v>
      </c>
      <c r="Y19" s="20">
        <f t="shared" si="10"/>
        <v>78.5714285714286</v>
      </c>
    </row>
    <row r="20" customFormat="1" ht="15.6" hidden="1" outlineLevel="2" spans="1:25">
      <c r="A20" s="12">
        <v>201</v>
      </c>
      <c r="B20" s="12">
        <v>19</v>
      </c>
      <c r="C20" s="6" t="s">
        <v>32</v>
      </c>
      <c r="D20" s="6" t="s">
        <v>11</v>
      </c>
      <c r="E20" s="12">
        <v>8.7</v>
      </c>
      <c r="F20" s="11">
        <f>LOOKUP(E20,{0,-2.9,-1.9,-0.9,0.1,1.1,2.1,3.5,4.9,6.3,7.7,9.1,10.5,11.9,13.3,14.7,16.1,18.3,20.5,22.4,24.3},{0,10,20,30,40,50,60,62,64,66,68,70,72,74,76,78,80,85,90,95,100})</f>
        <v>68</v>
      </c>
      <c r="G20" s="12">
        <v>236</v>
      </c>
      <c r="H20" s="11">
        <f>LOOKUP(G20,{0,175,180,185,190,195,200,204,208,212,216,220,224,228,232,236,240,248,255,260,265},{0,10,20,30,40,50,60,62,64,66,68,70,72,74,76,78,80,85,90,95,100})</f>
        <v>78</v>
      </c>
      <c r="I20" s="12">
        <v>0</v>
      </c>
      <c r="J20" s="11">
        <f>LOOKUP(I20,{0,3,4,5,6,7,8,9,10,11,12,13,14,15,16,17},{0,10,20,30,40,50,60,64,68,72,76,80,85,90,95,100})</f>
        <v>0</v>
      </c>
      <c r="K20" s="12"/>
      <c r="L20" s="12"/>
      <c r="M20" s="12">
        <f t="shared" si="6"/>
        <v>0</v>
      </c>
      <c r="N20" s="12">
        <v>7.6</v>
      </c>
      <c r="O20" s="12">
        <f t="shared" si="12"/>
        <v>4.4</v>
      </c>
      <c r="P20" s="11">
        <f>LOOKUP(O20,{0,1.6,1.8,2,2.2,2.4,2.6,2.8,3,3.2,3.4,3.6,3.8,4,4.2,4.4,4.6,4.7,4.8,4.9,5},{0,10,20,30,40,50,60,62,64,66,68,70,72,74,76,78,80,85,90,95,100})</f>
        <v>78</v>
      </c>
      <c r="Q20" s="12">
        <v>4.09</v>
      </c>
      <c r="R20" s="12">
        <f t="shared" si="8"/>
        <v>5.91</v>
      </c>
      <c r="S20" s="11">
        <f>LOOKUP(R20,{0,3.8,4,4.6,4.8,5,5.6,5.65,5.7,5.75,5.8,5.85,5.9,5.95,6,6.45,6.5,6.58,6.65,6.7,6.75},{0,10,20,30,40,50,60,62,64,66,68,70,72,74,76,78,80,85,90,95,100})</f>
        <v>72</v>
      </c>
      <c r="T20" s="12"/>
      <c r="U20" s="12"/>
      <c r="V20" s="12">
        <f t="shared" si="9"/>
        <v>72</v>
      </c>
      <c r="W20" s="12"/>
      <c r="X20" s="20">
        <f t="shared" si="4"/>
        <v>44.6</v>
      </c>
      <c r="Y20" s="20">
        <f t="shared" si="10"/>
        <v>63.7142857142857</v>
      </c>
    </row>
    <row r="21" ht="15.6" hidden="1" outlineLevel="2" spans="1:25">
      <c r="A21" s="12">
        <v>201</v>
      </c>
      <c r="B21" s="12">
        <v>20</v>
      </c>
      <c r="C21" s="6" t="s">
        <v>33</v>
      </c>
      <c r="D21" s="6" t="s">
        <v>11</v>
      </c>
      <c r="E21" s="12">
        <v>10.6</v>
      </c>
      <c r="F21" s="11">
        <f>LOOKUP(E21,{0,-2.9,-1.9,-0.9,0.1,1.1,2.1,3.5,4.9,6.3,7.7,9.1,10.5,11.9,13.3,14.7,16.1,18.3,20.5,22.4,24.3},{0,10,20,30,40,50,60,62,64,66,68,70,72,74,76,78,80,85,90,95,100})</f>
        <v>72</v>
      </c>
      <c r="G21" s="12">
        <v>186</v>
      </c>
      <c r="H21" s="11">
        <f>LOOKUP(G21,{0,175,180,185,190,195,200,204,208,212,216,220,224,228,232,236,240,248,255,260,265},{0,10,20,30,40,50,60,62,64,66,68,70,72,74,76,78,80,85,90,95,100})</f>
        <v>30</v>
      </c>
      <c r="I21" s="12">
        <v>0</v>
      </c>
      <c r="J21" s="11">
        <f>LOOKUP(I21,{0,3,4,5,6,7,8,9,10,11,12,13,14,15,16,17},{0,10,20,30,40,50,60,64,68,72,76,80,85,90,95,100})</f>
        <v>0</v>
      </c>
      <c r="K21" s="12"/>
      <c r="L21" s="12"/>
      <c r="M21" s="12">
        <f t="shared" si="6"/>
        <v>0</v>
      </c>
      <c r="N21" s="12">
        <v>8</v>
      </c>
      <c r="O21" s="12">
        <f t="shared" si="12"/>
        <v>4</v>
      </c>
      <c r="P21" s="11">
        <f>LOOKUP(O21,{0,1.6,1.8,2,2.2,2.4,2.6,2.8,3,3.2,3.4,3.6,3.8,4,4.2,4.4,4.6,4.7,4.8,4.9,5},{0,10,20,30,40,50,60,62,64,66,68,70,72,74,76,78,80,85,90,95,100})</f>
        <v>74</v>
      </c>
      <c r="Q21" s="12">
        <v>3.58</v>
      </c>
      <c r="R21" s="12">
        <f t="shared" si="8"/>
        <v>6.42</v>
      </c>
      <c r="S21" s="11">
        <f>LOOKUP(R21,{0,3.8,4,4.6,4.8,5,5.6,5.65,5.7,5.75,5.8,5.85,5.9,5.95,6,6.45,6.5,6.58,6.65,6.7,6.75},{0,10,20,30,40,50,60,62,64,66,68,70,72,74,76,78,80,85,90,95,100})</f>
        <v>76</v>
      </c>
      <c r="T21" s="12"/>
      <c r="U21" s="12"/>
      <c r="V21" s="12">
        <f t="shared" si="9"/>
        <v>76</v>
      </c>
      <c r="W21" s="12"/>
      <c r="X21" s="20">
        <f t="shared" si="4"/>
        <v>40.2</v>
      </c>
      <c r="Y21" s="20">
        <f t="shared" si="10"/>
        <v>57.4285714285714</v>
      </c>
    </row>
    <row r="22" s="1" customFormat="1" ht="15.6" hidden="1" outlineLevel="2" spans="1:25">
      <c r="A22" s="12">
        <v>201</v>
      </c>
      <c r="B22" s="12">
        <v>21</v>
      </c>
      <c r="C22" s="6" t="s">
        <v>34</v>
      </c>
      <c r="D22" s="6" t="s">
        <v>11</v>
      </c>
      <c r="E22" s="12"/>
      <c r="F22" s="11"/>
      <c r="G22" s="12"/>
      <c r="H22" s="11"/>
      <c r="I22" s="12"/>
      <c r="J22" s="11"/>
      <c r="K22" s="12"/>
      <c r="L22" s="12"/>
      <c r="M22" s="12"/>
      <c r="N22" s="12"/>
      <c r="O22" s="12"/>
      <c r="P22" s="11"/>
      <c r="Q22" s="12"/>
      <c r="R22" s="12"/>
      <c r="S22" s="11"/>
      <c r="T22" s="12"/>
      <c r="U22" s="11"/>
      <c r="V22" s="12"/>
      <c r="W22" s="12" t="s">
        <v>14</v>
      </c>
      <c r="X22" s="20">
        <f t="shared" si="4"/>
        <v>0</v>
      </c>
      <c r="Y22" s="20">
        <v>50</v>
      </c>
    </row>
    <row r="23" ht="15.6" hidden="1" outlineLevel="2" spans="1:25">
      <c r="A23" s="12">
        <v>201</v>
      </c>
      <c r="B23" s="12">
        <v>22</v>
      </c>
      <c r="C23" s="6" t="s">
        <v>35</v>
      </c>
      <c r="D23" s="6" t="s">
        <v>11</v>
      </c>
      <c r="E23" s="12">
        <v>12.1</v>
      </c>
      <c r="F23" s="11">
        <f>LOOKUP(E23,{0,-2.9,-1.9,-0.9,0.1,1.1,2.1,3.5,4.9,6.3,7.7,9.1,10.5,11.9,13.3,14.7,16.1,18.3,20.5,22.4,24.3},{0,10,20,30,40,50,60,62,64,66,68,70,72,74,76,78,80,85,90,95,100})</f>
        <v>74</v>
      </c>
      <c r="G23" s="12">
        <v>216</v>
      </c>
      <c r="H23" s="11">
        <f>LOOKUP(G23,{0,175,180,185,190,195,200,204,208,212,216,220,224,228,232,236,240,248,255,260,265},{0,10,20,30,40,50,60,62,64,66,68,70,72,74,76,78,80,85,90,95,100})</f>
        <v>68</v>
      </c>
      <c r="I23" s="12">
        <v>0</v>
      </c>
      <c r="J23" s="11">
        <f>LOOKUP(I23,{0,3,4,5,6,7,8,9,10,11,12,13,14,15,16,17},{0,10,20,30,40,50,60,64,68,72,76,80,85,90,95,100})</f>
        <v>0</v>
      </c>
      <c r="K23" s="12"/>
      <c r="L23" s="12"/>
      <c r="M23" s="12">
        <f t="shared" ref="M23:M37" si="13">J23+L23</f>
        <v>0</v>
      </c>
      <c r="N23" s="12"/>
      <c r="O23" s="12"/>
      <c r="P23" s="11"/>
      <c r="Q23" s="12">
        <v>4.21</v>
      </c>
      <c r="R23" s="12">
        <f t="shared" ref="R23:R37" si="14">10-Q23</f>
        <v>5.79</v>
      </c>
      <c r="S23" s="11">
        <f>LOOKUP(R23,{0,3.8,4,4.6,4.8,5,5.6,5.65,5.7,5.75,5.8,5.85,5.9,5.95,6,6.45,6.5,6.58,6.65,6.7,6.75},{0,10,20,30,40,50,60,62,64,66,68,70,72,74,76,78,80,85,90,95,100})</f>
        <v>66</v>
      </c>
      <c r="T23" s="12"/>
      <c r="U23" s="12"/>
      <c r="V23" s="12">
        <f t="shared" ref="V23:V37" si="15">S23+U23</f>
        <v>66</v>
      </c>
      <c r="W23" s="12"/>
      <c r="X23" s="20">
        <f t="shared" si="4"/>
        <v>27.4</v>
      </c>
      <c r="Y23" s="23">
        <v>50</v>
      </c>
    </row>
    <row r="24" ht="15.6" hidden="1" outlineLevel="2" spans="1:25">
      <c r="A24" s="12">
        <v>201</v>
      </c>
      <c r="B24" s="12">
        <v>23</v>
      </c>
      <c r="C24" s="6" t="s">
        <v>36</v>
      </c>
      <c r="D24" s="6" t="s">
        <v>11</v>
      </c>
      <c r="E24" s="12">
        <v>15.3</v>
      </c>
      <c r="F24" s="11">
        <f>LOOKUP(E24,{0,-2.9,-1.9,-0.9,0.1,1.1,2.1,3.5,4.9,6.3,7.7,9.1,10.5,11.9,13.3,14.7,16.1,18.3,20.5,22.4,24.3},{0,10,20,30,40,50,60,62,64,66,68,70,72,74,76,78,80,85,90,95,100})</f>
        <v>78</v>
      </c>
      <c r="G24" s="12">
        <v>243</v>
      </c>
      <c r="H24" s="11">
        <f>LOOKUP(G24,{0,175,180,185,190,195,200,204,208,212,216,220,224,228,232,236,240,248,255,260,265},{0,10,20,30,40,50,60,62,64,66,68,70,72,74,76,78,80,85,90,95,100})</f>
        <v>80</v>
      </c>
      <c r="I24" s="12">
        <v>4</v>
      </c>
      <c r="J24" s="11">
        <f>LOOKUP(I24,{0,3,4,5,6,7,8,9,10,11,12,13,14,15,16,17},{0,10,20,30,40,50,60,64,68,72,76,80,85,90,95,100})</f>
        <v>20</v>
      </c>
      <c r="K24" s="12"/>
      <c r="L24" s="12"/>
      <c r="M24" s="12">
        <f t="shared" si="13"/>
        <v>20</v>
      </c>
      <c r="N24" s="12">
        <v>7.4</v>
      </c>
      <c r="O24" s="12">
        <f t="shared" ref="O24:O37" si="16">12-N24</f>
        <v>4.6</v>
      </c>
      <c r="P24" s="11">
        <f>LOOKUP(O24,{0,1.6,1.8,2,2.2,2.4,2.6,2.8,3,3.2,3.4,3.6,3.8,4,4.2,4.4,4.6,4.7,4.8,4.9,5},{0,10,20,30,40,50,60,62,64,66,68,70,72,74,76,78,80,85,90,95,100})</f>
        <v>80</v>
      </c>
      <c r="Q24" s="12">
        <v>3.49</v>
      </c>
      <c r="R24" s="12">
        <f t="shared" si="14"/>
        <v>6.51</v>
      </c>
      <c r="S24" s="11">
        <f>LOOKUP(R24,{0,3.8,4,4.6,4.8,5,5.6,5.65,5.7,5.75,5.8,5.85,5.9,5.95,6,6.45,6.5,6.58,6.65,6.7,6.75},{0,10,20,30,40,50,60,62,64,66,68,70,72,74,76,78,80,85,90,95,100})</f>
        <v>80</v>
      </c>
      <c r="T24" s="12"/>
      <c r="U24" s="12"/>
      <c r="V24" s="12">
        <f t="shared" si="15"/>
        <v>80</v>
      </c>
      <c r="W24" s="12"/>
      <c r="X24" s="20">
        <f t="shared" si="4"/>
        <v>49.8</v>
      </c>
      <c r="Y24" s="20">
        <f t="shared" ref="Y24:Y37" si="17">X24/0.7+L24+U24</f>
        <v>71.1428571428571</v>
      </c>
    </row>
    <row r="25" ht="15.6" hidden="1" outlineLevel="2" spans="1:25">
      <c r="A25" s="12">
        <v>201</v>
      </c>
      <c r="B25" s="12">
        <v>24</v>
      </c>
      <c r="C25" s="6" t="s">
        <v>37</v>
      </c>
      <c r="D25" s="6" t="s">
        <v>11</v>
      </c>
      <c r="E25" s="12">
        <v>22.5</v>
      </c>
      <c r="F25" s="11">
        <f>LOOKUP(E25,{0,-2.9,-1.9,-0.9,0.1,1.1,2.1,3.5,4.9,6.3,7.7,9.1,10.5,11.9,13.3,14.7,16.1,18.3,20.5,22.4,24.3},{0,10,20,30,40,50,60,62,64,66,68,70,72,74,76,78,80,85,90,95,100})</f>
        <v>95</v>
      </c>
      <c r="G25" s="12">
        <v>251</v>
      </c>
      <c r="H25" s="11">
        <f>LOOKUP(G25,{0,175,180,185,190,195,200,204,208,212,216,220,224,228,232,236,240,248,255,260,265},{0,10,20,30,40,50,60,62,64,66,68,70,72,74,76,78,80,85,90,95,100})</f>
        <v>85</v>
      </c>
      <c r="I25" s="12">
        <v>0</v>
      </c>
      <c r="J25" s="11">
        <f>LOOKUP(I25,{0,3,4,5,6,7,8,9,10,11,12,13,14,15,16,17},{0,10,20,30,40,50,60,64,68,72,76,80,85,90,95,100})</f>
        <v>0</v>
      </c>
      <c r="K25" s="12"/>
      <c r="L25" s="12"/>
      <c r="M25" s="12">
        <f t="shared" si="13"/>
        <v>0</v>
      </c>
      <c r="N25" s="12">
        <v>7.3</v>
      </c>
      <c r="O25" s="12">
        <f t="shared" si="16"/>
        <v>4.7</v>
      </c>
      <c r="P25" s="11">
        <f>LOOKUP(O25,{0,1.6,1.8,2,2.2,2.4,2.6,2.8,3,3.2,3.4,3.6,3.8,4,4.2,4.4,4.6,4.7,4.8,4.9,5},{0,10,20,30,40,50,60,62,64,66,68,70,72,74,76,78,80,85,90,95,100})</f>
        <v>85</v>
      </c>
      <c r="Q25" s="12">
        <v>3.36</v>
      </c>
      <c r="R25" s="12">
        <f t="shared" si="14"/>
        <v>6.64</v>
      </c>
      <c r="S25" s="11">
        <f>LOOKUP(R25,{0,3.8,4,4.6,4.8,5,5.6,5.65,5.7,5.75,5.8,5.85,5.9,5.95,6,6.45,6.5,6.58,6.65,6.7,6.75},{0,10,20,30,40,50,60,62,64,66,68,70,72,74,76,78,80,85,90,95,100})</f>
        <v>85</v>
      </c>
      <c r="T25" s="12"/>
      <c r="U25" s="12"/>
      <c r="V25" s="12">
        <f t="shared" si="15"/>
        <v>85</v>
      </c>
      <c r="W25" s="12"/>
      <c r="X25" s="20">
        <f t="shared" si="4"/>
        <v>52</v>
      </c>
      <c r="Y25" s="20">
        <f t="shared" si="17"/>
        <v>74.2857142857143</v>
      </c>
    </row>
    <row r="26" ht="15.6" hidden="1" outlineLevel="2" spans="1:25">
      <c r="A26" s="12">
        <v>201</v>
      </c>
      <c r="B26" s="12">
        <v>25</v>
      </c>
      <c r="C26" s="13" t="s">
        <v>39</v>
      </c>
      <c r="D26" s="6" t="s">
        <v>11</v>
      </c>
      <c r="E26" s="12">
        <v>15.1</v>
      </c>
      <c r="F26" s="11">
        <f>LOOKUP(E26,{0,-2.9,-1.9,-0.9,0.1,1.1,2.1,3.5,4.9,6.3,7.7,9.1,10.5,11.9,13.3,14.7,16.1,18.3,20.5,22.4,24.3},{0,10,20,30,40,50,60,62,64,66,68,70,72,74,76,78,80,85,90,95,100})</f>
        <v>78</v>
      </c>
      <c r="G26" s="12">
        <v>248</v>
      </c>
      <c r="H26" s="11">
        <f>LOOKUP(G26,{0,175,180,185,190,195,200,204,208,212,216,220,224,228,232,236,240,248,255,260,265},{0,10,20,30,40,50,60,62,64,66,68,70,72,74,76,78,80,85,90,95,100})</f>
        <v>85</v>
      </c>
      <c r="I26" s="12">
        <v>17</v>
      </c>
      <c r="J26" s="11">
        <f>LOOKUP(I26,{0,3,4,5,6,7,8,9,10,11,12,13,14,15,16,17},{0,10,20,30,40,50,60,64,68,72,76,80,85,90,95,100})</f>
        <v>100</v>
      </c>
      <c r="K26" s="12">
        <f>I26-17</f>
        <v>0</v>
      </c>
      <c r="L26" s="16">
        <f>LOOKUP(K26,{0,1,2,3,4,5,6,7,8,9,10},{0,1,2,3,4,5,6,7,8,9,10})</f>
        <v>0</v>
      </c>
      <c r="M26" s="12">
        <f t="shared" si="13"/>
        <v>100</v>
      </c>
      <c r="N26" s="12">
        <v>6.9</v>
      </c>
      <c r="O26" s="12">
        <f t="shared" si="16"/>
        <v>5.1</v>
      </c>
      <c r="P26" s="11">
        <f>LOOKUP(O26,{0,1.6,1.8,2,2.2,2.4,2.6,2.8,3,3.2,3.4,3.6,3.8,4,4.2,4.4,4.6,4.7,4.8,4.9,5},{0,10,20,30,40,50,60,62,64,66,68,70,72,74,76,78,80,85,90,95,100})</f>
        <v>100</v>
      </c>
      <c r="Q26" s="12">
        <v>3.39</v>
      </c>
      <c r="R26" s="12">
        <f t="shared" si="14"/>
        <v>6.61</v>
      </c>
      <c r="S26" s="11">
        <f>LOOKUP(R26,{0,3.8,4,4.6,4.8,5,5.6,5.65,5.7,5.75,5.8,5.85,5.9,5.95,6,6.45,6.5,6.58,6.65,6.7,6.75},{0,10,20,30,40,50,60,62,64,66,68,70,72,74,76,78,80,85,90,95,100})</f>
        <v>85</v>
      </c>
      <c r="T26" s="12"/>
      <c r="U26" s="12"/>
      <c r="V26" s="12">
        <f t="shared" si="15"/>
        <v>85</v>
      </c>
      <c r="W26" s="12"/>
      <c r="X26" s="20">
        <f t="shared" si="4"/>
        <v>63.3</v>
      </c>
      <c r="Y26" s="20">
        <f t="shared" si="17"/>
        <v>90.4285714285714</v>
      </c>
    </row>
    <row r="27" ht="15.6" hidden="1" outlineLevel="2" spans="1:25">
      <c r="A27" s="12">
        <v>201</v>
      </c>
      <c r="B27" s="12">
        <v>26</v>
      </c>
      <c r="C27" s="6" t="s">
        <v>40</v>
      </c>
      <c r="D27" s="6" t="s">
        <v>11</v>
      </c>
      <c r="E27" s="12">
        <v>13.5</v>
      </c>
      <c r="F27" s="11">
        <f>LOOKUP(E27,{0,-2.9,-1.9,-0.9,0.1,1.1,2.1,3.5,4.9,6.3,7.7,9.1,10.5,11.9,13.3,14.7,16.1,18.3,20.5,22.4,24.3},{0,10,20,30,40,50,60,62,64,66,68,70,72,74,76,78,80,85,90,95,100})</f>
        <v>76</v>
      </c>
      <c r="G27" s="12">
        <v>272</v>
      </c>
      <c r="H27" s="11">
        <f>LOOKUP(G27,{0,175,180,185,190,195,200,204,208,212,216,220,224,228,232,236,240,248,255,260,265},{0,10,20,30,40,50,60,62,64,66,68,70,72,74,76,78,80,85,90,95,100})</f>
        <v>100</v>
      </c>
      <c r="I27" s="12">
        <v>27</v>
      </c>
      <c r="J27" s="11">
        <f>LOOKUP(I27,{0,3,4,5,6,7,8,9,10,11,12,13,14,15,16,17},{0,10,20,30,40,50,60,64,68,72,76,80,85,90,95,100})</f>
        <v>100</v>
      </c>
      <c r="K27" s="12">
        <f>I27-17</f>
        <v>10</v>
      </c>
      <c r="L27" s="16">
        <f>LOOKUP(K27,{0,1,2,3,4,5,6,7,8,9,10},{0,1,2,3,4,5,6,7,8,9,10})</f>
        <v>10</v>
      </c>
      <c r="M27" s="12">
        <f t="shared" si="13"/>
        <v>110</v>
      </c>
      <c r="N27" s="12">
        <v>6.5</v>
      </c>
      <c r="O27" s="12">
        <f t="shared" si="16"/>
        <v>5.5</v>
      </c>
      <c r="P27" s="11">
        <f>LOOKUP(O27,{0,1.6,1.8,2,2.2,2.4,2.6,2.8,3,3.2,3.4,3.6,3.8,4,4.2,4.4,4.6,4.7,4.8,4.9,5},{0,10,20,30,40,50,60,62,64,66,68,70,72,74,76,78,80,85,90,95,100})</f>
        <v>100</v>
      </c>
      <c r="Q27" s="12">
        <v>3.06</v>
      </c>
      <c r="R27" s="12">
        <f t="shared" si="14"/>
        <v>6.94</v>
      </c>
      <c r="S27" s="11">
        <f>LOOKUP(R27,{0,3.8,4,4.6,4.8,5,5.6,5.65,5.7,5.75,5.8,5.85,5.9,5.95,6,6.45,6.5,6.58,6.65,6.7,6.75},{0,10,20,30,40,50,60,62,64,66,68,70,72,74,76,78,80,85,90,95,100})</f>
        <v>100</v>
      </c>
      <c r="T27" s="12">
        <f>3.25-Q27</f>
        <v>0.19</v>
      </c>
      <c r="U27" s="11">
        <f>LOOKUP(T27,{0,0.04,0.08,0.12,0.16,0.2,0.23,0.26,0.29,0.32,0.35},{0,1,2,3,4,5,6,7,8,9,10})</f>
        <v>4</v>
      </c>
      <c r="V27" s="12">
        <f t="shared" si="15"/>
        <v>104</v>
      </c>
      <c r="W27" s="12"/>
      <c r="X27" s="20">
        <f t="shared" si="4"/>
        <v>67.6</v>
      </c>
      <c r="Y27" s="20">
        <f t="shared" si="17"/>
        <v>110.571428571429</v>
      </c>
    </row>
    <row r="28" ht="15.6" hidden="1" outlineLevel="2" spans="1:25">
      <c r="A28" s="12">
        <v>201</v>
      </c>
      <c r="B28" s="12">
        <v>27</v>
      </c>
      <c r="C28" s="6" t="s">
        <v>41</v>
      </c>
      <c r="D28" s="6" t="s">
        <v>11</v>
      </c>
      <c r="E28" s="12">
        <v>14.1</v>
      </c>
      <c r="F28" s="11">
        <f>LOOKUP(E28,{0,-2.9,-1.9,-0.9,0.1,1.1,2.1,3.5,4.9,6.3,7.7,9.1,10.5,11.9,13.3,14.7,16.1,18.3,20.5,22.4,24.3},{0,10,20,30,40,50,60,62,64,66,68,70,72,74,76,78,80,85,90,95,100})</f>
        <v>76</v>
      </c>
      <c r="G28" s="12">
        <v>232</v>
      </c>
      <c r="H28" s="11">
        <f>LOOKUP(G28,{0,175,180,185,190,195,200,204,208,212,216,220,224,228,232,236,240,248,255,260,265},{0,10,20,30,40,50,60,62,64,66,68,70,72,74,76,78,80,85,90,95,100})</f>
        <v>76</v>
      </c>
      <c r="I28" s="12">
        <v>3</v>
      </c>
      <c r="J28" s="11">
        <f>LOOKUP(I28,{0,3,4,5,6,7,8,9,10,11,12,13,14,15,16,17},{0,10,20,30,40,50,60,64,68,72,76,80,85,90,95,100})</f>
        <v>10</v>
      </c>
      <c r="K28" s="12"/>
      <c r="L28" s="12"/>
      <c r="M28" s="12">
        <f t="shared" si="13"/>
        <v>10</v>
      </c>
      <c r="N28" s="12">
        <v>7.5</v>
      </c>
      <c r="O28" s="12">
        <f t="shared" si="16"/>
        <v>4.5</v>
      </c>
      <c r="P28" s="11">
        <f>LOOKUP(O28,{0,1.6,1.8,2,2.2,2.4,2.6,2.8,3,3.2,3.4,3.6,3.8,4,4.2,4.4,4.6,4.7,4.8,4.9,5},{0,10,20,30,40,50,60,62,64,66,68,70,72,74,76,78,80,85,90,95,100})</f>
        <v>78</v>
      </c>
      <c r="Q28" s="12">
        <v>3.45</v>
      </c>
      <c r="R28" s="12">
        <f t="shared" si="14"/>
        <v>6.55</v>
      </c>
      <c r="S28" s="11">
        <f>LOOKUP(R28,{0,3.8,4,4.6,4.8,5,5.6,5.65,5.7,5.75,5.8,5.85,5.9,5.95,6,6.45,6.5,6.58,6.65,6.7,6.75},{0,10,20,30,40,50,60,62,64,66,68,70,72,74,76,78,80,85,90,95,100})</f>
        <v>80</v>
      </c>
      <c r="T28" s="12"/>
      <c r="U28" s="12"/>
      <c r="V28" s="12">
        <f t="shared" si="15"/>
        <v>80</v>
      </c>
      <c r="W28" s="12"/>
      <c r="X28" s="20">
        <f t="shared" si="4"/>
        <v>47.8</v>
      </c>
      <c r="Y28" s="20">
        <f t="shared" si="17"/>
        <v>68.2857142857143</v>
      </c>
    </row>
    <row r="29" ht="15.6" hidden="1" outlineLevel="2" spans="1:25">
      <c r="A29" s="12">
        <v>201</v>
      </c>
      <c r="B29" s="12">
        <v>28</v>
      </c>
      <c r="C29" s="6" t="s">
        <v>42</v>
      </c>
      <c r="D29" s="6" t="s">
        <v>11</v>
      </c>
      <c r="E29" s="12">
        <v>15.4</v>
      </c>
      <c r="F29" s="11">
        <f>LOOKUP(E29,{0,-2.9,-1.9,-0.9,0.1,1.1,2.1,3.5,4.9,6.3,7.7,9.1,10.5,11.9,13.3,14.7,16.1,18.3,20.5,22.4,24.3},{0,10,20,30,40,50,60,62,64,66,68,70,72,74,76,78,80,85,90,95,100})</f>
        <v>78</v>
      </c>
      <c r="G29" s="12">
        <v>191</v>
      </c>
      <c r="H29" s="11">
        <f>LOOKUP(G29,{0,175,180,185,190,195,200,204,208,212,216,220,224,228,232,236,240,248,255,260,265},{0,10,20,30,40,50,60,62,64,66,68,70,72,74,76,78,80,85,90,95,100})</f>
        <v>40</v>
      </c>
      <c r="I29" s="12">
        <v>0</v>
      </c>
      <c r="J29" s="11">
        <f>LOOKUP(I29,{0,3,4,5,6,7,8,9,10,11,12,13,14,15,16,17},{0,10,20,30,40,50,60,64,68,72,76,80,85,90,95,100})</f>
        <v>0</v>
      </c>
      <c r="K29" s="12"/>
      <c r="L29" s="12"/>
      <c r="M29" s="12">
        <f t="shared" si="13"/>
        <v>0</v>
      </c>
      <c r="N29" s="12">
        <v>8.3</v>
      </c>
      <c r="O29" s="12">
        <f t="shared" si="16"/>
        <v>3.7</v>
      </c>
      <c r="P29" s="11">
        <f>LOOKUP(O29,{0,1.6,1.8,2,2.2,2.4,2.6,2.8,3,3.2,3.4,3.6,3.8,4,4.2,4.4,4.6,4.7,4.8,4.9,5},{0,10,20,30,40,50,60,62,64,66,68,70,72,74,76,78,80,85,90,95,100})</f>
        <v>70</v>
      </c>
      <c r="Q29" s="12">
        <v>5.01</v>
      </c>
      <c r="R29" s="12">
        <f t="shared" si="14"/>
        <v>4.99</v>
      </c>
      <c r="S29" s="11">
        <f>LOOKUP(R29,{0,3.8,4,4.6,4.8,5,5.6,5.65,5.7,5.75,5.8,5.85,5.9,5.95,6,6.45,6.5,6.58,6.65,6.7,6.75},{0,10,20,30,40,50,60,62,64,66,68,70,72,74,76,78,80,85,90,95,100})</f>
        <v>40</v>
      </c>
      <c r="T29" s="12"/>
      <c r="U29" s="12"/>
      <c r="V29" s="12">
        <f t="shared" si="15"/>
        <v>40</v>
      </c>
      <c r="W29" s="12"/>
      <c r="X29" s="20">
        <f t="shared" si="4"/>
        <v>33.8</v>
      </c>
      <c r="Y29" s="20">
        <f t="shared" si="17"/>
        <v>48.2857142857143</v>
      </c>
    </row>
    <row r="30" ht="15.6" hidden="1" outlineLevel="2" spans="1:25">
      <c r="A30" s="12">
        <v>201</v>
      </c>
      <c r="B30" s="12">
        <v>29</v>
      </c>
      <c r="C30" s="6" t="s">
        <v>43</v>
      </c>
      <c r="D30" s="6" t="s">
        <v>11</v>
      </c>
      <c r="E30" s="12">
        <v>11.3</v>
      </c>
      <c r="F30" s="11">
        <f>LOOKUP(E30,{0,-2.9,-1.9,-0.9,0.1,1.1,2.1,3.5,4.9,6.3,7.7,9.1,10.5,11.9,13.3,14.7,16.1,18.3,20.5,22.4,24.3},{0,10,20,30,40,50,60,62,64,66,68,70,72,74,76,78,80,85,90,95,100})</f>
        <v>72</v>
      </c>
      <c r="G30" s="12">
        <v>253</v>
      </c>
      <c r="H30" s="11">
        <f>LOOKUP(G30,{0,175,180,185,190,195,200,204,208,212,216,220,224,228,232,236,240,248,255,260,265},{0,10,20,30,40,50,60,62,64,66,68,70,72,74,76,78,80,85,90,95,100})</f>
        <v>85</v>
      </c>
      <c r="I30" s="12">
        <v>11</v>
      </c>
      <c r="J30" s="11">
        <f>LOOKUP(I30,{0,3,4,5,6,7,8,9,10,11,12,13,14,15,16,17},{0,10,20,30,40,50,60,64,68,72,76,80,85,90,95,100})</f>
        <v>72</v>
      </c>
      <c r="K30" s="12"/>
      <c r="L30" s="12"/>
      <c r="M30" s="12">
        <f t="shared" si="13"/>
        <v>72</v>
      </c>
      <c r="N30" s="12">
        <v>6.9</v>
      </c>
      <c r="O30" s="12">
        <f t="shared" si="16"/>
        <v>5.1</v>
      </c>
      <c r="P30" s="11">
        <f>LOOKUP(O30,{0,1.6,1.8,2,2.2,2.4,2.6,2.8,3,3.2,3.4,3.6,3.8,4,4.2,4.4,4.6,4.7,4.8,4.9,5},{0,10,20,30,40,50,60,62,64,66,68,70,72,74,76,78,80,85,90,95,100})</f>
        <v>100</v>
      </c>
      <c r="Q30" s="12">
        <v>3.27</v>
      </c>
      <c r="R30" s="12">
        <f t="shared" si="14"/>
        <v>6.73</v>
      </c>
      <c r="S30" s="11">
        <f>LOOKUP(R30,{0,3.8,4,4.6,4.8,5,5.6,5.65,5.7,5.75,5.8,5.85,5.9,5.95,6,6.45,6.5,6.58,6.65,6.7,6.75},{0,10,20,30,40,50,60,62,64,66,68,70,72,74,76,78,80,85,90,95,100})</f>
        <v>95</v>
      </c>
      <c r="T30" s="12"/>
      <c r="U30" s="12"/>
      <c r="V30" s="12">
        <f t="shared" si="15"/>
        <v>95</v>
      </c>
      <c r="W30" s="12"/>
      <c r="X30" s="20">
        <f t="shared" si="4"/>
        <v>61.9</v>
      </c>
      <c r="Y30" s="20">
        <f t="shared" si="17"/>
        <v>88.4285714285714</v>
      </c>
    </row>
    <row r="31" ht="15.6" hidden="1" outlineLevel="2" spans="1:25">
      <c r="A31" s="12">
        <v>201</v>
      </c>
      <c r="B31" s="12">
        <v>30</v>
      </c>
      <c r="C31" s="6" t="s">
        <v>44</v>
      </c>
      <c r="D31" s="6" t="s">
        <v>11</v>
      </c>
      <c r="E31" s="12">
        <v>11.8</v>
      </c>
      <c r="F31" s="11">
        <f>LOOKUP(E31,{0,-2.9,-1.9,-0.9,0.1,1.1,2.1,3.5,4.9,6.3,7.7,9.1,10.5,11.9,13.3,14.7,16.1,18.3,20.5,22.4,24.3},{0,10,20,30,40,50,60,62,64,66,68,70,72,74,76,78,80,85,90,95,100})</f>
        <v>72</v>
      </c>
      <c r="G31" s="12">
        <v>193</v>
      </c>
      <c r="H31" s="11">
        <f>LOOKUP(G31,{0,175,180,185,190,195,200,204,208,212,216,220,224,228,232,236,240,248,255,260,265},{0,10,20,30,40,50,60,62,64,66,68,70,72,74,76,78,80,85,90,95,100})</f>
        <v>40</v>
      </c>
      <c r="I31" s="12">
        <v>6</v>
      </c>
      <c r="J31" s="11">
        <f>LOOKUP(I31,{0,3,4,5,6,7,8,9,10,11,12,13,14,15,16,17},{0,10,20,30,40,50,60,64,68,72,76,80,85,90,95,100})</f>
        <v>40</v>
      </c>
      <c r="K31" s="12"/>
      <c r="L31" s="12"/>
      <c r="M31" s="12">
        <f t="shared" si="13"/>
        <v>40</v>
      </c>
      <c r="N31" s="12">
        <v>7.6</v>
      </c>
      <c r="O31" s="12">
        <f t="shared" si="16"/>
        <v>4.4</v>
      </c>
      <c r="P31" s="11">
        <f>LOOKUP(O31,{0,1.6,1.8,2,2.2,2.4,2.6,2.8,3,3.2,3.4,3.6,3.8,4,4.2,4.4,4.6,4.7,4.8,4.9,5},{0,10,20,30,40,50,60,62,64,66,68,70,72,74,76,78,80,85,90,95,100})</f>
        <v>78</v>
      </c>
      <c r="Q31" s="12">
        <v>4.15</v>
      </c>
      <c r="R31" s="12">
        <f t="shared" si="14"/>
        <v>5.85</v>
      </c>
      <c r="S31" s="11">
        <f>LOOKUP(R31,{0,3.8,4,4.6,4.8,5,5.6,5.65,5.7,5.75,5.8,5.85,5.9,5.95,6,6.45,6.5,6.58,6.65,6.7,6.75},{0,10,20,30,40,50,60,62,64,66,68,70,72,74,76,78,80,85,90,95,100})</f>
        <v>70</v>
      </c>
      <c r="T31" s="12"/>
      <c r="U31" s="12"/>
      <c r="V31" s="12">
        <f t="shared" si="15"/>
        <v>70</v>
      </c>
      <c r="W31" s="12"/>
      <c r="X31" s="20">
        <f t="shared" si="4"/>
        <v>44.8</v>
      </c>
      <c r="Y31" s="20">
        <f t="shared" si="17"/>
        <v>64</v>
      </c>
    </row>
    <row r="32" ht="15.6" hidden="1" outlineLevel="2" spans="1:25">
      <c r="A32" s="12">
        <v>201</v>
      </c>
      <c r="B32" s="12">
        <v>31</v>
      </c>
      <c r="C32" s="6" t="s">
        <v>45</v>
      </c>
      <c r="D32" s="6" t="s">
        <v>11</v>
      </c>
      <c r="E32" s="12">
        <v>22.9</v>
      </c>
      <c r="F32" s="11">
        <f>LOOKUP(E32,{0,-2.9,-1.9,-0.9,0.1,1.1,2.1,3.5,4.9,6.3,7.7,9.1,10.5,11.9,13.3,14.7,16.1,18.3,20.5,22.4,24.3},{0,10,20,30,40,50,60,62,64,66,68,70,72,74,76,78,80,85,90,95,100})</f>
        <v>95</v>
      </c>
      <c r="G32" s="12">
        <v>201</v>
      </c>
      <c r="H32" s="11">
        <f>LOOKUP(G32,{0,175,180,185,190,195,200,204,208,212,216,220,224,228,232,236,240,248,255,260,265},{0,10,20,30,40,50,60,62,64,66,68,70,72,74,76,78,80,85,90,95,100})</f>
        <v>60</v>
      </c>
      <c r="I32" s="12">
        <v>19</v>
      </c>
      <c r="J32" s="11">
        <f>LOOKUP(I32,{0,3,4,5,6,7,8,9,10,11,12,13,14,15,16,17},{0,10,20,30,40,50,60,64,68,72,76,80,85,90,95,100})</f>
        <v>100</v>
      </c>
      <c r="K32" s="12">
        <f>I32-17</f>
        <v>2</v>
      </c>
      <c r="L32" s="16">
        <f>LOOKUP(K32,{0,1,2,3,4,5,6,7,8,9,10},{0,1,2,3,4,5,6,7,8,9,10})</f>
        <v>2</v>
      </c>
      <c r="M32" s="12">
        <f t="shared" si="13"/>
        <v>102</v>
      </c>
      <c r="N32" s="12">
        <v>7.3</v>
      </c>
      <c r="O32" s="12">
        <f t="shared" si="16"/>
        <v>4.7</v>
      </c>
      <c r="P32" s="11">
        <f>LOOKUP(O32,{0,1.6,1.8,2,2.2,2.4,2.6,2.8,3,3.2,3.4,3.6,3.8,4,4.2,4.4,4.6,4.7,4.8,4.9,5},{0,10,20,30,40,50,60,62,64,66,68,70,72,74,76,78,80,85,90,95,100})</f>
        <v>85</v>
      </c>
      <c r="Q32" s="12">
        <v>3.58</v>
      </c>
      <c r="R32" s="12">
        <f t="shared" si="14"/>
        <v>6.42</v>
      </c>
      <c r="S32" s="11">
        <f>LOOKUP(R32,{0,3.8,4,4.6,4.8,5,5.6,5.65,5.7,5.75,5.8,5.85,5.9,5.95,6,6.45,6.5,6.58,6.65,6.7,6.75},{0,10,20,30,40,50,60,62,64,66,68,70,72,74,76,78,80,85,90,95,100})</f>
        <v>76</v>
      </c>
      <c r="T32" s="12"/>
      <c r="U32" s="12"/>
      <c r="V32" s="12">
        <f t="shared" si="15"/>
        <v>76</v>
      </c>
      <c r="W32" s="12"/>
      <c r="X32" s="20">
        <f t="shared" si="4"/>
        <v>57.7</v>
      </c>
      <c r="Y32" s="20">
        <f t="shared" si="17"/>
        <v>84.4285714285714</v>
      </c>
    </row>
    <row r="33" ht="15.6" hidden="1" outlineLevel="2" spans="1:25">
      <c r="A33" s="12">
        <v>201</v>
      </c>
      <c r="B33" s="12">
        <v>32</v>
      </c>
      <c r="C33" s="6" t="s">
        <v>46</v>
      </c>
      <c r="D33" s="6" t="s">
        <v>11</v>
      </c>
      <c r="E33" s="12">
        <v>8</v>
      </c>
      <c r="F33" s="11">
        <f>LOOKUP(E33,{0,-2.9,-1.9,-0.9,0.1,1.1,2.1,3.5,4.9,6.3,7.7,9.1,10.5,11.9,13.3,14.7,16.1,18.3,20.5,22.4,24.3},{0,10,20,30,40,50,60,62,64,66,68,70,72,74,76,78,80,85,90,95,100})</f>
        <v>68</v>
      </c>
      <c r="G33" s="12">
        <v>255</v>
      </c>
      <c r="H33" s="11">
        <f>LOOKUP(G33,{0,175,180,185,190,195,200,204,208,212,216,220,224,228,232,236,240,248,255,260,265},{0,10,20,30,40,50,60,62,64,66,68,70,72,74,76,78,80,85,90,95,100})</f>
        <v>90</v>
      </c>
      <c r="I33" s="12">
        <v>10</v>
      </c>
      <c r="J33" s="11">
        <f>LOOKUP(I33,{0,3,4,5,6,7,8,9,10,11,12,13,14,15,16,17},{0,10,20,30,40,50,60,64,68,72,76,80,85,90,95,100})</f>
        <v>68</v>
      </c>
      <c r="K33" s="12"/>
      <c r="L33" s="12"/>
      <c r="M33" s="12">
        <f t="shared" si="13"/>
        <v>68</v>
      </c>
      <c r="N33" s="12">
        <v>7</v>
      </c>
      <c r="O33" s="12">
        <f t="shared" si="16"/>
        <v>5</v>
      </c>
      <c r="P33" s="11">
        <f>LOOKUP(O33,{0,1.6,1.8,2,2.2,2.4,2.6,2.8,3,3.2,3.4,3.6,3.8,4,4.2,4.4,4.6,4.7,4.8,4.9,5},{0,10,20,30,40,50,60,62,64,66,68,70,72,74,76,78,80,85,90,95,100})</f>
        <v>100</v>
      </c>
      <c r="Q33" s="12">
        <v>3.45</v>
      </c>
      <c r="R33" s="12">
        <f t="shared" si="14"/>
        <v>6.55</v>
      </c>
      <c r="S33" s="11">
        <f>LOOKUP(R33,{0,3.8,4,4.6,4.8,5,5.6,5.65,5.7,5.75,5.8,5.85,5.9,5.95,6,6.45,6.5,6.58,6.65,6.7,6.75},{0,10,20,30,40,50,60,62,64,66,68,70,72,74,76,78,80,85,90,95,100})</f>
        <v>80</v>
      </c>
      <c r="T33" s="12"/>
      <c r="U33" s="12"/>
      <c r="V33" s="12">
        <f t="shared" si="15"/>
        <v>80</v>
      </c>
      <c r="W33" s="12"/>
      <c r="X33" s="20">
        <f t="shared" si="4"/>
        <v>58.6</v>
      </c>
      <c r="Y33" s="20">
        <f t="shared" si="17"/>
        <v>83.7142857142857</v>
      </c>
    </row>
    <row r="34" ht="15.6" hidden="1" outlineLevel="2" spans="1:25">
      <c r="A34" s="12">
        <v>201</v>
      </c>
      <c r="B34" s="12">
        <v>33</v>
      </c>
      <c r="C34" s="6" t="s">
        <v>47</v>
      </c>
      <c r="D34" s="6" t="s">
        <v>11</v>
      </c>
      <c r="E34" s="12">
        <v>20</v>
      </c>
      <c r="F34" s="11">
        <f>LOOKUP(E34,{0,-2.9,-1.9,-0.9,0.1,1.1,2.1,3.5,4.9,6.3,7.7,9.1,10.5,11.9,13.3,14.7,16.1,18.3,20.5,22.4,24.3},{0,10,20,30,40,50,60,62,64,66,68,70,72,74,76,78,80,85,90,95,100})</f>
        <v>85</v>
      </c>
      <c r="G34" s="12">
        <v>263</v>
      </c>
      <c r="H34" s="11">
        <f>LOOKUP(G34,{0,175,180,185,190,195,200,204,208,212,216,220,224,228,232,236,240,248,255,260,265},{0,10,20,30,40,50,60,62,64,66,68,70,72,74,76,78,80,85,90,95,100})</f>
        <v>95</v>
      </c>
      <c r="I34" s="12">
        <v>11</v>
      </c>
      <c r="J34" s="11">
        <f>LOOKUP(I34,{0,3,4,5,6,7,8,9,10,11,12,13,14,15,16,17},{0,10,20,30,40,50,60,64,68,72,76,80,85,90,95,100})</f>
        <v>72</v>
      </c>
      <c r="K34" s="12"/>
      <c r="L34" s="12"/>
      <c r="M34" s="12">
        <f t="shared" si="13"/>
        <v>72</v>
      </c>
      <c r="N34" s="12">
        <v>6.8</v>
      </c>
      <c r="O34" s="12">
        <f t="shared" si="16"/>
        <v>5.2</v>
      </c>
      <c r="P34" s="11">
        <f>LOOKUP(O34,{0,1.6,1.8,2,2.2,2.4,2.6,2.8,3,3.2,3.4,3.6,3.8,4,4.2,4.4,4.6,4.7,4.8,4.9,5},{0,10,20,30,40,50,60,62,64,66,68,70,72,74,76,78,80,85,90,95,100})</f>
        <v>100</v>
      </c>
      <c r="Q34" s="12">
        <v>3.16</v>
      </c>
      <c r="R34" s="12">
        <f t="shared" si="14"/>
        <v>6.84</v>
      </c>
      <c r="S34" s="11">
        <f>LOOKUP(R34,{0,3.8,4,4.6,4.8,5,5.6,5.65,5.7,5.75,5.8,5.85,5.9,5.95,6,6.45,6.5,6.58,6.65,6.7,6.75},{0,10,20,30,40,50,60,62,64,66,68,70,72,74,76,78,80,85,90,95,100})</f>
        <v>100</v>
      </c>
      <c r="T34" s="12">
        <f>3.25-Q34</f>
        <v>0.0899999999999999</v>
      </c>
      <c r="U34" s="11">
        <f>LOOKUP(T34,{0,0.04,0.08,0.12,0.16,0.2,0.23,0.26,0.29,0.32,0.35},{0,1,2,3,4,5,6,7,8,9,10})</f>
        <v>2</v>
      </c>
      <c r="V34" s="12">
        <f t="shared" si="15"/>
        <v>102</v>
      </c>
      <c r="W34" s="12"/>
      <c r="X34" s="20">
        <f t="shared" si="4"/>
        <v>65.2</v>
      </c>
      <c r="Y34" s="20">
        <f t="shared" si="17"/>
        <v>95.1428571428572</v>
      </c>
    </row>
    <row r="35" ht="15.6" hidden="1" outlineLevel="2" spans="1:25">
      <c r="A35" s="12">
        <v>201</v>
      </c>
      <c r="B35" s="12">
        <v>34</v>
      </c>
      <c r="C35" s="6" t="s">
        <v>48</v>
      </c>
      <c r="D35" s="6" t="s">
        <v>11</v>
      </c>
      <c r="E35" s="12">
        <v>15.5</v>
      </c>
      <c r="F35" s="11">
        <f>LOOKUP(E35,{0,-2.9,-1.9,-0.9,0.1,1.1,2.1,3.5,4.9,6.3,7.7,9.1,10.5,11.9,13.3,14.7,16.1,18.3,20.5,22.4,24.3},{0,10,20,30,40,50,60,62,64,66,68,70,72,74,76,78,80,85,90,95,100})</f>
        <v>78</v>
      </c>
      <c r="G35" s="12">
        <v>258</v>
      </c>
      <c r="H35" s="11">
        <f>LOOKUP(G35,{0,175,180,185,190,195,200,204,208,212,216,220,224,228,232,236,240,248,255,260,265},{0,10,20,30,40,50,60,62,64,66,68,70,72,74,76,78,80,85,90,95,100})</f>
        <v>90</v>
      </c>
      <c r="I35" s="12">
        <v>9</v>
      </c>
      <c r="J35" s="11">
        <f>LOOKUP(I35,{0,3,4,5,6,7,8,9,10,11,12,13,14,15,16,17},{0,10,20,30,40,50,60,64,68,72,76,80,85,90,95,100})</f>
        <v>64</v>
      </c>
      <c r="K35" s="12"/>
      <c r="L35" s="12"/>
      <c r="M35" s="12">
        <f t="shared" si="13"/>
        <v>64</v>
      </c>
      <c r="N35" s="12">
        <v>7.2</v>
      </c>
      <c r="O35" s="12">
        <f t="shared" si="16"/>
        <v>4.8</v>
      </c>
      <c r="P35" s="11">
        <f>LOOKUP(O35,{0,1.6,1.8,2,2.2,2.4,2.6,2.8,3,3.2,3.4,3.6,3.8,4,4.2,4.4,4.6,4.7,4.8,4.9,5},{0,10,20,30,40,50,60,62,64,66,68,70,72,74,76,78,80,85,90,95,100})</f>
        <v>90</v>
      </c>
      <c r="Q35" s="12">
        <v>4.01</v>
      </c>
      <c r="R35" s="12">
        <f t="shared" si="14"/>
        <v>5.99</v>
      </c>
      <c r="S35" s="11">
        <f>LOOKUP(R35,{0,3.8,4,4.6,4.8,5,5.6,5.65,5.7,5.75,5.8,5.85,5.9,5.95,6,6.45,6.5,6.58,6.65,6.7,6.75},{0,10,20,30,40,50,60,62,64,66,68,70,72,74,76,78,80,85,90,95,100})</f>
        <v>74</v>
      </c>
      <c r="T35" s="12"/>
      <c r="U35" s="12"/>
      <c r="V35" s="12">
        <f t="shared" si="15"/>
        <v>74</v>
      </c>
      <c r="W35" s="12"/>
      <c r="X35" s="20">
        <f t="shared" si="4"/>
        <v>56</v>
      </c>
      <c r="Y35" s="20">
        <f t="shared" si="17"/>
        <v>80</v>
      </c>
    </row>
    <row r="36" s="1" customFormat="1" ht="15.6" hidden="1" outlineLevel="2" spans="1:25">
      <c r="A36" s="12">
        <v>201</v>
      </c>
      <c r="B36" s="12">
        <v>35</v>
      </c>
      <c r="C36" s="6" t="s">
        <v>49</v>
      </c>
      <c r="D36" s="6" t="s">
        <v>11</v>
      </c>
      <c r="E36" s="12">
        <v>27.1</v>
      </c>
      <c r="F36" s="11">
        <f>LOOKUP(E36,{0,-2.9,-1.9,-0.9,0.1,1.1,2.1,3.5,4.9,6.3,7.7,9.1,10.5,11.9,13.3,14.7,16.1,18.3,20.5,22.4,24.3},{0,10,20,30,40,50,60,62,64,66,68,70,72,74,76,78,80,85,90,95,100})</f>
        <v>100</v>
      </c>
      <c r="G36" s="12">
        <v>231</v>
      </c>
      <c r="H36" s="11">
        <f>LOOKUP(G36,{0,175,180,185,190,195,200,204,208,212,216,220,224,228,232,236,240,248,255,260,265},{0,10,20,30,40,50,60,62,64,66,68,70,72,74,76,78,80,85,90,95,100})</f>
        <v>74</v>
      </c>
      <c r="I36" s="12">
        <v>13</v>
      </c>
      <c r="J36" s="11">
        <f>LOOKUP(I36,{0,3,4,5,6,7,8,9,10,11,12,13,14,15,16,17},{0,10,20,30,40,50,60,64,68,72,76,80,85,90,95,100})</f>
        <v>80</v>
      </c>
      <c r="K36" s="12"/>
      <c r="L36" s="12"/>
      <c r="M36" s="12">
        <f t="shared" si="13"/>
        <v>80</v>
      </c>
      <c r="N36" s="12">
        <v>7.1</v>
      </c>
      <c r="O36" s="12">
        <f t="shared" si="16"/>
        <v>4.9</v>
      </c>
      <c r="P36" s="11">
        <f>LOOKUP(O36,{0,1.6,1.8,2,2.2,2.4,2.6,2.8,3,3.2,3.4,3.6,3.8,4,4.2,4.4,4.6,4.7,4.8,4.9,5},{0,10,20,30,40,50,60,62,64,66,68,70,72,74,76,78,80,85,90,95,100})</f>
        <v>95</v>
      </c>
      <c r="Q36" s="12">
        <v>3.34</v>
      </c>
      <c r="R36" s="12">
        <f t="shared" si="14"/>
        <v>6.66</v>
      </c>
      <c r="S36" s="11">
        <f>LOOKUP(R36,{0,3.8,4,4.6,4.8,5,5.6,5.65,5.7,5.75,5.8,5.85,5.9,5.95,6,6.45,6.5,6.58,6.65,6.7,6.75},{0,10,20,30,40,50,60,62,64,66,68,70,72,74,76,78,80,85,90,95,100})</f>
        <v>90</v>
      </c>
      <c r="T36" s="12"/>
      <c r="U36" s="12"/>
      <c r="V36" s="12">
        <f t="shared" si="15"/>
        <v>90</v>
      </c>
      <c r="W36" s="12"/>
      <c r="X36" s="20">
        <f t="shared" si="4"/>
        <v>62.4</v>
      </c>
      <c r="Y36" s="20">
        <f t="shared" si="17"/>
        <v>89.1428571428572</v>
      </c>
    </row>
    <row r="37" ht="15.6" hidden="1" outlineLevel="2" spans="1:25">
      <c r="A37" s="12">
        <v>201</v>
      </c>
      <c r="B37" s="12">
        <v>36</v>
      </c>
      <c r="C37" s="6" t="s">
        <v>50</v>
      </c>
      <c r="D37" s="6" t="s">
        <v>11</v>
      </c>
      <c r="E37" s="12">
        <v>14.6</v>
      </c>
      <c r="F37" s="11">
        <f>LOOKUP(E37,{0,-2.9,-1.9,-0.9,0.1,1.1,2.1,3.5,4.9,6.3,7.7,9.1,10.5,11.9,13.3,14.7,16.1,18.3,20.5,22.4,24.3},{0,10,20,30,40,50,60,62,64,66,68,70,72,74,76,78,80,85,90,95,100})</f>
        <v>76</v>
      </c>
      <c r="G37" s="12">
        <v>225</v>
      </c>
      <c r="H37" s="11">
        <f>LOOKUP(G37,{0,175,180,185,190,195,200,204,208,212,216,220,224,228,232,236,240,248,255,260,265},{0,10,20,30,40,50,60,62,64,66,68,70,72,74,76,78,80,85,90,95,100})</f>
        <v>72</v>
      </c>
      <c r="I37" s="12">
        <v>6</v>
      </c>
      <c r="J37" s="11">
        <f>LOOKUP(I37,{0,3,4,5,6,7,8,9,10,11,12,13,14,15,16,17},{0,10,20,30,40,50,60,64,68,72,76,80,85,90,95,100})</f>
        <v>40</v>
      </c>
      <c r="K37" s="12"/>
      <c r="L37" s="12"/>
      <c r="M37" s="12">
        <f t="shared" si="13"/>
        <v>40</v>
      </c>
      <c r="N37" s="12">
        <v>7.6</v>
      </c>
      <c r="O37" s="12">
        <f t="shared" si="16"/>
        <v>4.4</v>
      </c>
      <c r="P37" s="11">
        <f>LOOKUP(O37,{0,1.6,1.8,2,2.2,2.4,2.6,2.8,3,3.2,3.4,3.6,3.8,4,4.2,4.4,4.6,4.7,4.8,4.9,5},{0,10,20,30,40,50,60,62,64,66,68,70,72,74,76,78,80,85,90,95,100})</f>
        <v>78</v>
      </c>
      <c r="Q37" s="12">
        <v>3.48</v>
      </c>
      <c r="R37" s="12">
        <f t="shared" si="14"/>
        <v>6.52</v>
      </c>
      <c r="S37" s="11">
        <f>LOOKUP(R37,{0,3.8,4,4.6,4.8,5,5.6,5.65,5.7,5.75,5.8,5.85,5.9,5.95,6,6.45,6.5,6.58,6.65,6.7,6.75},{0,10,20,30,40,50,60,62,64,66,68,70,72,74,76,78,80,85,90,95,100})</f>
        <v>80</v>
      </c>
      <c r="T37" s="12"/>
      <c r="U37" s="12"/>
      <c r="V37" s="12">
        <f t="shared" si="15"/>
        <v>80</v>
      </c>
      <c r="W37" s="12"/>
      <c r="X37" s="20">
        <f t="shared" si="4"/>
        <v>50.4</v>
      </c>
      <c r="Y37" s="20">
        <f t="shared" si="17"/>
        <v>72</v>
      </c>
    </row>
    <row r="38" s="2" customFormat="1" ht="15.6" hidden="1" outlineLevel="2" spans="1:25">
      <c r="A38" s="10">
        <v>201</v>
      </c>
      <c r="B38" s="10">
        <v>37</v>
      </c>
      <c r="C38" s="6" t="s">
        <v>52</v>
      </c>
      <c r="D38" s="6" t="s">
        <v>53</v>
      </c>
      <c r="E38" s="10"/>
      <c r="F38" s="11"/>
      <c r="G38" s="10"/>
      <c r="H38" s="11"/>
      <c r="I38" s="10"/>
      <c r="J38" s="11"/>
      <c r="K38" s="10"/>
      <c r="L38" s="10"/>
      <c r="M38" s="10"/>
      <c r="N38" s="10"/>
      <c r="O38" s="10"/>
      <c r="P38" s="11"/>
      <c r="Q38" s="10"/>
      <c r="R38" s="10"/>
      <c r="S38" s="10"/>
      <c r="T38" s="10"/>
      <c r="U38" s="10"/>
      <c r="V38" s="10"/>
      <c r="W38" s="10" t="s">
        <v>14</v>
      </c>
      <c r="X38" s="19">
        <f t="shared" si="4"/>
        <v>0</v>
      </c>
      <c r="Y38" s="19">
        <v>50</v>
      </c>
    </row>
    <row r="39" ht="15.6" hidden="1" outlineLevel="2" spans="1:25">
      <c r="A39" s="12">
        <v>201</v>
      </c>
      <c r="B39" s="12">
        <v>38</v>
      </c>
      <c r="C39" s="13" t="s">
        <v>54</v>
      </c>
      <c r="D39" s="6" t="s">
        <v>53</v>
      </c>
      <c r="E39" s="12"/>
      <c r="F39" s="11"/>
      <c r="G39" s="12"/>
      <c r="H39" s="11"/>
      <c r="I39" s="12"/>
      <c r="J39" s="11"/>
      <c r="K39" s="12"/>
      <c r="L39" s="15"/>
      <c r="M39" s="12"/>
      <c r="N39" s="12"/>
      <c r="O39" s="12"/>
      <c r="P39" s="11"/>
      <c r="Q39" s="12"/>
      <c r="R39" s="12"/>
      <c r="S39" s="12"/>
      <c r="T39" s="12"/>
      <c r="U39" s="12"/>
      <c r="V39" s="12"/>
      <c r="W39" s="12" t="s">
        <v>55</v>
      </c>
      <c r="X39" s="20">
        <f t="shared" si="4"/>
        <v>0</v>
      </c>
      <c r="Y39" s="20">
        <v>50</v>
      </c>
    </row>
    <row r="40" ht="15.6" hidden="1" outlineLevel="2" spans="1:25">
      <c r="A40" s="12">
        <v>201</v>
      </c>
      <c r="B40" s="12">
        <v>39</v>
      </c>
      <c r="C40" s="6" t="s">
        <v>56</v>
      </c>
      <c r="D40" s="6" t="s">
        <v>53</v>
      </c>
      <c r="E40" s="12">
        <v>28.5</v>
      </c>
      <c r="F40" s="11">
        <f>LOOKUP(E40,{0,1,1.8,2.6,3.4,4.2,5,6.3,7.6,8.9,10.2,11.5,12.8,14.1,15.4,16.7,18,19.7,21.4,23.1,24.8},{0,10,20,30,40,50,60,62,64,66,68,70,72,74,76,78,80,85,90,95,100})</f>
        <v>100</v>
      </c>
      <c r="G40" s="12">
        <v>192</v>
      </c>
      <c r="H40" s="11">
        <f>LOOKUP(G40,{0,124,129,134,139,144,149,152,155,158,161,164,167,170,173,176,179,186,193,199,205},{0,10,20,30,40,50,60,62,64,66,68,70,72,74,76,78,80,85,90,95,100})</f>
        <v>85</v>
      </c>
      <c r="I40" s="12">
        <v>47</v>
      </c>
      <c r="J40" s="11">
        <f>LOOKUP(I40,{0,14,16,18,20,22,24,26,28,30,32,34,36,38,40,42,44,47,50,52,54},{0,10,20,30,40,50,60,62,64,66,68,70,72,74,76,78,80,85,90,95,100})</f>
        <v>85</v>
      </c>
      <c r="K40" s="12"/>
      <c r="L40" s="12"/>
      <c r="M40" s="12">
        <f t="shared" ref="M40:M43" si="18">J40+L40</f>
        <v>85</v>
      </c>
      <c r="N40" s="12">
        <v>7.8</v>
      </c>
      <c r="O40" s="12">
        <f t="shared" ref="O40:O43" si="19">12-N40</f>
        <v>4.2</v>
      </c>
      <c r="P40" s="11">
        <f>LOOKUP(O40,{0,0.5,0.7,0.9,1.1,1.3,1.5,1.7,1.9,2.1,2.3,2.5,2.7,2.9,3.1,3.3,3.5,3.8,4.1,4.2,4.3},{0,10,20,30,40,50,60,62,64,66,68,70,72,74,76,78,80,85,90,95,100})</f>
        <v>95</v>
      </c>
      <c r="Q40" s="12">
        <v>3.34</v>
      </c>
      <c r="R40" s="12">
        <f t="shared" ref="R40:R43" si="20">10-Q40</f>
        <v>6.66</v>
      </c>
      <c r="S40" s="11">
        <f>LOOKUP(R40,{0,4.72,4.82,4.92,5.42,5.52,5.62,5.67,5.72,5.77,5.82,5.87,5.92,5.97,6.42,6.47,6.52,6.59,6.66,6.72,6.78},{0,10,20,30,40,50,60,62,64,66,68,70,72,74,76,78,80,85,90,95,100})</f>
        <v>90</v>
      </c>
      <c r="T40" s="12"/>
      <c r="U40" s="12"/>
      <c r="V40" s="12">
        <f t="shared" ref="V40:V43" si="21">S40+U40</f>
        <v>90</v>
      </c>
      <c r="W40" s="12"/>
      <c r="X40" s="20">
        <f t="shared" si="4"/>
        <v>64</v>
      </c>
      <c r="Y40" s="20">
        <f t="shared" ref="Y40:Y43" si="22">X40/0.7+L40+U40</f>
        <v>91.4285714285714</v>
      </c>
    </row>
    <row r="41" ht="15.6" hidden="1" outlineLevel="2" spans="1:25">
      <c r="A41" s="12">
        <v>201</v>
      </c>
      <c r="B41" s="12">
        <v>40</v>
      </c>
      <c r="C41" s="6" t="s">
        <v>57</v>
      </c>
      <c r="D41" s="6" t="s">
        <v>53</v>
      </c>
      <c r="E41" s="12">
        <v>14.7</v>
      </c>
      <c r="F41" s="11">
        <f>LOOKUP(E41,{0,1,1.8,2.6,3.4,4.2,5,6.3,7.6,8.9,10.2,11.5,12.8,14.1,15.4,16.7,18,19.7,21.4,23.1,24.8},{0,10,20,30,40,50,60,62,64,66,68,70,72,74,76,78,80,85,90,95,100})</f>
        <v>74</v>
      </c>
      <c r="G41" s="12">
        <v>191</v>
      </c>
      <c r="H41" s="11">
        <f>LOOKUP(G41,{0,124,129,134,139,144,149,152,155,158,161,164,167,170,173,176,179,186,193,199,205},{0,10,20,30,40,50,60,62,64,66,68,70,72,74,76,78,80,85,90,95,100})</f>
        <v>85</v>
      </c>
      <c r="I41" s="12">
        <v>54</v>
      </c>
      <c r="J41" s="11">
        <f>LOOKUP(I41,{0,14,16,18,20,22,24,26,28,30,32,34,36,38,40,42,44,47,50,52,54},{0,10,20,30,40,50,60,62,64,66,68,70,72,74,76,78,80,85,90,95,100})</f>
        <v>100</v>
      </c>
      <c r="K41" s="12">
        <f>I41-54</f>
        <v>0</v>
      </c>
      <c r="L41" s="16">
        <f>LOOKUP(K41,{0,2,4,6,7,8,9,10,11,12,13},{0,1,2,3,4,5,6,7,8,9,10})</f>
        <v>0</v>
      </c>
      <c r="M41" s="12">
        <f t="shared" si="18"/>
        <v>100</v>
      </c>
      <c r="N41" s="12">
        <v>8.2</v>
      </c>
      <c r="O41" s="12">
        <f t="shared" si="19"/>
        <v>3.8</v>
      </c>
      <c r="P41" s="11">
        <f>LOOKUP(O41,{0,0.5,0.7,0.9,1.1,1.3,1.5,1.7,1.9,2.1,2.3,2.5,2.7,2.9,3.1,3.3,3.5,3.8,4.1,4.2,4.3},{0,10,20,30,40,50,60,62,64,66,68,70,72,74,76,78,80,85,90,95,100})</f>
        <v>85</v>
      </c>
      <c r="Q41" s="12">
        <v>3.39</v>
      </c>
      <c r="R41" s="12">
        <f t="shared" si="20"/>
        <v>6.61</v>
      </c>
      <c r="S41" s="11">
        <f>LOOKUP(R41,{0,4.72,4.82,4.92,5.42,5.52,5.62,5.67,5.72,5.77,5.82,5.87,5.92,5.97,6.42,6.47,6.52,6.59,6.66,6.72,6.78},{0,10,20,30,40,50,60,62,64,66,68,70,72,74,76,78,80,85,90,95,100})</f>
        <v>85</v>
      </c>
      <c r="T41" s="12"/>
      <c r="U41" s="12"/>
      <c r="V41" s="12">
        <f t="shared" si="21"/>
        <v>85</v>
      </c>
      <c r="W41" s="12"/>
      <c r="X41" s="20">
        <f t="shared" si="4"/>
        <v>59.9</v>
      </c>
      <c r="Y41" s="20">
        <f t="shared" si="22"/>
        <v>85.5714285714286</v>
      </c>
    </row>
    <row r="42" ht="15.6" hidden="1" outlineLevel="2" spans="1:25">
      <c r="A42" s="12">
        <v>201</v>
      </c>
      <c r="B42" s="12">
        <v>41</v>
      </c>
      <c r="C42" s="6" t="s">
        <v>58</v>
      </c>
      <c r="D42" s="6" t="s">
        <v>53</v>
      </c>
      <c r="E42" s="12">
        <v>17.7</v>
      </c>
      <c r="F42" s="11">
        <f>LOOKUP(E42,{0,1,1.8,2.6,3.4,4.2,5,6.3,7.6,8.9,10.2,11.5,12.8,14.1,15.4,16.7,18,19.7,21.4,23.1,24.8},{0,10,20,30,40,50,60,62,64,66,68,70,72,74,76,78,80,85,90,95,100})</f>
        <v>78</v>
      </c>
      <c r="G42" s="12">
        <v>208</v>
      </c>
      <c r="H42" s="11">
        <f>LOOKUP(G42,{0,124,129,134,139,144,149,152,155,158,161,164,167,170,173,176,179,186,193,199,205},{0,10,20,30,40,50,60,62,64,66,68,70,72,74,76,78,80,85,90,95,100})</f>
        <v>100</v>
      </c>
      <c r="I42" s="12">
        <v>53</v>
      </c>
      <c r="J42" s="11">
        <f>LOOKUP(I42,{0,14,16,18,20,22,24,26,28,30,32,34,36,38,40,42,44,47,50,52,54},{0,10,20,30,40,50,60,62,64,66,68,70,72,74,76,78,80,85,90,95,100})</f>
        <v>95</v>
      </c>
      <c r="K42" s="12"/>
      <c r="L42" s="12"/>
      <c r="M42" s="12">
        <f t="shared" si="18"/>
        <v>95</v>
      </c>
      <c r="N42" s="12">
        <v>8.2</v>
      </c>
      <c r="O42" s="12">
        <f t="shared" si="19"/>
        <v>3.8</v>
      </c>
      <c r="P42" s="11">
        <f>LOOKUP(O42,{0,0.5,0.7,0.9,1.1,1.3,1.5,1.7,1.9,2.1,2.3,2.5,2.7,2.9,3.1,3.3,3.5,3.8,4.1,4.2,4.3},{0,10,20,30,40,50,60,62,64,66,68,70,72,74,76,78,80,85,90,95,100})</f>
        <v>85</v>
      </c>
      <c r="Q42" s="12">
        <v>3.45</v>
      </c>
      <c r="R42" s="12">
        <f t="shared" si="20"/>
        <v>6.55</v>
      </c>
      <c r="S42" s="11">
        <f>LOOKUP(R42,{0,4.72,4.82,4.92,5.42,5.52,5.62,5.67,5.72,5.77,5.82,5.87,5.92,5.97,6.42,6.47,6.52,6.59,6.66,6.72,6.78},{0,10,20,30,40,50,60,62,64,66,68,70,72,74,76,78,80,85,90,95,100})</f>
        <v>80</v>
      </c>
      <c r="T42" s="12"/>
      <c r="U42" s="12"/>
      <c r="V42" s="12">
        <f t="shared" si="21"/>
        <v>80</v>
      </c>
      <c r="W42" s="12"/>
      <c r="X42" s="20">
        <f t="shared" si="4"/>
        <v>60.3</v>
      </c>
      <c r="Y42" s="20">
        <f t="shared" si="22"/>
        <v>86.1428571428571</v>
      </c>
    </row>
    <row r="43" ht="15.6" hidden="1" outlineLevel="2" spans="1:25">
      <c r="A43" s="12">
        <v>201</v>
      </c>
      <c r="B43" s="12">
        <v>42</v>
      </c>
      <c r="C43" s="6" t="s">
        <v>59</v>
      </c>
      <c r="D43" s="6" t="s">
        <v>53</v>
      </c>
      <c r="E43" s="12">
        <v>18.5</v>
      </c>
      <c r="F43" s="11">
        <f>LOOKUP(E43,{0,1,1.8,2.6,3.4,4.2,5,6.3,7.6,8.9,10.2,11.5,12.8,14.1,15.4,16.7,18,19.7,21.4,23.1,24.8},{0,10,20,30,40,50,60,62,64,66,68,70,72,74,76,78,80,85,90,95,100})</f>
        <v>80</v>
      </c>
      <c r="G43" s="12">
        <v>182</v>
      </c>
      <c r="H43" s="11">
        <f>LOOKUP(G43,{0,124,129,134,139,144,149,152,155,158,161,164,167,170,173,176,179,186,193,199,205},{0,10,20,30,40,50,60,62,64,66,68,70,72,74,76,78,80,85,90,95,100})</f>
        <v>80</v>
      </c>
      <c r="I43" s="12">
        <v>52</v>
      </c>
      <c r="J43" s="11">
        <f>LOOKUP(I43,{0,14,16,18,20,22,24,26,28,30,32,34,36,38,40,42,44,47,50,52,54},{0,10,20,30,40,50,60,62,64,66,68,70,72,74,76,78,80,85,90,95,100})</f>
        <v>95</v>
      </c>
      <c r="K43" s="12"/>
      <c r="L43" s="15"/>
      <c r="M43" s="12">
        <f t="shared" si="18"/>
        <v>95</v>
      </c>
      <c r="N43" s="12">
        <v>8.7</v>
      </c>
      <c r="O43" s="12">
        <f t="shared" si="19"/>
        <v>3.3</v>
      </c>
      <c r="P43" s="11">
        <f>LOOKUP(O43,{0,0.5,0.7,0.9,1.1,1.3,1.5,1.7,1.9,2.1,2.3,2.5,2.7,2.9,3.1,3.3,3.5,3.8,4.1,4.2,4.3},{0,10,20,30,40,50,60,62,64,66,68,70,72,74,76,78,80,85,90,95,100})</f>
        <v>78</v>
      </c>
      <c r="Q43" s="12">
        <v>3.58</v>
      </c>
      <c r="R43" s="12">
        <f t="shared" si="20"/>
        <v>6.42</v>
      </c>
      <c r="S43" s="11">
        <f>LOOKUP(R43,{0,4.72,4.82,4.92,5.42,5.52,5.62,5.67,5.72,5.77,5.82,5.87,5.92,5.97,6.42,6.47,6.52,6.59,6.66,6.72,6.78},{0,10,20,30,40,50,60,62,64,66,68,70,72,74,76,78,80,85,90,95,100})</f>
        <v>76</v>
      </c>
      <c r="T43" s="12"/>
      <c r="U43" s="12"/>
      <c r="V43" s="12">
        <f t="shared" si="21"/>
        <v>76</v>
      </c>
      <c r="W43" s="12"/>
      <c r="X43" s="20">
        <f t="shared" si="4"/>
        <v>56.3</v>
      </c>
      <c r="Y43" s="20">
        <f t="shared" si="22"/>
        <v>80.4285714285714</v>
      </c>
    </row>
    <row r="44" s="2" customFormat="1" ht="15.6" hidden="1" outlineLevel="2" spans="1:25">
      <c r="A44" s="10">
        <v>201</v>
      </c>
      <c r="B44" s="10">
        <v>43</v>
      </c>
      <c r="C44" s="6" t="s">
        <v>60</v>
      </c>
      <c r="D44" s="6" t="s">
        <v>53</v>
      </c>
      <c r="E44" s="10"/>
      <c r="F44" s="11"/>
      <c r="G44" s="10"/>
      <c r="H44" s="11"/>
      <c r="I44" s="10"/>
      <c r="J44" s="11"/>
      <c r="K44" s="10"/>
      <c r="L44" s="10"/>
      <c r="M44" s="10"/>
      <c r="N44" s="10"/>
      <c r="O44" s="10"/>
      <c r="P44" s="11"/>
      <c r="Q44" s="10"/>
      <c r="R44" s="10"/>
      <c r="S44" s="11"/>
      <c r="T44" s="10"/>
      <c r="U44" s="11"/>
      <c r="V44" s="10"/>
      <c r="W44" s="10" t="s">
        <v>14</v>
      </c>
      <c r="X44" s="19">
        <f t="shared" si="4"/>
        <v>0</v>
      </c>
      <c r="Y44" s="19">
        <v>50</v>
      </c>
    </row>
    <row r="45" ht="15.6" hidden="1" outlineLevel="2" spans="1:25">
      <c r="A45" s="12">
        <v>201</v>
      </c>
      <c r="B45" s="12">
        <v>44</v>
      </c>
      <c r="C45" s="6" t="s">
        <v>61</v>
      </c>
      <c r="D45" s="6" t="s">
        <v>53</v>
      </c>
      <c r="E45" s="12">
        <v>17</v>
      </c>
      <c r="F45" s="11">
        <f>LOOKUP(E45,{0,1,1.8,2.6,3.4,4.2,5,6.3,7.6,8.9,10.2,11.5,12.8,14.1,15.4,16.7,18,19.7,21.4,23.1,24.8},{0,10,20,30,40,50,60,62,64,66,68,70,72,74,76,78,80,85,90,95,100})</f>
        <v>78</v>
      </c>
      <c r="G45" s="12">
        <v>161</v>
      </c>
      <c r="H45" s="11">
        <f>LOOKUP(G45,{0,124,129,134,139,144,149,152,155,158,161,164,167,170,173,176,179,186,193,199,205},{0,10,20,30,40,50,60,62,64,66,68,70,72,74,76,78,80,85,90,95,100})</f>
        <v>68</v>
      </c>
      <c r="I45" s="12">
        <v>45</v>
      </c>
      <c r="J45" s="11">
        <f>LOOKUP(I45,{0,14,16,18,20,22,24,26,28,30,32,34,36,38,40,42,44,47,50,52,54},{0,10,20,30,40,50,60,62,64,66,68,70,72,74,76,78,80,85,90,95,100})</f>
        <v>80</v>
      </c>
      <c r="K45" s="12"/>
      <c r="L45" s="12"/>
      <c r="M45" s="12">
        <f>J45+L45</f>
        <v>80</v>
      </c>
      <c r="N45" s="12">
        <v>8.6</v>
      </c>
      <c r="O45" s="12">
        <f>12-N45</f>
        <v>3.4</v>
      </c>
      <c r="P45" s="11">
        <f>LOOKUP(O45,{0,0.5,0.7,0.9,1.1,1.3,1.5,1.7,1.9,2.1,2.3,2.5,2.7,2.9,3.1,3.3,3.5,3.8,4.1,4.2,4.3},{0,10,20,30,40,50,60,62,64,66,68,70,72,74,76,78,80,85,90,95,100})</f>
        <v>78</v>
      </c>
      <c r="Q45" s="12">
        <v>3.29</v>
      </c>
      <c r="R45" s="12">
        <f>10-Q45</f>
        <v>6.71</v>
      </c>
      <c r="S45" s="11">
        <f>LOOKUP(R45,{0,4.72,4.82,4.92,5.42,5.52,5.62,5.67,5.72,5.77,5.82,5.87,5.92,5.97,6.42,6.47,6.52,6.59,6.66,6.72,6.78},{0,10,20,30,40,50,60,62,64,66,68,70,72,74,76,78,80,85,90,95,100})</f>
        <v>90</v>
      </c>
      <c r="T45" s="12"/>
      <c r="U45" s="12"/>
      <c r="V45" s="12">
        <f>S45+U45</f>
        <v>90</v>
      </c>
      <c r="W45" s="12"/>
      <c r="X45" s="20">
        <f t="shared" si="4"/>
        <v>56.2</v>
      </c>
      <c r="Y45" s="20">
        <f>X45/0.7+L45+U45</f>
        <v>80.2857142857143</v>
      </c>
    </row>
    <row r="46" ht="15.6" hidden="1" outlineLevel="2" spans="1:25">
      <c r="A46" s="12">
        <v>201</v>
      </c>
      <c r="B46" s="12">
        <v>45</v>
      </c>
      <c r="C46" s="6" t="s">
        <v>62</v>
      </c>
      <c r="D46" s="6" t="s">
        <v>53</v>
      </c>
      <c r="E46" s="12"/>
      <c r="F46" s="11"/>
      <c r="G46" s="12"/>
      <c r="H46" s="11"/>
      <c r="I46" s="12"/>
      <c r="J46" s="11"/>
      <c r="K46" s="12"/>
      <c r="L46" s="12"/>
      <c r="M46" s="12"/>
      <c r="N46" s="12"/>
      <c r="O46" s="12"/>
      <c r="P46" s="11"/>
      <c r="Q46" s="12"/>
      <c r="R46" s="12"/>
      <c r="S46" s="11"/>
      <c r="T46" s="21"/>
      <c r="U46" s="11"/>
      <c r="V46" s="12"/>
      <c r="W46" s="12" t="s">
        <v>14</v>
      </c>
      <c r="X46" s="20">
        <f t="shared" si="4"/>
        <v>0</v>
      </c>
      <c r="Y46" s="20">
        <v>50</v>
      </c>
    </row>
    <row r="47" ht="15.6" hidden="1" outlineLevel="2" spans="1:25">
      <c r="A47" s="12">
        <v>201</v>
      </c>
      <c r="B47" s="12">
        <v>46</v>
      </c>
      <c r="C47" s="6" t="s">
        <v>63</v>
      </c>
      <c r="D47" s="6" t="s">
        <v>53</v>
      </c>
      <c r="E47" s="12">
        <v>32.2</v>
      </c>
      <c r="F47" s="11">
        <f>LOOKUP(E47,{0,1,1.8,2.6,3.4,4.2,5,6.3,7.6,8.9,10.2,11.5,12.8,14.1,15.4,16.7,18,19.7,21.4,23.1,24.8},{0,10,20,30,40,50,60,62,64,66,68,70,72,74,76,78,80,85,90,95,100})</f>
        <v>100</v>
      </c>
      <c r="G47" s="12">
        <v>205</v>
      </c>
      <c r="H47" s="11">
        <f>LOOKUP(G47,{0,124,129,134,139,144,149,152,155,158,161,164,167,170,173,176,179,186,193,199,205},{0,10,20,30,40,50,60,62,64,66,68,70,72,74,76,78,80,85,90,95,100})</f>
        <v>100</v>
      </c>
      <c r="I47" s="12">
        <v>37</v>
      </c>
      <c r="J47" s="11">
        <f>LOOKUP(I47,{0,14,16,18,20,22,24,26,28,30,32,34,36,38,40,42,44,47,50,52,54},{0,10,20,30,40,50,60,62,64,66,68,70,72,74,76,78,80,85,90,95,100})</f>
        <v>72</v>
      </c>
      <c r="K47" s="12"/>
      <c r="L47" s="12"/>
      <c r="M47" s="12">
        <f>J47+L47</f>
        <v>72</v>
      </c>
      <c r="N47" s="12">
        <v>8.3</v>
      </c>
      <c r="O47" s="12">
        <f>12-N47</f>
        <v>3.7</v>
      </c>
      <c r="P47" s="11">
        <f>LOOKUP(O47,{0,0.5,0.7,0.9,1.1,1.3,1.5,1.7,1.9,2.1,2.3,2.5,2.7,2.9,3.1,3.3,3.5,3.8,4.1,4.2,4.3},{0,10,20,30,40,50,60,62,64,66,68,70,72,74,76,78,80,85,90,95,100})</f>
        <v>80</v>
      </c>
      <c r="Q47" s="12">
        <v>3.39</v>
      </c>
      <c r="R47" s="12">
        <f>10-Q47</f>
        <v>6.61</v>
      </c>
      <c r="S47" s="11">
        <f>LOOKUP(R47,{0,4.72,4.82,4.92,5.42,5.52,5.62,5.67,5.72,5.77,5.82,5.87,5.92,5.97,6.42,6.47,6.52,6.59,6.66,6.72,6.78},{0,10,20,30,40,50,60,62,64,66,68,70,72,74,76,78,80,85,90,95,100})</f>
        <v>85</v>
      </c>
      <c r="T47" s="12"/>
      <c r="U47" s="12"/>
      <c r="V47" s="12">
        <f>S47+U47</f>
        <v>85</v>
      </c>
      <c r="W47" s="12"/>
      <c r="X47" s="20">
        <f t="shared" si="4"/>
        <v>60.2</v>
      </c>
      <c r="Y47" s="20">
        <f>X47/0.7+L47+U47</f>
        <v>86</v>
      </c>
    </row>
    <row r="48" ht="15.6" outlineLevel="1" collapsed="1" spans="1:25">
      <c r="A48" s="14" t="s">
        <v>855</v>
      </c>
      <c r="B48" s="12"/>
      <c r="C48" s="6"/>
      <c r="D48" s="6"/>
      <c r="E48" s="12"/>
      <c r="F48" s="11">
        <f>SUBTOTAL(1,F2:F47)</f>
        <v>77.9473684210526</v>
      </c>
      <c r="G48" s="12"/>
      <c r="H48" s="11">
        <f>SUBTOTAL(1,H2:H47)</f>
        <v>78.9473684210526</v>
      </c>
      <c r="I48" s="12"/>
      <c r="J48" s="11">
        <f>SUBTOTAL(1,J2:J47)</f>
        <v>54.3157894736842</v>
      </c>
      <c r="K48" s="12"/>
      <c r="L48" s="12"/>
      <c r="M48" s="12">
        <f>SUBTOTAL(1,M2:M47)</f>
        <v>55.1578947368421</v>
      </c>
      <c r="N48" s="12"/>
      <c r="O48" s="12"/>
      <c r="P48" s="11">
        <f>SUBTOTAL(1,P2:P47)</f>
        <v>87.2941176470588</v>
      </c>
      <c r="Q48" s="12"/>
      <c r="R48" s="12"/>
      <c r="S48" s="11">
        <f>SUBTOTAL(1,S2:S47)</f>
        <v>81.3947368421053</v>
      </c>
      <c r="T48" s="12"/>
      <c r="U48" s="12"/>
      <c r="V48" s="12">
        <f>SUBTOTAL(1,V2:V47)</f>
        <v>81.5789473684211</v>
      </c>
      <c r="W48" s="12"/>
      <c r="X48" s="20">
        <f>SUBTOTAL(1,X2:X47)</f>
        <v>43.8</v>
      </c>
      <c r="Y48" s="20">
        <f>SUBTOTAL(1,Y2:Y47)</f>
        <v>72.5993788819876</v>
      </c>
    </row>
    <row r="49" ht="15.6" hidden="1" outlineLevel="2" spans="1:25">
      <c r="A49" s="12">
        <v>202</v>
      </c>
      <c r="B49" s="12">
        <v>1</v>
      </c>
      <c r="C49" s="13" t="s">
        <v>65</v>
      </c>
      <c r="D49" s="6" t="s">
        <v>11</v>
      </c>
      <c r="E49" s="12">
        <v>12.5</v>
      </c>
      <c r="F49" s="11">
        <f>LOOKUP(E49,{0,-2.9,-1.9,-0.9,0.1,1.1,2.1,3.5,4.9,6.3,7.7,9.1,10.5,11.9,13.3,14.7,16.1,18.3,20.5,22.4,24.3},{0,10,20,30,40,50,60,62,64,66,68,70,72,74,76,78,80,85,90,95,100})</f>
        <v>74</v>
      </c>
      <c r="G49" s="12">
        <v>271</v>
      </c>
      <c r="H49" s="11">
        <f>LOOKUP(G49,{0,175,180,185,190,195,200,204,208,212,216,220,224,228,232,236,240,248,255,260,265},{0,10,20,30,40,50,60,62,64,66,68,70,72,74,76,78,80,85,90,95,100})</f>
        <v>100</v>
      </c>
      <c r="I49" s="12">
        <v>1</v>
      </c>
      <c r="J49" s="11">
        <f>LOOKUP(I49,{0,3,4,5,6,7,8,9,10,11,12,13,14,15,16,17},{0,10,20,30,40,50,60,64,68,72,76,80,85,90,95,100})</f>
        <v>0</v>
      </c>
      <c r="K49" s="12"/>
      <c r="L49" s="12"/>
      <c r="M49" s="12">
        <f t="shared" ref="M49:M69" si="23">J49+L49</f>
        <v>0</v>
      </c>
      <c r="N49" s="12">
        <v>7</v>
      </c>
      <c r="O49" s="12">
        <f>12-N49</f>
        <v>5</v>
      </c>
      <c r="P49" s="11">
        <f>LOOKUP(O49,{0,1.6,1.8,2,2.2,2.4,2.6,2.8,3,3.2,3.4,3.6,3.8,4,4.2,4.4,4.6,4.7,4.8,4.9,5},{0,10,20,30,40,50,60,62,64,66,68,70,72,74,76,78,80,85,90,95,100})</f>
        <v>100</v>
      </c>
      <c r="Q49" s="12">
        <v>3.56</v>
      </c>
      <c r="R49" s="12">
        <f t="shared" ref="R49:R55" si="24">10-Q49</f>
        <v>6.44</v>
      </c>
      <c r="S49" s="11">
        <f>LOOKUP(R49,{0,3.8,4,4.6,4.8,5,5.6,5.65,5.7,5.75,5.8,5.85,5.9,5.95,6,6.45,6.5,6.58,6.65,6.7,6.75},{0,10,20,30,40,50,60,62,64,66,68,70,72,74,76,78,80,85,90,95,100})</f>
        <v>76</v>
      </c>
      <c r="T49" s="12"/>
      <c r="U49" s="12"/>
      <c r="V49" s="12">
        <f t="shared" ref="V49:V55" si="25">S49+U49</f>
        <v>76</v>
      </c>
      <c r="W49" s="12"/>
      <c r="X49" s="20">
        <f t="shared" ref="X49:X91" si="26">F49*0.1+H49*0.1+J49*0.1+P49*0.2+S49*0.2</f>
        <v>52.6</v>
      </c>
      <c r="Y49" s="20">
        <f t="shared" ref="Y49:Y55" si="27">X49/0.7+L49+U49</f>
        <v>75.1428571428572</v>
      </c>
    </row>
    <row r="50" customFormat="1" ht="15.6" hidden="1" outlineLevel="2" spans="1:25">
      <c r="A50" s="12">
        <v>202</v>
      </c>
      <c r="B50" s="12">
        <v>2</v>
      </c>
      <c r="C50" s="6" t="s">
        <v>66</v>
      </c>
      <c r="D50" s="6" t="s">
        <v>11</v>
      </c>
      <c r="E50" s="12">
        <v>17</v>
      </c>
      <c r="F50" s="11">
        <f>LOOKUP(E50,{0,-2.9,-1.9,-0.9,0.1,1.1,2.1,3.5,4.9,6.3,7.7,9.1,10.5,11.9,13.3,14.7,16.1,18.3,20.5,22.4,24.3},{0,10,20,30,40,50,60,62,64,66,68,70,72,74,76,78,80,85,90,95,100})</f>
        <v>80</v>
      </c>
      <c r="G50" s="12">
        <v>231</v>
      </c>
      <c r="H50" s="11">
        <f>LOOKUP(G50,{0,175,180,185,190,195,200,204,208,212,216,220,224,228,232,236,240,248,255,260,265},{0,10,20,30,40,50,60,62,64,66,68,70,72,74,76,78,80,85,90,95,100})</f>
        <v>74</v>
      </c>
      <c r="I50" s="12">
        <v>25</v>
      </c>
      <c r="J50" s="11">
        <f>LOOKUP(I50,{0,3,4,5,6,7,8,9,10,11,12,13,14,15,16,17},{0,10,20,30,40,50,60,64,68,72,76,80,85,90,95,100})</f>
        <v>100</v>
      </c>
      <c r="K50" s="12">
        <f t="shared" ref="K50:K54" si="28">I50-17</f>
        <v>8</v>
      </c>
      <c r="L50" s="11">
        <f>LOOKUP(K50,{0,1,2,3,4,5,6,7,8,9,10},{0,1,2,3,4,5,6,7,8,9,10})</f>
        <v>8</v>
      </c>
      <c r="M50" s="12">
        <f t="shared" si="23"/>
        <v>108</v>
      </c>
      <c r="N50" s="12"/>
      <c r="O50" s="12"/>
      <c r="P50" s="11"/>
      <c r="Q50" s="12">
        <v>4.05</v>
      </c>
      <c r="R50" s="12">
        <f t="shared" si="24"/>
        <v>5.95</v>
      </c>
      <c r="S50" s="11">
        <f>LOOKUP(R50,{0,3.8,4,4.6,4.8,5,5.6,5.65,5.7,5.75,5.8,5.85,5.9,5.95,6,6.45,6.5,6.58,6.65,6.7,6.75},{0,10,20,30,40,50,60,62,64,66,68,70,72,74,76,78,80,85,90,95,100})</f>
        <v>74</v>
      </c>
      <c r="T50" s="12"/>
      <c r="U50" s="12"/>
      <c r="V50" s="12">
        <f t="shared" si="25"/>
        <v>74</v>
      </c>
      <c r="W50" s="12"/>
      <c r="X50" s="20">
        <f t="shared" si="26"/>
        <v>40.2</v>
      </c>
      <c r="Y50" s="20">
        <f t="shared" si="27"/>
        <v>65.4285714285714</v>
      </c>
    </row>
    <row r="51" customFormat="1" ht="15.6" hidden="1" outlineLevel="2" spans="1:25">
      <c r="A51" s="12">
        <v>202</v>
      </c>
      <c r="B51" s="12">
        <v>3</v>
      </c>
      <c r="C51" s="6" t="s">
        <v>67</v>
      </c>
      <c r="D51" s="6" t="s">
        <v>11</v>
      </c>
      <c r="E51" s="12">
        <v>13</v>
      </c>
      <c r="F51" s="11">
        <f>LOOKUP(E51,{0,-2.9,-1.9,-0.9,0.1,1.1,2.1,3.5,4.9,6.3,7.7,9.1,10.5,11.9,13.3,14.7,16.1,18.3,20.5,22.4,24.3},{0,10,20,30,40,50,60,62,64,66,68,70,72,74,76,78,80,85,90,95,100})</f>
        <v>74</v>
      </c>
      <c r="G51" s="12">
        <v>270</v>
      </c>
      <c r="H51" s="11">
        <f>LOOKUP(G51,{0,175,180,185,190,195,200,204,208,212,216,220,224,228,232,236,240,248,255,260,265},{0,10,20,30,40,50,60,62,64,66,68,70,72,74,76,78,80,85,90,95,100})</f>
        <v>100</v>
      </c>
      <c r="I51" s="12">
        <v>8</v>
      </c>
      <c r="J51" s="11">
        <f>LOOKUP(I51,{0,3,4,5,6,7,8,9,10,11,12,13,14,15,16,17},{0,10,20,30,40,50,60,64,68,72,76,80,85,90,95,100})</f>
        <v>60</v>
      </c>
      <c r="K51" s="12"/>
      <c r="L51" s="12"/>
      <c r="M51" s="12">
        <f t="shared" si="23"/>
        <v>60</v>
      </c>
      <c r="N51" s="12">
        <v>6.3</v>
      </c>
      <c r="O51" s="12">
        <f t="shared" ref="O51:O69" si="29">12-N51</f>
        <v>5.7</v>
      </c>
      <c r="P51" s="11">
        <f>LOOKUP(O51,{0,1.6,1.8,2,2.2,2.4,2.6,2.8,3,3.2,3.4,3.6,3.8,4,4.2,4.4,4.6,4.7,4.8,4.9,5},{0,10,20,30,40,50,60,62,64,66,68,70,72,74,76,78,80,85,90,95,100})</f>
        <v>100</v>
      </c>
      <c r="Q51" s="12">
        <v>3.23</v>
      </c>
      <c r="R51" s="12">
        <f t="shared" si="24"/>
        <v>6.77</v>
      </c>
      <c r="S51" s="11">
        <f>LOOKUP(R51,{0,3.8,4,4.6,4.8,5,5.6,5.65,5.7,5.75,5.8,5.85,5.9,5.95,6,6.45,6.5,6.58,6.65,6.7,6.75},{0,10,20,30,40,50,60,62,64,66,68,70,72,74,76,78,80,85,90,95,100})</f>
        <v>100</v>
      </c>
      <c r="T51" s="12">
        <f>3.25-Q51</f>
        <v>0.02</v>
      </c>
      <c r="U51" s="11">
        <f>LOOKUP(T51,{0,0.04,0.08,0.12,0.16,0.2,0.23,0.26,0.29,0.32,0.35},{0,1,2,3,4,5,6,7,8,9,10})</f>
        <v>0</v>
      </c>
      <c r="V51" s="12">
        <f t="shared" si="25"/>
        <v>100</v>
      </c>
      <c r="W51" s="12"/>
      <c r="X51" s="20">
        <f t="shared" si="26"/>
        <v>63.4</v>
      </c>
      <c r="Y51" s="20">
        <f t="shared" si="27"/>
        <v>90.5714285714286</v>
      </c>
    </row>
    <row r="52" customFormat="1" ht="15.6" hidden="1" outlineLevel="2" spans="1:25">
      <c r="A52" s="12">
        <v>202</v>
      </c>
      <c r="B52" s="12">
        <v>4</v>
      </c>
      <c r="C52" s="6" t="s">
        <v>68</v>
      </c>
      <c r="D52" s="6" t="s">
        <v>11</v>
      </c>
      <c r="E52" s="12">
        <v>5</v>
      </c>
      <c r="F52" s="11">
        <f>LOOKUP(E52,{0,-2.9,-1.9,-0.9,0.1,1.1,2.1,3.5,4.9,6.3,7.7,9.1,10.5,11.9,13.3,14.7,16.1,18.3,20.5,22.4,24.3},{0,10,20,30,40,50,60,62,64,66,68,70,72,74,76,78,80,85,90,95,100})</f>
        <v>64</v>
      </c>
      <c r="G52" s="12">
        <v>310</v>
      </c>
      <c r="H52" s="11">
        <f>LOOKUP(G52,{0,175,180,185,190,195,200,204,208,212,216,220,224,228,232,236,240,248,255,260,265},{0,10,20,30,40,50,60,62,64,66,68,70,72,74,76,78,80,85,90,95,100})</f>
        <v>100</v>
      </c>
      <c r="I52" s="12">
        <v>21</v>
      </c>
      <c r="J52" s="11">
        <f>LOOKUP(I52,{0,3,4,5,6,7,8,9,10,11,12,13,14,15,16,17},{0,10,20,30,40,50,60,64,68,72,76,80,85,90,95,100})</f>
        <v>100</v>
      </c>
      <c r="K52" s="12">
        <f t="shared" si="28"/>
        <v>4</v>
      </c>
      <c r="L52" s="16">
        <f>LOOKUP(K52,{0,1,2,3,4,5,6,7,8,9,10},{0,1,2,3,4,5,6,7,8,9,10})</f>
        <v>4</v>
      </c>
      <c r="M52" s="12">
        <f t="shared" si="23"/>
        <v>104</v>
      </c>
      <c r="N52" s="12">
        <v>6.4</v>
      </c>
      <c r="O52" s="12">
        <f t="shared" si="29"/>
        <v>5.6</v>
      </c>
      <c r="P52" s="11">
        <f>LOOKUP(O52,{0,1.6,1.8,2,2.2,2.4,2.6,2.8,3,3.2,3.4,3.6,3.8,4,4.2,4.4,4.6,4.7,4.8,4.9,5},{0,10,20,30,40,50,60,62,64,66,68,70,72,74,76,78,80,85,90,95,100})</f>
        <v>100</v>
      </c>
      <c r="Q52" s="12">
        <v>3.42</v>
      </c>
      <c r="R52" s="12">
        <f t="shared" si="24"/>
        <v>6.58</v>
      </c>
      <c r="S52" s="11">
        <f>LOOKUP(R52,{0,3.8,4,4.6,4.8,5,5.6,5.65,5.7,5.75,5.8,5.85,5.9,5.95,6,6.45,6.5,6.58,6.65,6.7,6.75},{0,10,20,30,40,50,60,62,64,66,68,70,72,74,76,78,80,85,90,95,100})</f>
        <v>85</v>
      </c>
      <c r="T52" s="12"/>
      <c r="U52" s="12"/>
      <c r="V52" s="12">
        <f t="shared" si="25"/>
        <v>85</v>
      </c>
      <c r="W52" s="12"/>
      <c r="X52" s="20">
        <f t="shared" si="26"/>
        <v>63.4</v>
      </c>
      <c r="Y52" s="20">
        <f t="shared" si="27"/>
        <v>94.5714285714286</v>
      </c>
    </row>
    <row r="53" customFormat="1" ht="15.6" hidden="1" outlineLevel="2" spans="1:25">
      <c r="A53" s="12">
        <v>202</v>
      </c>
      <c r="B53" s="12">
        <v>5</v>
      </c>
      <c r="C53" s="6" t="s">
        <v>69</v>
      </c>
      <c r="D53" s="6" t="s">
        <v>11</v>
      </c>
      <c r="E53" s="12">
        <v>16.5</v>
      </c>
      <c r="F53" s="11">
        <f>LOOKUP(E53,{0,-2.9,-1.9,-0.9,0.1,1.1,2.1,3.5,4.9,6.3,7.7,9.1,10.5,11.9,13.3,14.7,16.1,18.3,20.5,22.4,24.3},{0,10,20,30,40,50,60,62,64,66,68,70,72,74,76,78,80,85,90,95,100})</f>
        <v>80</v>
      </c>
      <c r="G53" s="12">
        <v>258</v>
      </c>
      <c r="H53" s="11">
        <f>LOOKUP(G53,{0,175,180,185,190,195,200,204,208,212,216,220,224,228,232,236,240,248,255,260,265},{0,10,20,30,40,50,60,62,64,66,68,70,72,74,76,78,80,85,90,95,100})</f>
        <v>90</v>
      </c>
      <c r="I53" s="12">
        <v>0</v>
      </c>
      <c r="J53" s="11">
        <f>LOOKUP(I53,{0,3,4,5,6,7,8,9,10,11,12,13,14,15,16,17},{0,10,20,30,40,50,60,64,68,72,76,80,85,90,95,100})</f>
        <v>0</v>
      </c>
      <c r="K53" s="12"/>
      <c r="L53" s="12"/>
      <c r="M53" s="12">
        <f t="shared" si="23"/>
        <v>0</v>
      </c>
      <c r="N53" s="12">
        <v>7.6</v>
      </c>
      <c r="O53" s="12">
        <f t="shared" si="29"/>
        <v>4.4</v>
      </c>
      <c r="P53" s="11">
        <f>LOOKUP(O53,{0,1.6,1.8,2,2.2,2.4,2.6,2.8,3,3.2,3.4,3.6,3.8,4,4.2,4.4,4.6,4.7,4.8,4.9,5},{0,10,20,30,40,50,60,62,64,66,68,70,72,74,76,78,80,85,90,95,100})</f>
        <v>78</v>
      </c>
      <c r="Q53" s="12">
        <v>3.49</v>
      </c>
      <c r="R53" s="12">
        <f t="shared" si="24"/>
        <v>6.51</v>
      </c>
      <c r="S53" s="11">
        <f>LOOKUP(R53,{0,3.8,4,4.6,4.8,5,5.6,5.65,5.7,5.75,5.8,5.85,5.9,5.95,6,6.45,6.5,6.58,6.65,6.7,6.75},{0,10,20,30,40,50,60,62,64,66,68,70,72,74,76,78,80,85,90,95,100})</f>
        <v>80</v>
      </c>
      <c r="T53" s="12"/>
      <c r="U53" s="12"/>
      <c r="V53" s="12">
        <f t="shared" si="25"/>
        <v>80</v>
      </c>
      <c r="W53" s="12"/>
      <c r="X53" s="20">
        <f t="shared" si="26"/>
        <v>48.6</v>
      </c>
      <c r="Y53" s="20">
        <f t="shared" si="27"/>
        <v>69.4285714285714</v>
      </c>
    </row>
    <row r="54" customFormat="1" ht="15.6" hidden="1" outlineLevel="2" spans="1:25">
      <c r="A54" s="12">
        <v>202</v>
      </c>
      <c r="B54" s="12">
        <v>6</v>
      </c>
      <c r="C54" s="6" t="s">
        <v>70</v>
      </c>
      <c r="D54" s="6" t="s">
        <v>11</v>
      </c>
      <c r="E54" s="12">
        <v>12</v>
      </c>
      <c r="F54" s="11">
        <f>LOOKUP(E54,{0,-2.9,-1.9,-0.9,0.1,1.1,2.1,3.5,4.9,6.3,7.7,9.1,10.5,11.9,13.3,14.7,16.1,18.3,20.5,22.4,24.3},{0,10,20,30,40,50,60,62,64,66,68,70,72,74,76,78,80,85,90,95,100})</f>
        <v>74</v>
      </c>
      <c r="G54" s="12">
        <v>239</v>
      </c>
      <c r="H54" s="11">
        <f>LOOKUP(G54,{0,175,180,185,190,195,200,204,208,212,216,220,224,228,232,236,240,248,255,260,265},{0,10,20,30,40,50,60,62,64,66,68,70,72,74,76,78,80,85,90,95,100})</f>
        <v>78</v>
      </c>
      <c r="I54" s="12">
        <v>18</v>
      </c>
      <c r="J54" s="11">
        <f>LOOKUP(I54,{0,3,4,5,6,7,8,9,10,11,12,13,14,15,16,17},{0,10,20,30,40,50,60,64,68,72,76,80,85,90,95,100})</f>
        <v>100</v>
      </c>
      <c r="K54" s="12">
        <f t="shared" si="28"/>
        <v>1</v>
      </c>
      <c r="L54" s="11">
        <f>LOOKUP(K54,{0,1,2,3,4,5,6,7,8,9,10},{0,1,2,3,4,5,6,7,8,9,10})</f>
        <v>1</v>
      </c>
      <c r="M54" s="12">
        <f t="shared" si="23"/>
        <v>101</v>
      </c>
      <c r="N54" s="12">
        <v>7.5</v>
      </c>
      <c r="O54" s="12">
        <f t="shared" si="29"/>
        <v>4.5</v>
      </c>
      <c r="P54" s="11">
        <f>LOOKUP(O54,{0,1.6,1.8,2,2.2,2.4,2.6,2.8,3,3.2,3.4,3.6,3.8,4,4.2,4.4,4.6,4.7,4.8,4.9,5},{0,10,20,30,40,50,60,62,64,66,68,70,72,74,76,78,80,85,90,95,100})</f>
        <v>78</v>
      </c>
      <c r="Q54" s="12">
        <v>3.29</v>
      </c>
      <c r="R54" s="12">
        <f t="shared" si="24"/>
        <v>6.71</v>
      </c>
      <c r="S54" s="11">
        <f>LOOKUP(R54,{0,3.8,4,4.6,4.8,5,5.6,5.65,5.7,5.75,5.8,5.85,5.9,5.95,6,6.45,6.5,6.58,6.65,6.7,6.75},{0,10,20,30,40,50,60,62,64,66,68,70,72,74,76,78,80,85,90,95,100})</f>
        <v>95</v>
      </c>
      <c r="T54" s="12"/>
      <c r="U54" s="12"/>
      <c r="V54" s="12">
        <f t="shared" si="25"/>
        <v>95</v>
      </c>
      <c r="W54" s="12"/>
      <c r="X54" s="20">
        <f t="shared" si="26"/>
        <v>59.8</v>
      </c>
      <c r="Y54" s="20">
        <f t="shared" si="27"/>
        <v>86.4285714285714</v>
      </c>
    </row>
    <row r="55" customFormat="1" ht="15.6" hidden="1" outlineLevel="2" spans="1:25">
      <c r="A55" s="12">
        <v>202</v>
      </c>
      <c r="B55" s="12">
        <v>7</v>
      </c>
      <c r="C55" s="6" t="s">
        <v>71</v>
      </c>
      <c r="D55" s="6" t="s">
        <v>11</v>
      </c>
      <c r="E55" s="12">
        <v>4</v>
      </c>
      <c r="F55" s="11">
        <f>LOOKUP(E55,{0,-2.9,-1.9,-0.9,0.1,1.1,2.1,3.5,4.9,6.3,7.7,9.1,10.5,11.9,13.3,14.7,16.1,18.3,20.5,22.4,24.3},{0,10,20,30,40,50,60,62,64,66,68,70,72,74,76,78,80,85,90,95,100})</f>
        <v>62</v>
      </c>
      <c r="G55" s="12">
        <v>255</v>
      </c>
      <c r="H55" s="11">
        <f>LOOKUP(G55,{0,175,180,185,190,195,200,204,208,212,216,220,224,228,232,236,240,248,255,260,265},{0,10,20,30,40,50,60,62,64,66,68,70,72,74,76,78,80,85,90,95,100})</f>
        <v>90</v>
      </c>
      <c r="I55" s="12">
        <v>11</v>
      </c>
      <c r="J55" s="11">
        <f>LOOKUP(I55,{0,3,4,5,6,7,8,9,10,11,12,13,14,15,16,17},{0,10,20,30,40,50,60,64,68,72,76,80,85,90,95,100})</f>
        <v>72</v>
      </c>
      <c r="K55" s="12"/>
      <c r="L55" s="15"/>
      <c r="M55" s="12">
        <f t="shared" si="23"/>
        <v>72</v>
      </c>
      <c r="N55" s="12">
        <v>7.6</v>
      </c>
      <c r="O55" s="12">
        <f t="shared" si="29"/>
        <v>4.4</v>
      </c>
      <c r="P55" s="11">
        <f>LOOKUP(O55,{0,1.6,1.8,2,2.2,2.4,2.6,2.8,3,3.2,3.4,3.6,3.8,4,4.2,4.4,4.6,4.7,4.8,4.9,5},{0,10,20,30,40,50,60,62,64,66,68,70,72,74,76,78,80,85,90,95,100})</f>
        <v>78</v>
      </c>
      <c r="Q55" s="12">
        <v>3.47</v>
      </c>
      <c r="R55" s="12">
        <f t="shared" si="24"/>
        <v>6.53</v>
      </c>
      <c r="S55" s="11">
        <f>LOOKUP(R55,{0,3.8,4,4.6,4.8,5,5.6,5.65,5.7,5.75,5.8,5.85,5.9,5.95,6,6.45,6.5,6.58,6.65,6.7,6.75},{0,10,20,30,40,50,60,62,64,66,68,70,72,74,76,78,80,85,90,95,100})</f>
        <v>80</v>
      </c>
      <c r="T55" s="12"/>
      <c r="U55" s="12"/>
      <c r="V55" s="12">
        <f t="shared" si="25"/>
        <v>80</v>
      </c>
      <c r="W55" s="12"/>
      <c r="X55" s="20">
        <f t="shared" si="26"/>
        <v>54</v>
      </c>
      <c r="Y55" s="20">
        <f t="shared" si="27"/>
        <v>77.1428571428572</v>
      </c>
    </row>
    <row r="56" customFormat="1" ht="15.6" hidden="1" outlineLevel="2" spans="1:25">
      <c r="A56" s="12">
        <v>202</v>
      </c>
      <c r="B56" s="12">
        <v>8</v>
      </c>
      <c r="C56" s="6" t="s">
        <v>72</v>
      </c>
      <c r="D56" s="6" t="s">
        <v>11</v>
      </c>
      <c r="E56" s="12">
        <v>21</v>
      </c>
      <c r="F56" s="11">
        <f>LOOKUP(E56,{0,-2.9,-1.9,-0.9,0.1,1.1,2.1,3.5,4.9,6.3,7.7,9.1,10.5,11.9,13.3,14.7,16.1,18.3,20.5,22.4,24.3},{0,10,20,30,40,50,60,62,64,66,68,70,72,74,76,78,80,85,90,95,100})</f>
        <v>90</v>
      </c>
      <c r="G56" s="12">
        <v>236</v>
      </c>
      <c r="H56" s="11">
        <f>LOOKUP(G56,{0,175,180,185,190,195,200,204,208,212,216,220,224,228,232,236,240,248,255,260,265},{0,10,20,30,40,50,60,62,64,66,68,70,72,74,76,78,80,85,90,95,100})</f>
        <v>78</v>
      </c>
      <c r="I56" s="12">
        <v>1</v>
      </c>
      <c r="J56" s="11">
        <f>LOOKUP(I56,{0,3,4,5,6,7,8,9,10,11,12,13,14,15,16,17},{0,10,20,30,40,50,60,64,68,72,76,80,85,90,95,100})</f>
        <v>0</v>
      </c>
      <c r="K56" s="12"/>
      <c r="L56" s="15"/>
      <c r="M56" s="12">
        <f t="shared" si="23"/>
        <v>0</v>
      </c>
      <c r="N56" s="12">
        <v>7.4</v>
      </c>
      <c r="O56" s="12">
        <f t="shared" si="29"/>
        <v>4.6</v>
      </c>
      <c r="P56" s="11">
        <f>LOOKUP(O56,{0,1.6,1.8,2,2.2,2.4,2.6,2.8,3,3.2,3.4,3.6,3.8,4,4.2,4.4,4.6,4.7,4.8,4.9,5},{0,10,20,30,40,50,60,62,64,66,68,70,72,74,76,78,80,85,90,95,100})</f>
        <v>80</v>
      </c>
      <c r="Q56" s="12"/>
      <c r="R56" s="12"/>
      <c r="S56" s="11"/>
      <c r="T56" s="12"/>
      <c r="U56" s="11"/>
      <c r="V56" s="12"/>
      <c r="W56" s="12"/>
      <c r="X56" s="20">
        <f t="shared" si="26"/>
        <v>32.8</v>
      </c>
      <c r="Y56" s="23">
        <v>50</v>
      </c>
    </row>
    <row r="57" customFormat="1" ht="15.6" hidden="1" outlineLevel="2" spans="1:25">
      <c r="A57" s="12">
        <v>202</v>
      </c>
      <c r="B57" s="12">
        <v>9</v>
      </c>
      <c r="C57" s="6" t="s">
        <v>73</v>
      </c>
      <c r="D57" s="6" t="s">
        <v>11</v>
      </c>
      <c r="E57" s="12">
        <v>13</v>
      </c>
      <c r="F57" s="11">
        <f>LOOKUP(E57,{0,-2.9,-1.9,-0.9,0.1,1.1,2.1,3.5,4.9,6.3,7.7,9.1,10.5,11.9,13.3,14.7,16.1,18.3,20.5,22.4,24.3},{0,10,20,30,40,50,60,62,64,66,68,70,72,74,76,78,80,85,90,95,100})</f>
        <v>74</v>
      </c>
      <c r="G57" s="12">
        <v>251</v>
      </c>
      <c r="H57" s="11">
        <f>LOOKUP(G57,{0,175,180,185,190,195,200,204,208,212,216,220,224,228,232,236,240,248,255,260,265},{0,10,20,30,40,50,60,62,64,66,68,70,72,74,76,78,80,85,90,95,100})</f>
        <v>85</v>
      </c>
      <c r="I57" s="12">
        <v>8</v>
      </c>
      <c r="J57" s="11">
        <f>LOOKUP(I57,{0,3,4,5,6,7,8,9,10,11,12,13,14,15,16,17},{0,10,20,30,40,50,60,64,68,72,76,80,85,90,95,100})</f>
        <v>60</v>
      </c>
      <c r="K57" s="12"/>
      <c r="L57" s="15"/>
      <c r="M57" s="12">
        <f t="shared" si="23"/>
        <v>60</v>
      </c>
      <c r="N57" s="12">
        <v>7.4</v>
      </c>
      <c r="O57" s="12">
        <f t="shared" si="29"/>
        <v>4.6</v>
      </c>
      <c r="P57" s="11">
        <f>LOOKUP(O57,{0,1.6,1.8,2,2.2,2.4,2.6,2.8,3,3.2,3.4,3.6,3.8,4,4.2,4.4,4.6,4.7,4.8,4.9,5},{0,10,20,30,40,50,60,62,64,66,68,70,72,74,76,78,80,85,90,95,100})</f>
        <v>80</v>
      </c>
      <c r="Q57" s="12">
        <v>3.45</v>
      </c>
      <c r="R57" s="12">
        <f t="shared" ref="R57:R69" si="30">10-Q57</f>
        <v>6.55</v>
      </c>
      <c r="S57" s="11">
        <f>LOOKUP(R57,{0,3.8,4,4.6,4.8,5,5.6,5.65,5.7,5.75,5.8,5.85,5.9,5.95,6,6.45,6.5,6.58,6.65,6.7,6.75},{0,10,20,30,40,50,60,62,64,66,68,70,72,74,76,78,80,85,90,95,100})</f>
        <v>80</v>
      </c>
      <c r="T57" s="12"/>
      <c r="U57" s="12"/>
      <c r="V57" s="12">
        <f t="shared" ref="V57:V69" si="31">S57+U57</f>
        <v>80</v>
      </c>
      <c r="W57" s="12"/>
      <c r="X57" s="20">
        <f t="shared" si="26"/>
        <v>53.9</v>
      </c>
      <c r="Y57" s="20">
        <f t="shared" ref="Y57:Y69" si="32">X57/0.7+L57+U57</f>
        <v>77</v>
      </c>
    </row>
    <row r="58" customFormat="1" ht="15.6" hidden="1" outlineLevel="2" spans="1:25">
      <c r="A58" s="12">
        <v>202</v>
      </c>
      <c r="B58" s="12">
        <v>10</v>
      </c>
      <c r="C58" s="6" t="s">
        <v>74</v>
      </c>
      <c r="D58" s="6" t="s">
        <v>11</v>
      </c>
      <c r="E58" s="12">
        <v>20.5</v>
      </c>
      <c r="F58" s="11">
        <f>LOOKUP(E58,{0,-2.9,-1.9,-0.9,0.1,1.1,2.1,3.5,4.9,6.3,7.7,9.1,10.5,11.9,13.3,14.7,16.1,18.3,20.5,22.4,24.3},{0,10,20,30,40,50,60,62,64,66,68,70,72,74,76,78,80,85,90,95,100})</f>
        <v>90</v>
      </c>
      <c r="G58" s="12">
        <v>262</v>
      </c>
      <c r="H58" s="11">
        <f>LOOKUP(G58,{0,175,180,185,190,195,200,204,208,212,216,220,224,228,232,236,240,248,255,260,265},{0,10,20,30,40,50,60,62,64,66,68,70,72,74,76,78,80,85,90,95,100})</f>
        <v>95</v>
      </c>
      <c r="I58" s="12">
        <v>13</v>
      </c>
      <c r="J58" s="11">
        <f>LOOKUP(I58,{0,3,4,5,6,7,8,9,10,11,12,13,14,15,16,17},{0,10,20,30,40,50,60,64,68,72,76,80,85,90,95,100})</f>
        <v>80</v>
      </c>
      <c r="K58" s="12"/>
      <c r="L58" s="12"/>
      <c r="M58" s="12">
        <f t="shared" si="23"/>
        <v>80</v>
      </c>
      <c r="N58" s="12">
        <v>7.1</v>
      </c>
      <c r="O58" s="12">
        <f t="shared" si="29"/>
        <v>4.9</v>
      </c>
      <c r="P58" s="11">
        <f>LOOKUP(O58,{0,1.6,1.8,2,2.2,2.4,2.6,2.8,3,3.2,3.4,3.6,3.8,4,4.2,4.4,4.6,4.7,4.8,4.9,5},{0,10,20,30,40,50,60,62,64,66,68,70,72,74,76,78,80,85,90,95,100})</f>
        <v>95</v>
      </c>
      <c r="Q58" s="12">
        <v>3.13</v>
      </c>
      <c r="R58" s="12">
        <f t="shared" si="30"/>
        <v>6.87</v>
      </c>
      <c r="S58" s="11">
        <f>LOOKUP(R58,{0,3.8,4,4.6,4.8,5,5.6,5.65,5.7,5.75,5.8,5.85,5.9,5.95,6,6.45,6.5,6.58,6.65,6.7,6.75},{0,10,20,30,40,50,60,62,64,66,68,70,72,74,76,78,80,85,90,95,100})</f>
        <v>100</v>
      </c>
      <c r="T58" s="12">
        <f>3.25-Q58</f>
        <v>0.12</v>
      </c>
      <c r="U58" s="11">
        <f>LOOKUP(T58,{0,0.04,0.08,0.12,0.16,0.2,0.23,0.26,0.29,0.32,0.35},{0,1,2,3,4,5,6,7,8,9,10})</f>
        <v>3</v>
      </c>
      <c r="V58" s="12">
        <f t="shared" si="31"/>
        <v>103</v>
      </c>
      <c r="W58" s="12"/>
      <c r="X58" s="20">
        <f t="shared" si="26"/>
        <v>65.5</v>
      </c>
      <c r="Y58" s="20">
        <f t="shared" si="32"/>
        <v>96.5714285714286</v>
      </c>
    </row>
    <row r="59" ht="15.6" hidden="1" outlineLevel="2" spans="1:25">
      <c r="A59" s="12">
        <v>202</v>
      </c>
      <c r="B59" s="12">
        <v>11</v>
      </c>
      <c r="C59" s="13" t="s">
        <v>76</v>
      </c>
      <c r="D59" s="6" t="s">
        <v>11</v>
      </c>
      <c r="E59" s="12">
        <v>25.6</v>
      </c>
      <c r="F59" s="11">
        <f>LOOKUP(E59,{0,-2.9,-1.9,-0.9,0.1,1.1,2.1,3.5,4.9,6.3,7.7,9.1,10.5,11.9,13.3,14.7,16.1,18.3,20.5,22.4,24.3},{0,10,20,30,40,50,60,62,64,66,68,70,72,74,76,78,80,85,90,95,100})</f>
        <v>100</v>
      </c>
      <c r="G59" s="12">
        <v>227</v>
      </c>
      <c r="H59" s="11">
        <f>LOOKUP(G59,{0,175,180,185,190,195,200,204,208,212,216,220,224,228,232,236,240,248,255,260,265},{0,10,20,30,40,50,60,62,64,66,68,70,72,74,76,78,80,85,90,95,100})</f>
        <v>72</v>
      </c>
      <c r="I59" s="12">
        <v>0</v>
      </c>
      <c r="J59" s="11">
        <f>LOOKUP(I59,{0,3,4,5,6,7,8,9,10,11,12,13,14,15,16,17},{0,10,20,30,40,50,60,64,68,72,76,80,85,90,95,100})</f>
        <v>0</v>
      </c>
      <c r="K59" s="12"/>
      <c r="L59" s="12"/>
      <c r="M59" s="12">
        <f t="shared" si="23"/>
        <v>0</v>
      </c>
      <c r="N59" s="12">
        <v>7.7</v>
      </c>
      <c r="O59" s="12">
        <f t="shared" si="29"/>
        <v>4.3</v>
      </c>
      <c r="P59" s="11">
        <f>LOOKUP(O59,{0,1.6,1.8,2,2.2,2.4,2.6,2.8,3,3.2,3.4,3.6,3.8,4,4.2,4.4,4.6,4.7,4.8,4.9,5},{0,10,20,30,40,50,60,62,64,66,68,70,72,74,76,78,80,85,90,95,100})</f>
        <v>76</v>
      </c>
      <c r="Q59" s="12">
        <v>3.53</v>
      </c>
      <c r="R59" s="12">
        <f t="shared" si="30"/>
        <v>6.47</v>
      </c>
      <c r="S59" s="11">
        <f>LOOKUP(R59,{0,3.8,4,4.6,4.8,5,5.6,5.65,5.7,5.75,5.8,5.85,5.9,5.95,6,6.45,6.5,6.58,6.65,6.7,6.75},{0,10,20,30,40,50,60,62,64,66,68,70,72,74,76,78,80,85,90,95,100})</f>
        <v>78</v>
      </c>
      <c r="T59" s="12"/>
      <c r="U59" s="12"/>
      <c r="V59" s="12">
        <f t="shared" si="31"/>
        <v>78</v>
      </c>
      <c r="W59" s="12"/>
      <c r="X59" s="20">
        <f t="shared" si="26"/>
        <v>48</v>
      </c>
      <c r="Y59" s="20">
        <f t="shared" si="32"/>
        <v>68.5714285714286</v>
      </c>
    </row>
    <row r="60" s="1" customFormat="1" ht="15.6" hidden="1" outlineLevel="2" spans="1:25">
      <c r="A60" s="12">
        <v>202</v>
      </c>
      <c r="B60" s="12">
        <v>12</v>
      </c>
      <c r="C60" s="6" t="s">
        <v>77</v>
      </c>
      <c r="D60" s="6" t="s">
        <v>11</v>
      </c>
      <c r="E60" s="12">
        <v>14</v>
      </c>
      <c r="F60" s="11">
        <f>LOOKUP(E60,{0,-2.9,-1.9,-0.9,0.1,1.1,2.1,3.5,4.9,6.3,7.7,9.1,10.5,11.9,13.3,14.7,16.1,18.3,20.5,22.4,24.3},{0,10,20,30,40,50,60,62,64,66,68,70,72,74,76,78,80,85,90,95,100})</f>
        <v>76</v>
      </c>
      <c r="G60" s="12">
        <v>225</v>
      </c>
      <c r="H60" s="11">
        <f>LOOKUP(G60,{0,175,180,185,190,195,200,204,208,212,216,220,224,228,232,236,240,248,255,260,265},{0,10,20,30,40,50,60,62,64,66,68,70,72,74,76,78,80,85,90,95,100})</f>
        <v>72</v>
      </c>
      <c r="I60" s="12">
        <v>11</v>
      </c>
      <c r="J60" s="11">
        <f>LOOKUP(I60,{0,3,4,5,6,7,8,9,10,11,12,13,14,15,16,17},{0,10,20,30,40,50,60,64,68,72,76,80,85,90,95,100})</f>
        <v>72</v>
      </c>
      <c r="K60" s="12"/>
      <c r="L60" s="12"/>
      <c r="M60" s="12">
        <f t="shared" si="23"/>
        <v>72</v>
      </c>
      <c r="N60" s="12">
        <v>7.4</v>
      </c>
      <c r="O60" s="12">
        <f t="shared" si="29"/>
        <v>4.6</v>
      </c>
      <c r="P60" s="11">
        <f>LOOKUP(O60,{0,1.6,1.8,2,2.2,2.4,2.6,2.8,3,3.2,3.4,3.6,3.8,4,4.2,4.4,4.6,4.7,4.8,4.9,5},{0,10,20,30,40,50,60,62,64,66,68,70,72,74,76,78,80,85,90,95,100})</f>
        <v>80</v>
      </c>
      <c r="Q60" s="12">
        <v>3.48</v>
      </c>
      <c r="R60" s="12">
        <f t="shared" si="30"/>
        <v>6.52</v>
      </c>
      <c r="S60" s="11">
        <f>LOOKUP(R60,{0,3.8,4,4.6,4.8,5,5.6,5.65,5.7,5.75,5.8,5.85,5.9,5.95,6,6.45,6.5,6.58,6.65,6.7,6.75},{0,10,20,30,40,50,60,62,64,66,68,70,72,74,76,78,80,85,90,95,100})</f>
        <v>80</v>
      </c>
      <c r="T60" s="12"/>
      <c r="U60" s="12"/>
      <c r="V60" s="12">
        <f t="shared" si="31"/>
        <v>80</v>
      </c>
      <c r="W60" s="12"/>
      <c r="X60" s="20">
        <f t="shared" si="26"/>
        <v>54</v>
      </c>
      <c r="Y60" s="20">
        <f t="shared" si="32"/>
        <v>77.1428571428572</v>
      </c>
    </row>
    <row r="61" ht="15.6" hidden="1" outlineLevel="2" spans="1:25">
      <c r="A61" s="12">
        <v>202</v>
      </c>
      <c r="B61" s="12">
        <v>13</v>
      </c>
      <c r="C61" s="6" t="s">
        <v>78</v>
      </c>
      <c r="D61" s="6" t="s">
        <v>11</v>
      </c>
      <c r="E61" s="12">
        <v>16.5</v>
      </c>
      <c r="F61" s="11">
        <f>LOOKUP(E61,{0,-2.9,-1.9,-0.9,0.1,1.1,2.1,3.5,4.9,6.3,7.7,9.1,10.5,11.9,13.3,14.7,16.1,18.3,20.5,22.4,24.3},{0,10,20,30,40,50,60,62,64,66,68,70,72,74,76,78,80,85,90,95,100})</f>
        <v>80</v>
      </c>
      <c r="G61" s="12">
        <v>250</v>
      </c>
      <c r="H61" s="11">
        <f>LOOKUP(G61,{0,175,180,185,190,195,200,204,208,212,216,220,224,228,232,236,240,248,255,260,265},{0,10,20,30,40,50,60,62,64,66,68,70,72,74,76,78,80,85,90,95,100})</f>
        <v>85</v>
      </c>
      <c r="I61" s="12">
        <v>11</v>
      </c>
      <c r="J61" s="11">
        <f>LOOKUP(I61,{0,3,4,5,6,7,8,9,10,11,12,13,14,15,16,17},{0,10,20,30,40,50,60,64,68,72,76,80,85,90,95,100})</f>
        <v>72</v>
      </c>
      <c r="K61" s="12"/>
      <c r="L61" s="12"/>
      <c r="M61" s="12">
        <f t="shared" si="23"/>
        <v>72</v>
      </c>
      <c r="N61" s="12">
        <v>6.9</v>
      </c>
      <c r="O61" s="12">
        <f t="shared" si="29"/>
        <v>5.1</v>
      </c>
      <c r="P61" s="11">
        <f>LOOKUP(O61,{0,1.6,1.8,2,2.2,2.4,2.6,2.8,3,3.2,3.4,3.6,3.8,4,4.2,4.4,4.6,4.7,4.8,4.9,5},{0,10,20,30,40,50,60,62,64,66,68,70,72,74,76,78,80,85,90,95,100})</f>
        <v>100</v>
      </c>
      <c r="Q61" s="12">
        <v>3.35</v>
      </c>
      <c r="R61" s="12">
        <f t="shared" si="30"/>
        <v>6.65</v>
      </c>
      <c r="S61" s="11">
        <f>LOOKUP(R61,{0,3.8,4,4.6,4.8,5,5.6,5.65,5.7,5.75,5.8,5.85,5.9,5.95,6,6.45,6.5,6.58,6.65,6.7,6.75},{0,10,20,30,40,50,60,62,64,66,68,70,72,74,76,78,80,85,90,95,100})</f>
        <v>90</v>
      </c>
      <c r="T61" s="12"/>
      <c r="U61" s="12"/>
      <c r="V61" s="12">
        <f t="shared" si="31"/>
        <v>90</v>
      </c>
      <c r="W61" s="12"/>
      <c r="X61" s="20">
        <f t="shared" si="26"/>
        <v>61.7</v>
      </c>
      <c r="Y61" s="20">
        <f t="shared" si="32"/>
        <v>88.1428571428572</v>
      </c>
    </row>
    <row r="62" ht="15.6" hidden="1" outlineLevel="2" spans="1:25">
      <c r="A62" s="12">
        <v>202</v>
      </c>
      <c r="B62" s="12">
        <v>14</v>
      </c>
      <c r="C62" s="6" t="s">
        <v>79</v>
      </c>
      <c r="D62" s="6" t="s">
        <v>11</v>
      </c>
      <c r="E62" s="12">
        <v>14</v>
      </c>
      <c r="F62" s="11">
        <f>LOOKUP(E62,{0,-2.9,-1.9,-0.9,0.1,1.1,2.1,3.5,4.9,6.3,7.7,9.1,10.5,11.9,13.3,14.7,16.1,18.3,20.5,22.4,24.3},{0,10,20,30,40,50,60,62,64,66,68,70,72,74,76,78,80,85,90,95,100})</f>
        <v>76</v>
      </c>
      <c r="G62" s="12">
        <v>245</v>
      </c>
      <c r="H62" s="11">
        <f>LOOKUP(G62,{0,175,180,185,190,195,200,204,208,212,216,220,224,228,232,236,240,248,255,260,265},{0,10,20,30,40,50,60,62,64,66,68,70,72,74,76,78,80,85,90,95,100})</f>
        <v>80</v>
      </c>
      <c r="I62" s="12">
        <v>17</v>
      </c>
      <c r="J62" s="11">
        <f>LOOKUP(I62,{0,3,4,5,6,7,8,9,10,11,12,13,14,15,16,17},{0,10,20,30,40,50,60,64,68,72,76,80,85,90,95,100})</f>
        <v>100</v>
      </c>
      <c r="K62" s="12">
        <f t="shared" ref="K62:K67" si="33">I62-17</f>
        <v>0</v>
      </c>
      <c r="L62" s="11">
        <f>LOOKUP(K62,{0,1,2,3,4,5,6,7,8,9,10},{0,1,2,3,4,5,6,7,8,9,10})</f>
        <v>0</v>
      </c>
      <c r="M62" s="12">
        <f t="shared" si="23"/>
        <v>100</v>
      </c>
      <c r="N62" s="12">
        <v>7.3</v>
      </c>
      <c r="O62" s="12">
        <f t="shared" si="29"/>
        <v>4.7</v>
      </c>
      <c r="P62" s="11">
        <f>LOOKUP(O62,{0,1.6,1.8,2,2.2,2.4,2.6,2.8,3,3.2,3.4,3.6,3.8,4,4.2,4.4,4.6,4.7,4.8,4.9,5},{0,10,20,30,40,50,60,62,64,66,68,70,72,74,76,78,80,85,90,95,100})</f>
        <v>85</v>
      </c>
      <c r="Q62" s="12">
        <v>3.24</v>
      </c>
      <c r="R62" s="12">
        <f t="shared" si="30"/>
        <v>6.76</v>
      </c>
      <c r="S62" s="11">
        <f>LOOKUP(R62,{0,3.8,4,4.6,4.8,5,5.6,5.65,5.7,5.75,5.8,5.85,5.9,5.95,6,6.45,6.5,6.58,6.65,6.7,6.75},{0,10,20,30,40,50,60,62,64,66,68,70,72,74,76,78,80,85,90,95,100})</f>
        <v>100</v>
      </c>
      <c r="T62" s="12">
        <f>3.25-Q62</f>
        <v>0.00999999999999979</v>
      </c>
      <c r="U62" s="11">
        <f>LOOKUP(T62,{0,0.04,0.08,0.12,0.16,0.2,0.23,0.26,0.29,0.32,0.35},{0,1,2,3,4,5,6,7,8,9,10})</f>
        <v>0</v>
      </c>
      <c r="V62" s="12">
        <f t="shared" si="31"/>
        <v>100</v>
      </c>
      <c r="W62" s="12"/>
      <c r="X62" s="20">
        <f t="shared" si="26"/>
        <v>62.6</v>
      </c>
      <c r="Y62" s="20">
        <f t="shared" si="32"/>
        <v>89.4285714285714</v>
      </c>
    </row>
    <row r="63" ht="15.6" hidden="1" outlineLevel="2" spans="1:25">
      <c r="A63" s="12">
        <v>202</v>
      </c>
      <c r="B63" s="12">
        <v>15</v>
      </c>
      <c r="C63" s="6" t="s">
        <v>80</v>
      </c>
      <c r="D63" s="6" t="s">
        <v>11</v>
      </c>
      <c r="E63" s="12">
        <v>20.5</v>
      </c>
      <c r="F63" s="11">
        <f>LOOKUP(E63,{0,-2.9,-1.9,-0.9,0.1,1.1,2.1,3.5,4.9,6.3,7.7,9.1,10.5,11.9,13.3,14.7,16.1,18.3,20.5,22.4,24.3},{0,10,20,30,40,50,60,62,64,66,68,70,72,74,76,78,80,85,90,95,100})</f>
        <v>90</v>
      </c>
      <c r="G63" s="12">
        <v>244</v>
      </c>
      <c r="H63" s="11">
        <f>LOOKUP(G63,{0,175,180,185,190,195,200,204,208,212,216,220,224,228,232,236,240,248,255,260,265},{0,10,20,30,40,50,60,62,64,66,68,70,72,74,76,78,80,85,90,95,100})</f>
        <v>80</v>
      </c>
      <c r="I63" s="12">
        <v>12</v>
      </c>
      <c r="J63" s="11">
        <f>LOOKUP(I63,{0,3,4,5,6,7,8,9,10,11,12,13,14,15,16,17},{0,10,20,30,40,50,60,64,68,72,76,80,85,90,95,100})</f>
        <v>76</v>
      </c>
      <c r="K63" s="12"/>
      <c r="L63" s="12"/>
      <c r="M63" s="12">
        <f t="shared" si="23"/>
        <v>76</v>
      </c>
      <c r="N63" s="12">
        <v>7.3</v>
      </c>
      <c r="O63" s="12">
        <f t="shared" si="29"/>
        <v>4.7</v>
      </c>
      <c r="P63" s="11">
        <f>LOOKUP(O63,{0,1.6,1.8,2,2.2,2.4,2.6,2.8,3,3.2,3.4,3.6,3.8,4,4.2,4.4,4.6,4.7,4.8,4.9,5},{0,10,20,30,40,50,60,62,64,66,68,70,72,74,76,78,80,85,90,95,100})</f>
        <v>85</v>
      </c>
      <c r="Q63" s="12">
        <v>3.26</v>
      </c>
      <c r="R63" s="12">
        <f t="shared" si="30"/>
        <v>6.74</v>
      </c>
      <c r="S63" s="11">
        <f>LOOKUP(R63,{0,3.8,4,4.6,4.8,5,5.6,5.65,5.7,5.75,5.8,5.85,5.9,5.95,6,6.45,6.5,6.58,6.65,6.7,6.75},{0,10,20,30,40,50,60,62,64,66,68,70,72,74,76,78,80,85,90,95,100})</f>
        <v>95</v>
      </c>
      <c r="T63" s="12"/>
      <c r="U63" s="12"/>
      <c r="V63" s="12">
        <f t="shared" si="31"/>
        <v>95</v>
      </c>
      <c r="W63" s="12"/>
      <c r="X63" s="20">
        <f t="shared" si="26"/>
        <v>60.6</v>
      </c>
      <c r="Y63" s="20">
        <f t="shared" si="32"/>
        <v>86.5714285714286</v>
      </c>
    </row>
    <row r="64" ht="15.6" hidden="1" outlineLevel="2" spans="1:25">
      <c r="A64" s="12">
        <v>202</v>
      </c>
      <c r="B64" s="12">
        <v>16</v>
      </c>
      <c r="C64" s="6" t="s">
        <v>81</v>
      </c>
      <c r="D64" s="6" t="s">
        <v>11</v>
      </c>
      <c r="E64" s="12">
        <v>18.2</v>
      </c>
      <c r="F64" s="11">
        <f>LOOKUP(E64,{0,-2.9,-1.9,-0.9,0.1,1.1,2.1,3.5,4.9,6.3,7.7,9.1,10.5,11.9,13.3,14.7,16.1,18.3,20.5,22.4,24.3},{0,10,20,30,40,50,60,62,64,66,68,70,72,74,76,78,80,85,90,95,100})</f>
        <v>80</v>
      </c>
      <c r="G64" s="12">
        <v>250</v>
      </c>
      <c r="H64" s="11">
        <f>LOOKUP(G64,{0,175,180,185,190,195,200,204,208,212,216,220,224,228,232,236,240,248,255,260,265},{0,10,20,30,40,50,60,62,64,66,68,70,72,74,76,78,80,85,90,95,100})</f>
        <v>85</v>
      </c>
      <c r="I64" s="12">
        <v>3</v>
      </c>
      <c r="J64" s="11">
        <f>LOOKUP(I64,{0,3,4,5,6,7,8,9,10,11,12,13,14,15,16,17},{0,10,20,30,40,50,60,64,68,72,76,80,85,90,95,100})</f>
        <v>10</v>
      </c>
      <c r="K64" s="12"/>
      <c r="L64" s="15"/>
      <c r="M64" s="12">
        <f t="shared" si="23"/>
        <v>10</v>
      </c>
      <c r="N64" s="12">
        <v>7.1</v>
      </c>
      <c r="O64" s="12">
        <f t="shared" si="29"/>
        <v>4.9</v>
      </c>
      <c r="P64" s="11">
        <f>LOOKUP(O64,{0,1.6,1.8,2,2.2,2.4,2.6,2.8,3,3.2,3.4,3.6,3.8,4,4.2,4.4,4.6,4.7,4.8,4.9,5},{0,10,20,30,40,50,60,62,64,66,68,70,72,74,76,78,80,85,90,95,100})</f>
        <v>95</v>
      </c>
      <c r="Q64" s="12">
        <v>3.27</v>
      </c>
      <c r="R64" s="12">
        <f t="shared" si="30"/>
        <v>6.73</v>
      </c>
      <c r="S64" s="11">
        <f>LOOKUP(R64,{0,3.8,4,4.6,4.8,5,5.6,5.65,5.7,5.75,5.8,5.85,5.9,5.95,6,6.45,6.5,6.58,6.65,6.7,6.75},{0,10,20,30,40,50,60,62,64,66,68,70,72,74,76,78,80,85,90,95,100})</f>
        <v>95</v>
      </c>
      <c r="T64" s="12"/>
      <c r="U64" s="12"/>
      <c r="V64" s="12">
        <f t="shared" si="31"/>
        <v>95</v>
      </c>
      <c r="W64" s="12"/>
      <c r="X64" s="20">
        <f t="shared" si="26"/>
        <v>55.5</v>
      </c>
      <c r="Y64" s="20">
        <f t="shared" si="32"/>
        <v>79.2857142857143</v>
      </c>
    </row>
    <row r="65" ht="15.6" hidden="1" outlineLevel="2" spans="1:25">
      <c r="A65" s="12">
        <v>202</v>
      </c>
      <c r="B65" s="12">
        <v>17</v>
      </c>
      <c r="C65" s="6" t="s">
        <v>82</v>
      </c>
      <c r="D65" s="6" t="s">
        <v>11</v>
      </c>
      <c r="E65" s="12">
        <v>20.9</v>
      </c>
      <c r="F65" s="11">
        <f>LOOKUP(E65,{0,-2.9,-1.9,-0.9,0.1,1.1,2.1,3.5,4.9,6.3,7.7,9.1,10.5,11.9,13.3,14.7,16.1,18.3,20.5,22.4,24.3},{0,10,20,30,40,50,60,62,64,66,68,70,72,74,76,78,80,85,90,95,100})</f>
        <v>90</v>
      </c>
      <c r="G65" s="12">
        <v>227</v>
      </c>
      <c r="H65" s="11">
        <f>LOOKUP(G65,{0,175,180,185,190,195,200,204,208,212,216,220,224,228,232,236,240,248,255,260,265},{0,10,20,30,40,50,60,62,64,66,68,70,72,74,76,78,80,85,90,95,100})</f>
        <v>72</v>
      </c>
      <c r="I65" s="12">
        <v>27</v>
      </c>
      <c r="J65" s="11">
        <f>LOOKUP(I65,{0,3,4,5,6,7,8,9,10,11,12,13,14,15,16,17},{0,10,20,30,40,50,60,64,68,72,76,80,85,90,95,100})</f>
        <v>100</v>
      </c>
      <c r="K65" s="12">
        <f t="shared" si="33"/>
        <v>10</v>
      </c>
      <c r="L65" s="16">
        <f>LOOKUP(K65,{0,1,2,3,4,5,6,7,8,9,10},{0,1,2,3,4,5,6,7,8,9,10})</f>
        <v>10</v>
      </c>
      <c r="M65" s="12">
        <f t="shared" si="23"/>
        <v>110</v>
      </c>
      <c r="N65" s="12">
        <v>7.6</v>
      </c>
      <c r="O65" s="12">
        <f t="shared" si="29"/>
        <v>4.4</v>
      </c>
      <c r="P65" s="11">
        <f>LOOKUP(O65,{0,1.6,1.8,2,2.2,2.4,2.6,2.8,3,3.2,3.4,3.6,3.8,4,4.2,4.4,4.6,4.7,4.8,4.9,5},{0,10,20,30,40,50,60,62,64,66,68,70,72,74,76,78,80,85,90,95,100})</f>
        <v>78</v>
      </c>
      <c r="Q65" s="12">
        <v>3.43</v>
      </c>
      <c r="R65" s="12">
        <f t="shared" si="30"/>
        <v>6.57</v>
      </c>
      <c r="S65" s="11">
        <f>LOOKUP(R65,{0,3.8,4,4.6,4.8,5,5.6,5.65,5.7,5.75,5.8,5.85,5.9,5.95,6,6.45,6.5,6.58,6.65,6.7,6.75},{0,10,20,30,40,50,60,62,64,66,68,70,72,74,76,78,80,85,90,95,100})</f>
        <v>80</v>
      </c>
      <c r="T65" s="12"/>
      <c r="U65" s="12"/>
      <c r="V65" s="12">
        <f t="shared" si="31"/>
        <v>80</v>
      </c>
      <c r="W65" s="12"/>
      <c r="X65" s="20">
        <f t="shared" si="26"/>
        <v>57.8</v>
      </c>
      <c r="Y65" s="20">
        <f t="shared" si="32"/>
        <v>92.5714285714286</v>
      </c>
    </row>
    <row r="66" ht="15.6" hidden="1" outlineLevel="2" spans="1:25">
      <c r="A66" s="12">
        <v>202</v>
      </c>
      <c r="B66" s="12">
        <v>18</v>
      </c>
      <c r="C66" s="6" t="s">
        <v>83</v>
      </c>
      <c r="D66" s="6" t="s">
        <v>11</v>
      </c>
      <c r="E66" s="12">
        <v>17</v>
      </c>
      <c r="F66" s="11">
        <f>LOOKUP(E66,{0,-2.9,-1.9,-0.9,0.1,1.1,2.1,3.5,4.9,6.3,7.7,9.1,10.5,11.9,13.3,14.7,16.1,18.3,20.5,22.4,24.3},{0,10,20,30,40,50,60,62,64,66,68,70,72,74,76,78,80,85,90,95,100})</f>
        <v>80</v>
      </c>
      <c r="G66" s="12">
        <v>260</v>
      </c>
      <c r="H66" s="11">
        <f>LOOKUP(G66,{0,175,180,185,190,195,200,204,208,212,216,220,224,228,232,236,240,248,255,260,265},{0,10,20,30,40,50,60,62,64,66,68,70,72,74,76,78,80,85,90,95,100})</f>
        <v>95</v>
      </c>
      <c r="I66" s="12">
        <v>27</v>
      </c>
      <c r="J66" s="11">
        <f>LOOKUP(I66,{0,3,4,5,6,7,8,9,10,11,12,13,14,15,16,17},{0,10,20,30,40,50,60,64,68,72,76,80,85,90,95,100})</f>
        <v>100</v>
      </c>
      <c r="K66" s="12">
        <f t="shared" si="33"/>
        <v>10</v>
      </c>
      <c r="L66" s="11">
        <f>LOOKUP(K66,{0,1,2,3,4,5,6,7,8,9,10},{0,1,2,3,4,5,6,7,8,9,10})</f>
        <v>10</v>
      </c>
      <c r="M66" s="12">
        <f t="shared" si="23"/>
        <v>110</v>
      </c>
      <c r="N66" s="12">
        <v>7.2</v>
      </c>
      <c r="O66" s="12">
        <f t="shared" si="29"/>
        <v>4.8</v>
      </c>
      <c r="P66" s="11">
        <f>LOOKUP(O66,{0,1.6,1.8,2,2.2,2.4,2.6,2.8,3,3.2,3.4,3.6,3.8,4,4.2,4.4,4.6,4.7,4.8,4.9,5},{0,10,20,30,40,50,60,62,64,66,68,70,72,74,76,78,80,85,90,95,100})</f>
        <v>90</v>
      </c>
      <c r="Q66" s="12">
        <v>3.42</v>
      </c>
      <c r="R66" s="12">
        <f t="shared" si="30"/>
        <v>6.58</v>
      </c>
      <c r="S66" s="11">
        <f>LOOKUP(R66,{0,3.8,4,4.6,4.8,5,5.6,5.65,5.7,5.75,5.8,5.85,5.9,5.95,6,6.45,6.5,6.58,6.65,6.7,6.75},{0,10,20,30,40,50,60,62,64,66,68,70,72,74,76,78,80,85,90,95,100})</f>
        <v>85</v>
      </c>
      <c r="T66" s="12"/>
      <c r="U66" s="12"/>
      <c r="V66" s="12">
        <f t="shared" si="31"/>
        <v>85</v>
      </c>
      <c r="W66" s="12"/>
      <c r="X66" s="20">
        <f t="shared" si="26"/>
        <v>62.5</v>
      </c>
      <c r="Y66" s="20">
        <f t="shared" si="32"/>
        <v>99.2857142857143</v>
      </c>
    </row>
    <row r="67" ht="15.6" hidden="1" outlineLevel="2" spans="1:25">
      <c r="A67" s="12">
        <v>202</v>
      </c>
      <c r="B67" s="12">
        <v>19</v>
      </c>
      <c r="C67" s="6" t="s">
        <v>84</v>
      </c>
      <c r="D67" s="6" t="s">
        <v>11</v>
      </c>
      <c r="E67" s="12">
        <v>23</v>
      </c>
      <c r="F67" s="11">
        <f>LOOKUP(E67,{0,-2.9,-1.9,-0.9,0.1,1.1,2.1,3.5,4.9,6.3,7.7,9.1,10.5,11.9,13.3,14.7,16.1,18.3,20.5,22.4,24.3},{0,10,20,30,40,50,60,62,64,66,68,70,72,74,76,78,80,85,90,95,100})</f>
        <v>95</v>
      </c>
      <c r="G67" s="12">
        <v>250</v>
      </c>
      <c r="H67" s="11">
        <f>LOOKUP(G67,{0,175,180,185,190,195,200,204,208,212,216,220,224,228,232,236,240,248,255,260,265},{0,10,20,30,40,50,60,62,64,66,68,70,72,74,76,78,80,85,90,95,100})</f>
        <v>85</v>
      </c>
      <c r="I67" s="12">
        <v>18</v>
      </c>
      <c r="J67" s="11">
        <f>LOOKUP(I67,{0,3,4,5,6,7,8,9,10,11,12,13,14,15,16,17},{0,10,20,30,40,50,60,64,68,72,76,80,85,90,95,100})</f>
        <v>100</v>
      </c>
      <c r="K67" s="12">
        <f t="shared" si="33"/>
        <v>1</v>
      </c>
      <c r="L67" s="11">
        <f>LOOKUP(K67,{0,1,2,3,4,5,6,7,8,9,10},{0,1,2,3,4,5,6,7,8,9,10})</f>
        <v>1</v>
      </c>
      <c r="M67" s="12">
        <f t="shared" si="23"/>
        <v>101</v>
      </c>
      <c r="N67" s="12">
        <v>7.2</v>
      </c>
      <c r="O67" s="12">
        <f t="shared" si="29"/>
        <v>4.8</v>
      </c>
      <c r="P67" s="11">
        <f>LOOKUP(O67,{0,1.6,1.8,2,2.2,2.4,2.6,2.8,3,3.2,3.4,3.6,3.8,4,4.2,4.4,4.6,4.7,4.8,4.9,5},{0,10,20,30,40,50,60,62,64,66,68,70,72,74,76,78,80,85,90,95,100})</f>
        <v>90</v>
      </c>
      <c r="Q67" s="12">
        <v>3.31</v>
      </c>
      <c r="R67" s="12">
        <f t="shared" si="30"/>
        <v>6.69</v>
      </c>
      <c r="S67" s="11">
        <f>LOOKUP(R67,{0,3.8,4,4.6,4.8,5,5.6,5.65,5.7,5.75,5.8,5.85,5.9,5.95,6,6.45,6.5,6.58,6.65,6.7,6.75},{0,10,20,30,40,50,60,62,64,66,68,70,72,74,76,78,80,85,90,95,100})</f>
        <v>90</v>
      </c>
      <c r="T67" s="12"/>
      <c r="U67" s="12"/>
      <c r="V67" s="12">
        <f t="shared" si="31"/>
        <v>90</v>
      </c>
      <c r="W67" s="12"/>
      <c r="X67" s="20">
        <f t="shared" si="26"/>
        <v>64</v>
      </c>
      <c r="Y67" s="20">
        <f t="shared" si="32"/>
        <v>92.4285714285714</v>
      </c>
    </row>
    <row r="68" ht="15.6" hidden="1" outlineLevel="2" spans="1:25">
      <c r="A68" s="12">
        <v>202</v>
      </c>
      <c r="B68" s="12">
        <v>20</v>
      </c>
      <c r="C68" s="6" t="s">
        <v>85</v>
      </c>
      <c r="D68" s="6" t="s">
        <v>11</v>
      </c>
      <c r="E68" s="12">
        <v>12</v>
      </c>
      <c r="F68" s="11">
        <f>LOOKUP(E68,{0,-2.9,-1.9,-0.9,0.1,1.1,2.1,3.5,4.9,6.3,7.7,9.1,10.5,11.9,13.3,14.7,16.1,18.3,20.5,22.4,24.3},{0,10,20,30,40,50,60,62,64,66,68,70,72,74,76,78,80,85,90,95,100})</f>
        <v>74</v>
      </c>
      <c r="G68" s="12">
        <v>265</v>
      </c>
      <c r="H68" s="11">
        <f>LOOKUP(G68,{0,175,180,185,190,195,200,204,208,212,216,220,224,228,232,236,240,248,255,260,265},{0,10,20,30,40,50,60,62,64,66,68,70,72,74,76,78,80,85,90,95,100})</f>
        <v>100</v>
      </c>
      <c r="I68" s="12">
        <v>8</v>
      </c>
      <c r="J68" s="11">
        <f>LOOKUP(I68,{0,3,4,5,6,7,8,9,10,11,12,13,14,15,16,17},{0,10,20,30,40,50,60,64,68,72,76,80,85,90,95,100})</f>
        <v>60</v>
      </c>
      <c r="K68" s="12"/>
      <c r="L68" s="15"/>
      <c r="M68" s="12">
        <f t="shared" si="23"/>
        <v>60</v>
      </c>
      <c r="N68" s="12">
        <v>6.8</v>
      </c>
      <c r="O68" s="12">
        <f t="shared" si="29"/>
        <v>5.2</v>
      </c>
      <c r="P68" s="11">
        <f>LOOKUP(O68,{0,1.6,1.8,2,2.2,2.4,2.6,2.8,3,3.2,3.4,3.6,3.8,4,4.2,4.4,4.6,4.7,4.8,4.9,5},{0,10,20,30,40,50,60,62,64,66,68,70,72,74,76,78,80,85,90,95,100})</f>
        <v>100</v>
      </c>
      <c r="Q68" s="12">
        <v>3.46</v>
      </c>
      <c r="R68" s="12">
        <f t="shared" si="30"/>
        <v>6.54</v>
      </c>
      <c r="S68" s="11">
        <f>LOOKUP(R68,{0,3.8,4,4.6,4.8,5,5.6,5.65,5.7,5.75,5.8,5.85,5.9,5.95,6,6.45,6.5,6.58,6.65,6.7,6.75},{0,10,20,30,40,50,60,62,64,66,68,70,72,74,76,78,80,85,90,95,100})</f>
        <v>80</v>
      </c>
      <c r="T68" s="12"/>
      <c r="U68" s="12"/>
      <c r="V68" s="12">
        <f t="shared" si="31"/>
        <v>80</v>
      </c>
      <c r="W68" s="12"/>
      <c r="X68" s="20">
        <f t="shared" si="26"/>
        <v>59.4</v>
      </c>
      <c r="Y68" s="20">
        <f t="shared" si="32"/>
        <v>84.8571428571429</v>
      </c>
    </row>
    <row r="69" ht="15.6" hidden="1" outlineLevel="2" spans="1:25">
      <c r="A69" s="12">
        <v>202</v>
      </c>
      <c r="B69" s="12">
        <v>21</v>
      </c>
      <c r="C69" s="6" t="s">
        <v>86</v>
      </c>
      <c r="D69" s="6" t="s">
        <v>11</v>
      </c>
      <c r="E69" s="12">
        <v>13</v>
      </c>
      <c r="F69" s="11">
        <f>LOOKUP(E69,{0,-2.9,-1.9,-0.9,0.1,1.1,2.1,3.5,4.9,6.3,7.7,9.1,10.5,11.9,13.3,14.7,16.1,18.3,20.5,22.4,24.3},{0,10,20,30,40,50,60,62,64,66,68,70,72,74,76,78,80,85,90,95,100})</f>
        <v>74</v>
      </c>
      <c r="G69" s="12">
        <v>225</v>
      </c>
      <c r="H69" s="11">
        <f>LOOKUP(G69,{0,175,180,185,190,195,200,204,208,212,216,220,224,228,232,236,240,248,255,260,265},{0,10,20,30,40,50,60,62,64,66,68,70,72,74,76,78,80,85,90,95,100})</f>
        <v>72</v>
      </c>
      <c r="I69" s="12">
        <v>7</v>
      </c>
      <c r="J69" s="11">
        <f>LOOKUP(I69,{0,3,4,5,6,7,8,9,10,11,12,13,14,15,16,17},{0,10,20,30,40,50,60,64,68,72,76,80,85,90,95,100})</f>
        <v>50</v>
      </c>
      <c r="K69" s="12"/>
      <c r="L69" s="12"/>
      <c r="M69" s="12">
        <f t="shared" si="23"/>
        <v>50</v>
      </c>
      <c r="N69" s="12">
        <v>7.4</v>
      </c>
      <c r="O69" s="12">
        <f t="shared" si="29"/>
        <v>4.6</v>
      </c>
      <c r="P69" s="11">
        <f>LOOKUP(O69,{0,1.6,1.8,2,2.2,2.4,2.6,2.8,3,3.2,3.4,3.6,3.8,4,4.2,4.4,4.6,4.7,4.8,4.9,5},{0,10,20,30,40,50,60,62,64,66,68,70,72,74,76,78,80,85,90,95,100})</f>
        <v>80</v>
      </c>
      <c r="Q69" s="12">
        <v>4.05</v>
      </c>
      <c r="R69" s="12">
        <f t="shared" si="30"/>
        <v>5.95</v>
      </c>
      <c r="S69" s="11">
        <f>LOOKUP(R69,{0,3.8,4,4.6,4.8,5,5.6,5.65,5.7,5.75,5.8,5.85,5.9,5.95,6,6.45,6.5,6.58,6.65,6.7,6.75},{0,10,20,30,40,50,60,62,64,66,68,70,72,74,76,78,80,85,90,95,100})</f>
        <v>74</v>
      </c>
      <c r="T69" s="12"/>
      <c r="U69" s="12"/>
      <c r="V69" s="12">
        <f t="shared" si="31"/>
        <v>74</v>
      </c>
      <c r="W69" s="12"/>
      <c r="X69" s="20">
        <f t="shared" si="26"/>
        <v>50.4</v>
      </c>
      <c r="Y69" s="20">
        <f t="shared" si="32"/>
        <v>72</v>
      </c>
    </row>
    <row r="70" ht="15.6" hidden="1" outlineLevel="2" spans="1:25">
      <c r="A70" s="12">
        <v>202</v>
      </c>
      <c r="B70" s="12">
        <v>22</v>
      </c>
      <c r="C70" s="13" t="s">
        <v>88</v>
      </c>
      <c r="D70" s="6" t="s">
        <v>11</v>
      </c>
      <c r="E70" s="12"/>
      <c r="F70" s="11"/>
      <c r="G70" s="12"/>
      <c r="H70" s="11"/>
      <c r="I70" s="12"/>
      <c r="J70" s="11"/>
      <c r="K70" s="12"/>
      <c r="L70" s="12"/>
      <c r="M70" s="12"/>
      <c r="N70" s="12"/>
      <c r="O70" s="12"/>
      <c r="P70" s="11"/>
      <c r="Q70" s="12"/>
      <c r="R70" s="12"/>
      <c r="S70" s="11"/>
      <c r="T70" s="12"/>
      <c r="U70" s="11"/>
      <c r="V70" s="12"/>
      <c r="W70" s="12" t="s">
        <v>89</v>
      </c>
      <c r="X70" s="20">
        <f t="shared" si="26"/>
        <v>0</v>
      </c>
      <c r="Y70" s="20">
        <v>50</v>
      </c>
    </row>
    <row r="71" ht="15.6" hidden="1" outlineLevel="2" spans="1:25">
      <c r="A71" s="12">
        <v>202</v>
      </c>
      <c r="B71" s="12">
        <v>23</v>
      </c>
      <c r="C71" s="6" t="s">
        <v>90</v>
      </c>
      <c r="D71" s="6" t="s">
        <v>11</v>
      </c>
      <c r="E71" s="12">
        <v>11</v>
      </c>
      <c r="F71" s="11">
        <f>LOOKUP(E71,{0,-2.9,-1.9,-0.9,0.1,1.1,2.1,3.5,4.9,6.3,7.7,9.1,10.5,11.9,13.3,14.7,16.1,18.3,20.5,22.4,24.3},{0,10,20,30,40,50,60,62,64,66,68,70,72,74,76,78,80,85,90,95,100})</f>
        <v>72</v>
      </c>
      <c r="G71" s="12">
        <v>228</v>
      </c>
      <c r="H71" s="11">
        <f>LOOKUP(G71,{0,175,180,185,190,195,200,204,208,212,216,220,224,228,232,236,240,248,255,260,265},{0,10,20,30,40,50,60,62,64,66,68,70,72,74,76,78,80,85,90,95,100})</f>
        <v>74</v>
      </c>
      <c r="I71" s="12">
        <v>0</v>
      </c>
      <c r="J71" s="11">
        <f>LOOKUP(I71,{0,3,4,5,6,7,8,9,10,11,12,13,14,15,16,17},{0,10,20,30,40,50,60,64,68,72,76,80,85,90,95,100})</f>
        <v>0</v>
      </c>
      <c r="K71" s="12"/>
      <c r="L71" s="12"/>
      <c r="M71" s="12">
        <f t="shared" ref="M71:M108" si="34">J71+L71</f>
        <v>0</v>
      </c>
      <c r="N71" s="12">
        <v>7</v>
      </c>
      <c r="O71" s="12">
        <f t="shared" ref="O71:O74" si="35">12-N71</f>
        <v>5</v>
      </c>
      <c r="P71" s="11">
        <f>LOOKUP(O71,{0,1.6,1.8,2,2.2,2.4,2.6,2.8,3,3.2,3.4,3.6,3.8,4,4.2,4.4,4.6,4.7,4.8,4.9,5},{0,10,20,30,40,50,60,62,64,66,68,70,72,74,76,78,80,85,90,95,100})</f>
        <v>100</v>
      </c>
      <c r="Q71" s="12">
        <v>3.28</v>
      </c>
      <c r="R71" s="12">
        <f t="shared" ref="R71:R101" si="36">10-Q71</f>
        <v>6.72</v>
      </c>
      <c r="S71" s="11">
        <f>LOOKUP(R71,{0,3.8,4,4.6,4.8,5,5.6,5.65,5.7,5.75,5.8,5.85,5.9,5.95,6,6.45,6.5,6.58,6.65,6.7,6.75},{0,10,20,30,40,50,60,62,64,66,68,70,72,74,76,78,80,85,90,95,100})</f>
        <v>95</v>
      </c>
      <c r="T71" s="12"/>
      <c r="U71" s="12"/>
      <c r="V71" s="12">
        <f t="shared" ref="V71:V101" si="37">S71+U71</f>
        <v>95</v>
      </c>
      <c r="W71" s="12"/>
      <c r="X71" s="20">
        <f t="shared" si="26"/>
        <v>53.6</v>
      </c>
      <c r="Y71" s="20">
        <f t="shared" ref="Y71:Y105" si="38">X71/0.7+L71+U71</f>
        <v>76.5714285714286</v>
      </c>
    </row>
    <row r="72" s="1" customFormat="1" ht="15.6" hidden="1" outlineLevel="2" spans="1:25">
      <c r="A72" s="12">
        <v>202</v>
      </c>
      <c r="B72" s="12">
        <v>24</v>
      </c>
      <c r="C72" s="6" t="s">
        <v>91</v>
      </c>
      <c r="D72" s="6" t="s">
        <v>11</v>
      </c>
      <c r="E72" s="12">
        <v>17</v>
      </c>
      <c r="F72" s="11">
        <f>LOOKUP(E72,{0,-2.9,-1.9,-0.9,0.1,1.1,2.1,3.5,4.9,6.3,7.7,9.1,10.5,11.9,13.3,14.7,16.1,18.3,20.5,22.4,24.3},{0,10,20,30,40,50,60,62,64,66,68,70,72,74,76,78,80,85,90,95,100})</f>
        <v>80</v>
      </c>
      <c r="G72" s="12">
        <v>278</v>
      </c>
      <c r="H72" s="11">
        <f>LOOKUP(G72,{0,175,180,185,190,195,200,204,208,212,216,220,224,228,232,236,240,248,255,260,265},{0,10,20,30,40,50,60,62,64,66,68,70,72,74,76,78,80,85,90,95,100})</f>
        <v>100</v>
      </c>
      <c r="I72" s="12">
        <v>7</v>
      </c>
      <c r="J72" s="11">
        <f>LOOKUP(I72,{0,3,4,5,6,7,8,9,10,11,12,13,14,15,16,17},{0,10,20,30,40,50,60,64,68,72,76,80,85,90,95,100})</f>
        <v>50</v>
      </c>
      <c r="K72" s="12"/>
      <c r="L72" s="15"/>
      <c r="M72" s="12">
        <f t="shared" si="34"/>
        <v>50</v>
      </c>
      <c r="N72" s="12">
        <v>6.5</v>
      </c>
      <c r="O72" s="12">
        <f t="shared" si="35"/>
        <v>5.5</v>
      </c>
      <c r="P72" s="11">
        <f>LOOKUP(O72,{0,1.6,1.8,2,2.2,2.4,2.6,2.8,3,3.2,3.4,3.6,3.8,4,4.2,4.4,4.6,4.7,4.8,4.9,5},{0,10,20,30,40,50,60,62,64,66,68,70,72,74,76,78,80,85,90,95,100})</f>
        <v>100</v>
      </c>
      <c r="Q72" s="12">
        <v>2.55</v>
      </c>
      <c r="R72" s="12">
        <f t="shared" si="36"/>
        <v>7.45</v>
      </c>
      <c r="S72" s="11">
        <f>LOOKUP(R72,{0,3.8,4,4.6,4.8,5,5.6,5.65,5.7,5.75,5.8,5.85,5.9,5.95,6,6.45,6.5,6.58,6.65,6.7,6.75},{0,10,20,30,40,50,60,62,64,66,68,70,72,74,76,78,80,85,90,95,100})</f>
        <v>100</v>
      </c>
      <c r="T72" s="12">
        <f>3.25-Q72</f>
        <v>0.7</v>
      </c>
      <c r="U72" s="11">
        <f>LOOKUP(T72,{0,0.04,0.08,0.12,0.16,0.2,0.23,0.26,0.29,0.32,0.35},{0,1,2,3,4,5,6,7,8,9,10})</f>
        <v>10</v>
      </c>
      <c r="V72" s="12">
        <f t="shared" si="37"/>
        <v>110</v>
      </c>
      <c r="W72" s="12"/>
      <c r="X72" s="20">
        <f t="shared" si="26"/>
        <v>63</v>
      </c>
      <c r="Y72" s="20">
        <f t="shared" si="38"/>
        <v>100</v>
      </c>
    </row>
    <row r="73" ht="15.6" hidden="1" outlineLevel="2" spans="1:25">
      <c r="A73" s="12">
        <v>202</v>
      </c>
      <c r="B73" s="12">
        <v>25</v>
      </c>
      <c r="C73" s="6" t="s">
        <v>92</v>
      </c>
      <c r="D73" s="6" t="s">
        <v>11</v>
      </c>
      <c r="E73" s="12">
        <v>17</v>
      </c>
      <c r="F73" s="11">
        <f>LOOKUP(E73,{0,-2.9,-1.9,-0.9,0.1,1.1,2.1,3.5,4.9,6.3,7.7,9.1,10.5,11.9,13.3,14.7,16.1,18.3,20.5,22.4,24.3},{0,10,20,30,40,50,60,62,64,66,68,70,72,74,76,78,80,85,90,95,100})</f>
        <v>80</v>
      </c>
      <c r="G73" s="12">
        <v>227</v>
      </c>
      <c r="H73" s="11">
        <f>LOOKUP(G73,{0,175,180,185,190,195,200,204,208,212,216,220,224,228,232,236,240,248,255,260,265},{0,10,20,30,40,50,60,62,64,66,68,70,72,74,76,78,80,85,90,95,100})</f>
        <v>72</v>
      </c>
      <c r="I73" s="12">
        <v>9</v>
      </c>
      <c r="J73" s="11">
        <f>LOOKUP(I73,{0,3,4,5,6,7,8,9,10,11,12,13,14,15,16,17},{0,10,20,30,40,50,60,64,68,72,76,80,85,90,95,100})</f>
        <v>64</v>
      </c>
      <c r="K73" s="12"/>
      <c r="L73" s="15"/>
      <c r="M73" s="12">
        <f t="shared" si="34"/>
        <v>64</v>
      </c>
      <c r="N73" s="12">
        <v>7.5</v>
      </c>
      <c r="O73" s="12">
        <f t="shared" si="35"/>
        <v>4.5</v>
      </c>
      <c r="P73" s="11">
        <f>LOOKUP(O73,{0,1.6,1.8,2,2.2,2.4,2.6,2.8,3,3.2,3.4,3.6,3.8,4,4.2,4.4,4.6,4.7,4.8,4.9,5},{0,10,20,30,40,50,60,62,64,66,68,70,72,74,76,78,80,85,90,95,100})</f>
        <v>78</v>
      </c>
      <c r="Q73" s="12">
        <v>3.49</v>
      </c>
      <c r="R73" s="12">
        <f t="shared" si="36"/>
        <v>6.51</v>
      </c>
      <c r="S73" s="11">
        <f>LOOKUP(R73,{0,3.8,4,4.6,4.8,5,5.6,5.65,5.7,5.75,5.8,5.85,5.9,5.95,6,6.45,6.5,6.58,6.65,6.7,6.75},{0,10,20,30,40,50,60,62,64,66,68,70,72,74,76,78,80,85,90,95,100})</f>
        <v>80</v>
      </c>
      <c r="T73" s="12"/>
      <c r="U73" s="12"/>
      <c r="V73" s="12">
        <f t="shared" si="37"/>
        <v>80</v>
      </c>
      <c r="W73" s="12"/>
      <c r="X73" s="20">
        <f t="shared" si="26"/>
        <v>53.2</v>
      </c>
      <c r="Y73" s="20">
        <f t="shared" si="38"/>
        <v>76</v>
      </c>
    </row>
    <row r="74" ht="15.6" hidden="1" outlineLevel="2" spans="1:25">
      <c r="A74" s="12">
        <v>202</v>
      </c>
      <c r="B74" s="12">
        <v>26</v>
      </c>
      <c r="C74" s="6" t="s">
        <v>93</v>
      </c>
      <c r="D74" s="6" t="s">
        <v>11</v>
      </c>
      <c r="E74" s="12">
        <v>13</v>
      </c>
      <c r="F74" s="11">
        <f>LOOKUP(E74,{0,-2.9,-1.9,-0.9,0.1,1.1,2.1,3.5,4.9,6.3,7.7,9.1,10.5,11.9,13.3,14.7,16.1,18.3,20.5,22.4,24.3},{0,10,20,30,40,50,60,62,64,66,68,70,72,74,76,78,80,85,90,95,100})</f>
        <v>74</v>
      </c>
      <c r="G74" s="12">
        <v>221</v>
      </c>
      <c r="H74" s="11">
        <f>LOOKUP(G74,{0,175,180,185,190,195,200,204,208,212,216,220,224,228,232,236,240,248,255,260,265},{0,10,20,30,40,50,60,62,64,66,68,70,72,74,76,78,80,85,90,95,100})</f>
        <v>70</v>
      </c>
      <c r="I74" s="12">
        <v>20</v>
      </c>
      <c r="J74" s="11">
        <f>LOOKUP(I74,{0,3,4,5,6,7,8,9,10,11,12,13,14,15,16,17},{0,10,20,30,40,50,60,64,68,72,76,80,85,90,95,100})</f>
        <v>100</v>
      </c>
      <c r="K74" s="12">
        <f t="shared" ref="K74:K78" si="39">I74-17</f>
        <v>3</v>
      </c>
      <c r="L74" s="16">
        <f>LOOKUP(K74,{0,1,2,3,4,5,6,7,8,9,10},{0,1,2,3,4,5,6,7,8,9,10})</f>
        <v>3</v>
      </c>
      <c r="M74" s="12">
        <f t="shared" si="34"/>
        <v>103</v>
      </c>
      <c r="N74" s="12">
        <v>7.4</v>
      </c>
      <c r="O74" s="12">
        <f t="shared" si="35"/>
        <v>4.6</v>
      </c>
      <c r="P74" s="11">
        <f>LOOKUP(O74,{0,1.6,1.8,2,2.2,2.4,2.6,2.8,3,3.2,3.4,3.6,3.8,4,4.2,4.4,4.6,4.7,4.8,4.9,5},{0,10,20,30,40,50,60,62,64,66,68,70,72,74,76,78,80,85,90,95,100})</f>
        <v>80</v>
      </c>
      <c r="Q74" s="12">
        <v>3.48</v>
      </c>
      <c r="R74" s="12">
        <f t="shared" si="36"/>
        <v>6.52</v>
      </c>
      <c r="S74" s="11">
        <f>LOOKUP(R74,{0,3.8,4,4.6,4.8,5,5.6,5.65,5.7,5.75,5.8,5.85,5.9,5.95,6,6.45,6.5,6.58,6.65,6.7,6.75},{0,10,20,30,40,50,60,62,64,66,68,70,72,74,76,78,80,85,90,95,100})</f>
        <v>80</v>
      </c>
      <c r="T74" s="12"/>
      <c r="U74" s="12"/>
      <c r="V74" s="12">
        <f t="shared" si="37"/>
        <v>80</v>
      </c>
      <c r="W74" s="12"/>
      <c r="X74" s="20">
        <f t="shared" si="26"/>
        <v>56.4</v>
      </c>
      <c r="Y74" s="20">
        <f t="shared" si="38"/>
        <v>83.5714285714286</v>
      </c>
    </row>
    <row r="75" ht="15.6" hidden="1" outlineLevel="2" spans="1:25">
      <c r="A75" s="12">
        <v>202</v>
      </c>
      <c r="B75" s="12">
        <v>27</v>
      </c>
      <c r="C75" s="6" t="s">
        <v>94</v>
      </c>
      <c r="D75" s="6" t="s">
        <v>11</v>
      </c>
      <c r="E75" s="12">
        <v>19</v>
      </c>
      <c r="F75" s="11">
        <f>LOOKUP(E75,{0,-2.9,-1.9,-0.9,0.1,1.1,2.1,3.5,4.9,6.3,7.7,9.1,10.5,11.9,13.3,14.7,16.1,18.3,20.5,22.4,24.3},{0,10,20,30,40,50,60,62,64,66,68,70,72,74,76,78,80,85,90,95,100})</f>
        <v>85</v>
      </c>
      <c r="G75" s="12">
        <v>264</v>
      </c>
      <c r="H75" s="11">
        <f>LOOKUP(G75,{0,175,180,185,190,195,200,204,208,212,216,220,224,228,232,236,240,248,255,260,265},{0,10,20,30,40,50,60,62,64,66,68,70,72,74,76,78,80,85,90,95,100})</f>
        <v>95</v>
      </c>
      <c r="I75" s="12">
        <v>17</v>
      </c>
      <c r="J75" s="11">
        <f>LOOKUP(I75,{0,3,4,5,6,7,8,9,10,11,12,13,14,15,16,17},{0,10,20,30,40,50,60,64,68,72,76,80,85,90,95,100})</f>
        <v>100</v>
      </c>
      <c r="K75" s="12">
        <f t="shared" si="39"/>
        <v>0</v>
      </c>
      <c r="L75" s="11">
        <f>LOOKUP(K75,{0,1,2,3,4,5,6,7,8,9,10},{0,1,2,3,4,5,6,7,8,9,10})</f>
        <v>0</v>
      </c>
      <c r="M75" s="12">
        <f t="shared" si="34"/>
        <v>100</v>
      </c>
      <c r="N75" s="12"/>
      <c r="O75" s="12"/>
      <c r="P75" s="11"/>
      <c r="Q75" s="12">
        <v>3.33</v>
      </c>
      <c r="R75" s="12">
        <f t="shared" si="36"/>
        <v>6.67</v>
      </c>
      <c r="S75" s="11">
        <f>LOOKUP(R75,{0,3.8,4,4.6,4.8,5,5.6,5.65,5.7,5.75,5.8,5.85,5.9,5.95,6,6.45,6.5,6.58,6.65,6.7,6.75},{0,10,20,30,40,50,60,62,64,66,68,70,72,74,76,78,80,85,90,95,100})</f>
        <v>90</v>
      </c>
      <c r="T75" s="12"/>
      <c r="U75" s="12"/>
      <c r="V75" s="12">
        <f t="shared" si="37"/>
        <v>90</v>
      </c>
      <c r="W75" s="12"/>
      <c r="X75" s="20">
        <f t="shared" si="26"/>
        <v>46</v>
      </c>
      <c r="Y75" s="20">
        <f t="shared" si="38"/>
        <v>65.7142857142857</v>
      </c>
    </row>
    <row r="76" ht="15.6" hidden="1" outlineLevel="2" spans="1:25">
      <c r="A76" s="12">
        <v>202</v>
      </c>
      <c r="B76" s="12">
        <v>28</v>
      </c>
      <c r="C76" s="6" t="s">
        <v>95</v>
      </c>
      <c r="D76" s="6" t="s">
        <v>11</v>
      </c>
      <c r="E76" s="12">
        <v>12</v>
      </c>
      <c r="F76" s="11">
        <f>LOOKUP(E76,{0,-2.9,-1.9,-0.9,0.1,1.1,2.1,3.5,4.9,6.3,7.7,9.1,10.5,11.9,13.3,14.7,16.1,18.3,20.5,22.4,24.3},{0,10,20,30,40,50,60,62,64,66,68,70,72,74,76,78,80,85,90,95,100})</f>
        <v>74</v>
      </c>
      <c r="G76" s="12">
        <v>251</v>
      </c>
      <c r="H76" s="11">
        <f>LOOKUP(G76,{0,175,180,185,190,195,200,204,208,212,216,220,224,228,232,236,240,248,255,260,265},{0,10,20,30,40,50,60,62,64,66,68,70,72,74,76,78,80,85,90,95,100})</f>
        <v>85</v>
      </c>
      <c r="I76" s="12">
        <v>14</v>
      </c>
      <c r="J76" s="11">
        <f>LOOKUP(I76,{0,3,4,5,6,7,8,9,10,11,12,13,14,15,16,17},{0,10,20,30,40,50,60,64,68,72,76,80,85,90,95,100})</f>
        <v>85</v>
      </c>
      <c r="K76" s="12"/>
      <c r="L76" s="12"/>
      <c r="M76" s="12">
        <f t="shared" si="34"/>
        <v>85</v>
      </c>
      <c r="N76" s="12">
        <v>6.9</v>
      </c>
      <c r="O76" s="12">
        <f t="shared" ref="O76:O78" si="40">12-N76</f>
        <v>5.1</v>
      </c>
      <c r="P76" s="11">
        <f>LOOKUP(O76,{0,1.6,1.8,2,2.2,2.4,2.6,2.8,3,3.2,3.4,3.6,3.8,4,4.2,4.4,4.6,4.7,4.8,4.9,5},{0,10,20,30,40,50,60,62,64,66,68,70,72,74,76,78,80,85,90,95,100})</f>
        <v>100</v>
      </c>
      <c r="Q76" s="12">
        <v>3.41</v>
      </c>
      <c r="R76" s="12">
        <f t="shared" si="36"/>
        <v>6.59</v>
      </c>
      <c r="S76" s="11">
        <f>LOOKUP(R76,{0,3.8,4,4.6,4.8,5,5.6,5.65,5.7,5.75,5.8,5.85,5.9,5.95,6,6.45,6.5,6.58,6.65,6.7,6.75},{0,10,20,30,40,50,60,62,64,66,68,70,72,74,76,78,80,85,90,95,100})</f>
        <v>85</v>
      </c>
      <c r="T76" s="12"/>
      <c r="U76" s="12"/>
      <c r="V76" s="12">
        <f t="shared" si="37"/>
        <v>85</v>
      </c>
      <c r="W76" s="12"/>
      <c r="X76" s="20">
        <f t="shared" si="26"/>
        <v>61.4</v>
      </c>
      <c r="Y76" s="20">
        <f t="shared" si="38"/>
        <v>87.7142857142857</v>
      </c>
    </row>
    <row r="77" ht="15.6" hidden="1" outlineLevel="2" spans="1:25">
      <c r="A77" s="12">
        <v>202</v>
      </c>
      <c r="B77" s="12">
        <v>29</v>
      </c>
      <c r="C77" s="6" t="s">
        <v>96</v>
      </c>
      <c r="D77" s="6" t="s">
        <v>11</v>
      </c>
      <c r="E77" s="12">
        <v>18</v>
      </c>
      <c r="F77" s="11">
        <f>LOOKUP(E77,{0,-2.9,-1.9,-0.9,0.1,1.1,2.1,3.5,4.9,6.3,7.7,9.1,10.5,11.9,13.3,14.7,16.1,18.3,20.5,22.4,24.3},{0,10,20,30,40,50,60,62,64,66,68,70,72,74,76,78,80,85,90,95,100})</f>
        <v>80</v>
      </c>
      <c r="G77" s="12">
        <v>239</v>
      </c>
      <c r="H77" s="11">
        <f>LOOKUP(G77,{0,175,180,185,190,195,200,204,208,212,216,220,224,228,232,236,240,248,255,260,265},{0,10,20,30,40,50,60,62,64,66,68,70,72,74,76,78,80,85,90,95,100})</f>
        <v>78</v>
      </c>
      <c r="I77" s="12">
        <v>4</v>
      </c>
      <c r="J77" s="11">
        <f>LOOKUP(I77,{0,3,4,5,6,7,8,9,10,11,12,13,14,15,16,17},{0,10,20,30,40,50,60,64,68,72,76,80,85,90,95,100})</f>
        <v>20</v>
      </c>
      <c r="K77" s="12"/>
      <c r="L77" s="12"/>
      <c r="M77" s="12">
        <f t="shared" si="34"/>
        <v>20</v>
      </c>
      <c r="N77" s="12">
        <v>7.3</v>
      </c>
      <c r="O77" s="12">
        <f t="shared" si="40"/>
        <v>4.7</v>
      </c>
      <c r="P77" s="11">
        <f>LOOKUP(O77,{0,1.6,1.8,2,2.2,2.4,2.6,2.8,3,3.2,3.4,3.6,3.8,4,4.2,4.4,4.6,4.7,4.8,4.9,5},{0,10,20,30,40,50,60,62,64,66,68,70,72,74,76,78,80,85,90,95,100})</f>
        <v>85</v>
      </c>
      <c r="Q77" s="12">
        <v>3.52</v>
      </c>
      <c r="R77" s="12">
        <f t="shared" si="36"/>
        <v>6.48</v>
      </c>
      <c r="S77" s="11">
        <f>LOOKUP(R77,{0,3.8,4,4.6,4.8,5,5.6,5.65,5.7,5.75,5.8,5.85,5.9,5.95,6,6.45,6.5,6.58,6.65,6.7,6.75},{0,10,20,30,40,50,60,62,64,66,68,70,72,74,76,78,80,85,90,95,100})</f>
        <v>78</v>
      </c>
      <c r="T77" s="12"/>
      <c r="U77" s="12"/>
      <c r="V77" s="12">
        <f t="shared" si="37"/>
        <v>78</v>
      </c>
      <c r="W77" s="12"/>
      <c r="X77" s="20">
        <f t="shared" si="26"/>
        <v>50.4</v>
      </c>
      <c r="Y77" s="20">
        <f t="shared" si="38"/>
        <v>72</v>
      </c>
    </row>
    <row r="78" ht="15.6" hidden="1" outlineLevel="2" spans="1:25">
      <c r="A78" s="12">
        <v>202</v>
      </c>
      <c r="B78" s="12">
        <v>30</v>
      </c>
      <c r="C78" s="6" t="s">
        <v>97</v>
      </c>
      <c r="D78" s="6" t="s">
        <v>11</v>
      </c>
      <c r="E78" s="12">
        <v>16.5</v>
      </c>
      <c r="F78" s="11">
        <f>LOOKUP(E78,{0,-2.9,-1.9,-0.9,0.1,1.1,2.1,3.5,4.9,6.3,7.7,9.1,10.5,11.9,13.3,14.7,16.1,18.3,20.5,22.4,24.3},{0,10,20,30,40,50,60,62,64,66,68,70,72,74,76,78,80,85,90,95,100})</f>
        <v>80</v>
      </c>
      <c r="G78" s="12">
        <v>254</v>
      </c>
      <c r="H78" s="11">
        <f>LOOKUP(G78,{0,175,180,185,190,195,200,204,208,212,216,220,224,228,232,236,240,248,255,260,265},{0,10,20,30,40,50,60,62,64,66,68,70,72,74,76,78,80,85,90,95,100})</f>
        <v>85</v>
      </c>
      <c r="I78" s="12">
        <v>27</v>
      </c>
      <c r="J78" s="11">
        <f>LOOKUP(I78,{0,3,4,5,6,7,8,9,10,11,12,13,14,15,16,17},{0,10,20,30,40,50,60,64,68,72,76,80,85,90,95,100})</f>
        <v>100</v>
      </c>
      <c r="K78" s="12">
        <f t="shared" si="39"/>
        <v>10</v>
      </c>
      <c r="L78" s="11">
        <f>LOOKUP(K78,{0,1,2,3,4,5,6,7,8,9,10},{0,1,2,3,4,5,6,7,8,9,10})</f>
        <v>10</v>
      </c>
      <c r="M78" s="12">
        <f t="shared" si="34"/>
        <v>110</v>
      </c>
      <c r="N78" s="12">
        <v>7</v>
      </c>
      <c r="O78" s="12">
        <f t="shared" si="40"/>
        <v>5</v>
      </c>
      <c r="P78" s="11">
        <f>LOOKUP(O78,{0,1.6,1.8,2,2.2,2.4,2.6,2.8,3,3.2,3.4,3.6,3.8,4,4.2,4.4,4.6,4.7,4.8,4.9,5},{0,10,20,30,40,50,60,62,64,66,68,70,72,74,76,78,80,85,90,95,100})</f>
        <v>100</v>
      </c>
      <c r="Q78" s="12">
        <v>3.32</v>
      </c>
      <c r="R78" s="12">
        <f t="shared" si="36"/>
        <v>6.68</v>
      </c>
      <c r="S78" s="11">
        <f>LOOKUP(R78,{0,3.8,4,4.6,4.8,5,5.6,5.65,5.7,5.75,5.8,5.85,5.9,5.95,6,6.45,6.5,6.58,6.65,6.7,6.75},{0,10,20,30,40,50,60,62,64,66,68,70,72,74,76,78,80,85,90,95,100})</f>
        <v>90</v>
      </c>
      <c r="T78" s="12"/>
      <c r="U78" s="12"/>
      <c r="V78" s="12">
        <f t="shared" si="37"/>
        <v>90</v>
      </c>
      <c r="W78" s="12"/>
      <c r="X78" s="20">
        <f t="shared" si="26"/>
        <v>64.5</v>
      </c>
      <c r="Y78" s="20">
        <f t="shared" si="38"/>
        <v>102.142857142857</v>
      </c>
    </row>
    <row r="79" ht="15.6" hidden="1" outlineLevel="2" spans="1:25">
      <c r="A79" s="12">
        <v>202</v>
      </c>
      <c r="B79" s="12">
        <v>31</v>
      </c>
      <c r="C79" s="6" t="s">
        <v>98</v>
      </c>
      <c r="D79" s="6" t="s">
        <v>11</v>
      </c>
      <c r="E79" s="12">
        <v>4.5</v>
      </c>
      <c r="F79" s="11">
        <f>LOOKUP(E79,{0,-2.9,-1.9,-0.9,0.1,1.1,2.1,3.5,4.9,6.3,7.7,9.1,10.5,11.9,13.3,14.7,16.1,18.3,20.5,22.4,24.3},{0,10,20,30,40,50,60,62,64,66,68,70,72,74,76,78,80,85,90,95,100})</f>
        <v>62</v>
      </c>
      <c r="G79" s="12">
        <v>268</v>
      </c>
      <c r="H79" s="11">
        <f>LOOKUP(G79,{0,175,180,185,190,195,200,204,208,212,216,220,224,228,232,236,240,248,255,260,265},{0,10,20,30,40,50,60,62,64,66,68,70,72,74,76,78,80,85,90,95,100})</f>
        <v>100</v>
      </c>
      <c r="I79" s="12">
        <v>5</v>
      </c>
      <c r="J79" s="11">
        <f>LOOKUP(I79,{0,3,4,5,6,7,8,9,10,11,12,13,14,15,16,17},{0,10,20,30,40,50,60,64,68,72,76,80,85,90,95,100})</f>
        <v>30</v>
      </c>
      <c r="K79" s="12"/>
      <c r="L79" s="12"/>
      <c r="M79" s="12">
        <f t="shared" si="34"/>
        <v>30</v>
      </c>
      <c r="N79" s="12"/>
      <c r="O79" s="12"/>
      <c r="P79" s="11"/>
      <c r="Q79" s="12">
        <v>3.3</v>
      </c>
      <c r="R79" s="12">
        <f t="shared" si="36"/>
        <v>6.7</v>
      </c>
      <c r="S79" s="11">
        <f>LOOKUP(R79,{0,3.8,4,4.6,4.8,5,5.6,5.65,5.7,5.75,5.8,5.85,5.9,5.95,6,6.45,6.5,6.58,6.65,6.7,6.75},{0,10,20,30,40,50,60,62,64,66,68,70,72,74,76,78,80,85,90,95,100})</f>
        <v>95</v>
      </c>
      <c r="T79" s="12"/>
      <c r="U79" s="12"/>
      <c r="V79" s="12">
        <f t="shared" si="37"/>
        <v>95</v>
      </c>
      <c r="W79" s="12"/>
      <c r="X79" s="20">
        <f t="shared" si="26"/>
        <v>38.2</v>
      </c>
      <c r="Y79" s="20">
        <f t="shared" si="38"/>
        <v>54.5714285714286</v>
      </c>
    </row>
    <row r="80" ht="15.6" hidden="1" outlineLevel="2" spans="1:25">
      <c r="A80" s="12">
        <v>202</v>
      </c>
      <c r="B80" s="12">
        <v>32</v>
      </c>
      <c r="C80" s="6" t="s">
        <v>99</v>
      </c>
      <c r="D80" s="6" t="s">
        <v>11</v>
      </c>
      <c r="E80" s="12">
        <v>21</v>
      </c>
      <c r="F80" s="11">
        <f>LOOKUP(E80,{0,-2.9,-1.9,-0.9,0.1,1.1,2.1,3.5,4.9,6.3,7.7,9.1,10.5,11.9,13.3,14.7,16.1,18.3,20.5,22.4,24.3},{0,10,20,30,40,50,60,62,64,66,68,70,72,74,76,78,80,85,90,95,100})</f>
        <v>90</v>
      </c>
      <c r="G80" s="12">
        <v>232</v>
      </c>
      <c r="H80" s="11">
        <f>LOOKUP(G80,{0,175,180,185,190,195,200,204,208,212,216,220,224,228,232,236,240,248,255,260,265},{0,10,20,30,40,50,60,62,64,66,68,70,72,74,76,78,80,85,90,95,100})</f>
        <v>76</v>
      </c>
      <c r="I80" s="12">
        <v>5</v>
      </c>
      <c r="J80" s="11">
        <f>LOOKUP(I80,{0,3,4,5,6,7,8,9,10,11,12,13,14,15,16,17},{0,10,20,30,40,50,60,64,68,72,76,80,85,90,95,100})</f>
        <v>30</v>
      </c>
      <c r="K80" s="12"/>
      <c r="L80" s="15"/>
      <c r="M80" s="12">
        <f t="shared" si="34"/>
        <v>30</v>
      </c>
      <c r="N80" s="12">
        <v>7.1</v>
      </c>
      <c r="O80" s="12">
        <f t="shared" ref="O80:O100" si="41">12-N80</f>
        <v>4.9</v>
      </c>
      <c r="P80" s="11">
        <f>LOOKUP(O80,{0,1.6,1.8,2,2.2,2.4,2.6,2.8,3,3.2,3.4,3.6,3.8,4,4.2,4.4,4.6,4.7,4.8,4.9,5},{0,10,20,30,40,50,60,62,64,66,68,70,72,74,76,78,80,85,90,95,100})</f>
        <v>95</v>
      </c>
      <c r="Q80" s="12">
        <v>3.12</v>
      </c>
      <c r="R80" s="12">
        <f t="shared" si="36"/>
        <v>6.88</v>
      </c>
      <c r="S80" s="11">
        <f>LOOKUP(R80,{0,3.8,4,4.6,4.8,5,5.6,5.65,5.7,5.75,5.8,5.85,5.9,5.95,6,6.45,6.5,6.58,6.65,6.7,6.75},{0,10,20,30,40,50,60,62,64,66,68,70,72,74,76,78,80,85,90,95,100})</f>
        <v>100</v>
      </c>
      <c r="T80" s="12">
        <f>3.25-Q80</f>
        <v>0.13</v>
      </c>
      <c r="U80" s="11">
        <f>LOOKUP(T80,{0,0.04,0.08,0.12,0.16,0.2,0.23,0.26,0.29,0.32,0.35},{0,1,2,3,4,5,6,7,8,9,10})</f>
        <v>3</v>
      </c>
      <c r="V80" s="12">
        <f t="shared" si="37"/>
        <v>103</v>
      </c>
      <c r="W80" s="12"/>
      <c r="X80" s="20">
        <f t="shared" si="26"/>
        <v>58.6</v>
      </c>
      <c r="Y80" s="20">
        <f t="shared" si="38"/>
        <v>86.7142857142857</v>
      </c>
    </row>
    <row r="81" ht="15.6" hidden="1" outlineLevel="2" spans="1:25">
      <c r="A81" s="12">
        <v>202</v>
      </c>
      <c r="B81" s="12">
        <v>33</v>
      </c>
      <c r="C81" s="13" t="s">
        <v>101</v>
      </c>
      <c r="D81" s="6" t="s">
        <v>53</v>
      </c>
      <c r="E81" s="12">
        <v>26</v>
      </c>
      <c r="F81" s="11">
        <f>LOOKUP(E81,{0,1,1.8,2.6,3.4,4.2,5,6.3,7.6,8.9,10.2,11.5,12.8,14.1,15.4,16.7,18,19.7,21.4,23.1,24.8},{0,10,20,30,40,50,60,62,64,66,68,70,72,74,76,78,80,85,90,95,100})</f>
        <v>100</v>
      </c>
      <c r="G81" s="12">
        <v>191</v>
      </c>
      <c r="H81" s="11">
        <f>LOOKUP(G81,{0,124,129,134,139,144,149,152,155,158,161,164,167,170,173,176,179,186,193,199,205},{0,10,20,30,40,50,60,62,64,66,68,70,72,74,76,78,80,85,90,95,100})</f>
        <v>85</v>
      </c>
      <c r="I81" s="12">
        <v>45</v>
      </c>
      <c r="J81" s="11">
        <f>LOOKUP(I81,{0,14,16,18,20,22,24,26,28,30,32,34,36,38,40,42,44,47,50,52,54},{0,10,20,30,40,50,60,62,64,66,68,70,72,74,76,78,80,85,90,95,100})</f>
        <v>80</v>
      </c>
      <c r="K81" s="12"/>
      <c r="L81" s="15"/>
      <c r="M81" s="12">
        <f t="shared" si="34"/>
        <v>80</v>
      </c>
      <c r="N81" s="12">
        <v>8.4</v>
      </c>
      <c r="O81" s="12">
        <f t="shared" si="41"/>
        <v>3.6</v>
      </c>
      <c r="P81" s="11">
        <f>LOOKUP(O81,{0,0.5,0.7,0.9,1.1,1.3,1.5,1.7,1.9,2.1,2.3,2.5,2.7,2.9,3.1,3.3,3.5,3.8,4.1,4.2,4.3},{0,10,20,30,40,50,60,62,64,66,68,70,72,74,76,78,80,85,90,95,100})</f>
        <v>80</v>
      </c>
      <c r="Q81" s="12">
        <v>3.24</v>
      </c>
      <c r="R81" s="12">
        <f t="shared" si="36"/>
        <v>6.76</v>
      </c>
      <c r="S81" s="11">
        <f>LOOKUP(R81,{0,4.72,4.82,4.92,5.42,5.52,5.62,5.67,5.72,5.77,5.82,5.87,5.92,5.97,6.42,6.47,6.52,6.59,6.66,6.72,6.78},{0,10,20,30,40,50,60,62,64,66,68,70,72,74,76,78,80,85,90,95,100})</f>
        <v>95</v>
      </c>
      <c r="T81" s="12"/>
      <c r="U81" s="12"/>
      <c r="V81" s="12">
        <f t="shared" si="37"/>
        <v>95</v>
      </c>
      <c r="W81" s="12"/>
      <c r="X81" s="20">
        <f t="shared" si="26"/>
        <v>61.5</v>
      </c>
      <c r="Y81" s="20">
        <f t="shared" si="38"/>
        <v>87.8571428571429</v>
      </c>
    </row>
    <row r="82" ht="15.6" hidden="1" outlineLevel="2" spans="1:25">
      <c r="A82" s="12">
        <v>202</v>
      </c>
      <c r="B82" s="12">
        <v>34</v>
      </c>
      <c r="C82" s="6" t="s">
        <v>102</v>
      </c>
      <c r="D82" s="6" t="s">
        <v>53</v>
      </c>
      <c r="E82" s="12">
        <v>27</v>
      </c>
      <c r="F82" s="11">
        <f>LOOKUP(E82,{0,1,1.8,2.6,3.4,4.2,5,6.3,7.6,8.9,10.2,11.5,12.8,14.1,15.4,16.7,18,19.7,21.4,23.1,24.8},{0,10,20,30,40,50,60,62,64,66,68,70,72,74,76,78,80,85,90,95,100})</f>
        <v>100</v>
      </c>
      <c r="G82" s="12">
        <v>181</v>
      </c>
      <c r="H82" s="11">
        <f>LOOKUP(G82,{0,124,129,134,139,144,149,152,155,158,161,164,167,170,173,176,179,186,193,199,205},{0,10,20,30,40,50,60,62,64,66,68,70,72,74,76,78,80,85,90,95,100})</f>
        <v>80</v>
      </c>
      <c r="I82" s="12">
        <v>46</v>
      </c>
      <c r="J82" s="11">
        <f>LOOKUP(I82,{0,14,16,18,20,22,24,26,28,30,32,34,36,38,40,42,44,47,50,52,54},{0,10,20,30,40,50,60,62,64,66,68,70,72,74,76,78,80,85,90,95,100})</f>
        <v>80</v>
      </c>
      <c r="K82" s="12"/>
      <c r="L82" s="12"/>
      <c r="M82" s="12">
        <f t="shared" si="34"/>
        <v>80</v>
      </c>
      <c r="N82" s="12">
        <v>8.7</v>
      </c>
      <c r="O82" s="12">
        <f t="shared" si="41"/>
        <v>3.3</v>
      </c>
      <c r="P82" s="11">
        <f>LOOKUP(O82,{0,0.5,0.7,0.9,1.1,1.3,1.5,1.7,1.9,2.1,2.3,2.5,2.7,2.9,3.1,3.3,3.5,3.8,4.1,4.2,4.3},{0,10,20,30,40,50,60,62,64,66,68,70,72,74,76,78,80,85,90,95,100})</f>
        <v>78</v>
      </c>
      <c r="Q82" s="12">
        <v>3.34</v>
      </c>
      <c r="R82" s="12">
        <f t="shared" si="36"/>
        <v>6.66</v>
      </c>
      <c r="S82" s="11">
        <f>LOOKUP(R82,{0,4.72,4.82,4.92,5.42,5.52,5.62,5.67,5.72,5.77,5.82,5.87,5.92,5.97,6.42,6.47,6.52,6.59,6.66,6.72,6.78},{0,10,20,30,40,50,60,62,64,66,68,70,72,74,76,78,80,85,90,95,100})</f>
        <v>90</v>
      </c>
      <c r="T82" s="12"/>
      <c r="U82" s="12"/>
      <c r="V82" s="12">
        <f t="shared" si="37"/>
        <v>90</v>
      </c>
      <c r="W82" s="12"/>
      <c r="X82" s="20">
        <f t="shared" si="26"/>
        <v>59.6</v>
      </c>
      <c r="Y82" s="20">
        <f t="shared" si="38"/>
        <v>85.1428571428572</v>
      </c>
    </row>
    <row r="83" customFormat="1" ht="15.6" hidden="1" outlineLevel="2" spans="1:25">
      <c r="A83" s="12">
        <v>202</v>
      </c>
      <c r="B83" s="12">
        <v>35</v>
      </c>
      <c r="C83" s="6" t="s">
        <v>103</v>
      </c>
      <c r="D83" s="6" t="s">
        <v>53</v>
      </c>
      <c r="E83" s="12">
        <v>26</v>
      </c>
      <c r="F83" s="11">
        <f>LOOKUP(E83,{0,1,1.8,2.6,3.4,4.2,5,6.3,7.6,8.9,10.2,11.5,12.8,14.1,15.4,16.7,18,19.7,21.4,23.1,24.8},{0,10,20,30,40,50,60,62,64,66,68,70,72,74,76,78,80,85,90,95,100})</f>
        <v>100</v>
      </c>
      <c r="G83" s="12">
        <v>172</v>
      </c>
      <c r="H83" s="11">
        <f>LOOKUP(G83,{0,124,129,134,139,144,149,152,155,158,161,164,167,170,173,176,179,186,193,199,205},{0,10,20,30,40,50,60,62,64,66,68,70,72,74,76,78,80,85,90,95,100})</f>
        <v>74</v>
      </c>
      <c r="I83" s="12">
        <v>51</v>
      </c>
      <c r="J83" s="11">
        <f>LOOKUP(I83,{0,14,16,18,20,22,24,26,28,30,32,34,36,38,40,42,44,47,50,52,54},{0,10,20,30,40,50,60,62,64,66,68,70,72,74,76,78,80,85,90,95,100})</f>
        <v>90</v>
      </c>
      <c r="K83" s="12"/>
      <c r="L83" s="12"/>
      <c r="M83" s="12">
        <f t="shared" si="34"/>
        <v>90</v>
      </c>
      <c r="N83" s="12">
        <v>8.7</v>
      </c>
      <c r="O83" s="12">
        <f t="shared" si="41"/>
        <v>3.3</v>
      </c>
      <c r="P83" s="11">
        <f>LOOKUP(O83,{0,0.5,0.7,0.9,1.1,1.3,1.5,1.7,1.9,2.1,2.3,2.5,2.7,2.9,3.1,3.3,3.5,3.8,4.1,4.2,4.3},{0,10,20,30,40,50,60,62,64,66,68,70,72,74,76,78,80,85,90,95,100})</f>
        <v>78</v>
      </c>
      <c r="Q83" s="12">
        <v>3.42</v>
      </c>
      <c r="R83" s="12">
        <f t="shared" si="36"/>
        <v>6.58</v>
      </c>
      <c r="S83" s="11">
        <f>LOOKUP(R83,{0,4.72,4.82,4.92,5.42,5.52,5.62,5.67,5.72,5.77,5.82,5.87,5.92,5.97,6.42,6.47,6.52,6.59,6.66,6.72,6.78},{0,10,20,30,40,50,60,62,64,66,68,70,72,74,76,78,80,85,90,95,100})</f>
        <v>80</v>
      </c>
      <c r="T83" s="12"/>
      <c r="U83" s="12"/>
      <c r="V83" s="12">
        <f t="shared" si="37"/>
        <v>80</v>
      </c>
      <c r="W83" s="12"/>
      <c r="X83" s="20">
        <f t="shared" si="26"/>
        <v>58</v>
      </c>
      <c r="Y83" s="20">
        <f t="shared" si="38"/>
        <v>82.8571428571429</v>
      </c>
    </row>
    <row r="84" customFormat="1" ht="15.6" hidden="1" outlineLevel="2" spans="1:25">
      <c r="A84" s="12">
        <v>202</v>
      </c>
      <c r="B84" s="12">
        <v>36</v>
      </c>
      <c r="C84" s="6" t="s">
        <v>104</v>
      </c>
      <c r="D84" s="6" t="s">
        <v>53</v>
      </c>
      <c r="E84" s="12">
        <v>25</v>
      </c>
      <c r="F84" s="11">
        <f>LOOKUP(E84,{0,1,1.8,2.6,3.4,4.2,5,6.3,7.6,8.9,10.2,11.5,12.8,14.1,15.4,16.7,18,19.7,21.4,23.1,24.8},{0,10,20,30,40,50,60,62,64,66,68,70,72,74,76,78,80,85,90,95,100})</f>
        <v>100</v>
      </c>
      <c r="G84" s="12">
        <v>212</v>
      </c>
      <c r="H84" s="11">
        <f>LOOKUP(G84,{0,124,129,134,139,144,149,152,155,158,161,164,167,170,173,176,179,186,193,199,205},{0,10,20,30,40,50,60,62,64,66,68,70,72,74,76,78,80,85,90,95,100})</f>
        <v>100</v>
      </c>
      <c r="I84" s="12">
        <v>55</v>
      </c>
      <c r="J84" s="11">
        <f>LOOKUP(I84,{0,14,16,18,20,22,24,26,28,30,32,34,36,38,40,42,44,47,50,52,54},{0,10,20,30,40,50,60,62,64,66,68,70,72,74,76,78,80,85,90,95,100})</f>
        <v>100</v>
      </c>
      <c r="K84" s="12">
        <f>I84-54</f>
        <v>1</v>
      </c>
      <c r="L84" s="11">
        <f>LOOKUP(K84,{0,2,4,6,7,8,9,10,11,12,13},{0,1,2,3,4,5,6,7,8,9,10})</f>
        <v>0</v>
      </c>
      <c r="M84" s="12">
        <f t="shared" si="34"/>
        <v>100</v>
      </c>
      <c r="N84" s="12">
        <v>7.9</v>
      </c>
      <c r="O84" s="12">
        <f t="shared" si="41"/>
        <v>4.1</v>
      </c>
      <c r="P84" s="11">
        <f>LOOKUP(O84,{0,0.5,0.7,0.9,1.1,1.3,1.5,1.7,1.9,2.1,2.3,2.5,2.7,2.9,3.1,3.3,3.5,3.8,4.1,4.2,4.3},{0,10,20,30,40,50,60,62,64,66,68,70,72,74,76,78,80,85,90,95,100})</f>
        <v>90</v>
      </c>
      <c r="Q84" s="12">
        <v>3.16</v>
      </c>
      <c r="R84" s="12">
        <f t="shared" si="36"/>
        <v>6.84</v>
      </c>
      <c r="S84" s="11">
        <f>LOOKUP(R84,{0,4.72,4.82,4.92,5.42,5.52,5.62,5.67,5.72,5.77,5.82,5.87,5.92,5.97,6.42,6.47,6.52,6.59,6.66,6.72,6.78},{0,10,20,30,40,50,60,62,64,66,68,70,72,74,76,78,80,85,90,95,100})</f>
        <v>100</v>
      </c>
      <c r="T84" s="21">
        <f>3.22-Q84</f>
        <v>0.0600000000000001</v>
      </c>
      <c r="U84" s="11">
        <f>LOOKUP(T84,{0,0.05,0.1,0.15,0.2,0.25,0.3,0.35,0.4,0.45,0.5},{0,1,2,3,4,5,6,7,8,9,10})</f>
        <v>1</v>
      </c>
      <c r="V84" s="12">
        <f t="shared" si="37"/>
        <v>101</v>
      </c>
      <c r="W84" s="12"/>
      <c r="X84" s="20">
        <f t="shared" si="26"/>
        <v>68</v>
      </c>
      <c r="Y84" s="20">
        <f t="shared" si="38"/>
        <v>98.1428571428572</v>
      </c>
    </row>
    <row r="85" customFormat="1" ht="15.6" hidden="1" outlineLevel="2" spans="1:25">
      <c r="A85" s="12">
        <v>202</v>
      </c>
      <c r="B85" s="12">
        <v>37</v>
      </c>
      <c r="C85" s="6" t="s">
        <v>105</v>
      </c>
      <c r="D85" s="6" t="s">
        <v>53</v>
      </c>
      <c r="E85" s="12">
        <v>25</v>
      </c>
      <c r="F85" s="11">
        <f>LOOKUP(E85,{0,1,1.8,2.6,3.4,4.2,5,6.3,7.6,8.9,10.2,11.5,12.8,14.1,15.4,16.7,18,19.7,21.4,23.1,24.8},{0,10,20,30,40,50,60,62,64,66,68,70,72,74,76,78,80,85,90,95,100})</f>
        <v>100</v>
      </c>
      <c r="G85" s="12">
        <v>223</v>
      </c>
      <c r="H85" s="11">
        <f>LOOKUP(G85,{0,124,129,134,139,144,149,152,155,158,161,164,167,170,173,176,179,186,193,199,205},{0,10,20,30,40,50,60,62,64,66,68,70,72,74,76,78,80,85,90,95,100})</f>
        <v>100</v>
      </c>
      <c r="I85" s="12">
        <v>50</v>
      </c>
      <c r="J85" s="11">
        <f>LOOKUP(I85,{0,14,16,18,20,22,24,26,28,30,32,34,36,38,40,42,44,47,50,52,54},{0,10,20,30,40,50,60,62,64,66,68,70,72,74,76,78,80,85,90,95,100})</f>
        <v>90</v>
      </c>
      <c r="K85" s="12"/>
      <c r="L85" s="12"/>
      <c r="M85" s="12">
        <f t="shared" si="34"/>
        <v>90</v>
      </c>
      <c r="N85" s="12">
        <v>7.4</v>
      </c>
      <c r="O85" s="12">
        <f t="shared" si="41"/>
        <v>4.6</v>
      </c>
      <c r="P85" s="11">
        <f>LOOKUP(O85,{0,0.5,0.7,0.9,1.1,1.3,1.5,1.7,1.9,2.1,2.3,2.5,2.7,2.9,3.1,3.3,3.5,3.8,4.1,4.2,4.3},{0,10,20,30,40,50,60,62,64,66,68,70,72,74,76,78,80,85,90,95,100})</f>
        <v>100</v>
      </c>
      <c r="Q85" s="12">
        <v>3.11</v>
      </c>
      <c r="R85" s="12">
        <f t="shared" si="36"/>
        <v>6.89</v>
      </c>
      <c r="S85" s="11">
        <f>LOOKUP(R85,{0,4.72,4.82,4.92,5.42,5.52,5.62,5.67,5.72,5.77,5.82,5.87,5.92,5.97,6.42,6.47,6.52,6.59,6.66,6.72,6.78},{0,10,20,30,40,50,60,62,64,66,68,70,72,74,76,78,80,85,90,95,100})</f>
        <v>100</v>
      </c>
      <c r="T85" s="21">
        <f>3.22-Q85</f>
        <v>0.11</v>
      </c>
      <c r="U85" s="11">
        <f>LOOKUP(T85,{0,0.05,0.1,0.15,0.2,0.25,0.3,0.35,0.4,0.45,0.5},{0,1,2,3,4,5,6,7,8,9,10})</f>
        <v>2</v>
      </c>
      <c r="V85" s="12">
        <f t="shared" si="37"/>
        <v>102</v>
      </c>
      <c r="W85" s="12"/>
      <c r="X85" s="20">
        <f t="shared" si="26"/>
        <v>69</v>
      </c>
      <c r="Y85" s="20">
        <f t="shared" si="38"/>
        <v>100.571428571429</v>
      </c>
    </row>
    <row r="86" customFormat="1" ht="15.6" hidden="1" outlineLevel="2" spans="1:25">
      <c r="A86" s="12">
        <v>202</v>
      </c>
      <c r="B86" s="12">
        <v>38</v>
      </c>
      <c r="C86" s="6" t="s">
        <v>106</v>
      </c>
      <c r="D86" s="6" t="s">
        <v>53</v>
      </c>
      <c r="E86" s="12">
        <v>12</v>
      </c>
      <c r="F86" s="11">
        <f>LOOKUP(E86,{0,1,1.8,2.6,3.4,4.2,5,6.3,7.6,8.9,10.2,11.5,12.8,14.1,15.4,16.7,18,19.7,21.4,23.1,24.8},{0,10,20,30,40,50,60,62,64,66,68,70,72,74,76,78,80,85,90,95,100})</f>
        <v>70</v>
      </c>
      <c r="G86" s="12">
        <v>169</v>
      </c>
      <c r="H86" s="11">
        <f>LOOKUP(G86,{0,124,129,134,139,144,149,152,155,158,161,164,167,170,173,176,179,186,193,199,205},{0,10,20,30,40,50,60,62,64,66,68,70,72,74,76,78,80,85,90,95,100})</f>
        <v>72</v>
      </c>
      <c r="I86" s="12">
        <v>45</v>
      </c>
      <c r="J86" s="11">
        <f>LOOKUP(I86,{0,14,16,18,20,22,24,26,28,30,32,34,36,38,40,42,44,47,50,52,54},{0,10,20,30,40,50,60,62,64,66,68,70,72,74,76,78,80,85,90,95,100})</f>
        <v>80</v>
      </c>
      <c r="K86" s="12"/>
      <c r="L86" s="12"/>
      <c r="M86" s="12">
        <f t="shared" si="34"/>
        <v>80</v>
      </c>
      <c r="N86" s="12">
        <v>8.3</v>
      </c>
      <c r="O86" s="12">
        <f t="shared" si="41"/>
        <v>3.7</v>
      </c>
      <c r="P86" s="11">
        <f>LOOKUP(O86,{0,0.5,0.7,0.9,1.1,1.3,1.5,1.7,1.9,2.1,2.3,2.5,2.7,2.9,3.1,3.3,3.5,3.8,4.1,4.2,4.3},{0,10,20,30,40,50,60,62,64,66,68,70,72,74,76,78,80,85,90,95,100})</f>
        <v>80</v>
      </c>
      <c r="Q86" s="12">
        <v>3.27</v>
      </c>
      <c r="R86" s="12">
        <f t="shared" si="36"/>
        <v>6.73</v>
      </c>
      <c r="S86" s="11">
        <f>LOOKUP(R86,{0,4.72,4.82,4.92,5.42,5.52,5.62,5.67,5.72,5.77,5.82,5.87,5.92,5.97,6.42,6.47,6.52,6.59,6.66,6.72,6.78},{0,10,20,30,40,50,60,62,64,66,68,70,72,74,76,78,80,85,90,95,100})</f>
        <v>95</v>
      </c>
      <c r="T86" s="12"/>
      <c r="U86" s="12"/>
      <c r="V86" s="12">
        <f t="shared" si="37"/>
        <v>95</v>
      </c>
      <c r="W86" s="12"/>
      <c r="X86" s="20">
        <f t="shared" si="26"/>
        <v>57.2</v>
      </c>
      <c r="Y86" s="20">
        <f t="shared" si="38"/>
        <v>81.7142857142857</v>
      </c>
    </row>
    <row r="87" customFormat="1" ht="15.6" hidden="1" outlineLevel="2" spans="1:25">
      <c r="A87" s="12">
        <v>202</v>
      </c>
      <c r="B87" s="12">
        <v>39</v>
      </c>
      <c r="C87" s="6" t="s">
        <v>107</v>
      </c>
      <c r="D87" s="6" t="s">
        <v>53</v>
      </c>
      <c r="E87" s="12">
        <v>9.5</v>
      </c>
      <c r="F87" s="11">
        <f>LOOKUP(E87,{0,1,1.8,2.6,3.4,4.2,5,6.3,7.6,8.9,10.2,11.5,12.8,14.1,15.4,16.7,18,19.7,21.4,23.1,24.8},{0,10,20,30,40,50,60,62,64,66,68,70,72,74,76,78,80,85,90,95,100})</f>
        <v>66</v>
      </c>
      <c r="G87" s="12">
        <v>180</v>
      </c>
      <c r="H87" s="11">
        <f>LOOKUP(G87,{0,124,129,134,139,144,149,152,155,158,161,164,167,170,173,176,179,186,193,199,205},{0,10,20,30,40,50,60,62,64,66,68,70,72,74,76,78,80,85,90,95,100})</f>
        <v>80</v>
      </c>
      <c r="I87" s="12">
        <v>46</v>
      </c>
      <c r="J87" s="11">
        <f>LOOKUP(I87,{0,14,16,18,20,22,24,26,28,30,32,34,36,38,40,42,44,47,50,52,54},{0,10,20,30,40,50,60,62,64,66,68,70,72,74,76,78,80,85,90,95,100})</f>
        <v>80</v>
      </c>
      <c r="K87" s="12"/>
      <c r="L87" s="12"/>
      <c r="M87" s="12">
        <f t="shared" si="34"/>
        <v>80</v>
      </c>
      <c r="N87" s="12">
        <v>8.7</v>
      </c>
      <c r="O87" s="12">
        <f t="shared" si="41"/>
        <v>3.3</v>
      </c>
      <c r="P87" s="11">
        <f>LOOKUP(O87,{0,0.5,0.7,0.9,1.1,1.3,1.5,1.7,1.9,2.1,2.3,2.5,2.7,2.9,3.1,3.3,3.5,3.8,4.1,4.2,4.3},{0,10,20,30,40,50,60,62,64,66,68,70,72,74,76,78,80,85,90,95,100})</f>
        <v>78</v>
      </c>
      <c r="Q87" s="12">
        <v>3.41</v>
      </c>
      <c r="R87" s="12">
        <f t="shared" si="36"/>
        <v>6.59</v>
      </c>
      <c r="S87" s="11">
        <f>LOOKUP(R87,{0,4.72,4.82,4.92,5.42,5.52,5.62,5.67,5.72,5.77,5.82,5.87,5.92,5.97,6.42,6.47,6.52,6.59,6.66,6.72,6.78},{0,10,20,30,40,50,60,62,64,66,68,70,72,74,76,78,80,85,90,95,100})</f>
        <v>85</v>
      </c>
      <c r="T87" s="12"/>
      <c r="U87" s="12"/>
      <c r="V87" s="12">
        <f t="shared" si="37"/>
        <v>85</v>
      </c>
      <c r="W87" s="12"/>
      <c r="X87" s="20">
        <f t="shared" si="26"/>
        <v>55.2</v>
      </c>
      <c r="Y87" s="20">
        <f t="shared" si="38"/>
        <v>78.8571428571429</v>
      </c>
    </row>
    <row r="88" customFormat="1" ht="15.6" hidden="1" outlineLevel="2" spans="1:25">
      <c r="A88" s="12">
        <v>202</v>
      </c>
      <c r="B88" s="12">
        <v>40</v>
      </c>
      <c r="C88" s="6" t="s">
        <v>108</v>
      </c>
      <c r="D88" s="6" t="s">
        <v>53</v>
      </c>
      <c r="E88" s="12">
        <v>25</v>
      </c>
      <c r="F88" s="11">
        <f>LOOKUP(E88,{0,1,1.8,2.6,3.4,4.2,5,6.3,7.6,8.9,10.2,11.5,12.8,14.1,15.4,16.7,18,19.7,21.4,23.1,24.8},{0,10,20,30,40,50,60,62,64,66,68,70,72,74,76,78,80,85,90,95,100})</f>
        <v>100</v>
      </c>
      <c r="G88" s="12">
        <v>180</v>
      </c>
      <c r="H88" s="11">
        <f>LOOKUP(G88,{0,124,129,134,139,144,149,152,155,158,161,164,167,170,173,176,179,186,193,199,205},{0,10,20,30,40,50,60,62,64,66,68,70,72,74,76,78,80,85,90,95,100})</f>
        <v>80</v>
      </c>
      <c r="I88" s="12">
        <v>40</v>
      </c>
      <c r="J88" s="11">
        <f>LOOKUP(I88,{0,14,16,18,20,22,24,26,28,30,32,34,36,38,40,42,44,47,50,52,54},{0,10,20,30,40,50,60,62,64,66,68,70,72,74,76,78,80,85,90,95,100})</f>
        <v>76</v>
      </c>
      <c r="K88" s="12"/>
      <c r="L88" s="12"/>
      <c r="M88" s="12">
        <f t="shared" si="34"/>
        <v>76</v>
      </c>
      <c r="N88" s="12">
        <v>8.4</v>
      </c>
      <c r="O88" s="12">
        <f t="shared" si="41"/>
        <v>3.6</v>
      </c>
      <c r="P88" s="11">
        <f>LOOKUP(O88,{0,0.5,0.7,0.9,1.1,1.3,1.5,1.7,1.9,2.1,2.3,2.5,2.7,2.9,3.1,3.3,3.5,3.8,4.1,4.2,4.3},{0,10,20,30,40,50,60,62,64,66,68,70,72,74,76,78,80,85,90,95,100})</f>
        <v>80</v>
      </c>
      <c r="Q88" s="12">
        <v>3.4</v>
      </c>
      <c r="R88" s="12">
        <f t="shared" si="36"/>
        <v>6.6</v>
      </c>
      <c r="S88" s="11">
        <f>LOOKUP(R88,{0,4.72,4.82,4.92,5.42,5.52,5.62,5.67,5.72,5.77,5.82,5.87,5.92,5.97,6.42,6.47,6.52,6.59,6.66,6.72,6.78},{0,10,20,30,40,50,60,62,64,66,68,70,72,74,76,78,80,85,90,95,100})</f>
        <v>85</v>
      </c>
      <c r="T88" s="12"/>
      <c r="U88" s="12"/>
      <c r="V88" s="12">
        <f t="shared" si="37"/>
        <v>85</v>
      </c>
      <c r="W88" s="12"/>
      <c r="X88" s="20">
        <f t="shared" si="26"/>
        <v>58.6</v>
      </c>
      <c r="Y88" s="20">
        <f t="shared" si="38"/>
        <v>83.7142857142857</v>
      </c>
    </row>
    <row r="89" customFormat="1" ht="15.6" hidden="1" outlineLevel="2" spans="1:25">
      <c r="A89" s="12">
        <v>202</v>
      </c>
      <c r="B89" s="12">
        <v>41</v>
      </c>
      <c r="C89" s="6" t="s">
        <v>109</v>
      </c>
      <c r="D89" s="6" t="s">
        <v>53</v>
      </c>
      <c r="E89" s="12">
        <v>25</v>
      </c>
      <c r="F89" s="11">
        <f>LOOKUP(E89,{0,1,1.8,2.6,3.4,4.2,5,6.3,7.6,8.9,10.2,11.5,12.8,14.1,15.4,16.7,18,19.7,21.4,23.1,24.8},{0,10,20,30,40,50,60,62,64,66,68,70,72,74,76,78,80,85,90,95,100})</f>
        <v>100</v>
      </c>
      <c r="G89" s="12">
        <v>195</v>
      </c>
      <c r="H89" s="11">
        <f>LOOKUP(G89,{0,124,129,134,139,144,149,152,155,158,161,164,167,170,173,176,179,186,193,199,205},{0,10,20,30,40,50,60,62,64,66,68,70,72,74,76,78,80,85,90,95,100})</f>
        <v>90</v>
      </c>
      <c r="I89" s="12">
        <v>45</v>
      </c>
      <c r="J89" s="11">
        <f>LOOKUP(I89,{0,14,16,18,20,22,24,26,28,30,32,34,36,38,40,42,44,47,50,52,54},{0,10,20,30,40,50,60,62,64,66,68,70,72,74,76,78,80,85,90,95,100})</f>
        <v>80</v>
      </c>
      <c r="K89" s="12"/>
      <c r="L89" s="12"/>
      <c r="M89" s="12">
        <f t="shared" si="34"/>
        <v>80</v>
      </c>
      <c r="N89" s="12">
        <v>8.2</v>
      </c>
      <c r="O89" s="12">
        <f t="shared" si="41"/>
        <v>3.8</v>
      </c>
      <c r="P89" s="11">
        <f>LOOKUP(O89,{0,0.5,0.7,0.9,1.1,1.3,1.5,1.7,1.9,2.1,2.3,2.5,2.7,2.9,3.1,3.3,3.5,3.8,4.1,4.2,4.3},{0,10,20,30,40,50,60,62,64,66,68,70,72,74,76,78,80,85,90,95,100})</f>
        <v>85</v>
      </c>
      <c r="Q89" s="12">
        <v>3.49</v>
      </c>
      <c r="R89" s="12">
        <f t="shared" si="36"/>
        <v>6.51</v>
      </c>
      <c r="S89" s="11">
        <f>LOOKUP(R89,{0,4.72,4.82,4.92,5.42,5.52,5.62,5.67,5.72,5.77,5.82,5.87,5.92,5.97,6.42,6.47,6.52,6.59,6.66,6.72,6.78},{0,10,20,30,40,50,60,62,64,66,68,70,72,74,76,78,80,85,90,95,100})</f>
        <v>78</v>
      </c>
      <c r="T89" s="12"/>
      <c r="U89" s="12"/>
      <c r="V89" s="12">
        <f t="shared" si="37"/>
        <v>78</v>
      </c>
      <c r="W89" s="12"/>
      <c r="X89" s="20">
        <f t="shared" si="26"/>
        <v>59.6</v>
      </c>
      <c r="Y89" s="20">
        <f t="shared" si="38"/>
        <v>85.1428571428572</v>
      </c>
    </row>
    <row r="90" customFormat="1" ht="15.6" hidden="1" outlineLevel="2" spans="1:25">
      <c r="A90" s="12">
        <v>202</v>
      </c>
      <c r="B90" s="12">
        <v>42</v>
      </c>
      <c r="C90" s="6" t="s">
        <v>110</v>
      </c>
      <c r="D90" s="6" t="s">
        <v>53</v>
      </c>
      <c r="E90" s="12">
        <v>10</v>
      </c>
      <c r="F90" s="11">
        <f>LOOKUP(E90,{0,1,1.8,2.6,3.4,4.2,5,6.3,7.6,8.9,10.2,11.5,12.8,14.1,15.4,16.7,18,19.7,21.4,23.1,24.8},{0,10,20,30,40,50,60,62,64,66,68,70,72,74,76,78,80,85,90,95,100})</f>
        <v>66</v>
      </c>
      <c r="G90" s="12">
        <v>161</v>
      </c>
      <c r="H90" s="11">
        <f>LOOKUP(G90,{0,124,129,134,139,144,149,152,155,158,161,164,167,170,173,176,179,186,193,199,205},{0,10,20,30,40,50,60,62,64,66,68,70,72,74,76,78,80,85,90,95,100})</f>
        <v>68</v>
      </c>
      <c r="I90" s="12">
        <v>40</v>
      </c>
      <c r="J90" s="11">
        <f>LOOKUP(I90,{0,14,16,18,20,22,24,26,28,30,32,34,36,38,40,42,44,47,50,52,54},{0,10,20,30,40,50,60,62,64,66,68,70,72,74,76,78,80,85,90,95,100})</f>
        <v>76</v>
      </c>
      <c r="K90" s="12"/>
      <c r="L90" s="12"/>
      <c r="M90" s="12">
        <f t="shared" si="34"/>
        <v>76</v>
      </c>
      <c r="N90" s="12">
        <v>9.2</v>
      </c>
      <c r="O90" s="12">
        <f t="shared" si="41"/>
        <v>2.8</v>
      </c>
      <c r="P90" s="11">
        <f>LOOKUP(O90,{0,0.5,0.7,0.9,1.1,1.3,1.5,1.7,1.9,2.1,2.3,2.5,2.7,2.9,3.1,3.3,3.5,3.8,4.1,4.2,4.3},{0,10,20,30,40,50,60,62,64,66,68,70,72,74,76,78,80,85,90,95,100})</f>
        <v>72</v>
      </c>
      <c r="Q90" s="12">
        <v>4.08</v>
      </c>
      <c r="R90" s="12">
        <f t="shared" si="36"/>
        <v>5.92</v>
      </c>
      <c r="S90" s="11">
        <f>LOOKUP(R90,{0,4.72,4.82,4.92,5.42,5.52,5.62,5.67,5.72,5.77,5.82,5.87,5.92,5.97,6.42,6.47,6.52,6.59,6.66,6.72,6.78},{0,10,20,30,40,50,60,62,64,66,68,70,72,74,76,78,80,85,90,95,100})</f>
        <v>72</v>
      </c>
      <c r="T90" s="12"/>
      <c r="U90" s="12"/>
      <c r="V90" s="12">
        <f t="shared" si="37"/>
        <v>72</v>
      </c>
      <c r="W90" s="12"/>
      <c r="X90" s="20">
        <f t="shared" si="26"/>
        <v>49.8</v>
      </c>
      <c r="Y90" s="20">
        <f t="shared" si="38"/>
        <v>71.1428571428572</v>
      </c>
    </row>
    <row r="91" customFormat="1" ht="15.6" hidden="1" outlineLevel="2" spans="1:25">
      <c r="A91" s="12">
        <v>202</v>
      </c>
      <c r="B91" s="12">
        <v>43</v>
      </c>
      <c r="C91" s="6" t="s">
        <v>111</v>
      </c>
      <c r="D91" s="6" t="s">
        <v>53</v>
      </c>
      <c r="E91" s="12">
        <v>25.5</v>
      </c>
      <c r="F91" s="11">
        <f>LOOKUP(E91,{0,1,1.8,2.6,3.4,4.2,5,6.3,7.6,8.9,10.2,11.5,12.8,14.1,15.4,16.7,18,19.7,21.4,23.1,24.8},{0,10,20,30,40,50,60,62,64,66,68,70,72,74,76,78,80,85,90,95,100})</f>
        <v>100</v>
      </c>
      <c r="G91" s="12">
        <v>180</v>
      </c>
      <c r="H91" s="11">
        <f>LOOKUP(G91,{0,124,129,134,139,144,149,152,155,158,161,164,167,170,173,176,179,186,193,199,205},{0,10,20,30,40,50,60,62,64,66,68,70,72,74,76,78,80,85,90,95,100})</f>
        <v>80</v>
      </c>
      <c r="I91" s="12">
        <v>50</v>
      </c>
      <c r="J91" s="11">
        <f>LOOKUP(I91,{0,14,16,18,20,22,24,26,28,30,32,34,36,38,40,42,44,47,50,52,54},{0,10,20,30,40,50,60,62,64,66,68,70,72,74,76,78,80,85,90,95,100})</f>
        <v>90</v>
      </c>
      <c r="K91" s="12"/>
      <c r="L91" s="12"/>
      <c r="M91" s="12">
        <f t="shared" si="34"/>
        <v>90</v>
      </c>
      <c r="N91" s="12">
        <v>8.4</v>
      </c>
      <c r="O91" s="12">
        <f t="shared" si="41"/>
        <v>3.6</v>
      </c>
      <c r="P91" s="11">
        <f>LOOKUP(O91,{0,0.5,0.7,0.9,1.1,1.3,1.5,1.7,1.9,2.1,2.3,2.5,2.7,2.9,3.1,3.3,3.5,3.8,4.1,4.2,4.3},{0,10,20,30,40,50,60,62,64,66,68,70,72,74,76,78,80,85,90,95,100})</f>
        <v>80</v>
      </c>
      <c r="Q91" s="12">
        <v>4.19</v>
      </c>
      <c r="R91" s="12">
        <f t="shared" si="36"/>
        <v>5.81</v>
      </c>
      <c r="S91" s="11">
        <f>LOOKUP(R91,{0,4.72,4.82,4.92,5.42,5.52,5.62,5.67,5.72,5.77,5.82,5.87,5.92,5.97,6.42,6.47,6.52,6.59,6.66,6.72,6.78},{0,10,20,30,40,50,60,62,64,66,68,70,72,74,76,78,80,85,90,95,100})</f>
        <v>66</v>
      </c>
      <c r="T91" s="12"/>
      <c r="U91" s="12"/>
      <c r="V91" s="12">
        <f t="shared" si="37"/>
        <v>66</v>
      </c>
      <c r="W91" s="12"/>
      <c r="X91" s="20">
        <f t="shared" si="26"/>
        <v>56.2</v>
      </c>
      <c r="Y91" s="20">
        <f t="shared" si="38"/>
        <v>80.2857142857143</v>
      </c>
    </row>
    <row r="92" ht="15.6" outlineLevel="1" collapsed="1" spans="1:25">
      <c r="A92" s="14" t="s">
        <v>856</v>
      </c>
      <c r="B92" s="12"/>
      <c r="C92" s="6"/>
      <c r="D92" s="6"/>
      <c r="E92" s="12"/>
      <c r="F92" s="11">
        <f>SUBTOTAL(1,F49:F91)</f>
        <v>82.2857142857143</v>
      </c>
      <c r="G92" s="12"/>
      <c r="H92" s="11">
        <f>SUBTOTAL(1,H49:H91)</f>
        <v>84.0952380952381</v>
      </c>
      <c r="I92" s="12"/>
      <c r="J92" s="11">
        <f>SUBTOTAL(1,J49:J91)</f>
        <v>66.9761904761905</v>
      </c>
      <c r="K92" s="12"/>
      <c r="L92" s="12"/>
      <c r="M92" s="12">
        <f>SUBTOTAL(1,M49:M91)</f>
        <v>68.0952380952381</v>
      </c>
      <c r="N92" s="12"/>
      <c r="O92" s="12"/>
      <c r="P92" s="11">
        <f>SUBTOTAL(1,P49:P91)</f>
        <v>86.8461538461538</v>
      </c>
      <c r="Q92" s="12"/>
      <c r="R92" s="12"/>
      <c r="S92" s="11">
        <f>SUBTOTAL(1,S49:S91)</f>
        <v>86.7317073170732</v>
      </c>
      <c r="T92" s="12"/>
      <c r="U92" s="12"/>
      <c r="V92" s="12">
        <f>SUBTOTAL(1,V49:V91)</f>
        <v>87.1951219512195</v>
      </c>
      <c r="W92" s="12"/>
      <c r="X92" s="20">
        <f>SUBTOTAL(1,X49:X91)</f>
        <v>55.0860465116279</v>
      </c>
      <c r="Y92" s="20">
        <f>SUBTOTAL(1,Y49:Y91)</f>
        <v>81.4651162790698</v>
      </c>
    </row>
    <row r="93" customFormat="1" ht="15.6" hidden="1" outlineLevel="2" spans="1:25">
      <c r="A93" s="12">
        <v>203</v>
      </c>
      <c r="B93" s="12">
        <v>1</v>
      </c>
      <c r="C93" s="13" t="s">
        <v>113</v>
      </c>
      <c r="D93" s="6" t="s">
        <v>11</v>
      </c>
      <c r="E93" s="12">
        <v>15</v>
      </c>
      <c r="F93" s="11">
        <f>LOOKUP(E93,{0,-2.9,-1.9,-0.9,0.1,1.1,2.1,3.5,4.9,6.3,7.7,9.1,10.5,11.9,13.3,14.7,16.1,18.3,20.5,22.4,24.3},{0,10,20,30,40,50,60,62,64,66,68,70,72,74,76,78,80,85,90,95,100})</f>
        <v>78</v>
      </c>
      <c r="G93" s="12">
        <v>209</v>
      </c>
      <c r="H93" s="11">
        <f>LOOKUP(G93,{0,175,180,185,190,195,200,204,208,212,216,220,224,228,232,236,240,248,255,260,265},{0,10,20,30,40,50,60,62,64,66,68,70,72,74,76,78,80,85,90,95,100})</f>
        <v>64</v>
      </c>
      <c r="I93" s="12">
        <v>10</v>
      </c>
      <c r="J93" s="11">
        <f>LOOKUP(I93,{0,3,4,5,6,7,8,9,10,11,12,13,14,15,16,17},{0,10,20,30,40,50,60,64,68,72,76,80,85,90,95,100})</f>
        <v>68</v>
      </c>
      <c r="K93" s="12"/>
      <c r="L93" s="12"/>
      <c r="M93" s="12">
        <f t="shared" ref="M93:M109" si="42">J93+L93</f>
        <v>68</v>
      </c>
      <c r="N93" s="12">
        <v>7.8</v>
      </c>
      <c r="O93" s="12">
        <f t="shared" ref="O93:O101" si="43">12-N93</f>
        <v>4.2</v>
      </c>
      <c r="P93" s="11">
        <f>LOOKUP(O93,{0,1.6,1.8,2,2.2,2.4,2.6,2.8,3,3.2,3.4,3.6,3.8,4,4.2,4.4,4.6,4.7,4.8,4.9,5},{0,10,20,30,40,50,60,62,64,66,68,70,72,74,76,78,80,85,90,95,100})</f>
        <v>76</v>
      </c>
      <c r="Q93" s="12">
        <v>3.57</v>
      </c>
      <c r="R93" s="12">
        <f t="shared" ref="R93:R102" si="44">10-Q93</f>
        <v>6.43</v>
      </c>
      <c r="S93" s="11">
        <f>LOOKUP(R93,{0,3.8,4,4.6,4.8,5,5.6,5.65,5.7,5.75,5.8,5.85,5.9,5.95,6,6.45,6.5,6.58,6.65,6.7,6.75},{0,10,20,30,40,50,60,62,64,66,68,70,72,74,76,78,80,85,90,95,100})</f>
        <v>76</v>
      </c>
      <c r="T93" s="12"/>
      <c r="U93" s="12"/>
      <c r="V93" s="12">
        <f t="shared" ref="V93:V102" si="45">S93+U93</f>
        <v>76</v>
      </c>
      <c r="W93" s="12"/>
      <c r="X93" s="20">
        <f t="shared" ref="X93:X135" si="46">F93*0.1+H93*0.1+J93*0.1+P93*0.2+S93*0.2</f>
        <v>51.4</v>
      </c>
      <c r="Y93" s="20">
        <f t="shared" ref="Y93:Y106" si="47">X93/0.7+L93+U93</f>
        <v>73.4285714285714</v>
      </c>
    </row>
    <row r="94" customFormat="1" ht="15.6" hidden="1" outlineLevel="2" spans="1:25">
      <c r="A94" s="12">
        <v>203</v>
      </c>
      <c r="B94" s="12">
        <v>2</v>
      </c>
      <c r="C94" s="6" t="s">
        <v>114</v>
      </c>
      <c r="D94" s="6" t="s">
        <v>11</v>
      </c>
      <c r="E94" s="12">
        <v>12</v>
      </c>
      <c r="F94" s="11">
        <f>LOOKUP(E94,{0,-2.9,-1.9,-0.9,0.1,1.1,2.1,3.5,4.9,6.3,7.7,9.1,10.5,11.9,13.3,14.7,16.1,18.3,20.5,22.4,24.3},{0,10,20,30,40,50,60,62,64,66,68,70,72,74,76,78,80,85,90,95,100})</f>
        <v>74</v>
      </c>
      <c r="G94" s="12">
        <v>275</v>
      </c>
      <c r="H94" s="11">
        <f>LOOKUP(G94,{0,175,180,185,190,195,200,204,208,212,216,220,224,228,232,236,240,248,255,260,265},{0,10,20,30,40,50,60,62,64,66,68,70,72,74,76,78,80,85,90,95,100})</f>
        <v>100</v>
      </c>
      <c r="I94" s="12">
        <v>21</v>
      </c>
      <c r="J94" s="11">
        <f>LOOKUP(I94,{0,3,4,5,6,7,8,9,10,11,12,13,14,15,16,17},{0,10,20,30,40,50,60,64,68,72,76,80,85,90,95,100})</f>
        <v>100</v>
      </c>
      <c r="K94" s="12">
        <f t="shared" ref="K94:K96" si="48">I94-17</f>
        <v>4</v>
      </c>
      <c r="L94" s="16">
        <f>LOOKUP(K94,{0,1,2,3,4,5,6,7,8,9,10},{0,1,2,3,4,5,6,7,8,9,10})</f>
        <v>4</v>
      </c>
      <c r="M94" s="12">
        <f t="shared" si="42"/>
        <v>104</v>
      </c>
      <c r="N94" s="12">
        <v>6.6</v>
      </c>
      <c r="O94" s="12">
        <f t="shared" si="43"/>
        <v>5.4</v>
      </c>
      <c r="P94" s="11">
        <f>LOOKUP(O94,{0,1.6,1.8,2,2.2,2.4,2.6,2.8,3,3.2,3.4,3.6,3.8,4,4.2,4.4,4.6,4.7,4.8,4.9,5},{0,10,20,30,40,50,60,62,64,66,68,70,72,74,76,78,80,85,90,95,100})</f>
        <v>100</v>
      </c>
      <c r="Q94" s="12">
        <v>3.27</v>
      </c>
      <c r="R94" s="12">
        <f t="shared" si="44"/>
        <v>6.73</v>
      </c>
      <c r="S94" s="11">
        <f>LOOKUP(R94,{0,3.8,4,4.6,4.8,5,5.6,5.65,5.7,5.75,5.8,5.85,5.9,5.95,6,6.45,6.5,6.58,6.65,6.7,6.75},{0,10,20,30,40,50,60,62,64,66,68,70,72,74,76,78,80,85,90,95,100})</f>
        <v>95</v>
      </c>
      <c r="T94" s="12"/>
      <c r="U94" s="12"/>
      <c r="V94" s="12">
        <f t="shared" si="45"/>
        <v>95</v>
      </c>
      <c r="W94" s="12"/>
      <c r="X94" s="20">
        <f t="shared" si="46"/>
        <v>66.4</v>
      </c>
      <c r="Y94" s="20">
        <f t="shared" si="47"/>
        <v>98.8571428571429</v>
      </c>
    </row>
    <row r="95" customFormat="1" ht="15.6" hidden="1" outlineLevel="2" spans="1:25">
      <c r="A95" s="12">
        <v>203</v>
      </c>
      <c r="B95" s="12">
        <v>3</v>
      </c>
      <c r="C95" s="6" t="s">
        <v>115</v>
      </c>
      <c r="D95" s="6" t="s">
        <v>11</v>
      </c>
      <c r="E95" s="12">
        <v>20</v>
      </c>
      <c r="F95" s="11">
        <f>LOOKUP(E95,{0,-2.9,-1.9,-0.9,0.1,1.1,2.1,3.5,4.9,6.3,7.7,9.1,10.5,11.9,13.3,14.7,16.1,18.3,20.5,22.4,24.3},{0,10,20,30,40,50,60,62,64,66,68,70,72,74,76,78,80,85,90,95,100})</f>
        <v>85</v>
      </c>
      <c r="G95" s="12">
        <v>251</v>
      </c>
      <c r="H95" s="11">
        <f>LOOKUP(G95,{0,175,180,185,190,195,200,204,208,212,216,220,224,228,232,236,240,248,255,260,265},{0,10,20,30,40,50,60,62,64,66,68,70,72,74,76,78,80,85,90,95,100})</f>
        <v>85</v>
      </c>
      <c r="I95" s="12">
        <v>30</v>
      </c>
      <c r="J95" s="11">
        <f>LOOKUP(I95,{0,3,4,5,6,7,8,9,10,11,12,13,14,15,16,17},{0,10,20,30,40,50,60,64,68,72,76,80,85,90,95,100})</f>
        <v>100</v>
      </c>
      <c r="K95" s="12">
        <f t="shared" si="48"/>
        <v>13</v>
      </c>
      <c r="L95" s="11">
        <f>LOOKUP(K95,{0,1,2,3,4,5,6,7,8,9,10},{0,1,2,3,4,5,6,7,8,9,10})</f>
        <v>10</v>
      </c>
      <c r="M95" s="12">
        <f t="shared" si="42"/>
        <v>110</v>
      </c>
      <c r="N95" s="12">
        <v>7.6</v>
      </c>
      <c r="O95" s="12">
        <f t="shared" si="43"/>
        <v>4.4</v>
      </c>
      <c r="P95" s="11">
        <f>LOOKUP(O95,{0,1.6,1.8,2,2.2,2.4,2.6,2.8,3,3.2,3.4,3.6,3.8,4,4.2,4.4,4.6,4.7,4.8,4.9,5},{0,10,20,30,40,50,60,62,64,66,68,70,72,74,76,78,80,85,90,95,100})</f>
        <v>78</v>
      </c>
      <c r="Q95" s="12">
        <v>3.17</v>
      </c>
      <c r="R95" s="12">
        <f t="shared" si="44"/>
        <v>6.83</v>
      </c>
      <c r="S95" s="11">
        <f>LOOKUP(R95,{0,3.8,4,4.6,4.8,5,5.6,5.65,5.7,5.75,5.8,5.85,5.9,5.95,6,6.45,6.5,6.58,6.65,6.7,6.75},{0,10,20,30,40,50,60,62,64,66,68,70,72,74,76,78,80,85,90,95,100})</f>
        <v>100</v>
      </c>
      <c r="T95" s="12">
        <f>3.25-Q95</f>
        <v>0.0800000000000001</v>
      </c>
      <c r="U95" s="11">
        <f>LOOKUP(T95,{0,0.04,0.08,0.12,0.16,0.2,0.23,0.26,0.29,0.32,0.35},{0,1,2,3,4,5,6,7,8,9,10})</f>
        <v>2</v>
      </c>
      <c r="V95" s="12">
        <f t="shared" si="45"/>
        <v>102</v>
      </c>
      <c r="W95" s="12"/>
      <c r="X95" s="20">
        <f t="shared" si="46"/>
        <v>62.6</v>
      </c>
      <c r="Y95" s="20">
        <f t="shared" si="47"/>
        <v>101.428571428571</v>
      </c>
    </row>
    <row r="96" s="1" customFormat="1" ht="15.6" hidden="1" outlineLevel="2" spans="1:25">
      <c r="A96" s="12">
        <v>203</v>
      </c>
      <c r="B96" s="12">
        <v>4</v>
      </c>
      <c r="C96" s="6" t="s">
        <v>116</v>
      </c>
      <c r="D96" s="6" t="s">
        <v>11</v>
      </c>
      <c r="E96" s="12">
        <v>19</v>
      </c>
      <c r="F96" s="11">
        <f>LOOKUP(E96,{0,-2.9,-1.9,-0.9,0.1,1.1,2.1,3.5,4.9,6.3,7.7,9.1,10.5,11.9,13.3,14.7,16.1,18.3,20.5,22.4,24.3},{0,10,20,30,40,50,60,62,64,66,68,70,72,74,76,78,80,85,90,95,100})</f>
        <v>85</v>
      </c>
      <c r="G96" s="12">
        <v>260</v>
      </c>
      <c r="H96" s="11">
        <f>LOOKUP(G96,{0,175,180,185,190,195,200,204,208,212,216,220,224,228,232,236,240,248,255,260,265},{0,10,20,30,40,50,60,62,64,66,68,70,72,74,76,78,80,85,90,95,100})</f>
        <v>95</v>
      </c>
      <c r="I96" s="12">
        <v>17</v>
      </c>
      <c r="J96" s="11">
        <f>LOOKUP(I96,{0,3,4,5,6,7,8,9,10,11,12,13,14,15,16,17},{0,10,20,30,40,50,60,64,68,72,76,80,85,90,95,100})</f>
        <v>100</v>
      </c>
      <c r="K96" s="12">
        <f t="shared" si="48"/>
        <v>0</v>
      </c>
      <c r="L96" s="11">
        <f>LOOKUP(K96,{0,1,2,3,4,5,6,7,8,9,10},{0,1,2,3,4,5,6,7,8,9,10})</f>
        <v>0</v>
      </c>
      <c r="M96" s="12">
        <f t="shared" si="42"/>
        <v>100</v>
      </c>
      <c r="N96" s="12">
        <v>7</v>
      </c>
      <c r="O96" s="12">
        <f t="shared" si="43"/>
        <v>5</v>
      </c>
      <c r="P96" s="11">
        <f>LOOKUP(O96,{0,1.6,1.8,2,2.2,2.4,2.6,2.8,3,3.2,3.4,3.6,3.8,4,4.2,4.4,4.6,4.7,4.8,4.9,5},{0,10,20,30,40,50,60,62,64,66,68,70,72,74,76,78,80,85,90,95,100})</f>
        <v>100</v>
      </c>
      <c r="Q96" s="12">
        <v>3.26</v>
      </c>
      <c r="R96" s="12">
        <f t="shared" si="44"/>
        <v>6.74</v>
      </c>
      <c r="S96" s="11">
        <f>LOOKUP(R96,{0,3.8,4,4.6,4.8,5,5.6,5.65,5.7,5.75,5.8,5.85,5.9,5.95,6,6.45,6.5,6.58,6.65,6.7,6.75},{0,10,20,30,40,50,60,62,64,66,68,70,72,74,76,78,80,85,90,95,100})</f>
        <v>95</v>
      </c>
      <c r="T96" s="12"/>
      <c r="U96" s="12"/>
      <c r="V96" s="12">
        <f t="shared" si="45"/>
        <v>95</v>
      </c>
      <c r="W96" s="12"/>
      <c r="X96" s="20">
        <f t="shared" si="46"/>
        <v>67</v>
      </c>
      <c r="Y96" s="20">
        <f t="shared" si="47"/>
        <v>95.7142857142857</v>
      </c>
    </row>
    <row r="97" ht="15.6" hidden="1" outlineLevel="2" spans="1:25">
      <c r="A97" s="12">
        <v>203</v>
      </c>
      <c r="B97" s="12">
        <v>5</v>
      </c>
      <c r="C97" s="6" t="s">
        <v>117</v>
      </c>
      <c r="D97" s="6" t="s">
        <v>11</v>
      </c>
      <c r="E97" s="12">
        <v>19.5</v>
      </c>
      <c r="F97" s="11">
        <f>LOOKUP(E97,{0,-2.9,-1.9,-0.9,0.1,1.1,2.1,3.5,4.9,6.3,7.7,9.1,10.5,11.9,13.3,14.7,16.1,18.3,20.5,22.4,24.3},{0,10,20,30,40,50,60,62,64,66,68,70,72,74,76,78,80,85,90,95,100})</f>
        <v>85</v>
      </c>
      <c r="G97" s="12">
        <v>230</v>
      </c>
      <c r="H97" s="11">
        <f>LOOKUP(G97,{0,175,180,185,190,195,200,204,208,212,216,220,224,228,232,236,240,248,255,260,265},{0,10,20,30,40,50,60,62,64,66,68,70,72,74,76,78,80,85,90,95,100})</f>
        <v>74</v>
      </c>
      <c r="I97" s="12">
        <v>6</v>
      </c>
      <c r="J97" s="11">
        <f>LOOKUP(I97,{0,3,4,5,6,7,8,9,10,11,12,13,14,15,16,17},{0,10,20,30,40,50,60,64,68,72,76,80,85,90,95,100})</f>
        <v>40</v>
      </c>
      <c r="K97" s="12"/>
      <c r="L97" s="12"/>
      <c r="M97" s="12">
        <f t="shared" si="42"/>
        <v>40</v>
      </c>
      <c r="N97" s="12">
        <v>7.6</v>
      </c>
      <c r="O97" s="12">
        <f t="shared" si="43"/>
        <v>4.4</v>
      </c>
      <c r="P97" s="11">
        <f>LOOKUP(O97,{0,1.6,1.8,2,2.2,2.4,2.6,2.8,3,3.2,3.4,3.6,3.8,4,4.2,4.4,4.6,4.7,4.8,4.9,5},{0,10,20,30,40,50,60,62,64,66,68,70,72,74,76,78,80,85,90,95,100})</f>
        <v>78</v>
      </c>
      <c r="Q97" s="12">
        <v>3.28</v>
      </c>
      <c r="R97" s="12">
        <f t="shared" si="44"/>
        <v>6.72</v>
      </c>
      <c r="S97" s="11">
        <f>LOOKUP(R97,{0,3.8,4,4.6,4.8,5,5.6,5.65,5.7,5.75,5.8,5.85,5.9,5.95,6,6.45,6.5,6.58,6.65,6.7,6.75},{0,10,20,30,40,50,60,62,64,66,68,70,72,74,76,78,80,85,90,95,100})</f>
        <v>95</v>
      </c>
      <c r="T97" s="12"/>
      <c r="U97" s="12"/>
      <c r="V97" s="12">
        <f t="shared" si="45"/>
        <v>95</v>
      </c>
      <c r="W97" s="12"/>
      <c r="X97" s="20">
        <f t="shared" si="46"/>
        <v>54.5</v>
      </c>
      <c r="Y97" s="20">
        <f t="shared" si="47"/>
        <v>77.8571428571429</v>
      </c>
    </row>
    <row r="98" ht="15.6" hidden="1" outlineLevel="2" spans="1:25">
      <c r="A98" s="12">
        <v>203</v>
      </c>
      <c r="B98" s="12">
        <v>6</v>
      </c>
      <c r="C98" s="6" t="s">
        <v>118</v>
      </c>
      <c r="D98" s="6" t="s">
        <v>11</v>
      </c>
      <c r="E98" s="12">
        <v>17</v>
      </c>
      <c r="F98" s="11">
        <f>LOOKUP(E98,{0,-2.9,-1.9,-0.9,0.1,1.1,2.1,3.5,4.9,6.3,7.7,9.1,10.5,11.9,13.3,14.7,16.1,18.3,20.5,22.4,24.3},{0,10,20,30,40,50,60,62,64,66,68,70,72,74,76,78,80,85,90,95,100})</f>
        <v>80</v>
      </c>
      <c r="G98" s="12">
        <v>275</v>
      </c>
      <c r="H98" s="11">
        <f>LOOKUP(G98,{0,175,180,185,190,195,200,204,208,212,216,220,224,228,232,236,240,248,255,260,265},{0,10,20,30,40,50,60,62,64,66,68,70,72,74,76,78,80,85,90,95,100})</f>
        <v>100</v>
      </c>
      <c r="I98" s="12">
        <v>12</v>
      </c>
      <c r="J98" s="11">
        <f>LOOKUP(I98,{0,3,4,5,6,7,8,9,10,11,12,13,14,15,16,17},{0,10,20,30,40,50,60,64,68,72,76,80,85,90,95,100})</f>
        <v>76</v>
      </c>
      <c r="K98" s="12"/>
      <c r="L98" s="15"/>
      <c r="M98" s="12">
        <f t="shared" si="42"/>
        <v>76</v>
      </c>
      <c r="N98" s="12">
        <v>7.5</v>
      </c>
      <c r="O98" s="12">
        <f t="shared" si="43"/>
        <v>4.5</v>
      </c>
      <c r="P98" s="11">
        <f>LOOKUP(O98,{0,1.6,1.8,2,2.2,2.4,2.6,2.8,3,3.2,3.4,3.6,3.8,4,4.2,4.4,4.6,4.7,4.8,4.9,5},{0,10,20,30,40,50,60,62,64,66,68,70,72,74,76,78,80,85,90,95,100})</f>
        <v>78</v>
      </c>
      <c r="Q98" s="12">
        <v>3.55</v>
      </c>
      <c r="R98" s="12">
        <f t="shared" si="44"/>
        <v>6.45</v>
      </c>
      <c r="S98" s="11">
        <f>LOOKUP(R98,{0,3.8,4,4.6,4.8,5,5.6,5.65,5.7,5.75,5.8,5.85,5.9,5.95,6,6.45,6.5,6.58,6.65,6.7,6.75},{0,10,20,30,40,50,60,62,64,66,68,70,72,74,76,78,80,85,90,95,100})</f>
        <v>78</v>
      </c>
      <c r="T98" s="12"/>
      <c r="U98" s="12"/>
      <c r="V98" s="12">
        <f t="shared" si="45"/>
        <v>78</v>
      </c>
      <c r="W98" s="12"/>
      <c r="X98" s="20">
        <f t="shared" si="46"/>
        <v>56.8</v>
      </c>
      <c r="Y98" s="20">
        <f t="shared" si="47"/>
        <v>81.1428571428572</v>
      </c>
    </row>
    <row r="99" ht="15.6" hidden="1" outlineLevel="2" spans="1:25">
      <c r="A99" s="12">
        <v>203</v>
      </c>
      <c r="B99" s="12">
        <v>7</v>
      </c>
      <c r="C99" s="6" t="s">
        <v>119</v>
      </c>
      <c r="D99" s="6" t="s">
        <v>11</v>
      </c>
      <c r="E99" s="12">
        <v>18.5</v>
      </c>
      <c r="F99" s="11">
        <f>LOOKUP(E99,{0,-2.9,-1.9,-0.9,0.1,1.1,2.1,3.5,4.9,6.3,7.7,9.1,10.5,11.9,13.3,14.7,16.1,18.3,20.5,22.4,24.3},{0,10,20,30,40,50,60,62,64,66,68,70,72,74,76,78,80,85,90,95,100})</f>
        <v>85</v>
      </c>
      <c r="G99" s="12">
        <v>275</v>
      </c>
      <c r="H99" s="11">
        <f>LOOKUP(G99,{0,175,180,185,190,195,200,204,208,212,216,220,224,228,232,236,240,248,255,260,265},{0,10,20,30,40,50,60,62,64,66,68,70,72,74,76,78,80,85,90,95,100})</f>
        <v>100</v>
      </c>
      <c r="I99" s="12">
        <v>4</v>
      </c>
      <c r="J99" s="11">
        <f>LOOKUP(I99,{0,3,4,5,6,7,8,9,10,11,12,13,14,15,16,17},{0,10,20,30,40,50,60,64,68,72,76,80,85,90,95,100})</f>
        <v>20</v>
      </c>
      <c r="K99" s="12"/>
      <c r="L99" s="12"/>
      <c r="M99" s="12">
        <f t="shared" si="42"/>
        <v>20</v>
      </c>
      <c r="N99" s="12">
        <v>6.5</v>
      </c>
      <c r="O99" s="12">
        <f t="shared" si="43"/>
        <v>5.5</v>
      </c>
      <c r="P99" s="11">
        <f>LOOKUP(O99,{0,1.6,1.8,2,2.2,2.4,2.6,2.8,3,3.2,3.4,3.6,3.8,4,4.2,4.4,4.6,4.7,4.8,4.9,5},{0,10,20,30,40,50,60,62,64,66,68,70,72,74,76,78,80,85,90,95,100})</f>
        <v>100</v>
      </c>
      <c r="Q99" s="12">
        <v>3.19</v>
      </c>
      <c r="R99" s="12">
        <f t="shared" si="44"/>
        <v>6.81</v>
      </c>
      <c r="S99" s="11">
        <f>LOOKUP(R99,{0,3.8,4,4.6,4.8,5,5.6,5.65,5.7,5.75,5.8,5.85,5.9,5.95,6,6.45,6.5,6.58,6.65,6.7,6.75},{0,10,20,30,40,50,60,62,64,66,68,70,72,74,76,78,80,85,90,95,100})</f>
        <v>100</v>
      </c>
      <c r="T99" s="12">
        <f>3.25-Q99</f>
        <v>0.0600000000000001</v>
      </c>
      <c r="U99" s="11">
        <f>LOOKUP(T99,{0,0.04,0.08,0.12,0.16,0.2,0.23,0.26,0.29,0.32,0.35},{0,1,2,3,4,5,6,7,8,9,10})</f>
        <v>1</v>
      </c>
      <c r="V99" s="12">
        <f t="shared" si="45"/>
        <v>101</v>
      </c>
      <c r="W99" s="12"/>
      <c r="X99" s="20">
        <f t="shared" si="46"/>
        <v>60.5</v>
      </c>
      <c r="Y99" s="20">
        <f t="shared" si="47"/>
        <v>87.4285714285714</v>
      </c>
    </row>
    <row r="100" ht="15.6" hidden="1" outlineLevel="2" spans="1:25">
      <c r="A100" s="12">
        <v>203</v>
      </c>
      <c r="B100" s="12">
        <v>8</v>
      </c>
      <c r="C100" s="6" t="s">
        <v>120</v>
      </c>
      <c r="D100" s="6" t="s">
        <v>11</v>
      </c>
      <c r="E100" s="12">
        <v>18</v>
      </c>
      <c r="F100" s="11">
        <f>LOOKUP(E100,{0,-2.9,-1.9,-0.9,0.1,1.1,2.1,3.5,4.9,6.3,7.7,9.1,10.5,11.9,13.3,14.7,16.1,18.3,20.5,22.4,24.3},{0,10,20,30,40,50,60,62,64,66,68,70,72,74,76,78,80,85,90,95,100})</f>
        <v>80</v>
      </c>
      <c r="G100" s="12">
        <v>252</v>
      </c>
      <c r="H100" s="11">
        <f>LOOKUP(G100,{0,175,180,185,190,195,200,204,208,212,216,220,224,228,232,236,240,248,255,260,265},{0,10,20,30,40,50,60,62,64,66,68,70,72,74,76,78,80,85,90,95,100})</f>
        <v>85</v>
      </c>
      <c r="I100" s="12">
        <v>1</v>
      </c>
      <c r="J100" s="11">
        <f>LOOKUP(I100,{0,3,4,5,6,7,8,9,10,11,12,13,14,15,16,17},{0,10,20,30,40,50,60,64,68,72,76,80,85,90,95,100})</f>
        <v>0</v>
      </c>
      <c r="K100" s="12"/>
      <c r="L100" s="15"/>
      <c r="M100" s="12">
        <f t="shared" si="42"/>
        <v>0</v>
      </c>
      <c r="N100" s="12">
        <v>7.5</v>
      </c>
      <c r="O100" s="12">
        <f t="shared" si="43"/>
        <v>4.5</v>
      </c>
      <c r="P100" s="11">
        <f>LOOKUP(O100,{0,1.6,1.8,2,2.2,2.4,2.6,2.8,3,3.2,3.4,3.6,3.8,4,4.2,4.4,4.6,4.7,4.8,4.9,5},{0,10,20,30,40,50,60,62,64,66,68,70,72,74,76,78,80,85,90,95,100})</f>
        <v>78</v>
      </c>
      <c r="Q100" s="12">
        <v>3.32</v>
      </c>
      <c r="R100" s="12">
        <f t="shared" si="44"/>
        <v>6.68</v>
      </c>
      <c r="S100" s="11">
        <f>LOOKUP(R100,{0,3.8,4,4.6,4.8,5,5.6,5.65,5.7,5.75,5.8,5.85,5.9,5.95,6,6.45,6.5,6.58,6.65,6.7,6.75},{0,10,20,30,40,50,60,62,64,66,68,70,72,74,76,78,80,85,90,95,100})</f>
        <v>90</v>
      </c>
      <c r="T100" s="12"/>
      <c r="U100" s="12"/>
      <c r="V100" s="12">
        <f t="shared" si="45"/>
        <v>90</v>
      </c>
      <c r="W100" s="12"/>
      <c r="X100" s="20">
        <f t="shared" si="46"/>
        <v>50.1</v>
      </c>
      <c r="Y100" s="20">
        <f t="shared" si="47"/>
        <v>71.5714285714286</v>
      </c>
    </row>
    <row r="101" ht="15.6" hidden="1" outlineLevel="2" spans="1:25">
      <c r="A101" s="12">
        <v>203</v>
      </c>
      <c r="B101" s="12">
        <v>9</v>
      </c>
      <c r="C101" s="6" t="s">
        <v>121</v>
      </c>
      <c r="D101" s="6" t="s">
        <v>11</v>
      </c>
      <c r="E101" s="12">
        <v>10.5</v>
      </c>
      <c r="F101" s="11">
        <f>LOOKUP(E101,{0,-2.9,-1.9,-0.9,0.1,1.1,2.1,3.5,4.9,6.3,7.7,9.1,10.5,11.9,13.3,14.7,16.1,18.3,20.5,22.4,24.3},{0,10,20,30,40,50,60,62,64,66,68,70,72,74,76,78,80,85,90,95,100})</f>
        <v>72</v>
      </c>
      <c r="G101" s="12">
        <v>233</v>
      </c>
      <c r="H101" s="11">
        <f>LOOKUP(G101,{0,175,180,185,190,195,200,204,208,212,216,220,224,228,232,236,240,248,255,260,265},{0,10,20,30,40,50,60,62,64,66,68,70,72,74,76,78,80,85,90,95,100})</f>
        <v>76</v>
      </c>
      <c r="I101" s="12">
        <v>16</v>
      </c>
      <c r="J101" s="11">
        <f>LOOKUP(I101,{0,3,4,5,6,7,8,9,10,11,12,13,14,15,16,17},{0,10,20,30,40,50,60,64,68,72,76,80,85,90,95,100})</f>
        <v>95</v>
      </c>
      <c r="K101" s="12"/>
      <c r="L101" s="12"/>
      <c r="M101" s="12">
        <f t="shared" si="42"/>
        <v>95</v>
      </c>
      <c r="N101" s="12">
        <v>7</v>
      </c>
      <c r="O101" s="12">
        <f t="shared" si="43"/>
        <v>5</v>
      </c>
      <c r="P101" s="11">
        <f>LOOKUP(O101,{0,1.6,1.8,2,2.2,2.4,2.6,2.8,3,3.2,3.4,3.6,3.8,4,4.2,4.4,4.6,4.7,4.8,4.9,5},{0,10,20,30,40,50,60,62,64,66,68,70,72,74,76,78,80,85,90,95,100})</f>
        <v>100</v>
      </c>
      <c r="Q101" s="12">
        <v>3.38</v>
      </c>
      <c r="R101" s="12">
        <f t="shared" si="44"/>
        <v>6.62</v>
      </c>
      <c r="S101" s="11">
        <f>LOOKUP(R101,{0,3.8,4,4.6,4.8,5,5.6,5.65,5.7,5.75,5.8,5.85,5.9,5.95,6,6.45,6.5,6.58,6.65,6.7,6.75},{0,10,20,30,40,50,60,62,64,66,68,70,72,74,76,78,80,85,90,95,100})</f>
        <v>85</v>
      </c>
      <c r="T101" s="12"/>
      <c r="U101" s="12"/>
      <c r="V101" s="12">
        <f t="shared" si="45"/>
        <v>85</v>
      </c>
      <c r="W101" s="12"/>
      <c r="X101" s="20">
        <f t="shared" si="46"/>
        <v>61.3</v>
      </c>
      <c r="Y101" s="20">
        <f t="shared" si="47"/>
        <v>87.5714285714286</v>
      </c>
    </row>
    <row r="102" ht="15.6" hidden="1" outlineLevel="2" spans="1:25">
      <c r="A102" s="12">
        <v>203</v>
      </c>
      <c r="B102" s="12">
        <v>10</v>
      </c>
      <c r="C102" s="6" t="s">
        <v>122</v>
      </c>
      <c r="D102" s="6" t="s">
        <v>11</v>
      </c>
      <c r="E102" s="12">
        <v>17</v>
      </c>
      <c r="F102" s="11">
        <f>LOOKUP(E102,{0,-2.9,-1.9,-0.9,0.1,1.1,2.1,3.5,4.9,6.3,7.7,9.1,10.5,11.9,13.3,14.7,16.1,18.3,20.5,22.4,24.3},{0,10,20,30,40,50,60,62,64,66,68,70,72,74,76,78,80,85,90,95,100})</f>
        <v>80</v>
      </c>
      <c r="G102" s="12">
        <v>262</v>
      </c>
      <c r="H102" s="11">
        <f>LOOKUP(G102,{0,175,180,185,190,195,200,204,208,212,216,220,224,228,232,236,240,248,255,260,265},{0,10,20,30,40,50,60,62,64,66,68,70,72,74,76,78,80,85,90,95,100})</f>
        <v>95</v>
      </c>
      <c r="I102" s="12">
        <v>25</v>
      </c>
      <c r="J102" s="11">
        <f>LOOKUP(I102,{0,3,4,5,6,7,8,9,10,11,12,13,14,15,16,17},{0,10,20,30,40,50,60,64,68,72,76,80,85,90,95,100})</f>
        <v>100</v>
      </c>
      <c r="K102" s="12">
        <f>I102-17</f>
        <v>8</v>
      </c>
      <c r="L102" s="11">
        <f>LOOKUP(K102,{0,1,2,3,4,5,6,7,8,9,10},{0,1,2,3,4,5,6,7,8,9,10})</f>
        <v>8</v>
      </c>
      <c r="M102" s="12">
        <f t="shared" si="42"/>
        <v>108</v>
      </c>
      <c r="N102" s="12"/>
      <c r="O102" s="12"/>
      <c r="P102" s="11"/>
      <c r="Q102" s="12">
        <v>3.39</v>
      </c>
      <c r="R102" s="12">
        <f t="shared" si="44"/>
        <v>6.61</v>
      </c>
      <c r="S102" s="11">
        <f>LOOKUP(R102,{0,3.8,4,4.6,4.8,5,5.6,5.65,5.7,5.75,5.8,5.85,5.9,5.95,6,6.45,6.5,6.58,6.65,6.7,6.75},{0,10,20,30,40,50,60,62,64,66,68,70,72,74,76,78,80,85,90,95,100})</f>
        <v>85</v>
      </c>
      <c r="T102" s="12"/>
      <c r="U102" s="12"/>
      <c r="V102" s="12">
        <f t="shared" si="45"/>
        <v>85</v>
      </c>
      <c r="W102" s="12"/>
      <c r="X102" s="20">
        <f t="shared" si="46"/>
        <v>44.5</v>
      </c>
      <c r="Y102" s="20">
        <f t="shared" si="47"/>
        <v>71.5714285714286</v>
      </c>
    </row>
    <row r="103" ht="15.6" hidden="1" outlineLevel="2" spans="1:25">
      <c r="A103" s="12">
        <v>203</v>
      </c>
      <c r="B103" s="12">
        <v>11</v>
      </c>
      <c r="C103" s="6" t="s">
        <v>123</v>
      </c>
      <c r="D103" s="6" t="s">
        <v>11</v>
      </c>
      <c r="E103" s="12">
        <v>26</v>
      </c>
      <c r="F103" s="11">
        <f>LOOKUP(E103,{0,-2.9,-1.9,-0.9,0.1,1.1,2.1,3.5,4.9,6.3,7.7,9.1,10.5,11.9,13.3,14.7,16.1,18.3,20.5,22.4,24.3},{0,10,20,30,40,50,60,62,64,66,68,70,72,74,76,78,80,85,90,95,100})</f>
        <v>100</v>
      </c>
      <c r="G103" s="12">
        <v>273</v>
      </c>
      <c r="H103" s="11">
        <f>LOOKUP(G103,{0,175,180,185,190,195,200,204,208,212,216,220,224,228,232,236,240,248,255,260,265},{0,10,20,30,40,50,60,62,64,66,68,70,72,74,76,78,80,85,90,95,100})</f>
        <v>100</v>
      </c>
      <c r="I103" s="12">
        <v>27</v>
      </c>
      <c r="J103" s="11">
        <f>LOOKUP(I103,{0,3,4,5,6,7,8,9,10,11,12,13,14,15,16,17},{0,10,20,30,40,50,60,64,68,72,76,80,85,90,95,100})</f>
        <v>100</v>
      </c>
      <c r="K103" s="12">
        <f>I103-17</f>
        <v>10</v>
      </c>
      <c r="L103" s="11">
        <f>LOOKUP(K103,{0,1,2,3,4,5,6,7,8,9,10},{0,1,2,3,4,5,6,7,8,9,10})</f>
        <v>10</v>
      </c>
      <c r="M103" s="12">
        <f t="shared" si="42"/>
        <v>110</v>
      </c>
      <c r="N103" s="12">
        <v>6.7</v>
      </c>
      <c r="O103" s="12">
        <f t="shared" ref="O103:O109" si="49">12-N103</f>
        <v>5.3</v>
      </c>
      <c r="P103" s="11">
        <f>LOOKUP(O103,{0,1.6,1.8,2,2.2,2.4,2.6,2.8,3,3.2,3.4,3.6,3.8,4,4.2,4.4,4.6,4.7,4.8,4.9,5},{0,10,20,30,40,50,60,62,64,66,68,70,72,74,76,78,80,85,90,95,100})</f>
        <v>100</v>
      </c>
      <c r="Q103" s="12"/>
      <c r="R103" s="12"/>
      <c r="S103" s="11"/>
      <c r="T103" s="12"/>
      <c r="U103" s="11"/>
      <c r="V103" s="12"/>
      <c r="W103" s="12"/>
      <c r="X103" s="20">
        <f t="shared" si="46"/>
        <v>50</v>
      </c>
      <c r="Y103" s="20">
        <f t="shared" si="47"/>
        <v>81.4285714285714</v>
      </c>
    </row>
    <row r="104" ht="15.6" hidden="1" outlineLevel="2" spans="1:25">
      <c r="A104" s="12">
        <v>203</v>
      </c>
      <c r="B104" s="12">
        <v>12</v>
      </c>
      <c r="C104" s="13" t="s">
        <v>125</v>
      </c>
      <c r="D104" s="6" t="s">
        <v>11</v>
      </c>
      <c r="E104" s="12">
        <v>15.4</v>
      </c>
      <c r="F104" s="11">
        <f>LOOKUP(E104,{0,-2.9,-1.9,-0.9,0.1,1.1,2.1,3.5,4.9,6.3,7.7,9.1,10.5,11.9,13.3,14.7,16.1,18.3,20.5,22.4,24.3},{0,10,20,30,40,50,60,62,64,66,68,70,72,74,76,78,80,85,90,95,100})</f>
        <v>78</v>
      </c>
      <c r="G104" s="12">
        <v>253</v>
      </c>
      <c r="H104" s="11">
        <f>LOOKUP(G104,{0,175,180,185,190,195,200,204,208,212,216,220,224,228,232,236,240,248,255,260,265},{0,10,20,30,40,50,60,62,64,66,68,70,72,74,76,78,80,85,90,95,100})</f>
        <v>85</v>
      </c>
      <c r="I104" s="12">
        <v>5</v>
      </c>
      <c r="J104" s="11">
        <f>LOOKUP(I104,{0,3,4,5,6,7,8,9,10,11,12,13,14,15,16,17},{0,10,20,30,40,50,60,64,68,72,76,80,85,90,95,100})</f>
        <v>30</v>
      </c>
      <c r="K104" s="12"/>
      <c r="L104" s="15"/>
      <c r="M104" s="12">
        <f t="shared" si="42"/>
        <v>30</v>
      </c>
      <c r="N104" s="12">
        <v>6.6</v>
      </c>
      <c r="O104" s="12">
        <f t="shared" si="49"/>
        <v>5.4</v>
      </c>
      <c r="P104" s="11">
        <f>LOOKUP(O104,{0,1.6,1.8,2,2.2,2.4,2.6,2.8,3,3.2,3.4,3.6,3.8,4,4.2,4.4,4.6,4.7,4.8,4.9,5},{0,10,20,30,40,50,60,62,64,66,68,70,72,74,76,78,80,85,90,95,100})</f>
        <v>100</v>
      </c>
      <c r="Q104" s="12">
        <v>3.11</v>
      </c>
      <c r="R104" s="12">
        <f t="shared" ref="R104:R106" si="50">10-Q104</f>
        <v>6.89</v>
      </c>
      <c r="S104" s="11">
        <f>LOOKUP(R104,{0,3.8,4,4.6,4.8,5,5.6,5.65,5.7,5.75,5.8,5.85,5.9,5.95,6,6.45,6.5,6.58,6.65,6.7,6.75},{0,10,20,30,40,50,60,62,64,66,68,70,72,74,76,78,80,85,90,95,100})</f>
        <v>100</v>
      </c>
      <c r="T104" s="12">
        <f>3.25-Q104</f>
        <v>0.14</v>
      </c>
      <c r="U104" s="11">
        <f>LOOKUP(T104,{0,0.04,0.08,0.12,0.16,0.2,0.23,0.26,0.29,0.32,0.35},{0,1,2,3,4,5,6,7,8,9,10})</f>
        <v>3</v>
      </c>
      <c r="V104" s="12">
        <f t="shared" ref="V104:V106" si="51">S104+U104</f>
        <v>103</v>
      </c>
      <c r="W104" s="12"/>
      <c r="X104" s="20">
        <f t="shared" si="46"/>
        <v>59.3</v>
      </c>
      <c r="Y104" s="20">
        <f t="shared" si="47"/>
        <v>87.7142857142857</v>
      </c>
    </row>
    <row r="105" ht="15.6" hidden="1" outlineLevel="2" spans="1:25">
      <c r="A105" s="12">
        <v>203</v>
      </c>
      <c r="B105" s="12">
        <v>13</v>
      </c>
      <c r="C105" s="6" t="s">
        <v>126</v>
      </c>
      <c r="D105" s="6" t="s">
        <v>11</v>
      </c>
      <c r="E105" s="12">
        <v>10.5</v>
      </c>
      <c r="F105" s="11">
        <f>LOOKUP(E105,{0,-2.9,-1.9,-0.9,0.1,1.1,2.1,3.5,4.9,6.3,7.7,9.1,10.5,11.9,13.3,14.7,16.1,18.3,20.5,22.4,24.3},{0,10,20,30,40,50,60,62,64,66,68,70,72,74,76,78,80,85,90,95,100})</f>
        <v>72</v>
      </c>
      <c r="G105" s="12">
        <v>270</v>
      </c>
      <c r="H105" s="11">
        <f>LOOKUP(G105,{0,175,180,185,190,195,200,204,208,212,216,220,224,228,232,236,240,248,255,260,265},{0,10,20,30,40,50,60,62,64,66,68,70,72,74,76,78,80,85,90,95,100})</f>
        <v>100</v>
      </c>
      <c r="I105" s="12">
        <v>11</v>
      </c>
      <c r="J105" s="11">
        <f>LOOKUP(I105,{0,3,4,5,6,7,8,9,10,11,12,13,14,15,16,17},{0,10,20,30,40,50,60,64,68,72,76,80,85,90,95,100})</f>
        <v>72</v>
      </c>
      <c r="K105" s="12"/>
      <c r="L105" s="12"/>
      <c r="M105" s="12">
        <f t="shared" si="42"/>
        <v>72</v>
      </c>
      <c r="N105" s="12">
        <v>6.6</v>
      </c>
      <c r="O105" s="12">
        <f t="shared" si="49"/>
        <v>5.4</v>
      </c>
      <c r="P105" s="11">
        <f>LOOKUP(O105,{0,1.6,1.8,2,2.2,2.4,2.6,2.8,3,3.2,3.4,3.6,3.8,4,4.2,4.4,4.6,4.7,4.8,4.9,5},{0,10,20,30,40,50,60,62,64,66,68,70,72,74,76,78,80,85,90,95,100})</f>
        <v>100</v>
      </c>
      <c r="Q105" s="12">
        <v>3.39</v>
      </c>
      <c r="R105" s="12">
        <f t="shared" si="50"/>
        <v>6.61</v>
      </c>
      <c r="S105" s="11">
        <f>LOOKUP(R105,{0,3.8,4,4.6,4.8,5,5.6,5.65,5.7,5.75,5.8,5.85,5.9,5.95,6,6.45,6.5,6.58,6.65,6.7,6.75},{0,10,20,30,40,50,60,62,64,66,68,70,72,74,76,78,80,85,90,95,100})</f>
        <v>85</v>
      </c>
      <c r="T105" s="12"/>
      <c r="U105" s="12"/>
      <c r="V105" s="12">
        <f t="shared" si="51"/>
        <v>85</v>
      </c>
      <c r="W105" s="12"/>
      <c r="X105" s="20">
        <f t="shared" si="46"/>
        <v>61.4</v>
      </c>
      <c r="Y105" s="20">
        <f t="shared" si="47"/>
        <v>87.7142857142857</v>
      </c>
    </row>
    <row r="106" ht="15.6" hidden="1" outlineLevel="2" spans="1:25">
      <c r="A106" s="12">
        <v>203</v>
      </c>
      <c r="B106" s="12">
        <v>14</v>
      </c>
      <c r="C106" s="6" t="s">
        <v>127</v>
      </c>
      <c r="D106" s="6" t="s">
        <v>11</v>
      </c>
      <c r="E106" s="12">
        <v>17</v>
      </c>
      <c r="F106" s="11">
        <f>LOOKUP(E106,{0,-2.9,-1.9,-0.9,0.1,1.1,2.1,3.5,4.9,6.3,7.7,9.1,10.5,11.9,13.3,14.7,16.1,18.3,20.5,22.4,24.3},{0,10,20,30,40,50,60,62,64,66,68,70,72,74,76,78,80,85,90,95,100})</f>
        <v>80</v>
      </c>
      <c r="G106" s="12">
        <v>236</v>
      </c>
      <c r="H106" s="11">
        <f>LOOKUP(G106,{0,175,180,185,190,195,200,204,208,212,216,220,224,228,232,236,240,248,255,260,265},{0,10,20,30,40,50,60,62,64,66,68,70,72,74,76,78,80,85,90,95,100})</f>
        <v>78</v>
      </c>
      <c r="I106" s="12">
        <v>12</v>
      </c>
      <c r="J106" s="11">
        <f>LOOKUP(I106,{0,3,4,5,6,7,8,9,10,11,12,13,14,15,16,17},{0,10,20,30,40,50,60,64,68,72,76,80,85,90,95,100})</f>
        <v>76</v>
      </c>
      <c r="K106" s="12"/>
      <c r="L106" s="12"/>
      <c r="M106" s="12">
        <f t="shared" si="42"/>
        <v>76</v>
      </c>
      <c r="N106" s="12">
        <v>7.2</v>
      </c>
      <c r="O106" s="12">
        <f t="shared" si="49"/>
        <v>4.8</v>
      </c>
      <c r="P106" s="11">
        <f>LOOKUP(O106,{0,1.6,1.8,2,2.2,2.4,2.6,2.8,3,3.2,3.4,3.6,3.8,4,4.2,4.4,4.6,4.7,4.8,4.9,5},{0,10,20,30,40,50,60,62,64,66,68,70,72,74,76,78,80,85,90,95,100})</f>
        <v>90</v>
      </c>
      <c r="Q106" s="12">
        <v>3.4</v>
      </c>
      <c r="R106" s="12">
        <f t="shared" si="50"/>
        <v>6.6</v>
      </c>
      <c r="S106" s="11">
        <f>LOOKUP(R106,{0,3.8,4,4.6,4.8,5,5.6,5.65,5.7,5.75,5.8,5.85,5.9,5.95,6,6.45,6.5,6.58,6.65,6.7,6.75},{0,10,20,30,40,50,60,62,64,66,68,70,72,74,76,78,80,85,90,95,100})</f>
        <v>85</v>
      </c>
      <c r="T106" s="12"/>
      <c r="U106" s="12"/>
      <c r="V106" s="12">
        <f t="shared" si="51"/>
        <v>85</v>
      </c>
      <c r="W106" s="12"/>
      <c r="X106" s="20">
        <f t="shared" si="46"/>
        <v>58.4</v>
      </c>
      <c r="Y106" s="20">
        <f t="shared" si="47"/>
        <v>83.4285714285714</v>
      </c>
    </row>
    <row r="107" ht="15.6" hidden="1" outlineLevel="2" spans="1:25">
      <c r="A107" s="12">
        <v>203</v>
      </c>
      <c r="B107" s="12">
        <v>15</v>
      </c>
      <c r="C107" s="6" t="s">
        <v>128</v>
      </c>
      <c r="D107" s="6" t="s">
        <v>11</v>
      </c>
      <c r="E107" s="12">
        <v>12.6</v>
      </c>
      <c r="F107" s="11">
        <f>LOOKUP(E107,{0,-2.9,-1.9,-0.9,0.1,1.1,2.1,3.5,4.9,6.3,7.7,9.1,10.5,11.9,13.3,14.7,16.1,18.3,20.5,22.4,24.3},{0,10,20,30,40,50,60,62,64,66,68,70,72,74,76,78,80,85,90,95,100})</f>
        <v>74</v>
      </c>
      <c r="G107" s="12">
        <v>206</v>
      </c>
      <c r="H107" s="11">
        <f>LOOKUP(G107,{0,175,180,185,190,195,200,204,208,212,216,220,224,228,232,236,240,248,255,260,265},{0,10,20,30,40,50,60,62,64,66,68,70,72,74,76,78,80,85,90,95,100})</f>
        <v>62</v>
      </c>
      <c r="I107" s="12">
        <v>7</v>
      </c>
      <c r="J107" s="11">
        <f>LOOKUP(I107,{0,3,4,5,6,7,8,9,10,11,12,13,14,15,16,17},{0,10,20,30,40,50,60,64,68,72,76,80,85,90,95,100})</f>
        <v>50</v>
      </c>
      <c r="K107" s="12"/>
      <c r="L107" s="12"/>
      <c r="M107" s="12">
        <f t="shared" si="42"/>
        <v>50</v>
      </c>
      <c r="N107" s="12">
        <v>8.9</v>
      </c>
      <c r="O107" s="12">
        <f t="shared" si="49"/>
        <v>3.1</v>
      </c>
      <c r="P107" s="11">
        <f>LOOKUP(O107,{0,1.6,1.8,2,2.2,2.4,2.6,2.8,3,3.2,3.4,3.6,3.8,4,4.2,4.4,4.6,4.7,4.8,4.9,5},{0,10,20,30,40,50,60,62,64,66,68,70,72,74,76,78,80,85,90,95,100})</f>
        <v>64</v>
      </c>
      <c r="Q107" s="12"/>
      <c r="R107" s="12"/>
      <c r="S107" s="11"/>
      <c r="T107" s="12"/>
      <c r="U107" s="11"/>
      <c r="V107" s="12"/>
      <c r="W107" s="12" t="s">
        <v>14</v>
      </c>
      <c r="X107" s="20">
        <f t="shared" si="46"/>
        <v>31.4</v>
      </c>
      <c r="Y107" s="20">
        <v>50</v>
      </c>
    </row>
    <row r="108" ht="15.6" hidden="1" outlineLevel="2" spans="1:25">
      <c r="A108" s="12">
        <v>203</v>
      </c>
      <c r="B108" s="12">
        <v>16</v>
      </c>
      <c r="C108" s="6" t="s">
        <v>129</v>
      </c>
      <c r="D108" s="6" t="s">
        <v>11</v>
      </c>
      <c r="E108" s="12">
        <v>11.5</v>
      </c>
      <c r="F108" s="11">
        <f>LOOKUP(E108,{0,-2.9,-1.9,-0.9,0.1,1.1,2.1,3.5,4.9,6.3,7.7,9.1,10.5,11.9,13.3,14.7,16.1,18.3,20.5,22.4,24.3},{0,10,20,30,40,50,60,62,64,66,68,70,72,74,76,78,80,85,90,95,100})</f>
        <v>72</v>
      </c>
      <c r="G108" s="12">
        <v>275</v>
      </c>
      <c r="H108" s="11">
        <f>LOOKUP(G108,{0,175,180,185,190,195,200,204,208,212,216,220,224,228,232,236,240,248,255,260,265},{0,10,20,30,40,50,60,62,64,66,68,70,72,74,76,78,80,85,90,95,100})</f>
        <v>100</v>
      </c>
      <c r="I108" s="12">
        <v>2</v>
      </c>
      <c r="J108" s="11">
        <f>LOOKUP(I108,{0,3,4,5,6,7,8,9,10,11,12,13,14,15,16,17},{0,10,20,30,40,50,60,64,68,72,76,80,85,90,95,100})</f>
        <v>0</v>
      </c>
      <c r="K108" s="12"/>
      <c r="L108" s="15"/>
      <c r="M108" s="12">
        <f t="shared" si="42"/>
        <v>0</v>
      </c>
      <c r="N108" s="12">
        <v>6.3</v>
      </c>
      <c r="O108" s="12">
        <f t="shared" si="49"/>
        <v>5.7</v>
      </c>
      <c r="P108" s="11">
        <f>LOOKUP(O108,{0,1.6,1.8,2,2.2,2.4,2.6,2.8,3,3.2,3.4,3.6,3.8,4,4.2,4.4,4.6,4.7,4.8,4.9,5},{0,10,20,30,40,50,60,62,64,66,68,70,72,74,76,78,80,85,90,95,100})</f>
        <v>100</v>
      </c>
      <c r="Q108" s="12">
        <v>3.3</v>
      </c>
      <c r="R108" s="12">
        <f t="shared" ref="R108:R111" si="52">10-Q108</f>
        <v>6.7</v>
      </c>
      <c r="S108" s="11">
        <f>LOOKUP(R108,{0,3.8,4,4.6,4.8,5,5.6,5.65,5.7,5.75,5.8,5.85,5.9,5.95,6,6.45,6.5,6.58,6.65,6.7,6.75},{0,10,20,30,40,50,60,62,64,66,68,70,72,74,76,78,80,85,90,95,100})</f>
        <v>95</v>
      </c>
      <c r="T108" s="12"/>
      <c r="U108" s="12"/>
      <c r="V108" s="12">
        <f t="shared" ref="V108:V111" si="53">S108+U108</f>
        <v>95</v>
      </c>
      <c r="W108" s="12"/>
      <c r="X108" s="20">
        <f t="shared" si="46"/>
        <v>56.2</v>
      </c>
      <c r="Y108" s="20">
        <f t="shared" ref="Y108:Y111" si="54">X108/0.7+L108+U108</f>
        <v>80.2857142857143</v>
      </c>
    </row>
    <row r="109" s="1" customFormat="1" ht="15.6" hidden="1" outlineLevel="2" spans="1:25">
      <c r="A109" s="12">
        <v>203</v>
      </c>
      <c r="B109" s="12">
        <v>17</v>
      </c>
      <c r="C109" s="6" t="s">
        <v>130</v>
      </c>
      <c r="D109" s="6" t="s">
        <v>11</v>
      </c>
      <c r="E109" s="12">
        <v>7.5</v>
      </c>
      <c r="F109" s="11">
        <f>LOOKUP(E109,{0,-2.9,-1.9,-0.9,0.1,1.1,2.1,3.5,4.9,6.3,7.7,9.1,10.5,11.9,13.3,14.7,16.1,18.3,20.5,22.4,24.3},{0,10,20,30,40,50,60,62,64,66,68,70,72,74,76,78,80,85,90,95,100})</f>
        <v>66</v>
      </c>
      <c r="G109" s="12">
        <v>251</v>
      </c>
      <c r="H109" s="11">
        <f>LOOKUP(G109,{0,175,180,185,190,195,200,204,208,212,216,220,224,228,232,236,240,248,255,260,265},{0,10,20,30,40,50,60,62,64,66,68,70,72,74,76,78,80,85,90,95,100})</f>
        <v>85</v>
      </c>
      <c r="I109" s="12">
        <v>8</v>
      </c>
      <c r="J109" s="11">
        <f>LOOKUP(I109,{0,3,4,5,6,7,8,9,10,11,12,13,14,15,16,17},{0,10,20,30,40,50,60,64,68,72,76,80,85,90,95,100})</f>
        <v>60</v>
      </c>
      <c r="K109" s="12"/>
      <c r="L109" s="12"/>
      <c r="M109" s="12">
        <f t="shared" si="42"/>
        <v>60</v>
      </c>
      <c r="N109" s="12">
        <v>7.4</v>
      </c>
      <c r="O109" s="12">
        <f t="shared" si="49"/>
        <v>4.6</v>
      </c>
      <c r="P109" s="11">
        <f>LOOKUP(O109,{0,1.6,1.8,2,2.2,2.4,2.6,2.8,3,3.2,3.4,3.6,3.8,4,4.2,4.4,4.6,4.7,4.8,4.9,5},{0,10,20,30,40,50,60,62,64,66,68,70,72,74,76,78,80,85,90,95,100})</f>
        <v>80</v>
      </c>
      <c r="Q109" s="12">
        <v>3.43</v>
      </c>
      <c r="R109" s="12">
        <f t="shared" si="52"/>
        <v>6.57</v>
      </c>
      <c r="S109" s="11">
        <f>LOOKUP(R109,{0,3.8,4,4.6,4.8,5,5.6,5.65,5.7,5.75,5.8,5.85,5.9,5.95,6,6.45,6.5,6.58,6.65,6.7,6.75},{0,10,20,30,40,50,60,62,64,66,68,70,72,74,76,78,80,85,90,95,100})</f>
        <v>80</v>
      </c>
      <c r="T109" s="12"/>
      <c r="U109" s="12"/>
      <c r="V109" s="12">
        <f t="shared" si="53"/>
        <v>80</v>
      </c>
      <c r="W109" s="12"/>
      <c r="X109" s="20">
        <f t="shared" si="46"/>
        <v>53.1</v>
      </c>
      <c r="Y109" s="20">
        <f t="shared" si="54"/>
        <v>75.8571428571429</v>
      </c>
    </row>
    <row r="110" ht="15.6" hidden="1" outlineLevel="2" spans="1:25">
      <c r="A110" s="12">
        <v>203</v>
      </c>
      <c r="B110" s="12">
        <v>18</v>
      </c>
      <c r="C110" s="6" t="s">
        <v>131</v>
      </c>
      <c r="D110" s="6" t="s">
        <v>11</v>
      </c>
      <c r="E110" s="12"/>
      <c r="F110" s="11"/>
      <c r="G110" s="12"/>
      <c r="H110" s="11"/>
      <c r="I110" s="12"/>
      <c r="J110" s="11"/>
      <c r="K110" s="12"/>
      <c r="L110" s="12"/>
      <c r="M110" s="12"/>
      <c r="N110" s="12"/>
      <c r="O110" s="12"/>
      <c r="P110" s="11"/>
      <c r="Q110" s="12"/>
      <c r="R110" s="12"/>
      <c r="S110" s="11"/>
      <c r="T110" s="12"/>
      <c r="U110" s="11"/>
      <c r="V110" s="12"/>
      <c r="W110" s="12"/>
      <c r="X110" s="20">
        <f t="shared" si="46"/>
        <v>0</v>
      </c>
      <c r="Y110" s="23">
        <v>50</v>
      </c>
    </row>
    <row r="111" ht="15.6" hidden="1" outlineLevel="2" spans="1:25">
      <c r="A111" s="12">
        <v>203</v>
      </c>
      <c r="B111" s="12">
        <v>19</v>
      </c>
      <c r="C111" s="6" t="s">
        <v>132</v>
      </c>
      <c r="D111" s="6" t="s">
        <v>11</v>
      </c>
      <c r="E111" s="12">
        <v>5.4</v>
      </c>
      <c r="F111" s="11">
        <f>LOOKUP(E111,{0,-2.9,-1.9,-0.9,0.1,1.1,2.1,3.5,4.9,6.3,7.7,9.1,10.5,11.9,13.3,14.7,16.1,18.3,20.5,22.4,24.3},{0,10,20,30,40,50,60,62,64,66,68,70,72,74,76,78,80,85,90,95,100})</f>
        <v>64</v>
      </c>
      <c r="G111" s="12">
        <v>246</v>
      </c>
      <c r="H111" s="11">
        <f>LOOKUP(G111,{0,175,180,185,190,195,200,204,208,212,216,220,224,228,232,236,240,248,255,260,265},{0,10,20,30,40,50,60,62,64,66,68,70,72,74,76,78,80,85,90,95,100})</f>
        <v>80</v>
      </c>
      <c r="I111" s="12">
        <v>16</v>
      </c>
      <c r="J111" s="11">
        <f>LOOKUP(I111,{0,3,4,5,6,7,8,9,10,11,12,13,14,15,16,17},{0,10,20,30,40,50,60,64,68,72,76,80,85,90,95,100})</f>
        <v>95</v>
      </c>
      <c r="K111" s="12"/>
      <c r="L111" s="12"/>
      <c r="M111" s="12">
        <f t="shared" ref="M111:M119" si="55">J111+L111</f>
        <v>95</v>
      </c>
      <c r="N111" s="12">
        <v>7.3</v>
      </c>
      <c r="O111" s="12">
        <f t="shared" ref="O111:O119" si="56">12-N111</f>
        <v>4.7</v>
      </c>
      <c r="P111" s="11">
        <f>LOOKUP(O111,{0,1.6,1.8,2,2.2,2.4,2.6,2.8,3,3.2,3.4,3.6,3.8,4,4.2,4.4,4.6,4.7,4.8,4.9,5},{0,10,20,30,40,50,60,62,64,66,68,70,72,74,76,78,80,85,90,95,100})</f>
        <v>85</v>
      </c>
      <c r="Q111" s="12">
        <v>3.46</v>
      </c>
      <c r="R111" s="12">
        <f t="shared" si="52"/>
        <v>6.54</v>
      </c>
      <c r="S111" s="11">
        <f>LOOKUP(R111,{0,3.8,4,4.6,4.8,5,5.6,5.65,5.7,5.75,5.8,5.85,5.9,5.95,6,6.45,6.5,6.58,6.65,6.7,6.75},{0,10,20,30,40,50,60,62,64,66,68,70,72,74,76,78,80,85,90,95,100})</f>
        <v>80</v>
      </c>
      <c r="T111" s="12"/>
      <c r="U111" s="12"/>
      <c r="V111" s="12">
        <f t="shared" si="53"/>
        <v>80</v>
      </c>
      <c r="W111" s="12"/>
      <c r="X111" s="20">
        <f t="shared" si="46"/>
        <v>56.9</v>
      </c>
      <c r="Y111" s="20">
        <f t="shared" si="54"/>
        <v>81.2857142857143</v>
      </c>
    </row>
    <row r="112" ht="15.6" hidden="1" outlineLevel="2" spans="1:25">
      <c r="A112" s="12">
        <v>203</v>
      </c>
      <c r="B112" s="12">
        <v>20</v>
      </c>
      <c r="C112" s="6" t="s">
        <v>133</v>
      </c>
      <c r="D112" s="6" t="s">
        <v>11</v>
      </c>
      <c r="E112" s="12"/>
      <c r="F112" s="11"/>
      <c r="G112" s="12"/>
      <c r="H112" s="11"/>
      <c r="I112" s="12"/>
      <c r="J112" s="11"/>
      <c r="K112" s="12"/>
      <c r="L112" s="12"/>
      <c r="M112" s="12"/>
      <c r="N112" s="12"/>
      <c r="O112" s="12"/>
      <c r="P112" s="11"/>
      <c r="Q112" s="12"/>
      <c r="R112" s="12"/>
      <c r="S112" s="11"/>
      <c r="T112" s="12"/>
      <c r="U112" s="11"/>
      <c r="V112" s="12"/>
      <c r="W112" s="12" t="s">
        <v>89</v>
      </c>
      <c r="X112" s="20">
        <f t="shared" si="46"/>
        <v>0</v>
      </c>
      <c r="Y112" s="20">
        <v>50</v>
      </c>
    </row>
    <row r="113" ht="15.6" hidden="1" outlineLevel="2" spans="1:25">
      <c r="A113" s="12">
        <v>203</v>
      </c>
      <c r="B113" s="12">
        <v>21</v>
      </c>
      <c r="C113" s="6" t="s">
        <v>134</v>
      </c>
      <c r="D113" s="6" t="s">
        <v>11</v>
      </c>
      <c r="E113" s="12">
        <v>9.1</v>
      </c>
      <c r="F113" s="11">
        <f>LOOKUP(E113,{0,-2.9,-1.9,-0.9,0.1,1.1,2.1,3.5,4.9,6.3,7.7,9.1,10.5,11.9,13.3,14.7,16.1,18.3,20.5,22.4,24.3},{0,10,20,30,40,50,60,62,64,66,68,70,72,74,76,78,80,85,90,95,100})</f>
        <v>70</v>
      </c>
      <c r="G113" s="12">
        <v>208</v>
      </c>
      <c r="H113" s="11">
        <f>LOOKUP(G113,{0,175,180,185,190,195,200,204,208,212,216,220,224,228,232,236,240,248,255,260,265},{0,10,20,30,40,50,60,62,64,66,68,70,72,74,76,78,80,85,90,95,100})</f>
        <v>64</v>
      </c>
      <c r="I113" s="12">
        <v>7</v>
      </c>
      <c r="J113" s="11">
        <f>LOOKUP(I113,{0,3,4,5,6,7,8,9,10,11,12,13,14,15,16,17},{0,10,20,30,40,50,60,64,68,72,76,80,85,90,95,100})</f>
        <v>50</v>
      </c>
      <c r="K113" s="12"/>
      <c r="L113" s="12"/>
      <c r="M113" s="12">
        <f t="shared" si="55"/>
        <v>50</v>
      </c>
      <c r="N113" s="12">
        <v>7.4</v>
      </c>
      <c r="O113" s="12">
        <f t="shared" si="56"/>
        <v>4.6</v>
      </c>
      <c r="P113" s="11">
        <f>LOOKUP(O113,{0,1.6,1.8,2,2.2,2.4,2.6,2.8,3,3.2,3.4,3.6,3.8,4,4.2,4.4,4.6,4.7,4.8,4.9,5},{0,10,20,30,40,50,60,62,64,66,68,70,72,74,76,78,80,85,90,95,100})</f>
        <v>80</v>
      </c>
      <c r="Q113" s="12">
        <v>3.25</v>
      </c>
      <c r="R113" s="12">
        <f t="shared" ref="R113:R115" si="57">10-Q113</f>
        <v>6.75</v>
      </c>
      <c r="S113" s="11">
        <f>LOOKUP(R113,{0,3.8,4,4.6,4.8,5,5.6,5.65,5.7,5.75,5.8,5.85,5.9,5.95,6,6.45,6.5,6.58,6.65,6.7,6.75},{0,10,20,30,40,50,60,62,64,66,68,70,72,74,76,78,80,85,90,95,100})</f>
        <v>100</v>
      </c>
      <c r="T113" s="12">
        <f>3.25-Q113</f>
        <v>0</v>
      </c>
      <c r="U113" s="11">
        <f>LOOKUP(T113,{0,0.04,0.08,0.12,0.16,0.2,0.23,0.26,0.29,0.32,0.35},{0,1,2,3,4,5,6,7,8,9,10})</f>
        <v>0</v>
      </c>
      <c r="V113" s="12">
        <f t="shared" ref="V113:V115" si="58">S113+U113</f>
        <v>100</v>
      </c>
      <c r="W113" s="12"/>
      <c r="X113" s="20">
        <f t="shared" si="46"/>
        <v>54.4</v>
      </c>
      <c r="Y113" s="20">
        <f t="shared" ref="Y113:Y115" si="59">X113/0.7+L113+U113</f>
        <v>77.7142857142857</v>
      </c>
    </row>
    <row r="114" ht="15.6" hidden="1" outlineLevel="2" spans="1:25">
      <c r="A114" s="12">
        <v>203</v>
      </c>
      <c r="B114" s="12">
        <v>22</v>
      </c>
      <c r="C114" s="6" t="s">
        <v>135</v>
      </c>
      <c r="D114" s="6" t="s">
        <v>11</v>
      </c>
      <c r="E114" s="12">
        <v>4</v>
      </c>
      <c r="F114" s="11">
        <f>LOOKUP(E114,{0,-2.9,-1.9,-0.9,0.1,1.1,2.1,3.5,4.9,6.3,7.7,9.1,10.5,11.9,13.3,14.7,16.1,18.3,20.5,22.4,24.3},{0,10,20,30,40,50,60,62,64,66,68,70,72,74,76,78,80,85,90,95,100})</f>
        <v>62</v>
      </c>
      <c r="G114" s="12">
        <v>201</v>
      </c>
      <c r="H114" s="11">
        <f>LOOKUP(G114,{0,175,180,185,190,195,200,204,208,212,216,220,224,228,232,236,240,248,255,260,265},{0,10,20,30,40,50,60,62,64,66,68,70,72,74,76,78,80,85,90,95,100})</f>
        <v>60</v>
      </c>
      <c r="I114" s="12">
        <v>6</v>
      </c>
      <c r="J114" s="11">
        <f>LOOKUP(I114,{0,3,4,5,6,7,8,9,10,11,12,13,14,15,16,17},{0,10,20,30,40,50,60,64,68,72,76,80,85,90,95,100})</f>
        <v>40</v>
      </c>
      <c r="K114" s="12"/>
      <c r="L114" s="15"/>
      <c r="M114" s="12">
        <f t="shared" si="55"/>
        <v>40</v>
      </c>
      <c r="N114" s="12">
        <v>7.9</v>
      </c>
      <c r="O114" s="12">
        <f t="shared" si="56"/>
        <v>4.1</v>
      </c>
      <c r="P114" s="11">
        <f>LOOKUP(O114,{0,1.6,1.8,2,2.2,2.4,2.6,2.8,3,3.2,3.4,3.6,3.8,4,4.2,4.4,4.6,4.7,4.8,4.9,5},{0,10,20,30,40,50,60,62,64,66,68,70,72,74,76,78,80,85,90,95,100})</f>
        <v>74</v>
      </c>
      <c r="Q114" s="12">
        <v>4.09</v>
      </c>
      <c r="R114" s="12">
        <f t="shared" si="57"/>
        <v>5.91</v>
      </c>
      <c r="S114" s="11">
        <f>LOOKUP(R114,{0,3.8,4,4.6,4.8,5,5.6,5.65,5.7,5.75,5.8,5.85,5.9,5.95,6,6.45,6.5,6.58,6.65,6.7,6.75},{0,10,20,30,40,50,60,62,64,66,68,70,72,74,76,78,80,85,90,95,100})</f>
        <v>72</v>
      </c>
      <c r="T114" s="12"/>
      <c r="U114" s="12"/>
      <c r="V114" s="12">
        <f t="shared" si="58"/>
        <v>72</v>
      </c>
      <c r="W114" s="12"/>
      <c r="X114" s="20">
        <f t="shared" si="46"/>
        <v>45.4</v>
      </c>
      <c r="Y114" s="20">
        <f t="shared" si="59"/>
        <v>64.8571428571429</v>
      </c>
    </row>
    <row r="115" ht="15.6" hidden="1" outlineLevel="2" spans="1:25">
      <c r="A115" s="12">
        <v>203</v>
      </c>
      <c r="B115" s="12">
        <v>23</v>
      </c>
      <c r="C115" s="13" t="s">
        <v>137</v>
      </c>
      <c r="D115" s="6" t="s">
        <v>11</v>
      </c>
      <c r="E115" s="12">
        <v>18</v>
      </c>
      <c r="F115" s="11">
        <f>LOOKUP(E115,{0,-2.9,-1.9,-0.9,0.1,1.1,2.1,3.5,4.9,6.3,7.7,9.1,10.5,11.9,13.3,14.7,16.1,18.3,20.5,22.4,24.3},{0,10,20,30,40,50,60,62,64,66,68,70,72,74,76,78,80,85,90,95,100})</f>
        <v>80</v>
      </c>
      <c r="G115" s="12">
        <v>240</v>
      </c>
      <c r="H115" s="11">
        <f>LOOKUP(G115,{0,175,180,185,190,195,200,204,208,212,216,220,224,228,232,236,240,248,255,260,265},{0,10,20,30,40,50,60,62,64,66,68,70,72,74,76,78,80,85,90,95,100})</f>
        <v>80</v>
      </c>
      <c r="I115" s="12">
        <v>17</v>
      </c>
      <c r="J115" s="11">
        <f>LOOKUP(I115,{0,3,4,5,6,7,8,9,10,11,12,13,14,15,16,17},{0,10,20,30,40,50,60,64,68,72,76,80,85,90,95,100})</f>
        <v>100</v>
      </c>
      <c r="K115" s="12">
        <f>I115-17</f>
        <v>0</v>
      </c>
      <c r="L115" s="16">
        <f>LOOKUP(K115,{0,1,2,3,4,5,6,7,8,9,10},{0,1,2,3,4,5,6,7,8,9,10})</f>
        <v>0</v>
      </c>
      <c r="M115" s="12">
        <f t="shared" si="55"/>
        <v>100</v>
      </c>
      <c r="N115" s="12">
        <v>6.7</v>
      </c>
      <c r="O115" s="12">
        <f t="shared" si="56"/>
        <v>5.3</v>
      </c>
      <c r="P115" s="11">
        <f>LOOKUP(O115,{0,1.6,1.8,2,2.2,2.4,2.6,2.8,3,3.2,3.4,3.6,3.8,4,4.2,4.4,4.6,4.7,4.8,4.9,5},{0,10,20,30,40,50,60,62,64,66,68,70,72,74,76,78,80,85,90,95,100})</f>
        <v>100</v>
      </c>
      <c r="Q115" s="12">
        <v>3.26</v>
      </c>
      <c r="R115" s="12">
        <f t="shared" si="57"/>
        <v>6.74</v>
      </c>
      <c r="S115" s="11">
        <f>LOOKUP(R115,{0,3.8,4,4.6,4.8,5,5.6,5.65,5.7,5.75,5.8,5.85,5.9,5.95,6,6.45,6.5,6.58,6.65,6.7,6.75},{0,10,20,30,40,50,60,62,64,66,68,70,72,74,76,78,80,85,90,95,100})</f>
        <v>95</v>
      </c>
      <c r="T115" s="12"/>
      <c r="U115" s="12"/>
      <c r="V115" s="12">
        <f t="shared" si="58"/>
        <v>95</v>
      </c>
      <c r="W115" s="12"/>
      <c r="X115" s="20">
        <f t="shared" si="46"/>
        <v>65</v>
      </c>
      <c r="Y115" s="20">
        <f t="shared" si="59"/>
        <v>92.8571428571429</v>
      </c>
    </row>
    <row r="116" ht="15.6" hidden="1" outlineLevel="2" spans="1:25">
      <c r="A116" s="12">
        <v>203</v>
      </c>
      <c r="B116" s="12">
        <v>24</v>
      </c>
      <c r="C116" s="6" t="s">
        <v>138</v>
      </c>
      <c r="D116" s="6" t="s">
        <v>11</v>
      </c>
      <c r="E116" s="12">
        <v>24</v>
      </c>
      <c r="F116" s="11">
        <f>LOOKUP(E116,{0,-2.9,-1.9,-0.9,0.1,1.1,2.1,3.5,4.9,6.3,7.7,9.1,10.5,11.9,13.3,14.7,16.1,18.3,20.5,22.4,24.3},{0,10,20,30,40,50,60,62,64,66,68,70,72,74,76,78,80,85,90,95,100})</f>
        <v>95</v>
      </c>
      <c r="G116" s="12">
        <v>208</v>
      </c>
      <c r="H116" s="11">
        <f>LOOKUP(G116,{0,175,180,185,190,195,200,204,208,212,216,220,224,228,232,236,240,248,255,260,265},{0,10,20,30,40,50,60,62,64,66,68,70,72,74,76,78,80,85,90,95,100})</f>
        <v>64</v>
      </c>
      <c r="I116" s="12">
        <v>0</v>
      </c>
      <c r="J116" s="11">
        <f>LOOKUP(I116,{0,3,4,5,6,7,8,9,10,11,12,13,14,15,16,17},{0,10,20,30,40,50,60,64,68,72,76,80,85,90,95,100})</f>
        <v>0</v>
      </c>
      <c r="K116" s="12"/>
      <c r="L116" s="12"/>
      <c r="M116" s="12">
        <f t="shared" si="55"/>
        <v>0</v>
      </c>
      <c r="N116" s="12">
        <v>7.6</v>
      </c>
      <c r="O116" s="12">
        <f t="shared" si="56"/>
        <v>4.4</v>
      </c>
      <c r="P116" s="11">
        <f>LOOKUP(O116,{0,1.6,1.8,2,2.2,2.4,2.6,2.8,3,3.2,3.4,3.6,3.8,4,4.2,4.4,4.6,4.7,4.8,4.9,5},{0,10,20,30,40,50,60,62,64,66,68,70,72,74,76,78,80,85,90,95,100})</f>
        <v>78</v>
      </c>
      <c r="Q116" s="12"/>
      <c r="R116" s="12"/>
      <c r="S116" s="11"/>
      <c r="T116" s="12"/>
      <c r="U116" s="11"/>
      <c r="V116" s="12"/>
      <c r="W116" s="12"/>
      <c r="X116" s="20">
        <f t="shared" si="46"/>
        <v>31.5</v>
      </c>
      <c r="Y116" s="23">
        <v>50</v>
      </c>
    </row>
    <row r="117" ht="15.6" hidden="1" outlineLevel="2" spans="1:25">
      <c r="A117" s="12">
        <v>203</v>
      </c>
      <c r="B117" s="12">
        <v>25</v>
      </c>
      <c r="C117" s="6" t="s">
        <v>139</v>
      </c>
      <c r="D117" s="6" t="s">
        <v>11</v>
      </c>
      <c r="E117" s="12">
        <v>22.5</v>
      </c>
      <c r="F117" s="11">
        <f>LOOKUP(E117,{0,-2.9,-1.9,-0.9,0.1,1.1,2.1,3.5,4.9,6.3,7.7,9.1,10.5,11.9,13.3,14.7,16.1,18.3,20.5,22.4,24.3},{0,10,20,30,40,50,60,62,64,66,68,70,72,74,76,78,80,85,90,95,100})</f>
        <v>95</v>
      </c>
      <c r="G117" s="12">
        <v>250</v>
      </c>
      <c r="H117" s="11">
        <f>LOOKUP(G117,{0,175,180,185,190,195,200,204,208,212,216,220,224,228,232,236,240,248,255,260,265},{0,10,20,30,40,50,60,62,64,66,68,70,72,74,76,78,80,85,90,95,100})</f>
        <v>85</v>
      </c>
      <c r="I117" s="12">
        <v>3</v>
      </c>
      <c r="J117" s="11">
        <f>LOOKUP(I117,{0,3,4,5,6,7,8,9,10,11,12,13,14,15,16,17},{0,10,20,30,40,50,60,64,68,72,76,80,85,90,95,100})</f>
        <v>10</v>
      </c>
      <c r="K117" s="12"/>
      <c r="L117" s="12"/>
      <c r="M117" s="12">
        <f t="shared" si="55"/>
        <v>10</v>
      </c>
      <c r="N117" s="12">
        <v>7.1</v>
      </c>
      <c r="O117" s="12">
        <f t="shared" si="56"/>
        <v>4.9</v>
      </c>
      <c r="P117" s="11">
        <f>LOOKUP(O117,{0,1.6,1.8,2,2.2,2.4,2.6,2.8,3,3.2,3.4,3.6,3.8,4,4.2,4.4,4.6,4.7,4.8,4.9,5},{0,10,20,30,40,50,60,62,64,66,68,70,72,74,76,78,80,85,90,95,100})</f>
        <v>95</v>
      </c>
      <c r="Q117" s="12">
        <v>3.35</v>
      </c>
      <c r="R117" s="12">
        <f t="shared" ref="R117:R119" si="60">10-Q117</f>
        <v>6.65</v>
      </c>
      <c r="S117" s="11">
        <f>LOOKUP(R117,{0,3.8,4,4.6,4.8,5,5.6,5.65,5.7,5.75,5.8,5.85,5.9,5.95,6,6.45,6.5,6.58,6.65,6.7,6.75},{0,10,20,30,40,50,60,62,64,66,68,70,72,74,76,78,80,85,90,95,100})</f>
        <v>90</v>
      </c>
      <c r="T117" s="12"/>
      <c r="U117" s="12"/>
      <c r="V117" s="12">
        <f t="shared" ref="V117:V119" si="61">S117+U117</f>
        <v>90</v>
      </c>
      <c r="W117" s="12"/>
      <c r="X117" s="20">
        <f t="shared" si="46"/>
        <v>56</v>
      </c>
      <c r="Y117" s="20">
        <f t="shared" ref="Y117:Y119" si="62">X117/0.7+L117+U117</f>
        <v>80</v>
      </c>
    </row>
    <row r="118" ht="15.6" hidden="1" outlineLevel="2" spans="1:25">
      <c r="A118" s="12">
        <v>203</v>
      </c>
      <c r="B118" s="12">
        <v>26</v>
      </c>
      <c r="C118" s="6" t="s">
        <v>140</v>
      </c>
      <c r="D118" s="6" t="s">
        <v>11</v>
      </c>
      <c r="E118" s="12">
        <v>6</v>
      </c>
      <c r="F118" s="11">
        <f>LOOKUP(E118,{0,-2.9,-1.9,-0.9,0.1,1.1,2.1,3.5,4.9,6.3,7.7,9.1,10.5,11.9,13.3,14.7,16.1,18.3,20.5,22.4,24.3},{0,10,20,30,40,50,60,62,64,66,68,70,72,74,76,78,80,85,90,95,100})</f>
        <v>64</v>
      </c>
      <c r="G118" s="12">
        <v>190</v>
      </c>
      <c r="H118" s="11">
        <f>LOOKUP(G118,{0,175,180,185,190,195,200,204,208,212,216,220,224,228,232,236,240,248,255,260,265},{0,10,20,30,40,50,60,62,64,66,68,70,72,74,76,78,80,85,90,95,100})</f>
        <v>40</v>
      </c>
      <c r="I118" s="12">
        <v>0</v>
      </c>
      <c r="J118" s="11">
        <f>LOOKUP(I118,{0,3,4,5,6,7,8,9,10,11,12,13,14,15,16,17},{0,10,20,30,40,50,60,64,68,72,76,80,85,90,95,100})</f>
        <v>0</v>
      </c>
      <c r="K118" s="12"/>
      <c r="L118" s="12"/>
      <c r="M118" s="12">
        <f t="shared" si="55"/>
        <v>0</v>
      </c>
      <c r="N118" s="12">
        <v>7.8</v>
      </c>
      <c r="O118" s="12">
        <f t="shared" si="56"/>
        <v>4.2</v>
      </c>
      <c r="P118" s="11">
        <f>LOOKUP(O118,{0,1.6,1.8,2,2.2,2.4,2.6,2.8,3,3.2,3.4,3.6,3.8,4,4.2,4.4,4.6,4.7,4.8,4.9,5},{0,10,20,30,40,50,60,62,64,66,68,70,72,74,76,78,80,85,90,95,100})</f>
        <v>76</v>
      </c>
      <c r="Q118" s="12">
        <v>3.34</v>
      </c>
      <c r="R118" s="12">
        <f t="shared" si="60"/>
        <v>6.66</v>
      </c>
      <c r="S118" s="11">
        <f>LOOKUP(R118,{0,3.8,4,4.6,4.8,5,5.6,5.65,5.7,5.75,5.8,5.85,5.9,5.95,6,6.45,6.5,6.58,6.65,6.7,6.75},{0,10,20,30,40,50,60,62,64,66,68,70,72,74,76,78,80,85,90,95,100})</f>
        <v>90</v>
      </c>
      <c r="T118" s="12"/>
      <c r="U118" s="12"/>
      <c r="V118" s="12">
        <f t="shared" si="61"/>
        <v>90</v>
      </c>
      <c r="W118" s="12"/>
      <c r="X118" s="20">
        <f t="shared" si="46"/>
        <v>43.6</v>
      </c>
      <c r="Y118" s="20">
        <f t="shared" si="62"/>
        <v>62.2857142857143</v>
      </c>
    </row>
    <row r="119" ht="15.6" hidden="1" outlineLevel="2" spans="1:25">
      <c r="A119" s="12">
        <v>203</v>
      </c>
      <c r="B119" s="12">
        <v>27</v>
      </c>
      <c r="C119" s="6" t="s">
        <v>141</v>
      </c>
      <c r="D119" s="6" t="s">
        <v>11</v>
      </c>
      <c r="E119" s="12">
        <v>24</v>
      </c>
      <c r="F119" s="11">
        <f>LOOKUP(E119,{0,-2.9,-1.9,-0.9,0.1,1.1,2.1,3.5,4.9,6.3,7.7,9.1,10.5,11.9,13.3,14.7,16.1,18.3,20.5,22.4,24.3},{0,10,20,30,40,50,60,62,64,66,68,70,72,74,76,78,80,85,90,95,100})</f>
        <v>95</v>
      </c>
      <c r="G119" s="12">
        <v>285</v>
      </c>
      <c r="H119" s="11">
        <f>LOOKUP(G119,{0,175,180,185,190,195,200,204,208,212,216,220,224,228,232,236,240,248,255,260,265},{0,10,20,30,40,50,60,62,64,66,68,70,72,74,76,78,80,85,90,95,100})</f>
        <v>100</v>
      </c>
      <c r="I119" s="12">
        <v>18</v>
      </c>
      <c r="J119" s="11">
        <f>LOOKUP(I119,{0,3,4,5,6,7,8,9,10,11,12,13,14,15,16,17},{0,10,20,30,40,50,60,64,68,72,76,80,85,90,95,100})</f>
        <v>100</v>
      </c>
      <c r="K119" s="12">
        <f>I119-17</f>
        <v>1</v>
      </c>
      <c r="L119" s="11">
        <f>LOOKUP(K119,{0,1,2,3,4,5,6,7,8,9,10},{0,1,2,3,4,5,6,7,8,9,10})</f>
        <v>1</v>
      </c>
      <c r="M119" s="12">
        <f t="shared" si="55"/>
        <v>101</v>
      </c>
      <c r="N119" s="12">
        <v>6.6</v>
      </c>
      <c r="O119" s="12">
        <f t="shared" si="56"/>
        <v>5.4</v>
      </c>
      <c r="P119" s="11">
        <f>LOOKUP(O119,{0,1.6,1.8,2,2.2,2.4,2.6,2.8,3,3.2,3.4,3.6,3.8,4,4.2,4.4,4.6,4.7,4.8,4.9,5},{0,10,20,30,40,50,60,62,64,66,68,70,72,74,76,78,80,85,90,95,100})</f>
        <v>100</v>
      </c>
      <c r="Q119" s="12">
        <v>3.17</v>
      </c>
      <c r="R119" s="12">
        <f t="shared" si="60"/>
        <v>6.83</v>
      </c>
      <c r="S119" s="11">
        <f>LOOKUP(R119,{0,3.8,4,4.6,4.8,5,5.6,5.65,5.7,5.75,5.8,5.85,5.9,5.95,6,6.45,6.5,6.58,6.65,6.7,6.75},{0,10,20,30,40,50,60,62,64,66,68,70,72,74,76,78,80,85,90,95,100})</f>
        <v>100</v>
      </c>
      <c r="T119" s="12">
        <f>3.25-Q119</f>
        <v>0.0800000000000001</v>
      </c>
      <c r="U119" s="11">
        <f>LOOKUP(T119,{0,0.04,0.08,0.12,0.16,0.2,0.23,0.26,0.29,0.32,0.35},{0,1,2,3,4,5,6,7,8,9,10})</f>
        <v>2</v>
      </c>
      <c r="V119" s="12">
        <f t="shared" si="61"/>
        <v>102</v>
      </c>
      <c r="W119" s="12"/>
      <c r="X119" s="20">
        <f t="shared" si="46"/>
        <v>69.5</v>
      </c>
      <c r="Y119" s="20">
        <f t="shared" si="62"/>
        <v>102.285714285714</v>
      </c>
    </row>
    <row r="120" ht="15.6" hidden="1" outlineLevel="2" spans="1:25">
      <c r="A120" s="12">
        <v>203</v>
      </c>
      <c r="B120" s="12">
        <v>28</v>
      </c>
      <c r="C120" s="6" t="s">
        <v>142</v>
      </c>
      <c r="D120" s="6" t="s">
        <v>11</v>
      </c>
      <c r="E120" s="12"/>
      <c r="F120" s="11"/>
      <c r="G120" s="12"/>
      <c r="H120" s="11"/>
      <c r="I120" s="12"/>
      <c r="J120" s="11"/>
      <c r="K120" s="12"/>
      <c r="L120" s="12"/>
      <c r="M120" s="12"/>
      <c r="N120" s="12"/>
      <c r="O120" s="12"/>
      <c r="P120" s="11"/>
      <c r="Q120" s="12"/>
      <c r="R120" s="12"/>
      <c r="S120" s="11"/>
      <c r="T120" s="12"/>
      <c r="U120" s="11"/>
      <c r="V120" s="12"/>
      <c r="W120" s="12" t="s">
        <v>16</v>
      </c>
      <c r="X120" s="20">
        <f t="shared" si="46"/>
        <v>0</v>
      </c>
      <c r="Y120" s="20">
        <v>50</v>
      </c>
    </row>
    <row r="121" customFormat="1" ht="15.6" hidden="1" outlineLevel="2" spans="1:25">
      <c r="A121" s="12">
        <v>203</v>
      </c>
      <c r="B121" s="12">
        <v>29</v>
      </c>
      <c r="C121" s="6" t="s">
        <v>143</v>
      </c>
      <c r="D121" s="6" t="s">
        <v>11</v>
      </c>
      <c r="E121" s="12">
        <v>7</v>
      </c>
      <c r="F121" s="11">
        <f>LOOKUP(E121,{0,-2.9,-1.9,-0.9,0.1,1.1,2.1,3.5,4.9,6.3,7.7,9.1,10.5,11.9,13.3,14.7,16.1,18.3,20.5,22.4,24.3},{0,10,20,30,40,50,60,62,64,66,68,70,72,74,76,78,80,85,90,95,100})</f>
        <v>66</v>
      </c>
      <c r="G121" s="12">
        <v>257</v>
      </c>
      <c r="H121" s="11">
        <f>LOOKUP(G121,{0,175,180,185,190,195,200,204,208,212,216,220,224,228,232,236,240,248,255,260,265},{0,10,20,30,40,50,60,62,64,66,68,70,72,74,76,78,80,85,90,95,100})</f>
        <v>90</v>
      </c>
      <c r="I121" s="12">
        <v>23</v>
      </c>
      <c r="J121" s="11">
        <f>LOOKUP(I121,{0,3,4,5,6,7,8,9,10,11,12,13,14,15,16,17},{0,10,20,30,40,50,60,64,68,72,76,80,85,90,95,100})</f>
        <v>100</v>
      </c>
      <c r="K121" s="12">
        <f>I121-17</f>
        <v>6</v>
      </c>
      <c r="L121" s="16">
        <f>LOOKUP(K121,{0,1,2,3,4,5,6,7,8,9,10},{0,1,2,3,4,5,6,7,8,9,10})</f>
        <v>6</v>
      </c>
      <c r="M121" s="12">
        <f t="shared" ref="M121:M126" si="63">J121+L121</f>
        <v>106</v>
      </c>
      <c r="N121" s="12">
        <v>7.5</v>
      </c>
      <c r="O121" s="12">
        <f t="shared" ref="O121:O126" si="64">12-N121</f>
        <v>4.5</v>
      </c>
      <c r="P121" s="11">
        <f>LOOKUP(O121,{0,1.6,1.8,2,2.2,2.4,2.6,2.8,3,3.2,3.4,3.6,3.8,4,4.2,4.4,4.6,4.7,4.8,4.9,5},{0,10,20,30,40,50,60,62,64,66,68,70,72,74,76,78,80,85,90,95,100})</f>
        <v>78</v>
      </c>
      <c r="Q121" s="12">
        <v>3.33</v>
      </c>
      <c r="R121" s="12">
        <f t="shared" ref="R121:R126" si="65">10-Q121</f>
        <v>6.67</v>
      </c>
      <c r="S121" s="11">
        <f>LOOKUP(R121,{0,3.8,4,4.6,4.8,5,5.6,5.65,5.7,5.75,5.8,5.85,5.9,5.95,6,6.45,6.5,6.58,6.65,6.7,6.75},{0,10,20,30,40,50,60,62,64,66,68,70,72,74,76,78,80,85,90,95,100})</f>
        <v>90</v>
      </c>
      <c r="T121" s="12"/>
      <c r="U121" s="12"/>
      <c r="V121" s="12">
        <f t="shared" ref="V121:V126" si="66">S121+U121</f>
        <v>90</v>
      </c>
      <c r="W121" s="12"/>
      <c r="X121" s="20">
        <f t="shared" si="46"/>
        <v>59.2</v>
      </c>
      <c r="Y121" s="20">
        <f t="shared" ref="Y121:Y126" si="67">X121/0.7+L121+U121</f>
        <v>90.5714285714286</v>
      </c>
    </row>
    <row r="122" customFormat="1" ht="15.6" hidden="1" outlineLevel="2" spans="1:25">
      <c r="A122" s="12">
        <v>203</v>
      </c>
      <c r="B122" s="12">
        <v>30</v>
      </c>
      <c r="C122" s="6" t="s">
        <v>144</v>
      </c>
      <c r="D122" s="6" t="s">
        <v>11</v>
      </c>
      <c r="E122" s="12">
        <v>11</v>
      </c>
      <c r="F122" s="11">
        <f>LOOKUP(E122,{0,-2.9,-1.9,-0.9,0.1,1.1,2.1,3.5,4.9,6.3,7.7,9.1,10.5,11.9,13.3,14.7,16.1,18.3,20.5,22.4,24.3},{0,10,20,30,40,50,60,62,64,66,68,70,72,74,76,78,80,85,90,95,100})</f>
        <v>72</v>
      </c>
      <c r="G122" s="12">
        <v>195</v>
      </c>
      <c r="H122" s="11">
        <f>LOOKUP(G122,{0,175,180,185,190,195,200,204,208,212,216,220,224,228,232,236,240,248,255,260,265},{0,10,20,30,40,50,60,62,64,66,68,70,72,74,76,78,80,85,90,95,100})</f>
        <v>50</v>
      </c>
      <c r="I122" s="12">
        <v>3</v>
      </c>
      <c r="J122" s="11">
        <f>LOOKUP(I122,{0,3,4,5,6,7,8,9,10,11,12,13,14,15,16,17},{0,10,20,30,40,50,60,64,68,72,76,80,85,90,95,100})</f>
        <v>10</v>
      </c>
      <c r="K122" s="12"/>
      <c r="L122" s="12"/>
      <c r="M122" s="12">
        <f t="shared" si="63"/>
        <v>10</v>
      </c>
      <c r="N122" s="12">
        <v>7.5</v>
      </c>
      <c r="O122" s="12">
        <f t="shared" si="64"/>
        <v>4.5</v>
      </c>
      <c r="P122" s="11">
        <f>LOOKUP(O122,{0,1.6,1.8,2,2.2,2.4,2.6,2.8,3,3.2,3.4,3.6,3.8,4,4.2,4.4,4.6,4.7,4.8,4.9,5},{0,10,20,30,40,50,60,62,64,66,68,70,72,74,76,78,80,85,90,95,100})</f>
        <v>78</v>
      </c>
      <c r="Q122" s="12">
        <v>4.09</v>
      </c>
      <c r="R122" s="12">
        <f t="shared" si="65"/>
        <v>5.91</v>
      </c>
      <c r="S122" s="11">
        <f>LOOKUP(R122,{0,3.8,4,4.6,4.8,5,5.6,5.65,5.7,5.75,5.8,5.85,5.9,5.95,6,6.45,6.5,6.58,6.65,6.7,6.75},{0,10,20,30,40,50,60,62,64,66,68,70,72,74,76,78,80,85,90,95,100})</f>
        <v>72</v>
      </c>
      <c r="T122" s="12"/>
      <c r="U122" s="12"/>
      <c r="V122" s="12">
        <f t="shared" si="66"/>
        <v>72</v>
      </c>
      <c r="W122" s="12"/>
      <c r="X122" s="20">
        <f t="shared" si="46"/>
        <v>43.2</v>
      </c>
      <c r="Y122" s="20">
        <f t="shared" si="67"/>
        <v>61.7142857142857</v>
      </c>
    </row>
    <row r="123" customFormat="1" ht="15.6" hidden="1" outlineLevel="2" spans="1:25">
      <c r="A123" s="12">
        <v>203</v>
      </c>
      <c r="B123" s="12">
        <v>31</v>
      </c>
      <c r="C123" s="6" t="s">
        <v>145</v>
      </c>
      <c r="D123" s="6" t="s">
        <v>11</v>
      </c>
      <c r="E123" s="12">
        <v>16</v>
      </c>
      <c r="F123" s="11">
        <f>LOOKUP(E123,{0,-2.9,-1.9,-0.9,0.1,1.1,2.1,3.5,4.9,6.3,7.7,9.1,10.5,11.9,13.3,14.7,16.1,18.3,20.5,22.4,24.3},{0,10,20,30,40,50,60,62,64,66,68,70,72,74,76,78,80,85,90,95,100})</f>
        <v>78</v>
      </c>
      <c r="G123" s="12">
        <v>195</v>
      </c>
      <c r="H123" s="11">
        <f>LOOKUP(G123,{0,175,180,185,190,195,200,204,208,212,216,220,224,228,232,236,240,248,255,260,265},{0,10,20,30,40,50,60,62,64,66,68,70,72,74,76,78,80,85,90,95,100})</f>
        <v>50</v>
      </c>
      <c r="I123" s="12">
        <v>2</v>
      </c>
      <c r="J123" s="11">
        <f>LOOKUP(I123,{0,3,4,5,6,7,8,9,10,11,12,13,14,15,16,17},{0,10,20,30,40,50,60,64,68,72,76,80,85,90,95,100})</f>
        <v>0</v>
      </c>
      <c r="K123" s="12"/>
      <c r="L123" s="12"/>
      <c r="M123" s="12">
        <f t="shared" si="63"/>
        <v>0</v>
      </c>
      <c r="N123" s="12" t="s">
        <v>146</v>
      </c>
      <c r="O123" s="12" t="e">
        <f t="shared" si="64"/>
        <v>#VALUE!</v>
      </c>
      <c r="P123" s="11"/>
      <c r="Q123" s="12">
        <v>3.39</v>
      </c>
      <c r="R123" s="12">
        <f t="shared" si="65"/>
        <v>6.61</v>
      </c>
      <c r="S123" s="11">
        <f>LOOKUP(R123,{0,3.8,4,4.6,4.8,5,5.6,5.65,5.7,5.75,5.8,5.85,5.9,5.95,6,6.45,6.5,6.58,6.65,6.7,6.75},{0,10,20,30,40,50,60,62,64,66,68,70,72,74,76,78,80,85,90,95,100})</f>
        <v>85</v>
      </c>
      <c r="T123" s="12"/>
      <c r="U123" s="12"/>
      <c r="V123" s="12">
        <f t="shared" si="66"/>
        <v>85</v>
      </c>
      <c r="W123" s="12"/>
      <c r="X123" s="20">
        <f t="shared" si="46"/>
        <v>29.8</v>
      </c>
      <c r="Y123" s="23">
        <v>50</v>
      </c>
    </row>
    <row r="124" customFormat="1" ht="15.6" hidden="1" outlineLevel="2" spans="1:25">
      <c r="A124" s="12">
        <v>203</v>
      </c>
      <c r="B124" s="12">
        <v>32</v>
      </c>
      <c r="C124" s="6" t="s">
        <v>147</v>
      </c>
      <c r="D124" s="6" t="s">
        <v>11</v>
      </c>
      <c r="E124" s="12">
        <v>6</v>
      </c>
      <c r="F124" s="11">
        <f>LOOKUP(E124,{0,-2.9,-1.9,-0.9,0.1,1.1,2.1,3.5,4.9,6.3,7.7,9.1,10.5,11.9,13.3,14.7,16.1,18.3,20.5,22.4,24.3},{0,10,20,30,40,50,60,62,64,66,68,70,72,74,76,78,80,85,90,95,100})</f>
        <v>64</v>
      </c>
      <c r="G124" s="12">
        <v>245</v>
      </c>
      <c r="H124" s="11">
        <f>LOOKUP(G124,{0,175,180,185,190,195,200,204,208,212,216,220,224,228,232,236,240,248,255,260,265},{0,10,20,30,40,50,60,62,64,66,68,70,72,74,76,78,80,85,90,95,100})</f>
        <v>80</v>
      </c>
      <c r="I124" s="12">
        <v>7</v>
      </c>
      <c r="J124" s="11">
        <f>LOOKUP(I124,{0,3,4,5,6,7,8,9,10,11,12,13,14,15,16,17},{0,10,20,30,40,50,60,64,68,72,76,80,85,90,95,100})</f>
        <v>50</v>
      </c>
      <c r="K124" s="12"/>
      <c r="L124" s="12"/>
      <c r="M124" s="12">
        <f t="shared" si="63"/>
        <v>50</v>
      </c>
      <c r="N124" s="12">
        <v>6.5</v>
      </c>
      <c r="O124" s="12">
        <f t="shared" si="64"/>
        <v>5.5</v>
      </c>
      <c r="P124" s="11">
        <f>LOOKUP(O124,{0,1.6,1.8,2,2.2,2.4,2.6,2.8,3,3.2,3.4,3.6,3.8,4,4.2,4.4,4.6,4.7,4.8,4.9,5},{0,10,20,30,40,50,60,62,64,66,68,70,72,74,76,78,80,85,90,95,100})</f>
        <v>100</v>
      </c>
      <c r="Q124" s="12">
        <v>3.19</v>
      </c>
      <c r="R124" s="12">
        <f t="shared" si="65"/>
        <v>6.81</v>
      </c>
      <c r="S124" s="11">
        <f>LOOKUP(R124,{0,3.8,4,4.6,4.8,5,5.6,5.65,5.7,5.75,5.8,5.85,5.9,5.95,6,6.45,6.5,6.58,6.65,6.7,6.75},{0,10,20,30,40,50,60,62,64,66,68,70,72,74,76,78,80,85,90,95,100})</f>
        <v>100</v>
      </c>
      <c r="T124" s="12">
        <f>3.25-Q124</f>
        <v>0.0600000000000001</v>
      </c>
      <c r="U124" s="11">
        <f>LOOKUP(T124,{0,0.04,0.08,0.12,0.16,0.2,0.23,0.26,0.29,0.32,0.35},{0,1,2,3,4,5,6,7,8,9,10})</f>
        <v>1</v>
      </c>
      <c r="V124" s="12">
        <f t="shared" si="66"/>
        <v>101</v>
      </c>
      <c r="W124" s="12"/>
      <c r="X124" s="20">
        <f t="shared" si="46"/>
        <v>59.4</v>
      </c>
      <c r="Y124" s="20">
        <f t="shared" si="67"/>
        <v>85.8571428571429</v>
      </c>
    </row>
    <row r="125" customFormat="1" ht="15.6" hidden="1" outlineLevel="2" spans="1:25">
      <c r="A125" s="12">
        <v>203</v>
      </c>
      <c r="B125" s="12">
        <v>33</v>
      </c>
      <c r="C125" s="6" t="s">
        <v>148</v>
      </c>
      <c r="D125" s="6" t="s">
        <v>11</v>
      </c>
      <c r="E125" s="12">
        <v>17</v>
      </c>
      <c r="F125" s="11">
        <f>LOOKUP(E125,{0,-2.9,-1.9,-0.9,0.1,1.1,2.1,3.5,4.9,6.3,7.7,9.1,10.5,11.9,13.3,14.7,16.1,18.3,20.5,22.4,24.3},{0,10,20,30,40,50,60,62,64,66,68,70,72,74,76,78,80,85,90,95,100})</f>
        <v>80</v>
      </c>
      <c r="G125" s="12">
        <v>250</v>
      </c>
      <c r="H125" s="11">
        <f>LOOKUP(G125,{0,175,180,185,190,195,200,204,208,212,216,220,224,228,232,236,240,248,255,260,265},{0,10,20,30,40,50,60,62,64,66,68,70,72,74,76,78,80,85,90,95,100})</f>
        <v>85</v>
      </c>
      <c r="I125" s="12">
        <v>17</v>
      </c>
      <c r="J125" s="11">
        <f>LOOKUP(I125,{0,3,4,5,6,7,8,9,10,11,12,13,14,15,16,17},{0,10,20,30,40,50,60,64,68,72,76,80,85,90,95,100})</f>
        <v>100</v>
      </c>
      <c r="K125" s="12">
        <f>I125-17</f>
        <v>0</v>
      </c>
      <c r="L125" s="11">
        <f>LOOKUP(K125,{0,1,2,3,4,5,6,7,8,9,10},{0,1,2,3,4,5,6,7,8,9,10})</f>
        <v>0</v>
      </c>
      <c r="M125" s="12">
        <f t="shared" si="63"/>
        <v>100</v>
      </c>
      <c r="N125" s="12">
        <v>7.5</v>
      </c>
      <c r="O125" s="12">
        <f t="shared" si="64"/>
        <v>4.5</v>
      </c>
      <c r="P125" s="11">
        <f>LOOKUP(O125,{0,1.6,1.8,2,2.2,2.4,2.6,2.8,3,3.2,3.4,3.6,3.8,4,4.2,4.4,4.6,4.7,4.8,4.9,5},{0,10,20,30,40,50,60,62,64,66,68,70,72,74,76,78,80,85,90,95,100})</f>
        <v>78</v>
      </c>
      <c r="Q125" s="12">
        <v>3.26</v>
      </c>
      <c r="R125" s="12">
        <f t="shared" si="65"/>
        <v>6.74</v>
      </c>
      <c r="S125" s="11">
        <f>LOOKUP(R125,{0,3.8,4,4.6,4.8,5,5.6,5.65,5.7,5.75,5.8,5.85,5.9,5.95,6,6.45,6.5,6.58,6.65,6.7,6.75},{0,10,20,30,40,50,60,62,64,66,68,70,72,74,76,78,80,85,90,95,100})</f>
        <v>95</v>
      </c>
      <c r="T125" s="12"/>
      <c r="U125" s="12"/>
      <c r="V125" s="12">
        <f t="shared" si="66"/>
        <v>95</v>
      </c>
      <c r="W125" s="12"/>
      <c r="X125" s="20">
        <f t="shared" si="46"/>
        <v>61.1</v>
      </c>
      <c r="Y125" s="20">
        <f t="shared" si="67"/>
        <v>87.2857142857143</v>
      </c>
    </row>
    <row r="126" customFormat="1" ht="15.6" hidden="1" outlineLevel="2" spans="1:25">
      <c r="A126" s="12">
        <v>203</v>
      </c>
      <c r="B126" s="12">
        <v>34</v>
      </c>
      <c r="C126" s="13" t="s">
        <v>150</v>
      </c>
      <c r="D126" s="6" t="s">
        <v>53</v>
      </c>
      <c r="E126" s="12">
        <v>25</v>
      </c>
      <c r="F126" s="11">
        <f>LOOKUP(E126,{0,1,1.8,2.6,3.4,4.2,5,6.3,7.6,8.9,10.2,11.5,12.8,14.1,15.4,16.7,18,19.7,21.4,23.1,24.8},{0,10,20,30,40,50,60,62,64,66,68,70,72,74,76,78,80,85,90,95,100})</f>
        <v>100</v>
      </c>
      <c r="G126" s="12">
        <v>205</v>
      </c>
      <c r="H126" s="11">
        <f>LOOKUP(G126,{0,124,129,134,139,144,149,152,155,158,161,164,167,170,173,176,179,186,193,199,205},{0,10,20,30,40,50,60,62,64,66,68,70,72,74,76,78,80,85,90,95,100})</f>
        <v>100</v>
      </c>
      <c r="I126" s="12">
        <v>58</v>
      </c>
      <c r="J126" s="11">
        <f>LOOKUP(I126,{0,14,16,18,20,22,24,26,28,30,32,34,36,38,40,42,44,47,50,52,54},{0,10,20,30,40,50,60,62,64,66,68,70,72,74,76,78,80,85,90,95,100})</f>
        <v>100</v>
      </c>
      <c r="K126" s="12">
        <f>I126-54</f>
        <v>4</v>
      </c>
      <c r="L126" s="11">
        <f>LOOKUP(K126,{0,2,4,6,7,8,9,10,11,12,13},{0,1,2,3,4,5,6,7,8,9,10})</f>
        <v>2</v>
      </c>
      <c r="M126" s="12">
        <f t="shared" si="63"/>
        <v>102</v>
      </c>
      <c r="N126" s="12">
        <v>8.3</v>
      </c>
      <c r="O126" s="12">
        <f t="shared" si="64"/>
        <v>3.7</v>
      </c>
      <c r="P126" s="11">
        <f>LOOKUP(O126,{0,0.5,0.7,0.9,1.1,1.3,1.5,1.7,1.9,2.1,2.3,2.5,2.7,2.9,3.1,3.3,3.5,3.8,4.1,4.2,4.3},{0,10,20,30,40,50,60,62,64,66,68,70,72,74,76,78,80,85,90,95,100})</f>
        <v>80</v>
      </c>
      <c r="Q126" s="12">
        <v>3.14</v>
      </c>
      <c r="R126" s="12">
        <f t="shared" si="65"/>
        <v>6.86</v>
      </c>
      <c r="S126" s="11">
        <f>LOOKUP(R126,{0,4.72,4.82,4.92,5.42,5.52,5.62,5.67,5.72,5.77,5.82,5.87,5.92,5.97,6.42,6.47,6.52,6.59,6.66,6.72,6.78},{0,10,20,30,40,50,60,62,64,66,68,70,72,74,76,78,80,85,90,95,100})</f>
        <v>100</v>
      </c>
      <c r="T126" s="21">
        <f>3.22-Q126</f>
        <v>0.0800000000000001</v>
      </c>
      <c r="U126" s="11">
        <f>LOOKUP(T126,{0,0.05,0.1,0.15,0.2,0.25,0.3,0.35,0.4,0.45,0.5},{0,1,2,3,4,5,6,7,8,9,10})</f>
        <v>1</v>
      </c>
      <c r="V126" s="12">
        <f t="shared" si="66"/>
        <v>101</v>
      </c>
      <c r="W126" s="12"/>
      <c r="X126" s="20">
        <f t="shared" si="46"/>
        <v>66</v>
      </c>
      <c r="Y126" s="20">
        <f t="shared" si="67"/>
        <v>97.2857142857143</v>
      </c>
    </row>
    <row r="127" customFormat="1" ht="15.6" hidden="1" outlineLevel="2" spans="1:25">
      <c r="A127" s="12">
        <v>203</v>
      </c>
      <c r="B127" s="12">
        <v>35</v>
      </c>
      <c r="C127" s="6" t="s">
        <v>151</v>
      </c>
      <c r="D127" s="6" t="s">
        <v>53</v>
      </c>
      <c r="E127" s="12"/>
      <c r="F127" s="11"/>
      <c r="G127" s="12"/>
      <c r="H127" s="11"/>
      <c r="I127" s="12"/>
      <c r="J127" s="11"/>
      <c r="K127" s="12"/>
      <c r="L127" s="12"/>
      <c r="M127" s="12"/>
      <c r="N127" s="12"/>
      <c r="O127" s="12"/>
      <c r="P127" s="11"/>
      <c r="Q127" s="12"/>
      <c r="R127" s="12"/>
      <c r="S127" s="11"/>
      <c r="T127" s="21"/>
      <c r="U127" s="11"/>
      <c r="V127" s="12"/>
      <c r="W127" s="12" t="s">
        <v>14</v>
      </c>
      <c r="X127" s="20">
        <f t="shared" si="46"/>
        <v>0</v>
      </c>
      <c r="Y127" s="20">
        <v>50</v>
      </c>
    </row>
    <row r="128" customFormat="1" ht="15.6" hidden="1" outlineLevel="2" spans="1:25">
      <c r="A128" s="12">
        <v>203</v>
      </c>
      <c r="B128" s="12">
        <v>36</v>
      </c>
      <c r="C128" s="6" t="s">
        <v>152</v>
      </c>
      <c r="D128" s="6" t="s">
        <v>53</v>
      </c>
      <c r="E128" s="12">
        <v>21</v>
      </c>
      <c r="F128" s="11">
        <f>LOOKUP(E128,{0,1,1.8,2.6,3.4,4.2,5,6.3,7.6,8.9,10.2,11.5,12.8,14.1,15.4,16.7,18,19.7,21.4,23.1,24.8},{0,10,20,30,40,50,60,62,64,66,68,70,72,74,76,78,80,85,90,95,100})</f>
        <v>85</v>
      </c>
      <c r="G128" s="12">
        <v>311</v>
      </c>
      <c r="H128" s="11">
        <f>LOOKUP(G128,{0,124,129,134,139,144,149,152,155,158,161,164,167,170,173,176,179,186,193,199,205},{0,10,20,30,40,50,60,62,64,66,68,70,72,74,76,78,80,85,90,95,100})</f>
        <v>100</v>
      </c>
      <c r="I128" s="12">
        <v>50</v>
      </c>
      <c r="J128" s="11">
        <f>LOOKUP(I128,{0,14,16,18,20,22,24,26,28,30,32,34,36,38,40,42,44,47,50,52,54},{0,10,20,30,40,50,60,62,64,66,68,70,72,74,76,78,80,85,90,95,100})</f>
        <v>90</v>
      </c>
      <c r="K128" s="12"/>
      <c r="L128" s="12"/>
      <c r="M128" s="12">
        <f t="shared" ref="M128:M132" si="68">J128+L128</f>
        <v>90</v>
      </c>
      <c r="N128" s="12">
        <v>9</v>
      </c>
      <c r="O128" s="12">
        <f t="shared" ref="O128:O132" si="69">12-N128</f>
        <v>3</v>
      </c>
      <c r="P128" s="11">
        <f>LOOKUP(O128,{0,0.5,0.7,0.9,1.1,1.3,1.5,1.7,1.9,2.1,2.3,2.5,2.7,2.9,3.1,3.3,3.5,3.8,4.1,4.2,4.3},{0,10,20,30,40,50,60,62,64,66,68,70,72,74,76,78,80,85,90,95,100})</f>
        <v>74</v>
      </c>
      <c r="Q128" s="12">
        <v>4.1</v>
      </c>
      <c r="R128" s="12">
        <f t="shared" ref="R128:R132" si="70">10-Q128</f>
        <v>5.9</v>
      </c>
      <c r="S128" s="11">
        <f>LOOKUP(R128,{0,4.72,4.82,4.92,5.42,5.52,5.62,5.67,5.72,5.77,5.82,5.87,5.92,5.97,6.42,6.47,6.52,6.59,6.66,6.72,6.78},{0,10,20,30,40,50,60,62,64,66,68,70,72,74,76,78,80,85,90,95,100})</f>
        <v>70</v>
      </c>
      <c r="T128" s="12"/>
      <c r="U128" s="12"/>
      <c r="V128" s="12">
        <f t="shared" ref="V128:V132" si="71">S128+U128</f>
        <v>70</v>
      </c>
      <c r="W128" s="12"/>
      <c r="X128" s="20">
        <f t="shared" si="46"/>
        <v>56.3</v>
      </c>
      <c r="Y128" s="20">
        <f t="shared" ref="Y128:Y132" si="72">X128/0.7+L128+U128</f>
        <v>80.4285714285714</v>
      </c>
    </row>
    <row r="129" customFormat="1" ht="15.6" hidden="1" outlineLevel="2" spans="1:25">
      <c r="A129" s="12">
        <v>203</v>
      </c>
      <c r="B129" s="12">
        <v>37</v>
      </c>
      <c r="C129" s="6" t="s">
        <v>153</v>
      </c>
      <c r="D129" s="6" t="s">
        <v>53</v>
      </c>
      <c r="E129" s="12">
        <v>28</v>
      </c>
      <c r="F129" s="11">
        <f>LOOKUP(E129,{0,1,1.8,2.6,3.4,4.2,5,6.3,7.6,8.9,10.2,11.5,12.8,14.1,15.4,16.7,18,19.7,21.4,23.1,24.8},{0,10,20,30,40,50,60,62,64,66,68,70,72,74,76,78,80,85,90,95,100})</f>
        <v>100</v>
      </c>
      <c r="G129" s="12">
        <v>207</v>
      </c>
      <c r="H129" s="11">
        <f>LOOKUP(G129,{0,124,129,134,139,144,149,152,155,158,161,164,167,170,173,176,179,186,193,199,205},{0,10,20,30,40,50,60,62,64,66,68,70,72,74,76,78,80,85,90,95,100})</f>
        <v>100</v>
      </c>
      <c r="I129" s="12">
        <v>42</v>
      </c>
      <c r="J129" s="11">
        <f>LOOKUP(I129,{0,14,16,18,20,22,24,26,28,30,32,34,36,38,40,42,44,47,50,52,54},{0,10,20,30,40,50,60,62,64,66,68,70,72,74,76,78,80,85,90,95,100})</f>
        <v>78</v>
      </c>
      <c r="K129" s="12"/>
      <c r="L129" s="12"/>
      <c r="M129" s="12">
        <f t="shared" si="68"/>
        <v>78</v>
      </c>
      <c r="N129" s="12">
        <v>7.9</v>
      </c>
      <c r="O129" s="12">
        <f t="shared" si="69"/>
        <v>4.1</v>
      </c>
      <c r="P129" s="11">
        <f>LOOKUP(O129,{0,0.5,0.7,0.9,1.1,1.3,1.5,1.7,1.9,2.1,2.3,2.5,2.7,2.9,3.1,3.3,3.5,3.8,4.1,4.2,4.3},{0,10,20,30,40,50,60,62,64,66,68,70,72,74,76,78,80,85,90,95,100})</f>
        <v>90</v>
      </c>
      <c r="Q129" s="12">
        <v>3.13</v>
      </c>
      <c r="R129" s="12">
        <f t="shared" si="70"/>
        <v>6.87</v>
      </c>
      <c r="S129" s="11">
        <f>LOOKUP(R129,{0,4.72,4.82,4.92,5.42,5.52,5.62,5.67,5.72,5.77,5.82,5.87,5.92,5.97,6.42,6.47,6.52,6.59,6.66,6.72,6.78},{0,10,20,30,40,50,60,62,64,66,68,70,72,74,76,78,80,85,90,95,100})</f>
        <v>100</v>
      </c>
      <c r="T129" s="21">
        <f>3.22-Q129</f>
        <v>0.0900000000000003</v>
      </c>
      <c r="U129" s="11">
        <f>LOOKUP(T129,{0,0.05,0.1,0.15,0.2,0.25,0.3,0.35,0.4,0.45,0.5},{0,1,2,3,4,5,6,7,8,9,10})</f>
        <v>1</v>
      </c>
      <c r="V129" s="12">
        <f t="shared" si="71"/>
        <v>101</v>
      </c>
      <c r="W129" s="12"/>
      <c r="X129" s="20">
        <f t="shared" si="46"/>
        <v>65.8</v>
      </c>
      <c r="Y129" s="20">
        <f t="shared" si="72"/>
        <v>95</v>
      </c>
    </row>
    <row r="130" s="1" customFormat="1" ht="15.6" hidden="1" outlineLevel="2" spans="1:25">
      <c r="A130" s="12">
        <v>203</v>
      </c>
      <c r="B130" s="12">
        <v>38</v>
      </c>
      <c r="C130" s="6" t="s">
        <v>154</v>
      </c>
      <c r="D130" s="6" t="s">
        <v>53</v>
      </c>
      <c r="E130" s="12">
        <v>12</v>
      </c>
      <c r="F130" s="11">
        <f>LOOKUP(E130,{0,1,1.8,2.6,3.4,4.2,5,6.3,7.6,8.9,10.2,11.5,12.8,14.1,15.4,16.7,18,19.7,21.4,23.1,24.8},{0,10,20,30,40,50,60,62,64,66,68,70,72,74,76,78,80,85,90,95,100})</f>
        <v>70</v>
      </c>
      <c r="G130" s="12">
        <v>182</v>
      </c>
      <c r="H130" s="11">
        <f>LOOKUP(G130,{0,124,129,134,139,144,149,152,155,158,161,164,167,170,173,176,179,186,193,199,205},{0,10,20,30,40,50,60,62,64,66,68,70,72,74,76,78,80,85,90,95,100})</f>
        <v>80</v>
      </c>
      <c r="I130" s="12">
        <v>43</v>
      </c>
      <c r="J130" s="11">
        <f>LOOKUP(I130,{0,14,16,18,20,22,24,26,28,30,32,34,36,38,40,42,44,47,50,52,54},{0,10,20,30,40,50,60,62,64,66,68,70,72,74,76,78,80,85,90,95,100})</f>
        <v>78</v>
      </c>
      <c r="K130" s="12"/>
      <c r="L130" s="15"/>
      <c r="M130" s="12">
        <f t="shared" si="68"/>
        <v>78</v>
      </c>
      <c r="N130" s="12">
        <v>8.3</v>
      </c>
      <c r="O130" s="12">
        <f t="shared" si="69"/>
        <v>3.7</v>
      </c>
      <c r="P130" s="11">
        <f>LOOKUP(O130,{0,0.5,0.7,0.9,1.1,1.3,1.5,1.7,1.9,2.1,2.3,2.5,2.7,2.9,3.1,3.3,3.5,3.8,4.1,4.2,4.3},{0,10,20,30,40,50,60,62,64,66,68,70,72,74,76,78,80,85,90,95,100})</f>
        <v>80</v>
      </c>
      <c r="Q130" s="12"/>
      <c r="R130" s="12"/>
      <c r="S130" s="11"/>
      <c r="T130" s="21"/>
      <c r="U130" s="11"/>
      <c r="V130" s="12"/>
      <c r="W130" s="12"/>
      <c r="X130" s="20">
        <f t="shared" si="46"/>
        <v>38.8</v>
      </c>
      <c r="Y130" s="20">
        <f t="shared" si="72"/>
        <v>55.4285714285714</v>
      </c>
    </row>
    <row r="131" ht="15.6" hidden="1" outlineLevel="2" spans="1:25">
      <c r="A131" s="12">
        <v>203</v>
      </c>
      <c r="B131" s="12">
        <v>39</v>
      </c>
      <c r="C131" s="6" t="s">
        <v>155</v>
      </c>
      <c r="D131" s="6" t="s">
        <v>53</v>
      </c>
      <c r="E131" s="12">
        <v>31</v>
      </c>
      <c r="F131" s="11">
        <f>LOOKUP(E131,{0,1,1.8,2.6,3.4,4.2,5,6.3,7.6,8.9,10.2,11.5,12.8,14.1,15.4,16.7,18,19.7,21.4,23.1,24.8},{0,10,20,30,40,50,60,62,64,66,68,70,72,74,76,78,80,85,90,95,100})</f>
        <v>100</v>
      </c>
      <c r="G131" s="12">
        <v>188</v>
      </c>
      <c r="H131" s="11">
        <f>LOOKUP(G131,{0,124,129,134,139,144,149,152,155,158,161,164,167,170,173,176,179,186,193,199,205},{0,10,20,30,40,50,60,62,64,66,68,70,72,74,76,78,80,85,90,95,100})</f>
        <v>85</v>
      </c>
      <c r="I131" s="12">
        <v>45</v>
      </c>
      <c r="J131" s="11">
        <f>LOOKUP(I131,{0,14,16,18,20,22,24,26,28,30,32,34,36,38,40,42,44,47,50,52,54},{0,10,20,30,40,50,60,62,64,66,68,70,72,74,76,78,80,85,90,95,100})</f>
        <v>80</v>
      </c>
      <c r="K131" s="12"/>
      <c r="L131" s="12"/>
      <c r="M131" s="12">
        <f t="shared" si="68"/>
        <v>80</v>
      </c>
      <c r="N131" s="12">
        <v>8.4</v>
      </c>
      <c r="O131" s="12">
        <f t="shared" si="69"/>
        <v>3.6</v>
      </c>
      <c r="P131" s="11">
        <f>LOOKUP(O131,{0,0.5,0.7,0.9,1.1,1.3,1.5,1.7,1.9,2.1,2.3,2.5,2.7,2.9,3.1,3.3,3.5,3.8,4.1,4.2,4.3},{0,10,20,30,40,50,60,62,64,66,68,70,72,74,76,78,80,85,90,95,100})</f>
        <v>80</v>
      </c>
      <c r="Q131" s="12">
        <v>3.41</v>
      </c>
      <c r="R131" s="12">
        <f t="shared" si="70"/>
        <v>6.59</v>
      </c>
      <c r="S131" s="11">
        <f>LOOKUP(R131,{0,4.72,4.82,4.92,5.42,5.52,5.62,5.67,5.72,5.77,5.82,5.87,5.92,5.97,6.42,6.47,6.52,6.59,6.66,6.72,6.78},{0,10,20,30,40,50,60,62,64,66,68,70,72,74,76,78,80,85,90,95,100})</f>
        <v>85</v>
      </c>
      <c r="T131" s="12"/>
      <c r="U131" s="12"/>
      <c r="V131" s="12">
        <f t="shared" si="71"/>
        <v>85</v>
      </c>
      <c r="W131" s="12"/>
      <c r="X131" s="20">
        <f t="shared" si="46"/>
        <v>59.5</v>
      </c>
      <c r="Y131" s="20">
        <f t="shared" si="72"/>
        <v>85</v>
      </c>
    </row>
    <row r="132" ht="15.6" hidden="1" outlineLevel="2" spans="1:25">
      <c r="A132" s="12">
        <v>203</v>
      </c>
      <c r="B132" s="12">
        <v>40</v>
      </c>
      <c r="C132" s="6" t="s">
        <v>156</v>
      </c>
      <c r="D132" s="6" t="s">
        <v>53</v>
      </c>
      <c r="E132" s="12">
        <v>15</v>
      </c>
      <c r="F132" s="11">
        <f>LOOKUP(E132,{0,1,1.8,2.6,3.4,4.2,5,6.3,7.6,8.9,10.2,11.5,12.8,14.1,15.4,16.7,18,19.7,21.4,23.1,24.8},{0,10,20,30,40,50,60,62,64,66,68,70,72,74,76,78,80,85,90,95,100})</f>
        <v>74</v>
      </c>
      <c r="G132" s="12">
        <v>162</v>
      </c>
      <c r="H132" s="11">
        <f>LOOKUP(G132,{0,124,129,134,139,144,149,152,155,158,161,164,167,170,173,176,179,186,193,199,205},{0,10,20,30,40,50,60,62,64,66,68,70,72,74,76,78,80,85,90,95,100})</f>
        <v>68</v>
      </c>
      <c r="I132" s="12">
        <v>43</v>
      </c>
      <c r="J132" s="11">
        <f>LOOKUP(I132,{0,14,16,18,20,22,24,26,28,30,32,34,36,38,40,42,44,47,50,52,54},{0,10,20,30,40,50,60,62,64,66,68,70,72,74,76,78,80,85,90,95,100})</f>
        <v>78</v>
      </c>
      <c r="K132" s="12"/>
      <c r="L132" s="12"/>
      <c r="M132" s="12">
        <f t="shared" si="68"/>
        <v>78</v>
      </c>
      <c r="N132" s="12">
        <v>10</v>
      </c>
      <c r="O132" s="12">
        <f t="shared" si="69"/>
        <v>2</v>
      </c>
      <c r="P132" s="11">
        <f>LOOKUP(O132,{0,0.5,0.7,0.9,1.1,1.3,1.5,1.7,1.9,2.1,2.3,2.5,2.7,2.9,3.1,3.3,3.5,3.8,4.1,4.2,4.3},{0,10,20,30,40,50,60,62,64,66,68,70,72,74,76,78,80,85,90,95,100})</f>
        <v>64</v>
      </c>
      <c r="Q132" s="12">
        <v>5.1</v>
      </c>
      <c r="R132" s="12">
        <f t="shared" si="70"/>
        <v>4.9</v>
      </c>
      <c r="S132" s="11">
        <f>LOOKUP(R132,{0,4.72,4.82,4.92,5.42,5.52,5.62,5.67,5.72,5.77,5.82,5.87,5.92,5.97,6.42,6.47,6.52,6.59,6.66,6.72,6.78},{0,10,20,30,40,50,60,62,64,66,68,70,72,74,76,78,80,85,90,95,100})</f>
        <v>20</v>
      </c>
      <c r="T132" s="12"/>
      <c r="U132" s="12"/>
      <c r="V132" s="12">
        <f t="shared" si="71"/>
        <v>20</v>
      </c>
      <c r="W132" s="12"/>
      <c r="X132" s="20">
        <f t="shared" si="46"/>
        <v>38.8</v>
      </c>
      <c r="Y132" s="20">
        <f t="shared" si="72"/>
        <v>55.4285714285714</v>
      </c>
    </row>
    <row r="133" ht="15.6" hidden="1" outlineLevel="2" spans="1:25">
      <c r="A133" s="12">
        <v>203</v>
      </c>
      <c r="B133" s="12">
        <v>41</v>
      </c>
      <c r="C133" s="6" t="s">
        <v>157</v>
      </c>
      <c r="D133" s="6" t="s">
        <v>53</v>
      </c>
      <c r="E133" s="12"/>
      <c r="F133" s="11"/>
      <c r="G133" s="12"/>
      <c r="H133" s="11"/>
      <c r="I133" s="12"/>
      <c r="J133" s="11"/>
      <c r="K133" s="12"/>
      <c r="L133" s="12"/>
      <c r="M133" s="12"/>
      <c r="N133" s="12"/>
      <c r="O133" s="12"/>
      <c r="P133" s="11"/>
      <c r="Q133" s="12"/>
      <c r="R133" s="12"/>
      <c r="S133" s="11"/>
      <c r="T133" s="21"/>
      <c r="U133" s="11"/>
      <c r="V133" s="12"/>
      <c r="W133" s="12" t="s">
        <v>14</v>
      </c>
      <c r="X133" s="20">
        <f t="shared" si="46"/>
        <v>0</v>
      </c>
      <c r="Y133" s="20">
        <v>50</v>
      </c>
    </row>
    <row r="134" ht="15.6" hidden="1" outlineLevel="2" spans="1:25">
      <c r="A134" s="12">
        <v>203</v>
      </c>
      <c r="B134" s="12">
        <v>42</v>
      </c>
      <c r="C134" s="6" t="s">
        <v>158</v>
      </c>
      <c r="D134" s="6" t="s">
        <v>53</v>
      </c>
      <c r="E134" s="12">
        <v>26</v>
      </c>
      <c r="F134" s="11">
        <f>LOOKUP(E134,{0,1,1.8,2.6,3.4,4.2,5,6.3,7.6,8.9,10.2,11.5,12.8,14.1,15.4,16.7,18,19.7,21.4,23.1,24.8},{0,10,20,30,40,50,60,62,64,66,68,70,72,74,76,78,80,85,90,95,100})</f>
        <v>100</v>
      </c>
      <c r="G134" s="12">
        <v>196</v>
      </c>
      <c r="H134" s="11">
        <f>LOOKUP(G134,{0,124,129,134,139,144,149,152,155,158,161,164,167,170,173,176,179,186,193,199,205},{0,10,20,30,40,50,60,62,64,66,68,70,72,74,76,78,80,85,90,95,100})</f>
        <v>90</v>
      </c>
      <c r="I134" s="12">
        <v>55</v>
      </c>
      <c r="J134" s="11">
        <f>LOOKUP(I134,{0,14,16,18,20,22,24,26,28,30,32,34,36,38,40,42,44,47,50,52,54},{0,10,20,30,40,50,60,62,64,66,68,70,72,74,76,78,80,85,90,95,100})</f>
        <v>100</v>
      </c>
      <c r="K134" s="12">
        <f>I134-54</f>
        <v>1</v>
      </c>
      <c r="L134" s="11">
        <f>LOOKUP(K134,{0,2,4,6,7,8,9,10,11,12,13},{0,1,2,3,4,5,6,7,8,9,10})</f>
        <v>0</v>
      </c>
      <c r="M134" s="12">
        <f>J134+L134</f>
        <v>100</v>
      </c>
      <c r="N134" s="12">
        <v>8</v>
      </c>
      <c r="O134" s="12">
        <f>12-N134</f>
        <v>4</v>
      </c>
      <c r="P134" s="11">
        <f>LOOKUP(O134,{0,0.5,0.7,0.9,1.1,1.3,1.5,1.7,1.9,2.1,2.3,2.5,2.7,2.9,3.1,3.3,3.5,3.8,4.1,4.2,4.3},{0,10,20,30,40,50,60,62,64,66,68,70,72,74,76,78,80,85,90,95,100})</f>
        <v>85</v>
      </c>
      <c r="Q134" s="12">
        <v>3.17</v>
      </c>
      <c r="R134" s="12">
        <f>10-Q134</f>
        <v>6.83</v>
      </c>
      <c r="S134" s="11">
        <f>LOOKUP(R134,{0,4.72,4.82,4.92,5.42,5.52,5.62,5.67,5.72,5.77,5.82,5.87,5.92,5.97,6.42,6.47,6.52,6.59,6.66,6.72,6.78},{0,10,20,30,40,50,60,62,64,66,68,70,72,74,76,78,80,85,90,95,100})</f>
        <v>100</v>
      </c>
      <c r="T134" s="21">
        <f>3.22-Q134</f>
        <v>0.0500000000000003</v>
      </c>
      <c r="U134" s="11">
        <f>LOOKUP(T134,{0,0.05,0.1,0.15,0.2,0.25,0.3,0.35,0.4,0.45,0.5},{0,1,2,3,4,5,6,7,8,9,10})</f>
        <v>1</v>
      </c>
      <c r="V134" s="12">
        <f>S134+U134</f>
        <v>101</v>
      </c>
      <c r="W134" s="12"/>
      <c r="X134" s="20">
        <f t="shared" si="46"/>
        <v>66</v>
      </c>
      <c r="Y134" s="20">
        <f>X134/0.7+L134+U134</f>
        <v>95.2857142857143</v>
      </c>
    </row>
    <row r="135" ht="15.6" hidden="1" outlineLevel="2" spans="1:25">
      <c r="A135" s="12">
        <v>203</v>
      </c>
      <c r="B135" s="12">
        <v>43</v>
      </c>
      <c r="C135" s="6" t="s">
        <v>159</v>
      </c>
      <c r="D135" s="6" t="s">
        <v>53</v>
      </c>
      <c r="E135" s="12">
        <v>29</v>
      </c>
      <c r="F135" s="11">
        <f>LOOKUP(E135,{0,1,1.8,2.6,3.4,4.2,5,6.3,7.6,8.9,10.2,11.5,12.8,14.1,15.4,16.7,18,19.7,21.4,23.1,24.8},{0,10,20,30,40,50,60,62,64,66,68,70,72,74,76,78,80,85,90,95,100})</f>
        <v>100</v>
      </c>
      <c r="G135" s="12">
        <v>175</v>
      </c>
      <c r="H135" s="11">
        <f>LOOKUP(G135,{0,124,129,134,139,144,149,152,155,158,161,164,167,170,173,176,179,186,193,199,205},{0,10,20,30,40,50,60,62,64,66,68,70,72,74,76,78,80,85,90,95,100})</f>
        <v>76</v>
      </c>
      <c r="I135" s="12">
        <v>39</v>
      </c>
      <c r="J135" s="11">
        <f>LOOKUP(I135,{0,14,16,18,20,22,24,26,28,30,32,34,36,38,40,42,44,47,50,52,54},{0,10,20,30,40,50,60,62,64,66,68,70,72,74,76,78,80,85,90,95,100})</f>
        <v>74</v>
      </c>
      <c r="K135" s="12"/>
      <c r="L135" s="12"/>
      <c r="M135" s="12">
        <f>J135+L135</f>
        <v>74</v>
      </c>
      <c r="N135" s="12">
        <v>9.1</v>
      </c>
      <c r="O135" s="12">
        <f>12-N135</f>
        <v>2.9</v>
      </c>
      <c r="P135" s="11">
        <f>LOOKUP(O135,{0,0.5,0.7,0.9,1.1,1.3,1.5,1.7,1.9,2.1,2.3,2.5,2.7,2.9,3.1,3.3,3.5,3.8,4.1,4.2,4.3},{0,10,20,30,40,50,60,62,64,66,68,70,72,74,76,78,80,85,90,95,100})</f>
        <v>74</v>
      </c>
      <c r="Q135" s="12">
        <v>3.57</v>
      </c>
      <c r="R135" s="12">
        <f>10-Q135</f>
        <v>6.43</v>
      </c>
      <c r="S135" s="11">
        <f>LOOKUP(R135,{0,4.72,4.82,4.92,5.42,5.52,5.62,5.67,5.72,5.77,5.82,5.87,5.92,5.97,6.42,6.47,6.52,6.59,6.66,6.72,6.78},{0,10,20,30,40,50,60,62,64,66,68,70,72,74,76,78,80,85,90,95,100})</f>
        <v>76</v>
      </c>
      <c r="T135" s="12"/>
      <c r="U135" s="12"/>
      <c r="V135" s="12">
        <f>S135+U135</f>
        <v>76</v>
      </c>
      <c r="W135" s="12"/>
      <c r="X135" s="20">
        <f t="shared" si="46"/>
        <v>55</v>
      </c>
      <c r="Y135" s="20">
        <f>X135/0.7+L135+U135</f>
        <v>78.5714285714286</v>
      </c>
    </row>
    <row r="136" ht="15.6" outlineLevel="1" collapsed="1" spans="1:25">
      <c r="A136" s="14" t="s">
        <v>857</v>
      </c>
      <c r="B136" s="12"/>
      <c r="C136" s="6"/>
      <c r="D136" s="6"/>
      <c r="E136" s="12"/>
      <c r="F136" s="11">
        <f>SUBTOTAL(1,F93:F135)</f>
        <v>80.5263157894737</v>
      </c>
      <c r="G136" s="12"/>
      <c r="H136" s="11">
        <f>SUBTOTAL(1,H93:H135)</f>
        <v>81.8684210526316</v>
      </c>
      <c r="I136" s="12"/>
      <c r="J136" s="11">
        <f>SUBTOTAL(1,J93:J135)</f>
        <v>63.6842105263158</v>
      </c>
      <c r="K136" s="12"/>
      <c r="L136" s="12"/>
      <c r="M136" s="12">
        <f>SUBTOTAL(1,M93:M135)</f>
        <v>64.7631578947368</v>
      </c>
      <c r="N136" s="12"/>
      <c r="O136" s="12"/>
      <c r="P136" s="11">
        <f>SUBTOTAL(1,P93:P135)</f>
        <v>85.3055555555556</v>
      </c>
      <c r="Q136" s="12"/>
      <c r="R136" s="12"/>
      <c r="S136" s="11">
        <f>SUBTOTAL(1,S93:S135)</f>
        <v>87.1764705882353</v>
      </c>
      <c r="T136" s="12"/>
      <c r="U136" s="12"/>
      <c r="V136" s="12">
        <f>SUBTOTAL(1,V93:V135)</f>
        <v>87.5294117647059</v>
      </c>
      <c r="W136" s="12"/>
      <c r="X136" s="20">
        <f>SUBTOTAL(1,X93:X135)</f>
        <v>48.0488372093023</v>
      </c>
      <c r="Y136" s="20">
        <f>SUBTOTAL(1,Y93:Y135)</f>
        <v>76.0963455149502</v>
      </c>
    </row>
    <row r="137" ht="15.6" hidden="1" outlineLevel="2" spans="1:25">
      <c r="A137" s="12">
        <v>204</v>
      </c>
      <c r="B137" s="12">
        <v>1</v>
      </c>
      <c r="C137" s="13" t="s">
        <v>161</v>
      </c>
      <c r="D137" s="6" t="s">
        <v>11</v>
      </c>
      <c r="E137" s="12">
        <v>14.5</v>
      </c>
      <c r="F137" s="11">
        <f>LOOKUP(E137,{0,-2.9,-1.9,-0.9,0.1,1.1,2.1,3.5,4.9,6.3,7.7,9.1,10.5,11.9,13.3,14.7,16.1,18.3,20.5,22.4,24.3},{0,10,20,30,40,50,60,62,64,66,68,70,72,74,76,78,80,85,90,95,100})</f>
        <v>76</v>
      </c>
      <c r="G137" s="12">
        <v>231</v>
      </c>
      <c r="H137" s="11">
        <f>LOOKUP(G137,{0,175,180,185,190,195,200,204,208,212,216,220,224,228,232,236,240,248,255,260,265},{0,10,20,30,40,50,60,62,64,66,68,70,72,74,76,78,80,85,90,95,100})</f>
        <v>74</v>
      </c>
      <c r="I137" s="12">
        <v>1</v>
      </c>
      <c r="J137" s="11">
        <f>LOOKUP(I137,{0,3,4,5,6,7,8,9,10,11,12,13,14,15,16,17},{0,10,20,30,40,50,60,64,68,72,76,80,85,90,95,100})</f>
        <v>0</v>
      </c>
      <c r="K137" s="12"/>
      <c r="L137" s="12"/>
      <c r="M137" s="12">
        <f t="shared" ref="M137:M149" si="73">J137+L137</f>
        <v>0</v>
      </c>
      <c r="N137" s="12">
        <v>7.7</v>
      </c>
      <c r="O137" s="12">
        <f t="shared" ref="O137:O149" si="74">12-N137</f>
        <v>4.3</v>
      </c>
      <c r="P137" s="11">
        <f>LOOKUP(O137,{0,1.6,1.8,2,2.2,2.4,2.6,2.8,3,3.2,3.4,3.6,3.8,4,4.2,4.4,4.6,4.7,4.8,4.9,5},{0,10,20,30,40,50,60,62,64,66,68,70,72,74,76,78,80,85,90,95,100})</f>
        <v>76</v>
      </c>
      <c r="Q137" s="12">
        <v>3.56</v>
      </c>
      <c r="R137" s="12">
        <f t="shared" ref="R137:R149" si="75">10-Q137</f>
        <v>6.44</v>
      </c>
      <c r="S137" s="11">
        <f>LOOKUP(R137,{0,3.8,4,4.6,4.8,5,5.6,5.65,5.7,5.75,5.8,5.85,5.9,5.95,6,6.45,6.5,6.58,6.65,6.7,6.75},{0,10,20,30,40,50,60,62,64,66,68,70,72,74,76,78,80,85,90,95,100})</f>
        <v>76</v>
      </c>
      <c r="T137" s="12"/>
      <c r="U137" s="12"/>
      <c r="V137" s="12">
        <f t="shared" ref="V137:V149" si="76">S137+U137</f>
        <v>76</v>
      </c>
      <c r="W137" s="12"/>
      <c r="X137" s="20">
        <f t="shared" ref="X137:X196" si="77">F137*0.1+H137*0.1+J137*0.1+P137*0.2+S137*0.2</f>
        <v>45.4</v>
      </c>
      <c r="Y137" s="20">
        <f t="shared" ref="Y137:Y149" si="78">X137/0.7+L137+U137</f>
        <v>64.8571428571429</v>
      </c>
    </row>
    <row r="138" ht="15.6" hidden="1" outlineLevel="2" spans="1:25">
      <c r="A138" s="12">
        <v>204</v>
      </c>
      <c r="B138" s="12">
        <v>2</v>
      </c>
      <c r="C138" s="6" t="s">
        <v>162</v>
      </c>
      <c r="D138" s="6" t="s">
        <v>11</v>
      </c>
      <c r="E138" s="12">
        <v>7.6</v>
      </c>
      <c r="F138" s="11">
        <f>LOOKUP(E138,{0,-2.9,-1.9,-0.9,0.1,1.1,2.1,3.5,4.9,6.3,7.7,9.1,10.5,11.9,13.3,14.7,16.1,18.3,20.5,22.4,24.3},{0,10,20,30,40,50,60,62,64,66,68,70,72,74,76,78,80,85,90,95,100})</f>
        <v>66</v>
      </c>
      <c r="G138" s="12">
        <v>242</v>
      </c>
      <c r="H138" s="11">
        <f>LOOKUP(G138,{0,175,180,185,190,195,200,204,208,212,216,220,224,228,232,236,240,248,255,260,265},{0,10,20,30,40,50,60,62,64,66,68,70,72,74,76,78,80,85,90,95,100})</f>
        <v>80</v>
      </c>
      <c r="I138" s="12">
        <v>3</v>
      </c>
      <c r="J138" s="11">
        <f>LOOKUP(I138,{0,3,4,5,6,7,8,9,10,11,12,13,14,15,16,17},{0,10,20,30,40,50,60,64,68,72,76,80,85,90,95,100})</f>
        <v>10</v>
      </c>
      <c r="K138" s="12"/>
      <c r="L138" s="12"/>
      <c r="M138" s="12">
        <f t="shared" si="73"/>
        <v>10</v>
      </c>
      <c r="N138" s="12">
        <v>7.3</v>
      </c>
      <c r="O138" s="12">
        <f t="shared" si="74"/>
        <v>4.7</v>
      </c>
      <c r="P138" s="11">
        <f>LOOKUP(O138,{0,1.6,1.8,2,2.2,2.4,2.6,2.8,3,3.2,3.4,3.6,3.8,4,4.2,4.4,4.6,4.7,4.8,4.9,5},{0,10,20,30,40,50,60,62,64,66,68,70,72,74,76,78,80,85,90,95,100})</f>
        <v>85</v>
      </c>
      <c r="Q138" s="12">
        <v>3.42</v>
      </c>
      <c r="R138" s="12">
        <f t="shared" si="75"/>
        <v>6.58</v>
      </c>
      <c r="S138" s="11">
        <f>LOOKUP(R138,{0,3.8,4,4.6,4.8,5,5.6,5.65,5.7,5.75,5.8,5.85,5.9,5.95,6,6.45,6.5,6.58,6.65,6.7,6.75},{0,10,20,30,40,50,60,62,64,66,68,70,72,74,76,78,80,85,90,95,100})</f>
        <v>85</v>
      </c>
      <c r="T138" s="12"/>
      <c r="U138" s="12"/>
      <c r="V138" s="12">
        <f t="shared" si="76"/>
        <v>85</v>
      </c>
      <c r="W138" s="12"/>
      <c r="X138" s="20">
        <f t="shared" si="77"/>
        <v>49.6</v>
      </c>
      <c r="Y138" s="20">
        <f t="shared" si="78"/>
        <v>70.8571428571429</v>
      </c>
    </row>
    <row r="139" ht="15.6" hidden="1" outlineLevel="2" spans="1:25">
      <c r="A139" s="12">
        <v>204</v>
      </c>
      <c r="B139" s="12">
        <v>3</v>
      </c>
      <c r="C139" s="6" t="s">
        <v>163</v>
      </c>
      <c r="D139" s="6" t="s">
        <v>11</v>
      </c>
      <c r="E139" s="12">
        <v>17.6</v>
      </c>
      <c r="F139" s="11">
        <f>LOOKUP(E139,{0,-2.9,-1.9,-0.9,0.1,1.1,2.1,3.5,4.9,6.3,7.7,9.1,10.5,11.9,13.3,14.7,16.1,18.3,20.5,22.4,24.3},{0,10,20,30,40,50,60,62,64,66,68,70,72,74,76,78,80,85,90,95,100})</f>
        <v>80</v>
      </c>
      <c r="G139" s="12">
        <v>262</v>
      </c>
      <c r="H139" s="11">
        <f>LOOKUP(G139,{0,175,180,185,190,195,200,204,208,212,216,220,224,228,232,236,240,248,255,260,265},{0,10,20,30,40,50,60,62,64,66,68,70,72,74,76,78,80,85,90,95,100})</f>
        <v>95</v>
      </c>
      <c r="I139" s="12">
        <v>14</v>
      </c>
      <c r="J139" s="11">
        <f>LOOKUP(I139,{0,3,4,5,6,7,8,9,10,11,12,13,14,15,16,17},{0,10,20,30,40,50,60,64,68,72,76,80,85,90,95,100})</f>
        <v>85</v>
      </c>
      <c r="K139" s="12"/>
      <c r="L139" s="12"/>
      <c r="M139" s="12">
        <f t="shared" si="73"/>
        <v>85</v>
      </c>
      <c r="N139" s="12">
        <v>7.3</v>
      </c>
      <c r="O139" s="12">
        <f t="shared" si="74"/>
        <v>4.7</v>
      </c>
      <c r="P139" s="11">
        <f>LOOKUP(O139,{0,1.6,1.8,2,2.2,2.4,2.6,2.8,3,3.2,3.4,3.6,3.8,4,4.2,4.4,4.6,4.7,4.8,4.9,5},{0,10,20,30,40,50,60,62,64,66,68,70,72,74,76,78,80,85,90,95,100})</f>
        <v>85</v>
      </c>
      <c r="Q139" s="12">
        <v>3.34</v>
      </c>
      <c r="R139" s="12">
        <f t="shared" si="75"/>
        <v>6.66</v>
      </c>
      <c r="S139" s="11">
        <f>LOOKUP(R139,{0,3.8,4,4.6,4.8,5,5.6,5.65,5.7,5.75,5.8,5.85,5.9,5.95,6,6.45,6.5,6.58,6.65,6.7,6.75},{0,10,20,30,40,50,60,62,64,66,68,70,72,74,76,78,80,85,90,95,100})</f>
        <v>90</v>
      </c>
      <c r="T139" s="12"/>
      <c r="U139" s="12"/>
      <c r="V139" s="12">
        <f t="shared" si="76"/>
        <v>90</v>
      </c>
      <c r="W139" s="12"/>
      <c r="X139" s="20">
        <f t="shared" si="77"/>
        <v>61</v>
      </c>
      <c r="Y139" s="20">
        <f t="shared" si="78"/>
        <v>87.1428571428572</v>
      </c>
    </row>
    <row r="140" ht="15.6" hidden="1" outlineLevel="2" spans="1:25">
      <c r="A140" s="12">
        <v>204</v>
      </c>
      <c r="B140" s="12">
        <v>4</v>
      </c>
      <c r="C140" s="6" t="s">
        <v>164</v>
      </c>
      <c r="D140" s="6" t="s">
        <v>11</v>
      </c>
      <c r="E140" s="12">
        <v>26</v>
      </c>
      <c r="F140" s="11">
        <f>LOOKUP(E140,{0,-2.9,-1.9,-0.9,0.1,1.1,2.1,3.5,4.9,6.3,7.7,9.1,10.5,11.9,13.3,14.7,16.1,18.3,20.5,22.4,24.3},{0,10,20,30,40,50,60,62,64,66,68,70,72,74,76,78,80,85,90,95,100})</f>
        <v>100</v>
      </c>
      <c r="G140" s="12">
        <v>251</v>
      </c>
      <c r="H140" s="11">
        <f>LOOKUP(G140,{0,175,180,185,190,195,200,204,208,212,216,220,224,228,232,236,240,248,255,260,265},{0,10,20,30,40,50,60,62,64,66,68,70,72,74,76,78,80,85,90,95,100})</f>
        <v>85</v>
      </c>
      <c r="I140" s="12">
        <v>19</v>
      </c>
      <c r="J140" s="11">
        <f>LOOKUP(I140,{0,3,4,5,6,7,8,9,10,11,12,13,14,15,16,17},{0,10,20,30,40,50,60,64,68,72,76,80,85,90,95,100})</f>
        <v>100</v>
      </c>
      <c r="K140" s="12">
        <f>I140-17</f>
        <v>2</v>
      </c>
      <c r="L140" s="11">
        <f>LOOKUP(K140,{0,1,2,3,4,5,6,7,8,9,10},{0,1,2,3,4,5,6,7,8,9,10})</f>
        <v>2</v>
      </c>
      <c r="M140" s="12">
        <f t="shared" si="73"/>
        <v>102</v>
      </c>
      <c r="N140" s="12">
        <v>7.4</v>
      </c>
      <c r="O140" s="12">
        <f t="shared" si="74"/>
        <v>4.6</v>
      </c>
      <c r="P140" s="11">
        <f>LOOKUP(O140,{0,1.6,1.8,2,2.2,2.4,2.6,2.8,3,3.2,3.4,3.6,3.8,4,4.2,4.4,4.6,4.7,4.8,4.9,5},{0,10,20,30,40,50,60,62,64,66,68,70,72,74,76,78,80,85,90,95,100})</f>
        <v>80</v>
      </c>
      <c r="Q140" s="12">
        <v>3.39</v>
      </c>
      <c r="R140" s="12">
        <f t="shared" si="75"/>
        <v>6.61</v>
      </c>
      <c r="S140" s="11">
        <f>LOOKUP(R140,{0,3.8,4,4.6,4.8,5,5.6,5.65,5.7,5.75,5.8,5.85,5.9,5.95,6,6.45,6.5,6.58,6.65,6.7,6.75},{0,10,20,30,40,50,60,62,64,66,68,70,72,74,76,78,80,85,90,95,100})</f>
        <v>85</v>
      </c>
      <c r="T140" s="12"/>
      <c r="U140" s="12"/>
      <c r="V140" s="12">
        <f t="shared" si="76"/>
        <v>85</v>
      </c>
      <c r="W140" s="12"/>
      <c r="X140" s="20">
        <f t="shared" si="77"/>
        <v>61.5</v>
      </c>
      <c r="Y140" s="20">
        <f t="shared" si="78"/>
        <v>89.8571428571429</v>
      </c>
    </row>
    <row r="141" ht="15.6" hidden="1" outlineLevel="2" spans="1:25">
      <c r="A141" s="12">
        <v>204</v>
      </c>
      <c r="B141" s="12">
        <v>5</v>
      </c>
      <c r="C141" s="6" t="s">
        <v>165</v>
      </c>
      <c r="D141" s="6" t="s">
        <v>11</v>
      </c>
      <c r="E141" s="12">
        <v>12.4</v>
      </c>
      <c r="F141" s="11">
        <f>LOOKUP(E141,{0,-2.9,-1.9,-0.9,0.1,1.1,2.1,3.5,4.9,6.3,7.7,9.1,10.5,11.9,13.3,14.7,16.1,18.3,20.5,22.4,24.3},{0,10,20,30,40,50,60,62,64,66,68,70,72,74,76,78,80,85,90,95,100})</f>
        <v>74</v>
      </c>
      <c r="G141" s="12">
        <v>249</v>
      </c>
      <c r="H141" s="11">
        <f>LOOKUP(G141,{0,175,180,185,190,195,200,204,208,212,216,220,224,228,232,236,240,248,255,260,265},{0,10,20,30,40,50,60,62,64,66,68,70,72,74,76,78,80,85,90,95,100})</f>
        <v>85</v>
      </c>
      <c r="I141" s="12">
        <v>6</v>
      </c>
      <c r="J141" s="11">
        <f>LOOKUP(I141,{0,3,4,5,6,7,8,9,10,11,12,13,14,15,16,17},{0,10,20,30,40,50,60,64,68,72,76,80,85,90,95,100})</f>
        <v>40</v>
      </c>
      <c r="K141" s="12"/>
      <c r="L141" s="12"/>
      <c r="M141" s="12">
        <f t="shared" si="73"/>
        <v>40</v>
      </c>
      <c r="N141" s="12">
        <v>7.1</v>
      </c>
      <c r="O141" s="12">
        <f t="shared" si="74"/>
        <v>4.9</v>
      </c>
      <c r="P141" s="11">
        <f>LOOKUP(O141,{0,1.6,1.8,2,2.2,2.4,2.6,2.8,3,3.2,3.4,3.6,3.8,4,4.2,4.4,4.6,4.7,4.8,4.9,5},{0,10,20,30,40,50,60,62,64,66,68,70,72,74,76,78,80,85,90,95,100})</f>
        <v>95</v>
      </c>
      <c r="Q141" s="12">
        <v>3.32</v>
      </c>
      <c r="R141" s="12">
        <f t="shared" si="75"/>
        <v>6.68</v>
      </c>
      <c r="S141" s="11">
        <f>LOOKUP(R141,{0,3.8,4,4.6,4.8,5,5.6,5.65,5.7,5.75,5.8,5.85,5.9,5.95,6,6.45,6.5,6.58,6.65,6.7,6.75},{0,10,20,30,40,50,60,62,64,66,68,70,72,74,76,78,80,85,90,95,100})</f>
        <v>90</v>
      </c>
      <c r="T141" s="12"/>
      <c r="U141" s="12"/>
      <c r="V141" s="12">
        <f t="shared" si="76"/>
        <v>90</v>
      </c>
      <c r="W141" s="12"/>
      <c r="X141" s="20">
        <f t="shared" si="77"/>
        <v>56.9</v>
      </c>
      <c r="Y141" s="20">
        <f t="shared" si="78"/>
        <v>81.2857142857143</v>
      </c>
    </row>
    <row r="142" ht="15.6" hidden="1" outlineLevel="2" spans="1:25">
      <c r="A142" s="12">
        <v>204</v>
      </c>
      <c r="B142" s="12">
        <v>6</v>
      </c>
      <c r="C142" s="6" t="s">
        <v>166</v>
      </c>
      <c r="D142" s="6" t="s">
        <v>11</v>
      </c>
      <c r="E142" s="12">
        <v>9</v>
      </c>
      <c r="F142" s="11">
        <f>LOOKUP(E142,{0,-2.9,-1.9,-0.9,0.1,1.1,2.1,3.5,4.9,6.3,7.7,9.1,10.5,11.9,13.3,14.7,16.1,18.3,20.5,22.4,24.3},{0,10,20,30,40,50,60,62,64,66,68,70,72,74,76,78,80,85,90,95,100})</f>
        <v>68</v>
      </c>
      <c r="G142" s="12">
        <v>222</v>
      </c>
      <c r="H142" s="11">
        <f>LOOKUP(G142,{0,175,180,185,190,195,200,204,208,212,216,220,224,228,232,236,240,248,255,260,265},{0,10,20,30,40,50,60,62,64,66,68,70,72,74,76,78,80,85,90,95,100})</f>
        <v>70</v>
      </c>
      <c r="I142" s="12">
        <v>0</v>
      </c>
      <c r="J142" s="11">
        <f>LOOKUP(I142,{0,3,4,5,6,7,8,9,10,11,12,13,14,15,16,17},{0,10,20,30,40,50,60,64,68,72,76,80,85,90,95,100})</f>
        <v>0</v>
      </c>
      <c r="K142" s="12"/>
      <c r="L142" s="12"/>
      <c r="M142" s="12">
        <f t="shared" si="73"/>
        <v>0</v>
      </c>
      <c r="N142" s="12">
        <v>7.9</v>
      </c>
      <c r="O142" s="12">
        <f t="shared" si="74"/>
        <v>4.1</v>
      </c>
      <c r="P142" s="11">
        <f>LOOKUP(O142,{0,1.6,1.8,2,2.2,2.4,2.6,2.8,3,3.2,3.4,3.6,3.8,4,4.2,4.4,4.6,4.7,4.8,4.9,5},{0,10,20,30,40,50,60,62,64,66,68,70,72,74,76,78,80,85,90,95,100})</f>
        <v>74</v>
      </c>
      <c r="Q142" s="12">
        <v>3.58</v>
      </c>
      <c r="R142" s="12">
        <f t="shared" si="75"/>
        <v>6.42</v>
      </c>
      <c r="S142" s="11">
        <f>LOOKUP(R142,{0,3.8,4,4.6,4.8,5,5.6,5.65,5.7,5.75,5.8,5.85,5.9,5.95,6,6.45,6.5,6.58,6.65,6.7,6.75},{0,10,20,30,40,50,60,62,64,66,68,70,72,74,76,78,80,85,90,95,100})</f>
        <v>76</v>
      </c>
      <c r="T142" s="12"/>
      <c r="U142" s="12"/>
      <c r="V142" s="12">
        <f t="shared" si="76"/>
        <v>76</v>
      </c>
      <c r="W142" s="12"/>
      <c r="X142" s="20">
        <f t="shared" si="77"/>
        <v>43.8</v>
      </c>
      <c r="Y142" s="20">
        <f t="shared" si="78"/>
        <v>62.5714285714286</v>
      </c>
    </row>
    <row r="143" ht="15.6" hidden="1" outlineLevel="2" spans="1:25">
      <c r="A143" s="12">
        <v>204</v>
      </c>
      <c r="B143" s="12">
        <v>7</v>
      </c>
      <c r="C143" s="6" t="s">
        <v>167</v>
      </c>
      <c r="D143" s="6" t="s">
        <v>11</v>
      </c>
      <c r="E143" s="12">
        <v>11.3</v>
      </c>
      <c r="F143" s="11">
        <f>LOOKUP(E143,{0,-2.9,-1.9,-0.9,0.1,1.1,2.1,3.5,4.9,6.3,7.7,9.1,10.5,11.9,13.3,14.7,16.1,18.3,20.5,22.4,24.3},{0,10,20,30,40,50,60,62,64,66,68,70,72,74,76,78,80,85,90,95,100})</f>
        <v>72</v>
      </c>
      <c r="G143" s="12">
        <v>216</v>
      </c>
      <c r="H143" s="11">
        <f>LOOKUP(G143,{0,175,180,185,190,195,200,204,208,212,216,220,224,228,232,236,240,248,255,260,265},{0,10,20,30,40,50,60,62,64,66,68,70,72,74,76,78,80,85,90,95,100})</f>
        <v>68</v>
      </c>
      <c r="I143" s="12">
        <v>3</v>
      </c>
      <c r="J143" s="11">
        <f>LOOKUP(I143,{0,3,4,5,6,7,8,9,10,11,12,13,14,15,16,17},{0,10,20,30,40,50,60,64,68,72,76,80,85,90,95,100})</f>
        <v>10</v>
      </c>
      <c r="K143" s="12"/>
      <c r="L143" s="12"/>
      <c r="M143" s="12">
        <f t="shared" si="73"/>
        <v>10</v>
      </c>
      <c r="N143" s="12">
        <v>7.3</v>
      </c>
      <c r="O143" s="12">
        <f t="shared" si="74"/>
        <v>4.7</v>
      </c>
      <c r="P143" s="11">
        <f>LOOKUP(O143,{0,1.6,1.8,2,2.2,2.4,2.6,2.8,3,3.2,3.4,3.6,3.8,4,4.2,4.4,4.6,4.7,4.8,4.9,5},{0,10,20,30,40,50,60,62,64,66,68,70,72,74,76,78,80,85,90,95,100})</f>
        <v>85</v>
      </c>
      <c r="Q143" s="12">
        <v>3.5</v>
      </c>
      <c r="R143" s="12">
        <f t="shared" si="75"/>
        <v>6.5</v>
      </c>
      <c r="S143" s="11">
        <f>LOOKUP(R143,{0,3.8,4,4.6,4.8,5,5.6,5.65,5.7,5.75,5.8,5.85,5.9,5.95,6,6.45,6.5,6.58,6.65,6.7,6.75},{0,10,20,30,40,50,60,62,64,66,68,70,72,74,76,78,80,85,90,95,100})</f>
        <v>80</v>
      </c>
      <c r="T143" s="12"/>
      <c r="U143" s="12"/>
      <c r="V143" s="12">
        <f t="shared" si="76"/>
        <v>80</v>
      </c>
      <c r="W143" s="12"/>
      <c r="X143" s="20">
        <f t="shared" si="77"/>
        <v>48</v>
      </c>
      <c r="Y143" s="20">
        <f t="shared" si="78"/>
        <v>68.5714285714286</v>
      </c>
    </row>
    <row r="144" s="1" customFormat="1" ht="15.6" hidden="1" outlineLevel="2" spans="1:25">
      <c r="A144" s="12">
        <v>204</v>
      </c>
      <c r="B144" s="12">
        <v>8</v>
      </c>
      <c r="C144" s="13" t="s">
        <v>169</v>
      </c>
      <c r="D144" s="6" t="s">
        <v>53</v>
      </c>
      <c r="E144" s="12">
        <v>17</v>
      </c>
      <c r="F144" s="11">
        <f>LOOKUP(E144,{0,1,1.8,2.6,3.4,4.2,5,6.3,7.6,8.9,10.2,11.5,12.8,14.1,15.4,16.7,18,19.7,21.4,23.1,24.8},{0,10,20,30,40,50,60,62,64,66,68,70,72,74,76,78,80,85,90,95,100})</f>
        <v>78</v>
      </c>
      <c r="G144" s="12">
        <v>192</v>
      </c>
      <c r="H144" s="11">
        <f>LOOKUP(G144,{0,124,129,134,139,144,149,152,155,158,161,164,167,170,173,176,179,186,193,199,205},{0,10,20,30,40,50,60,62,64,66,68,70,72,74,76,78,80,85,90,95,100})</f>
        <v>85</v>
      </c>
      <c r="I144" s="12">
        <v>42</v>
      </c>
      <c r="J144" s="11">
        <f>LOOKUP(I144,{0,14,16,18,20,22,24,26,28,30,32,34,36,38,40,42,44,47,50,52,54},{0,10,20,30,40,50,60,62,64,66,68,70,72,74,76,78,80,85,90,95,100})</f>
        <v>78</v>
      </c>
      <c r="K144" s="12"/>
      <c r="L144" s="12"/>
      <c r="M144" s="12">
        <f t="shared" si="73"/>
        <v>78</v>
      </c>
      <c r="N144" s="12">
        <v>9</v>
      </c>
      <c r="O144" s="12">
        <f t="shared" si="74"/>
        <v>3</v>
      </c>
      <c r="P144" s="11">
        <f>LOOKUP(O144,{0,0.5,0.7,0.9,1.1,1.3,1.5,1.7,1.9,2.1,2.3,2.5,2.7,2.9,3.1,3.3,3.5,3.8,4.1,4.2,4.3},{0,10,20,30,40,50,60,62,64,66,68,70,72,74,76,78,80,85,90,95,100})</f>
        <v>74</v>
      </c>
      <c r="Q144" s="12">
        <v>3.56</v>
      </c>
      <c r="R144" s="12">
        <f t="shared" si="75"/>
        <v>6.44</v>
      </c>
      <c r="S144" s="11">
        <f>LOOKUP(R144,{0,4.72,4.82,4.92,5.42,5.52,5.62,5.67,5.72,5.77,5.82,5.87,5.92,5.97,6.42,6.47,6.52,6.59,6.66,6.72,6.78},{0,10,20,30,40,50,60,62,64,66,68,70,72,74,76,78,80,85,90,95,100})</f>
        <v>76</v>
      </c>
      <c r="T144" s="12"/>
      <c r="U144" s="12"/>
      <c r="V144" s="12">
        <f t="shared" si="76"/>
        <v>76</v>
      </c>
      <c r="W144" s="12"/>
      <c r="X144" s="20">
        <f t="shared" si="77"/>
        <v>54.1</v>
      </c>
      <c r="Y144" s="20">
        <f t="shared" si="78"/>
        <v>77.2857142857143</v>
      </c>
    </row>
    <row r="145" ht="15.6" hidden="1" outlineLevel="2" spans="1:25">
      <c r="A145" s="12">
        <v>204</v>
      </c>
      <c r="B145" s="12">
        <v>9</v>
      </c>
      <c r="C145" s="6" t="s">
        <v>170</v>
      </c>
      <c r="D145" s="6" t="s">
        <v>53</v>
      </c>
      <c r="E145" s="12">
        <v>21</v>
      </c>
      <c r="F145" s="11">
        <f>LOOKUP(E145,{0,1,1.8,2.6,3.4,4.2,5,6.3,7.6,8.9,10.2,11.5,12.8,14.1,15.4,16.7,18,19.7,21.4,23.1,24.8},{0,10,20,30,40,50,60,62,64,66,68,70,72,74,76,78,80,85,90,95,100})</f>
        <v>85</v>
      </c>
      <c r="G145" s="12">
        <v>196</v>
      </c>
      <c r="H145" s="11">
        <f>LOOKUP(G145,{0,124,129,134,139,144,149,152,155,158,161,164,167,170,173,176,179,186,193,199,205},{0,10,20,30,40,50,60,62,64,66,68,70,72,74,76,78,80,85,90,95,100})</f>
        <v>90</v>
      </c>
      <c r="I145" s="12">
        <v>51</v>
      </c>
      <c r="J145" s="11">
        <f>LOOKUP(I145,{0,14,16,18,20,22,24,26,28,30,32,34,36,38,40,42,44,47,50,52,54},{0,10,20,30,40,50,60,62,64,66,68,70,72,74,76,78,80,85,90,95,100})</f>
        <v>90</v>
      </c>
      <c r="K145" s="12"/>
      <c r="L145" s="12"/>
      <c r="M145" s="12">
        <f t="shared" si="73"/>
        <v>90</v>
      </c>
      <c r="N145" s="12">
        <v>7.7</v>
      </c>
      <c r="O145" s="12">
        <f t="shared" si="74"/>
        <v>4.3</v>
      </c>
      <c r="P145" s="11">
        <f>LOOKUP(O145,{0,0.5,0.7,0.9,1.1,1.3,1.5,1.7,1.9,2.1,2.3,2.5,2.7,2.9,3.1,3.3,3.5,3.8,4.1,4.2,4.3},{0,10,20,30,40,50,60,62,64,66,68,70,72,74,76,78,80,85,90,95,100})</f>
        <v>100</v>
      </c>
      <c r="Q145" s="12">
        <v>3.11</v>
      </c>
      <c r="R145" s="12">
        <f t="shared" si="75"/>
        <v>6.89</v>
      </c>
      <c r="S145" s="11">
        <f>LOOKUP(R145,{0,4.72,4.82,4.92,5.42,5.52,5.62,5.67,5.72,5.77,5.82,5.87,5.92,5.97,6.42,6.47,6.52,6.59,6.66,6.72,6.78},{0,10,20,30,40,50,60,62,64,66,68,70,72,74,76,78,80,85,90,95,100})</f>
        <v>100</v>
      </c>
      <c r="T145" s="21">
        <f>3.22-Q145</f>
        <v>0.11</v>
      </c>
      <c r="U145" s="11">
        <f>LOOKUP(T145,{0,0.05,0.1,0.15,0.2,0.25,0.3,0.35,0.4,0.45,0.5},{0,1,2,3,4,5,6,7,8,9,10})</f>
        <v>2</v>
      </c>
      <c r="V145" s="12">
        <f t="shared" si="76"/>
        <v>102</v>
      </c>
      <c r="W145" s="12"/>
      <c r="X145" s="20">
        <f t="shared" si="77"/>
        <v>66.5</v>
      </c>
      <c r="Y145" s="20">
        <f t="shared" si="78"/>
        <v>97</v>
      </c>
    </row>
    <row r="146" ht="15.6" hidden="1" outlineLevel="2" spans="1:25">
      <c r="A146" s="12">
        <v>204</v>
      </c>
      <c r="B146" s="12">
        <v>10</v>
      </c>
      <c r="C146" s="6" t="s">
        <v>171</v>
      </c>
      <c r="D146" s="6" t="s">
        <v>53</v>
      </c>
      <c r="E146" s="12">
        <v>321</v>
      </c>
      <c r="F146" s="11">
        <f>LOOKUP(E146,{0,1,1.8,2.6,3.4,4.2,5,6.3,7.6,8.9,10.2,11.5,12.8,14.1,15.4,16.7,18,19.7,21.4,23.1,24.8},{0,10,20,30,40,50,60,62,64,66,68,70,72,74,76,78,80,85,90,95,100})</f>
        <v>100</v>
      </c>
      <c r="G146" s="12">
        <v>184</v>
      </c>
      <c r="H146" s="11">
        <f>LOOKUP(G146,{0,124,129,134,139,144,149,152,155,158,161,164,167,170,173,176,179,186,193,199,205},{0,10,20,30,40,50,60,62,64,66,68,70,72,74,76,78,80,85,90,95,100})</f>
        <v>80</v>
      </c>
      <c r="I146" s="12">
        <v>55</v>
      </c>
      <c r="J146" s="11">
        <f>LOOKUP(I146,{0,14,16,18,20,22,24,26,28,30,32,34,36,38,40,42,44,47,50,52,54},{0,10,20,30,40,50,60,62,64,66,68,70,72,74,76,78,80,85,90,95,100})</f>
        <v>100</v>
      </c>
      <c r="K146" s="12">
        <f>I146-54</f>
        <v>1</v>
      </c>
      <c r="L146" s="16">
        <f>LOOKUP(K146,{0,2,4,6,7,8,9,10,11,12,13},{0,1,2,3,4,5,6,7,8,9,10})</f>
        <v>0</v>
      </c>
      <c r="M146" s="12">
        <f t="shared" si="73"/>
        <v>100</v>
      </c>
      <c r="N146" s="12">
        <v>8.9</v>
      </c>
      <c r="O146" s="12">
        <f t="shared" si="74"/>
        <v>3.1</v>
      </c>
      <c r="P146" s="11">
        <f>LOOKUP(O146,{0,0.5,0.7,0.9,1.1,1.3,1.5,1.7,1.9,2.1,2.3,2.5,2.7,2.9,3.1,3.3,3.5,3.8,4.1,4.2,4.3},{0,10,20,30,40,50,60,62,64,66,68,70,72,74,76,78,80,85,90,95,100})</f>
        <v>76</v>
      </c>
      <c r="Q146" s="12">
        <v>3.31</v>
      </c>
      <c r="R146" s="12">
        <f t="shared" si="75"/>
        <v>6.69</v>
      </c>
      <c r="S146" s="11">
        <f>LOOKUP(R146,{0,4.72,4.82,4.92,5.42,5.52,5.62,5.67,5.72,5.77,5.82,5.87,5.92,5.97,6.42,6.47,6.52,6.59,6.66,6.72,6.78},{0,10,20,30,40,50,60,62,64,66,68,70,72,74,76,78,80,85,90,95,100})</f>
        <v>90</v>
      </c>
      <c r="T146" s="12"/>
      <c r="U146" s="12"/>
      <c r="V146" s="12">
        <f t="shared" si="76"/>
        <v>90</v>
      </c>
      <c r="W146" s="12"/>
      <c r="X146" s="20">
        <f t="shared" si="77"/>
        <v>61.2</v>
      </c>
      <c r="Y146" s="20">
        <f t="shared" si="78"/>
        <v>87.4285714285714</v>
      </c>
    </row>
    <row r="147" ht="15.6" hidden="1" outlineLevel="2" spans="1:25">
      <c r="A147" s="12">
        <v>204</v>
      </c>
      <c r="B147" s="12">
        <v>11</v>
      </c>
      <c r="C147" s="6" t="s">
        <v>172</v>
      </c>
      <c r="D147" s="6" t="s">
        <v>53</v>
      </c>
      <c r="E147" s="12">
        <v>12</v>
      </c>
      <c r="F147" s="11">
        <f>LOOKUP(E147,{0,1,1.8,2.6,3.4,4.2,5,6.3,7.6,8.9,10.2,11.5,12.8,14.1,15.4,16.7,18,19.7,21.4,23.1,24.8},{0,10,20,30,40,50,60,62,64,66,68,70,72,74,76,78,80,85,90,95,100})</f>
        <v>70</v>
      </c>
      <c r="G147" s="12">
        <v>171</v>
      </c>
      <c r="H147" s="11">
        <f>LOOKUP(G147,{0,124,129,134,139,144,149,152,155,158,161,164,167,170,173,176,179,186,193,199,205},{0,10,20,30,40,50,60,62,64,66,68,70,72,74,76,78,80,85,90,95,100})</f>
        <v>74</v>
      </c>
      <c r="I147" s="12">
        <v>40</v>
      </c>
      <c r="J147" s="11">
        <f>LOOKUP(I147,{0,14,16,18,20,22,24,26,28,30,32,34,36,38,40,42,44,47,50,52,54},{0,10,20,30,40,50,60,62,64,66,68,70,72,74,76,78,80,85,90,95,100})</f>
        <v>76</v>
      </c>
      <c r="K147" s="12"/>
      <c r="L147" s="12"/>
      <c r="M147" s="12">
        <f t="shared" si="73"/>
        <v>76</v>
      </c>
      <c r="N147" s="12">
        <v>9.1</v>
      </c>
      <c r="O147" s="12">
        <f t="shared" si="74"/>
        <v>2.9</v>
      </c>
      <c r="P147" s="11">
        <f>LOOKUP(O147,{0,0.5,0.7,0.9,1.1,1.3,1.5,1.7,1.9,2.1,2.3,2.5,2.7,2.9,3.1,3.3,3.5,3.8,4.1,4.2,4.3},{0,10,20,30,40,50,60,62,64,66,68,70,72,74,76,78,80,85,90,95,100})</f>
        <v>74</v>
      </c>
      <c r="Q147" s="12">
        <v>3.52</v>
      </c>
      <c r="R147" s="12">
        <f t="shared" si="75"/>
        <v>6.48</v>
      </c>
      <c r="S147" s="11">
        <f>LOOKUP(R147,{0,4.72,4.82,4.92,5.42,5.52,5.62,5.67,5.72,5.77,5.82,5.87,5.92,5.97,6.42,6.47,6.52,6.59,6.66,6.72,6.78},{0,10,20,30,40,50,60,62,64,66,68,70,72,74,76,78,80,85,90,95,100})</f>
        <v>78</v>
      </c>
      <c r="T147" s="12"/>
      <c r="U147" s="12"/>
      <c r="V147" s="12">
        <f t="shared" si="76"/>
        <v>78</v>
      </c>
      <c r="W147" s="12"/>
      <c r="X147" s="20">
        <f t="shared" si="77"/>
        <v>52.4</v>
      </c>
      <c r="Y147" s="20">
        <f t="shared" si="78"/>
        <v>74.8571428571429</v>
      </c>
    </row>
    <row r="148" ht="15.6" hidden="1" outlineLevel="2" spans="1:25">
      <c r="A148" s="12">
        <v>204</v>
      </c>
      <c r="B148" s="12">
        <v>12</v>
      </c>
      <c r="C148" s="6" t="s">
        <v>173</v>
      </c>
      <c r="D148" s="6" t="s">
        <v>53</v>
      </c>
      <c r="E148" s="12">
        <v>8</v>
      </c>
      <c r="F148" s="11">
        <f>LOOKUP(E148,{0,1,1.8,2.6,3.4,4.2,5,6.3,7.6,8.9,10.2,11.5,12.8,14.1,15.4,16.7,18,19.7,21.4,23.1,24.8},{0,10,20,30,40,50,60,62,64,66,68,70,72,74,76,78,80,85,90,95,100})</f>
        <v>64</v>
      </c>
      <c r="G148" s="12">
        <v>170</v>
      </c>
      <c r="H148" s="11">
        <f>LOOKUP(G148,{0,124,129,134,139,144,149,152,155,158,161,164,167,170,173,176,179,186,193,199,205},{0,10,20,30,40,50,60,62,64,66,68,70,72,74,76,78,80,85,90,95,100})</f>
        <v>74</v>
      </c>
      <c r="I148" s="12">
        <v>51</v>
      </c>
      <c r="J148" s="11">
        <f>LOOKUP(I148,{0,14,16,18,20,22,24,26,28,30,32,34,36,38,40,42,44,47,50,52,54},{0,10,20,30,40,50,60,62,64,66,68,70,72,74,76,78,80,85,90,95,100})</f>
        <v>90</v>
      </c>
      <c r="K148" s="12"/>
      <c r="L148" s="12"/>
      <c r="M148" s="12">
        <f t="shared" si="73"/>
        <v>90</v>
      </c>
      <c r="N148" s="12">
        <v>8.7</v>
      </c>
      <c r="O148" s="12">
        <f t="shared" si="74"/>
        <v>3.3</v>
      </c>
      <c r="P148" s="11">
        <f>LOOKUP(O148,{0,0.5,0.7,0.9,1.1,1.3,1.5,1.7,1.9,2.1,2.3,2.5,2.7,2.9,3.1,3.3,3.5,3.8,4.1,4.2,4.3},{0,10,20,30,40,50,60,62,64,66,68,70,72,74,76,78,80,85,90,95,100})</f>
        <v>78</v>
      </c>
      <c r="Q148" s="12">
        <v>3.53</v>
      </c>
      <c r="R148" s="12">
        <f t="shared" si="75"/>
        <v>6.47</v>
      </c>
      <c r="S148" s="11">
        <f>LOOKUP(R148,{0,4.72,4.82,4.92,5.42,5.52,5.62,5.67,5.72,5.77,5.82,5.87,5.92,5.97,6.42,6.47,6.52,6.59,6.66,6.72,6.78},{0,10,20,30,40,50,60,62,64,66,68,70,72,74,76,78,80,85,90,95,100})</f>
        <v>78</v>
      </c>
      <c r="T148" s="12"/>
      <c r="U148" s="12"/>
      <c r="V148" s="12">
        <f t="shared" si="76"/>
        <v>78</v>
      </c>
      <c r="W148" s="12"/>
      <c r="X148" s="20">
        <f t="shared" si="77"/>
        <v>54</v>
      </c>
      <c r="Y148" s="20">
        <f t="shared" si="78"/>
        <v>77.1428571428572</v>
      </c>
    </row>
    <row r="149" ht="15.6" hidden="1" outlineLevel="2" spans="1:25">
      <c r="A149" s="12">
        <v>204</v>
      </c>
      <c r="B149" s="12">
        <v>13</v>
      </c>
      <c r="C149" s="6" t="s">
        <v>174</v>
      </c>
      <c r="D149" s="6" t="s">
        <v>53</v>
      </c>
      <c r="E149" s="12">
        <v>21</v>
      </c>
      <c r="F149" s="11">
        <f>LOOKUP(E149,{0,1,1.8,2.6,3.4,4.2,5,6.3,7.6,8.9,10.2,11.5,12.8,14.1,15.4,16.7,18,19.7,21.4,23.1,24.8},{0,10,20,30,40,50,60,62,64,66,68,70,72,74,76,78,80,85,90,95,100})</f>
        <v>85</v>
      </c>
      <c r="G149" s="12">
        <v>206</v>
      </c>
      <c r="H149" s="11">
        <f>LOOKUP(G149,{0,124,129,134,139,144,149,152,155,158,161,164,167,170,173,176,179,186,193,199,205},{0,10,20,30,40,50,60,62,64,66,68,70,72,74,76,78,80,85,90,95,100})</f>
        <v>100</v>
      </c>
      <c r="I149" s="12">
        <v>38</v>
      </c>
      <c r="J149" s="11">
        <f>LOOKUP(I149,{0,14,16,18,20,22,24,26,28,30,32,34,36,38,40,42,44,47,50,52,54},{0,10,20,30,40,50,60,62,64,66,68,70,72,74,76,78,80,85,90,95,100})</f>
        <v>74</v>
      </c>
      <c r="K149" s="12"/>
      <c r="L149" s="12"/>
      <c r="M149" s="12">
        <f t="shared" si="73"/>
        <v>74</v>
      </c>
      <c r="N149" s="12">
        <v>7.7</v>
      </c>
      <c r="O149" s="12">
        <f t="shared" si="74"/>
        <v>4.3</v>
      </c>
      <c r="P149" s="11">
        <f>LOOKUP(O149,{0,0.5,0.7,0.9,1.1,1.3,1.5,1.7,1.9,2.1,2.3,2.5,2.7,2.9,3.1,3.3,3.5,3.8,4.1,4.2,4.3},{0,10,20,30,40,50,60,62,64,66,68,70,72,74,76,78,80,85,90,95,100})</f>
        <v>100</v>
      </c>
      <c r="Q149" s="12">
        <v>3.28</v>
      </c>
      <c r="R149" s="12">
        <f t="shared" si="75"/>
        <v>6.72</v>
      </c>
      <c r="S149" s="11">
        <f>LOOKUP(R149,{0,4.72,4.82,4.92,5.42,5.52,5.62,5.67,5.72,5.77,5.82,5.87,5.92,5.97,6.42,6.47,6.52,6.59,6.66,6.72,6.78},{0,10,20,30,40,50,60,62,64,66,68,70,72,74,76,78,80,85,90,95,100})</f>
        <v>95</v>
      </c>
      <c r="T149" s="12"/>
      <c r="U149" s="12"/>
      <c r="V149" s="12">
        <f t="shared" si="76"/>
        <v>95</v>
      </c>
      <c r="W149" s="12"/>
      <c r="X149" s="20">
        <f t="shared" si="77"/>
        <v>64.9</v>
      </c>
      <c r="Y149" s="20">
        <f t="shared" si="78"/>
        <v>92.7142857142857</v>
      </c>
    </row>
    <row r="150" ht="15.6" hidden="1" outlineLevel="2" spans="1:25">
      <c r="A150" s="12">
        <v>204</v>
      </c>
      <c r="B150" s="12">
        <v>14</v>
      </c>
      <c r="C150" s="6" t="s">
        <v>175</v>
      </c>
      <c r="D150" s="6" t="s">
        <v>53</v>
      </c>
      <c r="E150" s="12"/>
      <c r="F150" s="11"/>
      <c r="G150" s="12"/>
      <c r="H150" s="11"/>
      <c r="I150" s="12"/>
      <c r="J150" s="11"/>
      <c r="K150" s="12"/>
      <c r="L150" s="12"/>
      <c r="M150" s="12"/>
      <c r="N150" s="12"/>
      <c r="O150" s="12"/>
      <c r="P150" s="11"/>
      <c r="Q150" s="12"/>
      <c r="R150" s="12"/>
      <c r="S150" s="11"/>
      <c r="T150" s="21"/>
      <c r="U150" s="11"/>
      <c r="V150" s="12"/>
      <c r="W150" s="12" t="s">
        <v>14</v>
      </c>
      <c r="X150" s="20">
        <f t="shared" si="77"/>
        <v>0</v>
      </c>
      <c r="Y150" s="20">
        <v>50</v>
      </c>
    </row>
    <row r="151" ht="15.6" hidden="1" outlineLevel="2" spans="1:25">
      <c r="A151" s="12">
        <v>204</v>
      </c>
      <c r="B151" s="12">
        <v>15</v>
      </c>
      <c r="C151" s="6" t="s">
        <v>176</v>
      </c>
      <c r="D151" s="6" t="s">
        <v>53</v>
      </c>
      <c r="E151" s="12">
        <v>15.5</v>
      </c>
      <c r="F151" s="11">
        <f>LOOKUP(E151,{0,1,1.8,2.6,3.4,4.2,5,6.3,7.6,8.9,10.2,11.5,12.8,14.1,15.4,16.7,18,19.7,21.4,23.1,24.8},{0,10,20,30,40,50,60,62,64,66,68,70,72,74,76,78,80,85,90,95,100})</f>
        <v>76</v>
      </c>
      <c r="G151" s="12">
        <v>207</v>
      </c>
      <c r="H151" s="11">
        <f>LOOKUP(G151,{0,124,129,134,139,144,149,152,155,158,161,164,167,170,173,176,179,186,193,199,205},{0,10,20,30,40,50,60,62,64,66,68,70,72,74,76,78,80,85,90,95,100})</f>
        <v>100</v>
      </c>
      <c r="I151" s="12">
        <v>35</v>
      </c>
      <c r="J151" s="11">
        <f>LOOKUP(I151,{0,14,16,18,20,22,24,26,28,30,32,34,36,38,40,42,44,47,50,52,54},{0,10,20,30,40,50,60,62,64,66,68,70,72,74,76,78,80,85,90,95,100})</f>
        <v>70</v>
      </c>
      <c r="K151" s="12"/>
      <c r="L151" s="12"/>
      <c r="M151" s="12">
        <f t="shared" ref="M151:M168" si="79">J151+L151</f>
        <v>70</v>
      </c>
      <c r="N151" s="12">
        <v>7.7</v>
      </c>
      <c r="O151" s="12">
        <f t="shared" ref="O151:O168" si="80">12-N151</f>
        <v>4.3</v>
      </c>
      <c r="P151" s="11">
        <f>LOOKUP(O151,{0,0.5,0.7,0.9,1.1,1.3,1.5,1.7,1.9,2.1,2.3,2.5,2.7,2.9,3.1,3.3,3.5,3.8,4.1,4.2,4.3},{0,10,20,30,40,50,60,62,64,66,68,70,72,74,76,78,80,85,90,95,100})</f>
        <v>100</v>
      </c>
      <c r="Q151" s="12">
        <v>3.17</v>
      </c>
      <c r="R151" s="12">
        <f t="shared" ref="R151:R158" si="81">10-Q151</f>
        <v>6.83</v>
      </c>
      <c r="S151" s="11">
        <f>LOOKUP(R151,{0,4.72,4.82,4.92,5.42,5.52,5.62,5.67,5.72,5.77,5.82,5.87,5.92,5.97,6.42,6.47,6.52,6.59,6.66,6.72,6.78},{0,10,20,30,40,50,60,62,64,66,68,70,72,74,76,78,80,85,90,95,100})</f>
        <v>100</v>
      </c>
      <c r="T151" s="21">
        <f>3.22-Q151</f>
        <v>0.0500000000000003</v>
      </c>
      <c r="U151" s="11">
        <f>LOOKUP(T151,{0,0.05,0.1,0.15,0.2,0.25,0.3,0.35,0.4,0.45,0.5},{0,1,2,3,4,5,6,7,8,9,10})</f>
        <v>1</v>
      </c>
      <c r="V151" s="12">
        <f t="shared" ref="V151:V158" si="82">S151+U151</f>
        <v>101</v>
      </c>
      <c r="W151" s="12"/>
      <c r="X151" s="20">
        <f t="shared" si="77"/>
        <v>64.6</v>
      </c>
      <c r="Y151" s="20">
        <f t="shared" ref="Y151:Y168" si="83">X151/0.7+L151+U151</f>
        <v>93.2857142857143</v>
      </c>
    </row>
    <row r="152" ht="15.6" hidden="1" outlineLevel="2" spans="1:25">
      <c r="A152" s="12">
        <v>204</v>
      </c>
      <c r="B152" s="12">
        <v>16</v>
      </c>
      <c r="C152" s="6" t="s">
        <v>177</v>
      </c>
      <c r="D152" s="6" t="s">
        <v>53</v>
      </c>
      <c r="E152" s="12">
        <v>25.5</v>
      </c>
      <c r="F152" s="11">
        <f>LOOKUP(E152,{0,1,1.8,2.6,3.4,4.2,5,6.3,7.6,8.9,10.2,11.5,12.8,14.1,15.4,16.7,18,19.7,21.4,23.1,24.8},{0,10,20,30,40,50,60,62,64,66,68,70,72,74,76,78,80,85,90,95,100})</f>
        <v>100</v>
      </c>
      <c r="G152" s="12">
        <v>210</v>
      </c>
      <c r="H152" s="11">
        <f>LOOKUP(G152,{0,124,129,134,139,144,149,152,155,158,161,164,167,170,173,176,179,186,193,199,205},{0,10,20,30,40,50,60,62,64,66,68,70,72,74,76,78,80,85,90,95,100})</f>
        <v>100</v>
      </c>
      <c r="I152" s="12">
        <v>49</v>
      </c>
      <c r="J152" s="11">
        <f>LOOKUP(I152,{0,14,16,18,20,22,24,26,28,30,32,34,36,38,40,42,44,47,50,52,54},{0,10,20,30,40,50,60,62,64,66,68,70,72,74,76,78,80,85,90,95,100})</f>
        <v>85</v>
      </c>
      <c r="K152" s="12"/>
      <c r="L152" s="15"/>
      <c r="M152" s="12">
        <f t="shared" si="79"/>
        <v>85</v>
      </c>
      <c r="N152" s="12">
        <v>8.1</v>
      </c>
      <c r="O152" s="12">
        <f t="shared" si="80"/>
        <v>3.9</v>
      </c>
      <c r="P152" s="11">
        <f>LOOKUP(O152,{0,0.5,0.7,0.9,1.1,1.3,1.5,1.7,1.9,2.1,2.3,2.5,2.7,2.9,3.1,3.3,3.5,3.8,4.1,4.2,4.3},{0,10,20,30,40,50,60,62,64,66,68,70,72,74,76,78,80,85,90,95,100})</f>
        <v>85</v>
      </c>
      <c r="Q152" s="12">
        <v>3.29</v>
      </c>
      <c r="R152" s="12">
        <f t="shared" si="81"/>
        <v>6.71</v>
      </c>
      <c r="S152" s="11">
        <f>LOOKUP(R152,{0,4.72,4.82,4.92,5.42,5.52,5.62,5.67,5.72,5.77,5.82,5.87,5.92,5.97,6.42,6.47,6.52,6.59,6.66,6.72,6.78},{0,10,20,30,40,50,60,62,64,66,68,70,72,74,76,78,80,85,90,95,100})</f>
        <v>90</v>
      </c>
      <c r="T152" s="12"/>
      <c r="U152" s="12"/>
      <c r="V152" s="12">
        <f t="shared" si="82"/>
        <v>90</v>
      </c>
      <c r="W152" s="12"/>
      <c r="X152" s="20">
        <f t="shared" si="77"/>
        <v>63.5</v>
      </c>
      <c r="Y152" s="20">
        <f t="shared" si="83"/>
        <v>90.7142857142857</v>
      </c>
    </row>
    <row r="153" ht="15.6" hidden="1" outlineLevel="2" spans="1:25">
      <c r="A153" s="12">
        <v>204</v>
      </c>
      <c r="B153" s="12">
        <v>17</v>
      </c>
      <c r="C153" s="6" t="s">
        <v>178</v>
      </c>
      <c r="D153" s="6" t="s">
        <v>53</v>
      </c>
      <c r="E153" s="12">
        <v>25</v>
      </c>
      <c r="F153" s="11">
        <f>LOOKUP(E153,{0,1,1.8,2.6,3.4,4.2,5,6.3,7.6,8.9,10.2,11.5,12.8,14.1,15.4,16.7,18,19.7,21.4,23.1,24.8},{0,10,20,30,40,50,60,62,64,66,68,70,72,74,76,78,80,85,90,95,100})</f>
        <v>100</v>
      </c>
      <c r="G153" s="12">
        <v>201</v>
      </c>
      <c r="H153" s="11">
        <f>LOOKUP(G153,{0,124,129,134,139,144,149,152,155,158,161,164,167,170,173,176,179,186,193,199,205},{0,10,20,30,40,50,60,62,64,66,68,70,72,74,76,78,80,85,90,95,100})</f>
        <v>95</v>
      </c>
      <c r="I153" s="12">
        <v>43</v>
      </c>
      <c r="J153" s="11">
        <f>LOOKUP(I153,{0,14,16,18,20,22,24,26,28,30,32,34,36,38,40,42,44,47,50,52,54},{0,10,20,30,40,50,60,62,64,66,68,70,72,74,76,78,80,85,90,95,100})</f>
        <v>78</v>
      </c>
      <c r="K153" s="12"/>
      <c r="L153" s="12"/>
      <c r="M153" s="12">
        <f t="shared" si="79"/>
        <v>78</v>
      </c>
      <c r="N153" s="12">
        <v>8.1</v>
      </c>
      <c r="O153" s="12">
        <f t="shared" si="80"/>
        <v>3.9</v>
      </c>
      <c r="P153" s="11">
        <f>LOOKUP(O153,{0,0.5,0.7,0.9,1.1,1.3,1.5,1.7,1.9,2.1,2.3,2.5,2.7,2.9,3.1,3.3,3.5,3.8,4.1,4.2,4.3},{0,10,20,30,40,50,60,62,64,66,68,70,72,74,76,78,80,85,90,95,100})</f>
        <v>85</v>
      </c>
      <c r="Q153" s="12">
        <v>3.27</v>
      </c>
      <c r="R153" s="12">
        <f t="shared" si="81"/>
        <v>6.73</v>
      </c>
      <c r="S153" s="11">
        <f>LOOKUP(R153,{0,4.72,4.82,4.92,5.42,5.52,5.62,5.67,5.72,5.77,5.82,5.87,5.92,5.97,6.42,6.47,6.52,6.59,6.66,6.72,6.78},{0,10,20,30,40,50,60,62,64,66,68,70,72,74,76,78,80,85,90,95,100})</f>
        <v>95</v>
      </c>
      <c r="T153" s="12"/>
      <c r="U153" s="12"/>
      <c r="V153" s="12">
        <f t="shared" si="82"/>
        <v>95</v>
      </c>
      <c r="W153" s="12"/>
      <c r="X153" s="20">
        <f t="shared" si="77"/>
        <v>63.3</v>
      </c>
      <c r="Y153" s="20">
        <f t="shared" si="83"/>
        <v>90.4285714285714</v>
      </c>
    </row>
    <row r="154" ht="15.6" hidden="1" outlineLevel="2" spans="1:25">
      <c r="A154" s="12">
        <v>204</v>
      </c>
      <c r="B154" s="12">
        <v>18</v>
      </c>
      <c r="C154" s="13" t="s">
        <v>180</v>
      </c>
      <c r="D154" s="6" t="s">
        <v>53</v>
      </c>
      <c r="E154" s="12">
        <v>21.5</v>
      </c>
      <c r="F154" s="11">
        <f>LOOKUP(E154,{0,1,1.8,2.6,3.4,4.2,5,6.3,7.6,8.9,10.2,11.5,12.8,14.1,15.4,16.7,18,19.7,21.4,23.1,24.8},{0,10,20,30,40,50,60,62,64,66,68,70,72,74,76,78,80,85,90,95,100})</f>
        <v>90</v>
      </c>
      <c r="G154" s="12">
        <v>190</v>
      </c>
      <c r="H154" s="11">
        <f>LOOKUP(G154,{0,124,129,134,139,144,149,152,155,158,161,164,167,170,173,176,179,186,193,199,205},{0,10,20,30,40,50,60,62,64,66,68,70,72,74,76,78,80,85,90,95,100})</f>
        <v>85</v>
      </c>
      <c r="I154" s="12">
        <v>49</v>
      </c>
      <c r="J154" s="11">
        <f>LOOKUP(I154,{0,14,16,18,20,22,24,26,28,30,32,34,36,38,40,42,44,47,50,52,54},{0,10,20,30,40,50,60,62,64,66,68,70,72,74,76,78,80,85,90,95,100})</f>
        <v>85</v>
      </c>
      <c r="K154" s="12"/>
      <c r="L154" s="15"/>
      <c r="M154" s="12">
        <f t="shared" si="79"/>
        <v>85</v>
      </c>
      <c r="N154" s="12">
        <v>8.1</v>
      </c>
      <c r="O154" s="12">
        <f t="shared" si="80"/>
        <v>3.9</v>
      </c>
      <c r="P154" s="11">
        <f>LOOKUP(O154,{0,0.5,0.7,0.9,1.1,1.3,1.5,1.7,1.9,2.1,2.3,2.5,2.7,2.9,3.1,3.3,3.5,3.8,4.1,4.2,4.3},{0,10,20,30,40,50,60,62,64,66,68,70,72,74,76,78,80,85,90,95,100})</f>
        <v>85</v>
      </c>
      <c r="Q154" s="12">
        <v>3.13</v>
      </c>
      <c r="R154" s="12">
        <f t="shared" si="81"/>
        <v>6.87</v>
      </c>
      <c r="S154" s="11">
        <f>LOOKUP(R154,{0,4.72,4.82,4.92,5.42,5.52,5.62,5.67,5.72,5.77,5.82,5.87,5.92,5.97,6.42,6.47,6.52,6.59,6.66,6.72,6.78},{0,10,20,30,40,50,60,62,64,66,68,70,72,74,76,78,80,85,90,95,100})</f>
        <v>100</v>
      </c>
      <c r="T154" s="21">
        <f>3.22-Q154</f>
        <v>0.0900000000000003</v>
      </c>
      <c r="U154" s="11">
        <f>LOOKUP(T154,{0,0.05,0.1,0.15,0.2,0.25,0.3,0.35,0.4,0.45,0.5},{0,1,2,3,4,5,6,7,8,9,10})</f>
        <v>1</v>
      </c>
      <c r="V154" s="12">
        <f t="shared" si="82"/>
        <v>101</v>
      </c>
      <c r="W154" s="12"/>
      <c r="X154" s="20">
        <f t="shared" si="77"/>
        <v>63</v>
      </c>
      <c r="Y154" s="20">
        <f t="shared" si="83"/>
        <v>91</v>
      </c>
    </row>
    <row r="155" ht="15.6" hidden="1" outlineLevel="2" spans="1:25">
      <c r="A155" s="12">
        <v>204</v>
      </c>
      <c r="B155" s="12">
        <v>19</v>
      </c>
      <c r="C155" s="6" t="s">
        <v>181</v>
      </c>
      <c r="D155" s="6" t="s">
        <v>53</v>
      </c>
      <c r="E155" s="12">
        <v>20</v>
      </c>
      <c r="F155" s="11">
        <f>LOOKUP(E155,{0,1,1.8,2.6,3.4,4.2,5,6.3,7.6,8.9,10.2,11.5,12.8,14.1,15.4,16.7,18,19.7,21.4,23.1,24.8},{0,10,20,30,40,50,60,62,64,66,68,70,72,74,76,78,80,85,90,95,100})</f>
        <v>85</v>
      </c>
      <c r="G155" s="12">
        <v>173</v>
      </c>
      <c r="H155" s="11">
        <f>LOOKUP(G155,{0,124,129,134,139,144,149,152,155,158,161,164,167,170,173,176,179,186,193,199,205},{0,10,20,30,40,50,60,62,64,66,68,70,72,74,76,78,80,85,90,95,100})</f>
        <v>76</v>
      </c>
      <c r="I155" s="12">
        <v>42</v>
      </c>
      <c r="J155" s="11">
        <f>LOOKUP(I155,{0,14,16,18,20,22,24,26,28,30,32,34,36,38,40,42,44,47,50,52,54},{0,10,20,30,40,50,60,62,64,66,68,70,72,74,76,78,80,85,90,95,100})</f>
        <v>78</v>
      </c>
      <c r="K155" s="12"/>
      <c r="L155" s="12"/>
      <c r="M155" s="12">
        <f t="shared" si="79"/>
        <v>78</v>
      </c>
      <c r="N155" s="12">
        <v>9.1</v>
      </c>
      <c r="O155" s="12">
        <f t="shared" si="80"/>
        <v>2.9</v>
      </c>
      <c r="P155" s="11">
        <f>LOOKUP(O155,{0,0.5,0.7,0.9,1.1,1.3,1.5,1.7,1.9,2.1,2.3,2.5,2.7,2.9,3.1,3.3,3.5,3.8,4.1,4.2,4.3},{0,10,20,30,40,50,60,62,64,66,68,70,72,74,76,78,80,85,90,95,100})</f>
        <v>74</v>
      </c>
      <c r="Q155" s="12">
        <v>4.52</v>
      </c>
      <c r="R155" s="12">
        <f t="shared" si="81"/>
        <v>5.48</v>
      </c>
      <c r="S155" s="11">
        <f>LOOKUP(R155,{0,4.72,4.82,4.92,5.42,5.52,5.62,5.67,5.72,5.77,5.82,5.87,5.92,5.97,6.42,6.47,6.52,6.59,6.66,6.72,6.78},{0,10,20,30,40,50,60,62,64,66,68,70,72,74,76,78,80,85,90,95,100})</f>
        <v>40</v>
      </c>
      <c r="T155" s="12"/>
      <c r="U155" s="12"/>
      <c r="V155" s="12">
        <f t="shared" si="82"/>
        <v>40</v>
      </c>
      <c r="W155" s="12"/>
      <c r="X155" s="20">
        <f t="shared" si="77"/>
        <v>46.7</v>
      </c>
      <c r="Y155" s="20">
        <f t="shared" si="83"/>
        <v>66.7142857142857</v>
      </c>
    </row>
    <row r="156" ht="15.6" hidden="1" outlineLevel="2" spans="1:25">
      <c r="A156" s="12">
        <v>204</v>
      </c>
      <c r="B156" s="12">
        <v>20</v>
      </c>
      <c r="C156" s="6" t="s">
        <v>182</v>
      </c>
      <c r="D156" s="6" t="s">
        <v>53</v>
      </c>
      <c r="E156" s="12">
        <v>21</v>
      </c>
      <c r="F156" s="11">
        <f>LOOKUP(E156,{0,1,1.8,2.6,3.4,4.2,5,6.3,7.6,8.9,10.2,11.5,12.8,14.1,15.4,16.7,18,19.7,21.4,23.1,24.8},{0,10,20,30,40,50,60,62,64,66,68,70,72,74,76,78,80,85,90,95,100})</f>
        <v>85</v>
      </c>
      <c r="G156" s="12">
        <v>182</v>
      </c>
      <c r="H156" s="11">
        <f>LOOKUP(G156,{0,124,129,134,139,144,149,152,155,158,161,164,167,170,173,176,179,186,193,199,205},{0,10,20,30,40,50,60,62,64,66,68,70,72,74,76,78,80,85,90,95,100})</f>
        <v>80</v>
      </c>
      <c r="I156" s="12">
        <v>39</v>
      </c>
      <c r="J156" s="11">
        <f>LOOKUP(I156,{0,14,16,18,20,22,24,26,28,30,32,34,36,38,40,42,44,47,50,52,54},{0,10,20,30,40,50,60,62,64,66,68,70,72,74,76,78,80,85,90,95,100})</f>
        <v>74</v>
      </c>
      <c r="K156" s="12"/>
      <c r="L156" s="15"/>
      <c r="M156" s="12">
        <f t="shared" si="79"/>
        <v>74</v>
      </c>
      <c r="N156" s="12">
        <v>8.2</v>
      </c>
      <c r="O156" s="12">
        <f t="shared" si="80"/>
        <v>3.8</v>
      </c>
      <c r="P156" s="11">
        <f>LOOKUP(O156,{0,0.5,0.7,0.9,1.1,1.3,1.5,1.7,1.9,2.1,2.3,2.5,2.7,2.9,3.1,3.3,3.5,3.8,4.1,4.2,4.3},{0,10,20,30,40,50,60,62,64,66,68,70,72,74,76,78,80,85,90,95,100})</f>
        <v>85</v>
      </c>
      <c r="Q156" s="12">
        <v>3.25</v>
      </c>
      <c r="R156" s="12">
        <f t="shared" si="81"/>
        <v>6.75</v>
      </c>
      <c r="S156" s="11">
        <f>LOOKUP(R156,{0,4.72,4.82,4.92,5.42,5.52,5.62,5.67,5.72,5.77,5.82,5.87,5.92,5.97,6.42,6.47,6.52,6.59,6.66,6.72,6.78},{0,10,20,30,40,50,60,62,64,66,68,70,72,74,76,78,80,85,90,95,100})</f>
        <v>95</v>
      </c>
      <c r="T156" s="12"/>
      <c r="U156" s="12"/>
      <c r="V156" s="12">
        <f t="shared" si="82"/>
        <v>95</v>
      </c>
      <c r="W156" s="12"/>
      <c r="X156" s="20">
        <f t="shared" si="77"/>
        <v>59.9</v>
      </c>
      <c r="Y156" s="20">
        <f t="shared" si="83"/>
        <v>85.5714285714286</v>
      </c>
    </row>
    <row r="157" ht="15.6" hidden="1" outlineLevel="2" spans="1:25">
      <c r="A157" s="12">
        <v>204</v>
      </c>
      <c r="B157" s="12">
        <v>21</v>
      </c>
      <c r="C157" s="6" t="s">
        <v>183</v>
      </c>
      <c r="D157" s="6" t="s">
        <v>53</v>
      </c>
      <c r="E157" s="12">
        <v>26.3</v>
      </c>
      <c r="F157" s="11">
        <f>LOOKUP(E157,{0,1,1.8,2.6,3.4,4.2,5,6.3,7.6,8.9,10.2,11.5,12.8,14.1,15.4,16.7,18,19.7,21.4,23.1,24.8},{0,10,20,30,40,50,60,62,64,66,68,70,72,74,76,78,80,85,90,95,100})</f>
        <v>100</v>
      </c>
      <c r="G157" s="12">
        <v>178</v>
      </c>
      <c r="H157" s="11">
        <f>LOOKUP(G157,{0,124,129,134,139,144,149,152,155,158,161,164,167,170,173,176,179,186,193,199,205},{0,10,20,30,40,50,60,62,64,66,68,70,72,74,76,78,80,85,90,95,100})</f>
        <v>78</v>
      </c>
      <c r="I157" s="12">
        <v>50</v>
      </c>
      <c r="J157" s="11">
        <f>LOOKUP(I157,{0,14,16,18,20,22,24,26,28,30,32,34,36,38,40,42,44,47,50,52,54},{0,10,20,30,40,50,60,62,64,66,68,70,72,74,76,78,80,85,90,95,100})</f>
        <v>90</v>
      </c>
      <c r="K157" s="12"/>
      <c r="L157" s="12"/>
      <c r="M157" s="12">
        <f t="shared" si="79"/>
        <v>90</v>
      </c>
      <c r="N157" s="12">
        <v>8.2</v>
      </c>
      <c r="O157" s="12">
        <f t="shared" si="80"/>
        <v>3.8</v>
      </c>
      <c r="P157" s="11">
        <f>LOOKUP(O157,{0,0.5,0.7,0.9,1.1,1.3,1.5,1.7,1.9,2.1,2.3,2.5,2.7,2.9,3.1,3.3,3.5,3.8,4.1,4.2,4.3},{0,10,20,30,40,50,60,62,64,66,68,70,72,74,76,78,80,85,90,95,100})</f>
        <v>85</v>
      </c>
      <c r="Q157" s="12">
        <v>3.39</v>
      </c>
      <c r="R157" s="12">
        <f t="shared" si="81"/>
        <v>6.61</v>
      </c>
      <c r="S157" s="11">
        <f>LOOKUP(R157,{0,4.72,4.82,4.92,5.42,5.52,5.62,5.67,5.72,5.77,5.82,5.87,5.92,5.97,6.42,6.47,6.52,6.59,6.66,6.72,6.78},{0,10,20,30,40,50,60,62,64,66,68,70,72,74,76,78,80,85,90,95,100})</f>
        <v>85</v>
      </c>
      <c r="T157" s="12"/>
      <c r="U157" s="12"/>
      <c r="V157" s="12">
        <f t="shared" si="82"/>
        <v>85</v>
      </c>
      <c r="W157" s="12"/>
      <c r="X157" s="20">
        <f t="shared" si="77"/>
        <v>60.8</v>
      </c>
      <c r="Y157" s="20">
        <f t="shared" si="83"/>
        <v>86.8571428571429</v>
      </c>
    </row>
    <row r="158" ht="15.6" hidden="1" outlineLevel="2" spans="1:25">
      <c r="A158" s="12">
        <v>204</v>
      </c>
      <c r="B158" s="12">
        <v>22</v>
      </c>
      <c r="C158" s="6" t="s">
        <v>184</v>
      </c>
      <c r="D158" s="6" t="s">
        <v>53</v>
      </c>
      <c r="E158" s="12">
        <v>14.1</v>
      </c>
      <c r="F158" s="11">
        <f>LOOKUP(E158,{0,1,1.8,2.6,3.4,4.2,5,6.3,7.6,8.9,10.2,11.5,12.8,14.1,15.4,16.7,18,19.7,21.4,23.1,24.8},{0,10,20,30,40,50,60,62,64,66,68,70,72,74,76,78,80,85,90,95,100})</f>
        <v>74</v>
      </c>
      <c r="G158" s="12">
        <v>163</v>
      </c>
      <c r="H158" s="11">
        <f>LOOKUP(G158,{0,124,129,134,139,144,149,152,155,158,161,164,167,170,173,176,179,186,193,199,205},{0,10,20,30,40,50,60,62,64,66,68,70,72,74,76,78,80,85,90,95,100})</f>
        <v>68</v>
      </c>
      <c r="I158" s="12">
        <v>58</v>
      </c>
      <c r="J158" s="11">
        <f>LOOKUP(I158,{0,14,16,18,20,22,24,26,28,30,32,34,36,38,40,42,44,47,50,52,54},{0,10,20,30,40,50,60,62,64,66,68,70,72,74,76,78,80,85,90,95,100})</f>
        <v>100</v>
      </c>
      <c r="K158" s="12">
        <f>I158-54</f>
        <v>4</v>
      </c>
      <c r="L158" s="11">
        <f>LOOKUP(K158,{0,2,4,6,7,8,9,10,11,12,13},{0,1,2,3,4,5,6,7,8,9,10})</f>
        <v>2</v>
      </c>
      <c r="M158" s="12">
        <f t="shared" si="79"/>
        <v>102</v>
      </c>
      <c r="N158" s="12">
        <v>8.4</v>
      </c>
      <c r="O158" s="12">
        <f t="shared" si="80"/>
        <v>3.6</v>
      </c>
      <c r="P158" s="11">
        <f>LOOKUP(O158,{0,0.5,0.7,0.9,1.1,1.3,1.5,1.7,1.9,2.1,2.3,2.5,2.7,2.9,3.1,3.3,3.5,3.8,4.1,4.2,4.3},{0,10,20,30,40,50,60,62,64,66,68,70,72,74,76,78,80,85,90,95,100})</f>
        <v>80</v>
      </c>
      <c r="Q158" s="12">
        <v>3.45</v>
      </c>
      <c r="R158" s="12">
        <f t="shared" si="81"/>
        <v>6.55</v>
      </c>
      <c r="S158" s="11">
        <f>LOOKUP(R158,{0,4.72,4.82,4.92,5.42,5.52,5.62,5.67,5.72,5.77,5.82,5.87,5.92,5.97,6.42,6.47,6.52,6.59,6.66,6.72,6.78},{0,10,20,30,40,50,60,62,64,66,68,70,72,74,76,78,80,85,90,95,100})</f>
        <v>80</v>
      </c>
      <c r="T158" s="12"/>
      <c r="U158" s="12"/>
      <c r="V158" s="12">
        <f t="shared" si="82"/>
        <v>80</v>
      </c>
      <c r="W158" s="12"/>
      <c r="X158" s="20">
        <f t="shared" si="77"/>
        <v>56.2</v>
      </c>
      <c r="Y158" s="20">
        <f t="shared" si="83"/>
        <v>82.2857142857143</v>
      </c>
    </row>
    <row r="159" ht="15.6" hidden="1" outlineLevel="2" spans="1:25">
      <c r="A159" s="12">
        <v>204</v>
      </c>
      <c r="B159" s="12">
        <v>23</v>
      </c>
      <c r="C159" s="6" t="s">
        <v>185</v>
      </c>
      <c r="D159" s="6" t="s">
        <v>53</v>
      </c>
      <c r="E159" s="12">
        <v>27</v>
      </c>
      <c r="F159" s="11">
        <f>LOOKUP(E159,{0,1,1.8,2.6,3.4,4.2,5,6.3,7.6,8.9,10.2,11.5,12.8,14.1,15.4,16.7,18,19.7,21.4,23.1,24.8},{0,10,20,30,40,50,60,62,64,66,68,70,72,74,76,78,80,85,90,95,100})</f>
        <v>100</v>
      </c>
      <c r="G159" s="12">
        <v>185</v>
      </c>
      <c r="H159" s="11">
        <f>LOOKUP(G159,{0,124,129,134,139,144,149,152,155,158,161,164,167,170,173,176,179,186,193,199,205},{0,10,20,30,40,50,60,62,64,66,68,70,72,74,76,78,80,85,90,95,100})</f>
        <v>80</v>
      </c>
      <c r="I159" s="12">
        <v>49</v>
      </c>
      <c r="J159" s="11">
        <f>LOOKUP(I159,{0,14,16,18,20,22,24,26,28,30,32,34,36,38,40,42,44,47,50,52,54},{0,10,20,30,40,50,60,62,64,66,68,70,72,74,76,78,80,85,90,95,100})</f>
        <v>85</v>
      </c>
      <c r="K159" s="12"/>
      <c r="L159" s="12"/>
      <c r="M159" s="12">
        <f t="shared" si="79"/>
        <v>85</v>
      </c>
      <c r="N159" s="12">
        <v>9</v>
      </c>
      <c r="O159" s="12">
        <f t="shared" si="80"/>
        <v>3</v>
      </c>
      <c r="P159" s="11">
        <f>LOOKUP(O159,{0,0.5,0.7,0.9,1.1,1.3,1.5,1.7,1.9,2.1,2.3,2.5,2.7,2.9,3.1,3.3,3.5,3.8,4.1,4.2,4.3},{0,10,20,30,40,50,60,62,64,66,68,70,72,74,76,78,80,85,90,95,100})</f>
        <v>74</v>
      </c>
      <c r="Q159" s="12"/>
      <c r="R159" s="12"/>
      <c r="S159" s="11"/>
      <c r="T159" s="21"/>
      <c r="U159" s="11"/>
      <c r="V159" s="12"/>
      <c r="W159" s="12"/>
      <c r="X159" s="20">
        <f t="shared" si="77"/>
        <v>41.3</v>
      </c>
      <c r="Y159" s="20">
        <f t="shared" si="83"/>
        <v>59</v>
      </c>
    </row>
    <row r="160" ht="15.6" hidden="1" outlineLevel="2" spans="1:25">
      <c r="A160" s="12">
        <v>204</v>
      </c>
      <c r="B160" s="12">
        <v>24</v>
      </c>
      <c r="C160" s="6" t="s">
        <v>186</v>
      </c>
      <c r="D160" s="6" t="s">
        <v>53</v>
      </c>
      <c r="E160" s="12">
        <v>30</v>
      </c>
      <c r="F160" s="11">
        <f>LOOKUP(E160,{0,1,1.8,2.6,3.4,4.2,5,6.3,7.6,8.9,10.2,11.5,12.8,14.1,15.4,16.7,18,19.7,21.4,23.1,24.8},{0,10,20,30,40,50,60,62,64,66,68,70,72,74,76,78,80,85,90,95,100})</f>
        <v>100</v>
      </c>
      <c r="G160" s="12">
        <v>191</v>
      </c>
      <c r="H160" s="11">
        <f>LOOKUP(G160,{0,124,129,134,139,144,149,152,155,158,161,164,167,170,173,176,179,186,193,199,205},{0,10,20,30,40,50,60,62,64,66,68,70,72,74,76,78,80,85,90,95,100})</f>
        <v>85</v>
      </c>
      <c r="I160" s="12">
        <v>51</v>
      </c>
      <c r="J160" s="11">
        <f>LOOKUP(I160,{0,14,16,18,20,22,24,26,28,30,32,34,36,38,40,42,44,47,50,52,54},{0,10,20,30,40,50,60,62,64,66,68,70,72,74,76,78,80,85,90,95,100})</f>
        <v>90</v>
      </c>
      <c r="K160" s="12"/>
      <c r="L160" s="12"/>
      <c r="M160" s="12">
        <f t="shared" si="79"/>
        <v>90</v>
      </c>
      <c r="N160" s="12">
        <v>8.9</v>
      </c>
      <c r="O160" s="12">
        <f t="shared" si="80"/>
        <v>3.1</v>
      </c>
      <c r="P160" s="11">
        <f>LOOKUP(O160,{0,0.5,0.7,0.9,1.1,1.3,1.5,1.7,1.9,2.1,2.3,2.5,2.7,2.9,3.1,3.3,3.5,3.8,4.1,4.2,4.3},{0,10,20,30,40,50,60,62,64,66,68,70,72,74,76,78,80,85,90,95,100})</f>
        <v>76</v>
      </c>
      <c r="Q160" s="12">
        <v>3.22</v>
      </c>
      <c r="R160" s="12">
        <f t="shared" ref="R160:R168" si="84">10-Q160</f>
        <v>6.78</v>
      </c>
      <c r="S160" s="11">
        <f>LOOKUP(R160,{0,4.72,4.82,4.92,5.42,5.52,5.62,5.67,5.72,5.77,5.82,5.87,5.92,5.97,6.42,6.47,6.52,6.59,6.66,6.72,6.78},{0,10,20,30,40,50,60,62,64,66,68,70,72,74,76,78,80,85,90,95,100})</f>
        <v>100</v>
      </c>
      <c r="T160" s="21">
        <f>3.22-Q160</f>
        <v>0</v>
      </c>
      <c r="U160" s="11">
        <f>LOOKUP(T160,{0,0.05,0.1,0.15,0.2,0.25,0.3,0.35,0.4,0.45,0.5},{0,1,2,3,4,5,6,7,8,9,10})</f>
        <v>0</v>
      </c>
      <c r="V160" s="12">
        <f t="shared" ref="V160:V168" si="85">S160+U160</f>
        <v>100</v>
      </c>
      <c r="W160" s="12"/>
      <c r="X160" s="20">
        <f t="shared" si="77"/>
        <v>62.7</v>
      </c>
      <c r="Y160" s="20">
        <f t="shared" si="83"/>
        <v>89.5714285714286</v>
      </c>
    </row>
    <row r="161" ht="15.6" hidden="1" outlineLevel="2" spans="1:25">
      <c r="A161" s="12">
        <v>204</v>
      </c>
      <c r="B161" s="12">
        <v>25</v>
      </c>
      <c r="C161" s="6" t="s">
        <v>187</v>
      </c>
      <c r="D161" s="6" t="s">
        <v>53</v>
      </c>
      <c r="E161" s="12">
        <v>12</v>
      </c>
      <c r="F161" s="11">
        <f>LOOKUP(E161,{0,1,1.8,2.6,3.4,4.2,5,6.3,7.6,8.9,10.2,11.5,12.8,14.1,15.4,16.7,18,19.7,21.4,23.1,24.8},{0,10,20,30,40,50,60,62,64,66,68,70,72,74,76,78,80,85,90,95,100})</f>
        <v>70</v>
      </c>
      <c r="G161" s="12">
        <v>175</v>
      </c>
      <c r="H161" s="11">
        <f>LOOKUP(G161,{0,124,129,134,139,144,149,152,155,158,161,164,167,170,173,176,179,186,193,199,205},{0,10,20,30,40,50,60,62,64,66,68,70,72,74,76,78,80,85,90,95,100})</f>
        <v>76</v>
      </c>
      <c r="I161" s="12">
        <v>48</v>
      </c>
      <c r="J161" s="11">
        <f>LOOKUP(I161,{0,14,16,18,20,22,24,26,28,30,32,34,36,38,40,42,44,47,50,52,54},{0,10,20,30,40,50,60,62,64,66,68,70,72,74,76,78,80,85,90,95,100})</f>
        <v>85</v>
      </c>
      <c r="K161" s="12"/>
      <c r="L161" s="12"/>
      <c r="M161" s="12">
        <f t="shared" si="79"/>
        <v>85</v>
      </c>
      <c r="N161" s="12">
        <v>8.9</v>
      </c>
      <c r="O161" s="12">
        <f t="shared" si="80"/>
        <v>3.1</v>
      </c>
      <c r="P161" s="11">
        <f>LOOKUP(O161,{0,0.5,0.7,0.9,1.1,1.3,1.5,1.7,1.9,2.1,2.3,2.5,2.7,2.9,3.1,3.3,3.5,3.8,4.1,4.2,4.3},{0,10,20,30,40,50,60,62,64,66,68,70,72,74,76,78,80,85,90,95,100})</f>
        <v>76</v>
      </c>
      <c r="Q161" s="12">
        <v>3.39</v>
      </c>
      <c r="R161" s="12">
        <f t="shared" si="84"/>
        <v>6.61</v>
      </c>
      <c r="S161" s="11">
        <f>LOOKUP(R161,{0,4.72,4.82,4.92,5.42,5.52,5.62,5.67,5.72,5.77,5.82,5.87,5.92,5.97,6.42,6.47,6.52,6.59,6.66,6.72,6.78},{0,10,20,30,40,50,60,62,64,66,68,70,72,74,76,78,80,85,90,95,100})</f>
        <v>85</v>
      </c>
      <c r="T161" s="12"/>
      <c r="U161" s="12"/>
      <c r="V161" s="12">
        <f t="shared" si="85"/>
        <v>85</v>
      </c>
      <c r="W161" s="12"/>
      <c r="X161" s="20">
        <f t="shared" si="77"/>
        <v>55.3</v>
      </c>
      <c r="Y161" s="20">
        <f t="shared" si="83"/>
        <v>79</v>
      </c>
    </row>
    <row r="162" ht="15.6" hidden="1" outlineLevel="2" spans="1:25">
      <c r="A162" s="12">
        <v>204</v>
      </c>
      <c r="B162" s="12">
        <v>26</v>
      </c>
      <c r="C162" s="6" t="s">
        <v>188</v>
      </c>
      <c r="D162" s="6" t="s">
        <v>53</v>
      </c>
      <c r="E162" s="12">
        <v>17.9</v>
      </c>
      <c r="F162" s="11">
        <f>LOOKUP(E162,{0,1,1.8,2.6,3.4,4.2,5,6.3,7.6,8.9,10.2,11.5,12.8,14.1,15.4,16.7,18,19.7,21.4,23.1,24.8},{0,10,20,30,40,50,60,62,64,66,68,70,72,74,76,78,80,85,90,95,100})</f>
        <v>78</v>
      </c>
      <c r="G162" s="12">
        <v>215</v>
      </c>
      <c r="H162" s="11">
        <f>LOOKUP(G162,{0,124,129,134,139,144,149,152,155,158,161,164,167,170,173,176,179,186,193,199,205},{0,10,20,30,40,50,60,62,64,66,68,70,72,74,76,78,80,85,90,95,100})</f>
        <v>100</v>
      </c>
      <c r="I162" s="12">
        <v>47</v>
      </c>
      <c r="J162" s="11">
        <f>LOOKUP(I162,{0,14,16,18,20,22,24,26,28,30,32,34,36,38,40,42,44,47,50,52,54},{0,10,20,30,40,50,60,62,64,66,68,70,72,74,76,78,80,85,90,95,100})</f>
        <v>85</v>
      </c>
      <c r="K162" s="12"/>
      <c r="L162" s="12"/>
      <c r="M162" s="12">
        <f t="shared" si="79"/>
        <v>85</v>
      </c>
      <c r="N162" s="12">
        <v>8.3</v>
      </c>
      <c r="O162" s="12">
        <f t="shared" si="80"/>
        <v>3.7</v>
      </c>
      <c r="P162" s="11">
        <f>LOOKUP(O162,{0,0.5,0.7,0.9,1.1,1.3,1.5,1.7,1.9,2.1,2.3,2.5,2.7,2.9,3.1,3.3,3.5,3.8,4.1,4.2,4.3},{0,10,20,30,40,50,60,62,64,66,68,70,72,74,76,78,80,85,90,95,100})</f>
        <v>80</v>
      </c>
      <c r="Q162" s="12">
        <v>3.33</v>
      </c>
      <c r="R162" s="12">
        <f t="shared" si="84"/>
        <v>6.67</v>
      </c>
      <c r="S162" s="11">
        <f>LOOKUP(R162,{0,4.72,4.82,4.92,5.42,5.52,5.62,5.67,5.72,5.77,5.82,5.87,5.92,5.97,6.42,6.47,6.52,6.59,6.66,6.72,6.78},{0,10,20,30,40,50,60,62,64,66,68,70,72,74,76,78,80,85,90,95,100})</f>
        <v>90</v>
      </c>
      <c r="T162" s="12"/>
      <c r="U162" s="12"/>
      <c r="V162" s="12">
        <f t="shared" si="85"/>
        <v>90</v>
      </c>
      <c r="W162" s="12"/>
      <c r="X162" s="20">
        <f t="shared" si="77"/>
        <v>60.3</v>
      </c>
      <c r="Y162" s="20">
        <f t="shared" si="83"/>
        <v>86.1428571428571</v>
      </c>
    </row>
    <row r="163" ht="15.6" hidden="1" outlineLevel="2" spans="1:25">
      <c r="A163" s="12">
        <v>204</v>
      </c>
      <c r="B163" s="12">
        <v>27</v>
      </c>
      <c r="C163" s="6" t="s">
        <v>189</v>
      </c>
      <c r="D163" s="6" t="s">
        <v>53</v>
      </c>
      <c r="E163" s="12">
        <v>18.6</v>
      </c>
      <c r="F163" s="11">
        <f>LOOKUP(E163,{0,1,1.8,2.6,3.4,4.2,5,6.3,7.6,8.9,10.2,11.5,12.8,14.1,15.4,16.7,18,19.7,21.4,23.1,24.8},{0,10,20,30,40,50,60,62,64,66,68,70,72,74,76,78,80,85,90,95,100})</f>
        <v>80</v>
      </c>
      <c r="G163" s="12">
        <v>187</v>
      </c>
      <c r="H163" s="11">
        <f>LOOKUP(G163,{0,124,129,134,139,144,149,152,155,158,161,164,167,170,173,176,179,186,193,199,205},{0,10,20,30,40,50,60,62,64,66,68,70,72,74,76,78,80,85,90,95,100})</f>
        <v>85</v>
      </c>
      <c r="I163" s="12">
        <v>51</v>
      </c>
      <c r="J163" s="11">
        <f>LOOKUP(I163,{0,14,16,18,20,22,24,26,28,30,32,34,36,38,40,42,44,47,50,52,54},{0,10,20,30,40,50,60,62,64,66,68,70,72,74,76,78,80,85,90,95,100})</f>
        <v>90</v>
      </c>
      <c r="K163" s="12"/>
      <c r="L163" s="12"/>
      <c r="M163" s="12">
        <f t="shared" si="79"/>
        <v>90</v>
      </c>
      <c r="N163" s="12">
        <v>8.8</v>
      </c>
      <c r="O163" s="12">
        <f t="shared" si="80"/>
        <v>3.2</v>
      </c>
      <c r="P163" s="11">
        <f>LOOKUP(O163,{0,0.5,0.7,0.9,1.1,1.3,1.5,1.7,1.9,2.1,2.3,2.5,2.7,2.9,3.1,3.3,3.5,3.8,4.1,4.2,4.3},{0,10,20,30,40,50,60,62,64,66,68,70,72,74,76,78,80,85,90,95,100})</f>
        <v>76</v>
      </c>
      <c r="Q163" s="12">
        <v>3.47</v>
      </c>
      <c r="R163" s="12">
        <f t="shared" si="84"/>
        <v>6.53</v>
      </c>
      <c r="S163" s="11">
        <f>LOOKUP(R163,{0,4.72,4.82,4.92,5.42,5.52,5.62,5.67,5.72,5.77,5.82,5.87,5.92,5.97,6.42,6.47,6.52,6.59,6.66,6.72,6.78},{0,10,20,30,40,50,60,62,64,66,68,70,72,74,76,78,80,85,90,95,100})</f>
        <v>80</v>
      </c>
      <c r="T163" s="12"/>
      <c r="U163" s="12"/>
      <c r="V163" s="12">
        <f t="shared" si="85"/>
        <v>80</v>
      </c>
      <c r="W163" s="12"/>
      <c r="X163" s="20">
        <f t="shared" si="77"/>
        <v>56.7</v>
      </c>
      <c r="Y163" s="20">
        <f t="shared" si="83"/>
        <v>81</v>
      </c>
    </row>
    <row r="164" ht="15.6" hidden="1" outlineLevel="2" spans="1:25">
      <c r="A164" s="12">
        <v>204</v>
      </c>
      <c r="B164" s="12">
        <v>28</v>
      </c>
      <c r="C164" s="13" t="s">
        <v>191</v>
      </c>
      <c r="D164" s="6" t="s">
        <v>53</v>
      </c>
      <c r="E164" s="12">
        <v>19.5</v>
      </c>
      <c r="F164" s="11">
        <f>LOOKUP(E164,{0,1,1.8,2.6,3.4,4.2,5,6.3,7.6,8.9,10.2,11.5,12.8,14.1,15.4,16.7,18,19.7,21.4,23.1,24.8},{0,10,20,30,40,50,60,62,64,66,68,70,72,74,76,78,80,85,90,95,100})</f>
        <v>80</v>
      </c>
      <c r="G164" s="12">
        <v>206</v>
      </c>
      <c r="H164" s="11">
        <f>LOOKUP(G164,{0,124,129,134,139,144,149,152,155,158,161,164,167,170,173,176,179,186,193,199,205},{0,10,20,30,40,50,60,62,64,66,68,70,72,74,76,78,80,85,90,95,100})</f>
        <v>100</v>
      </c>
      <c r="I164" s="12">
        <v>54</v>
      </c>
      <c r="J164" s="11">
        <f>LOOKUP(I164,{0,14,16,18,20,22,24,26,28,30,32,34,36,38,40,42,44,47,50,52,54},{0,10,20,30,40,50,60,62,64,66,68,70,72,74,76,78,80,85,90,95,100})</f>
        <v>100</v>
      </c>
      <c r="K164" s="12">
        <f>I164-54</f>
        <v>0</v>
      </c>
      <c r="L164" s="16">
        <f>LOOKUP(K164,{0,2,4,6,7,8,9,10,11,12,13},{0,1,2,3,4,5,6,7,8,9,10})</f>
        <v>0</v>
      </c>
      <c r="M164" s="12">
        <f t="shared" si="79"/>
        <v>100</v>
      </c>
      <c r="N164" s="12">
        <v>8.1</v>
      </c>
      <c r="O164" s="12">
        <f t="shared" si="80"/>
        <v>3.9</v>
      </c>
      <c r="P164" s="11">
        <f>LOOKUP(O164,{0,0.5,0.7,0.9,1.1,1.3,1.5,1.7,1.9,2.1,2.3,2.5,2.7,2.9,3.1,3.3,3.5,3.8,4.1,4.2,4.3},{0,10,20,30,40,50,60,62,64,66,68,70,72,74,76,78,80,85,90,95,100})</f>
        <v>85</v>
      </c>
      <c r="Q164" s="12">
        <v>3.38</v>
      </c>
      <c r="R164" s="12">
        <f t="shared" si="84"/>
        <v>6.62</v>
      </c>
      <c r="S164" s="11">
        <f>LOOKUP(R164,{0,4.72,4.82,4.92,5.42,5.52,5.62,5.67,5.72,5.77,5.82,5.87,5.92,5.97,6.42,6.47,6.52,6.59,6.66,6.72,6.78},{0,10,20,30,40,50,60,62,64,66,68,70,72,74,76,78,80,85,90,95,100})</f>
        <v>85</v>
      </c>
      <c r="T164" s="12"/>
      <c r="U164" s="12"/>
      <c r="V164" s="12">
        <f t="shared" si="85"/>
        <v>85</v>
      </c>
      <c r="W164" s="12"/>
      <c r="X164" s="20">
        <f t="shared" si="77"/>
        <v>62</v>
      </c>
      <c r="Y164" s="20">
        <f t="shared" si="83"/>
        <v>88.5714285714286</v>
      </c>
    </row>
    <row r="165" ht="15.6" hidden="1" outlineLevel="2" spans="1:25">
      <c r="A165" s="12">
        <v>204</v>
      </c>
      <c r="B165" s="12">
        <v>29</v>
      </c>
      <c r="C165" s="6" t="s">
        <v>192</v>
      </c>
      <c r="D165" s="6" t="s">
        <v>53</v>
      </c>
      <c r="E165" s="12">
        <v>23</v>
      </c>
      <c r="F165" s="11">
        <f>LOOKUP(E165,{0,1,1.8,2.6,3.4,4.2,5,6.3,7.6,8.9,10.2,11.5,12.8,14.1,15.4,16.7,18,19.7,21.4,23.1,24.8},{0,10,20,30,40,50,60,62,64,66,68,70,72,74,76,78,80,85,90,95,100})</f>
        <v>90</v>
      </c>
      <c r="G165" s="12">
        <v>190</v>
      </c>
      <c r="H165" s="11">
        <f>LOOKUP(G165,{0,124,129,134,139,144,149,152,155,158,161,164,167,170,173,176,179,186,193,199,205},{0,10,20,30,40,50,60,62,64,66,68,70,72,74,76,78,80,85,90,95,100})</f>
        <v>85</v>
      </c>
      <c r="I165" s="12">
        <v>40</v>
      </c>
      <c r="J165" s="11">
        <f>LOOKUP(I165,{0,14,16,18,20,22,24,26,28,30,32,34,36,38,40,42,44,47,50,52,54},{0,10,20,30,40,50,60,62,64,66,68,70,72,74,76,78,80,85,90,95,100})</f>
        <v>76</v>
      </c>
      <c r="K165" s="12"/>
      <c r="L165" s="12"/>
      <c r="M165" s="12">
        <f t="shared" si="79"/>
        <v>76</v>
      </c>
      <c r="N165" s="12">
        <v>8.7</v>
      </c>
      <c r="O165" s="12">
        <f t="shared" si="80"/>
        <v>3.3</v>
      </c>
      <c r="P165" s="11">
        <f>LOOKUP(O165,{0,0.5,0.7,0.9,1.1,1.3,1.5,1.7,1.9,2.1,2.3,2.5,2.7,2.9,3.1,3.3,3.5,3.8,4.1,4.2,4.3},{0,10,20,30,40,50,60,62,64,66,68,70,72,74,76,78,80,85,90,95,100})</f>
        <v>78</v>
      </c>
      <c r="Q165" s="12">
        <v>4.2</v>
      </c>
      <c r="R165" s="12">
        <f t="shared" si="84"/>
        <v>5.8</v>
      </c>
      <c r="S165" s="11">
        <f>LOOKUP(R165,{0,4.72,4.82,4.92,5.42,5.52,5.62,5.67,5.72,5.77,5.82,5.87,5.92,5.97,6.42,6.47,6.52,6.59,6.66,6.72,6.78},{0,10,20,30,40,50,60,62,64,66,68,70,72,74,76,78,80,85,90,95,100})</f>
        <v>66</v>
      </c>
      <c r="T165" s="12"/>
      <c r="U165" s="12"/>
      <c r="V165" s="12">
        <f t="shared" si="85"/>
        <v>66</v>
      </c>
      <c r="W165" s="12"/>
      <c r="X165" s="20">
        <f t="shared" si="77"/>
        <v>53.9</v>
      </c>
      <c r="Y165" s="20">
        <f t="shared" si="83"/>
        <v>77</v>
      </c>
    </row>
    <row r="166" s="1" customFormat="1" ht="15.6" hidden="1" outlineLevel="2" spans="1:25">
      <c r="A166" s="12">
        <v>204</v>
      </c>
      <c r="B166" s="12">
        <v>30</v>
      </c>
      <c r="C166" s="6" t="s">
        <v>193</v>
      </c>
      <c r="D166" s="6" t="s">
        <v>53</v>
      </c>
      <c r="E166" s="12">
        <v>23.5</v>
      </c>
      <c r="F166" s="11">
        <f>LOOKUP(E166,{0,1,1.8,2.6,3.4,4.2,5,6.3,7.6,8.9,10.2,11.5,12.8,14.1,15.4,16.7,18,19.7,21.4,23.1,24.8},{0,10,20,30,40,50,60,62,64,66,68,70,72,74,76,78,80,85,90,95,100})</f>
        <v>95</v>
      </c>
      <c r="G166" s="12">
        <v>200</v>
      </c>
      <c r="H166" s="11">
        <f>LOOKUP(G166,{0,124,129,134,139,144,149,152,155,158,161,164,167,170,173,176,179,186,193,199,205},{0,10,20,30,40,50,60,62,64,66,68,70,72,74,76,78,80,85,90,95,100})</f>
        <v>95</v>
      </c>
      <c r="I166" s="12">
        <v>51</v>
      </c>
      <c r="J166" s="11">
        <f>LOOKUP(I166,{0,14,16,18,20,22,24,26,28,30,32,34,36,38,40,42,44,47,50,52,54},{0,10,20,30,40,50,60,62,64,66,68,70,72,74,76,78,80,85,90,95,100})</f>
        <v>90</v>
      </c>
      <c r="K166" s="12"/>
      <c r="L166" s="12"/>
      <c r="M166" s="12">
        <f t="shared" si="79"/>
        <v>90</v>
      </c>
      <c r="N166" s="12">
        <v>8.2</v>
      </c>
      <c r="O166" s="12">
        <f t="shared" si="80"/>
        <v>3.8</v>
      </c>
      <c r="P166" s="11">
        <f>LOOKUP(O166,{0,0.5,0.7,0.9,1.1,1.3,1.5,1.7,1.9,2.1,2.3,2.5,2.7,2.9,3.1,3.3,3.5,3.8,4.1,4.2,4.3},{0,10,20,30,40,50,60,62,64,66,68,70,72,74,76,78,80,85,90,95,100})</f>
        <v>85</v>
      </c>
      <c r="Q166" s="12">
        <v>3.3</v>
      </c>
      <c r="R166" s="12">
        <f t="shared" si="84"/>
        <v>6.7</v>
      </c>
      <c r="S166" s="11">
        <f>LOOKUP(R166,{0,4.72,4.82,4.92,5.42,5.52,5.62,5.67,5.72,5.77,5.82,5.87,5.92,5.97,6.42,6.47,6.52,6.59,6.66,6.72,6.78},{0,10,20,30,40,50,60,62,64,66,68,70,72,74,76,78,80,85,90,95,100})</f>
        <v>90</v>
      </c>
      <c r="T166" s="12"/>
      <c r="U166" s="12"/>
      <c r="V166" s="12">
        <f t="shared" si="85"/>
        <v>90</v>
      </c>
      <c r="W166" s="12"/>
      <c r="X166" s="20">
        <f t="shared" si="77"/>
        <v>63</v>
      </c>
      <c r="Y166" s="20">
        <f t="shared" si="83"/>
        <v>90</v>
      </c>
    </row>
    <row r="167" ht="15.6" hidden="1" outlineLevel="2" spans="1:25">
      <c r="A167" s="12">
        <v>204</v>
      </c>
      <c r="B167" s="12">
        <v>31</v>
      </c>
      <c r="C167" s="6" t="s">
        <v>194</v>
      </c>
      <c r="D167" s="6" t="s">
        <v>53</v>
      </c>
      <c r="E167" s="12">
        <v>12.5</v>
      </c>
      <c r="F167" s="11">
        <f>LOOKUP(E167,{0,1,1.8,2.6,3.4,4.2,5,6.3,7.6,8.9,10.2,11.5,12.8,14.1,15.4,16.7,18,19.7,21.4,23.1,24.8},{0,10,20,30,40,50,60,62,64,66,68,70,72,74,76,78,80,85,90,95,100})</f>
        <v>70</v>
      </c>
      <c r="G167" s="12">
        <v>173</v>
      </c>
      <c r="H167" s="11">
        <f>LOOKUP(G167,{0,124,129,134,139,144,149,152,155,158,161,164,167,170,173,176,179,186,193,199,205},{0,10,20,30,40,50,60,62,64,66,68,70,72,74,76,78,80,85,90,95,100})</f>
        <v>76</v>
      </c>
      <c r="I167" s="12">
        <v>37</v>
      </c>
      <c r="J167" s="11">
        <f>LOOKUP(I167,{0,14,16,18,20,22,24,26,28,30,32,34,36,38,40,42,44,47,50,52,54},{0,10,20,30,40,50,60,62,64,66,68,70,72,74,76,78,80,85,90,95,100})</f>
        <v>72</v>
      </c>
      <c r="K167" s="12"/>
      <c r="L167" s="12"/>
      <c r="M167" s="12">
        <f t="shared" si="79"/>
        <v>72</v>
      </c>
      <c r="N167" s="12">
        <v>8.8</v>
      </c>
      <c r="O167" s="12">
        <f t="shared" si="80"/>
        <v>3.2</v>
      </c>
      <c r="P167" s="11">
        <f>LOOKUP(O167,{0,0.5,0.7,0.9,1.1,1.3,1.5,1.7,1.9,2.1,2.3,2.5,2.7,2.9,3.1,3.3,3.5,3.8,4.1,4.2,4.3},{0,10,20,30,40,50,60,62,64,66,68,70,72,74,76,78,80,85,90,95,100})</f>
        <v>76</v>
      </c>
      <c r="Q167" s="12">
        <v>4.03</v>
      </c>
      <c r="R167" s="12">
        <f t="shared" si="84"/>
        <v>5.97</v>
      </c>
      <c r="S167" s="11">
        <f>LOOKUP(R167,{0,4.72,4.82,4.92,5.42,5.52,5.62,5.67,5.72,5.77,5.82,5.87,5.92,5.97,6.42,6.47,6.52,6.59,6.66,6.72,6.78},{0,10,20,30,40,50,60,62,64,66,68,70,72,74,76,78,80,85,90,95,100})</f>
        <v>74</v>
      </c>
      <c r="T167" s="12"/>
      <c r="U167" s="12"/>
      <c r="V167" s="12">
        <f t="shared" si="85"/>
        <v>74</v>
      </c>
      <c r="W167" s="12"/>
      <c r="X167" s="20">
        <f t="shared" si="77"/>
        <v>51.8</v>
      </c>
      <c r="Y167" s="20">
        <f t="shared" si="83"/>
        <v>74</v>
      </c>
    </row>
    <row r="168" ht="15.6" hidden="1" outlineLevel="2" spans="1:25">
      <c r="A168" s="12">
        <v>204</v>
      </c>
      <c r="B168" s="12">
        <v>32</v>
      </c>
      <c r="C168" s="6" t="s">
        <v>195</v>
      </c>
      <c r="D168" s="6" t="s">
        <v>53</v>
      </c>
      <c r="E168" s="12">
        <v>18</v>
      </c>
      <c r="F168" s="11">
        <f>LOOKUP(E168,{0,1,1.8,2.6,3.4,4.2,5,6.3,7.6,8.9,10.2,11.5,12.8,14.1,15.4,16.7,18,19.7,21.4,23.1,24.8},{0,10,20,30,40,50,60,62,64,66,68,70,72,74,76,78,80,85,90,95,100})</f>
        <v>80</v>
      </c>
      <c r="G168" s="12">
        <v>189</v>
      </c>
      <c r="H168" s="11">
        <f>LOOKUP(G168,{0,124,129,134,139,144,149,152,155,158,161,164,167,170,173,176,179,186,193,199,205},{0,10,20,30,40,50,60,62,64,66,68,70,72,74,76,78,80,85,90,95,100})</f>
        <v>85</v>
      </c>
      <c r="I168" s="12">
        <v>45</v>
      </c>
      <c r="J168" s="11">
        <f>LOOKUP(I168,{0,14,16,18,20,22,24,26,28,30,32,34,36,38,40,42,44,47,50,52,54},{0,10,20,30,40,50,60,62,64,66,68,70,72,74,76,78,80,85,90,95,100})</f>
        <v>80</v>
      </c>
      <c r="K168" s="12"/>
      <c r="L168" s="15"/>
      <c r="M168" s="12">
        <f t="shared" si="79"/>
        <v>80</v>
      </c>
      <c r="N168" s="12">
        <v>7.5</v>
      </c>
      <c r="O168" s="12">
        <f t="shared" si="80"/>
        <v>4.5</v>
      </c>
      <c r="P168" s="11">
        <f>LOOKUP(O168,{0,0.5,0.7,0.9,1.1,1.3,1.5,1.7,1.9,2.1,2.3,2.5,2.7,2.9,3.1,3.3,3.5,3.8,4.1,4.2,4.3},{0,10,20,30,40,50,60,62,64,66,68,70,72,74,76,78,80,85,90,95,100})</f>
        <v>100</v>
      </c>
      <c r="Q168" s="12">
        <v>3.25</v>
      </c>
      <c r="R168" s="12">
        <f t="shared" si="84"/>
        <v>6.75</v>
      </c>
      <c r="S168" s="11">
        <f>LOOKUP(R168,{0,4.72,4.82,4.92,5.42,5.52,5.62,5.67,5.72,5.77,5.82,5.87,5.92,5.97,6.42,6.47,6.52,6.59,6.66,6.72,6.78},{0,10,20,30,40,50,60,62,64,66,68,70,72,74,76,78,80,85,90,95,100})</f>
        <v>95</v>
      </c>
      <c r="T168" s="12"/>
      <c r="U168" s="12"/>
      <c r="V168" s="12">
        <f t="shared" si="85"/>
        <v>95</v>
      </c>
      <c r="W168" s="12"/>
      <c r="X168" s="20">
        <f t="shared" si="77"/>
        <v>63.5</v>
      </c>
      <c r="Y168" s="20">
        <f t="shared" si="83"/>
        <v>90.7142857142857</v>
      </c>
    </row>
    <row r="169" ht="15.6" hidden="1" outlineLevel="2" spans="1:25">
      <c r="A169" s="12">
        <v>204</v>
      </c>
      <c r="B169" s="12">
        <v>33</v>
      </c>
      <c r="C169" s="6" t="s">
        <v>196</v>
      </c>
      <c r="D169" s="6" t="s">
        <v>53</v>
      </c>
      <c r="E169" s="12"/>
      <c r="F169" s="11"/>
      <c r="G169" s="12"/>
      <c r="H169" s="11"/>
      <c r="I169" s="12"/>
      <c r="J169" s="11"/>
      <c r="K169" s="12"/>
      <c r="L169" s="15"/>
      <c r="M169" s="12"/>
      <c r="N169" s="12"/>
      <c r="O169" s="12"/>
      <c r="P169" s="11"/>
      <c r="Q169" s="12"/>
      <c r="R169" s="12"/>
      <c r="S169" s="11"/>
      <c r="T169" s="21"/>
      <c r="U169" s="11"/>
      <c r="V169" s="12"/>
      <c r="W169" s="12" t="s">
        <v>16</v>
      </c>
      <c r="X169" s="20">
        <f t="shared" si="77"/>
        <v>0</v>
      </c>
      <c r="Y169" s="20">
        <v>50</v>
      </c>
    </row>
    <row r="170" ht="15.6" hidden="1" outlineLevel="2" spans="1:25">
      <c r="A170" s="12">
        <v>204</v>
      </c>
      <c r="B170" s="12">
        <v>34</v>
      </c>
      <c r="C170" s="6" t="s">
        <v>197</v>
      </c>
      <c r="D170" s="6" t="s">
        <v>53</v>
      </c>
      <c r="E170" s="12">
        <v>30</v>
      </c>
      <c r="F170" s="11">
        <f>LOOKUP(E170,{0,1,1.8,2.6,3.4,4.2,5,6.3,7.6,8.9,10.2,11.5,12.8,14.1,15.4,16.7,18,19.7,21.4,23.1,24.8},{0,10,20,30,40,50,60,62,64,66,68,70,72,74,76,78,80,85,90,95,100})</f>
        <v>100</v>
      </c>
      <c r="G170" s="12"/>
      <c r="H170" s="11"/>
      <c r="I170" s="12">
        <v>45</v>
      </c>
      <c r="J170" s="11">
        <f>LOOKUP(I170,{0,14,16,18,20,22,24,26,28,30,32,34,36,38,40,42,44,47,50,52,54},{0,10,20,30,40,50,60,62,64,66,68,70,72,74,76,78,80,85,90,95,100})</f>
        <v>80</v>
      </c>
      <c r="K170" s="12"/>
      <c r="L170" s="12"/>
      <c r="M170" s="12">
        <f t="shared" ref="M170:M183" si="86">J170+L170</f>
        <v>80</v>
      </c>
      <c r="N170" s="12"/>
      <c r="O170" s="12"/>
      <c r="P170" s="11"/>
      <c r="Q170" s="12"/>
      <c r="R170" s="12"/>
      <c r="S170" s="11"/>
      <c r="T170" s="21"/>
      <c r="U170" s="11"/>
      <c r="V170" s="12"/>
      <c r="W170" s="12"/>
      <c r="X170" s="20">
        <f t="shared" si="77"/>
        <v>18</v>
      </c>
      <c r="Y170" s="23">
        <v>50</v>
      </c>
    </row>
    <row r="171" ht="15.6" hidden="1" outlineLevel="2" spans="1:25">
      <c r="A171" s="12">
        <v>204</v>
      </c>
      <c r="B171" s="12">
        <v>35</v>
      </c>
      <c r="C171" s="6" t="s">
        <v>198</v>
      </c>
      <c r="D171" s="6" t="s">
        <v>53</v>
      </c>
      <c r="E171" s="12">
        <v>16.4</v>
      </c>
      <c r="F171" s="11">
        <f>LOOKUP(E171,{0,1,1.8,2.6,3.4,4.2,5,6.3,7.6,8.9,10.2,11.5,12.8,14.1,15.4,16.7,18,19.7,21.4,23.1,24.8},{0,10,20,30,40,50,60,62,64,66,68,70,72,74,76,78,80,85,90,95,100})</f>
        <v>76</v>
      </c>
      <c r="G171" s="12">
        <v>196</v>
      </c>
      <c r="H171" s="11">
        <f>LOOKUP(G171,{0,124,129,134,139,144,149,152,155,158,161,164,167,170,173,176,179,186,193,199,205},{0,10,20,30,40,50,60,62,64,66,68,70,72,74,76,78,80,85,90,95,100})</f>
        <v>90</v>
      </c>
      <c r="I171" s="12">
        <v>43</v>
      </c>
      <c r="J171" s="11">
        <f>LOOKUP(I171,{0,14,16,18,20,22,24,26,28,30,32,34,36,38,40,42,44,47,50,52,54},{0,10,20,30,40,50,60,62,64,66,68,70,72,74,76,78,80,85,90,95,100})</f>
        <v>78</v>
      </c>
      <c r="K171" s="12"/>
      <c r="L171" s="12"/>
      <c r="M171" s="12">
        <f t="shared" si="86"/>
        <v>78</v>
      </c>
      <c r="N171" s="12">
        <v>8.6</v>
      </c>
      <c r="O171" s="12">
        <f t="shared" ref="O171:O181" si="87">12-N171</f>
        <v>3.4</v>
      </c>
      <c r="P171" s="11">
        <f>LOOKUP(O171,{0,0.5,0.7,0.9,1.1,1.3,1.5,1.7,1.9,2.1,2.3,2.5,2.7,2.9,3.1,3.3,3.5,3.8,4.1,4.2,4.3},{0,10,20,30,40,50,60,62,64,66,68,70,72,74,76,78,80,85,90,95,100})</f>
        <v>78</v>
      </c>
      <c r="Q171" s="12">
        <v>3.37</v>
      </c>
      <c r="R171" s="12">
        <f t="shared" ref="R171:R183" si="88">10-Q171</f>
        <v>6.63</v>
      </c>
      <c r="S171" s="11">
        <f>LOOKUP(R171,{0,4.72,4.82,4.92,5.42,5.52,5.62,5.67,5.72,5.77,5.82,5.87,5.92,5.97,6.42,6.47,6.52,6.59,6.66,6.72,6.78},{0,10,20,30,40,50,60,62,64,66,68,70,72,74,76,78,80,85,90,95,100})</f>
        <v>85</v>
      </c>
      <c r="T171" s="12"/>
      <c r="U171" s="12"/>
      <c r="V171" s="12">
        <f t="shared" ref="V171:V183" si="89">S171+U171</f>
        <v>85</v>
      </c>
      <c r="W171" s="12"/>
      <c r="X171" s="20">
        <f t="shared" si="77"/>
        <v>57</v>
      </c>
      <c r="Y171" s="20">
        <f t="shared" ref="Y171:Y181" si="90">X171/0.7+L171+U171</f>
        <v>81.4285714285714</v>
      </c>
    </row>
    <row r="172" ht="15.6" hidden="1" outlineLevel="2" spans="1:25">
      <c r="A172" s="12">
        <v>204</v>
      </c>
      <c r="B172" s="12">
        <v>36</v>
      </c>
      <c r="C172" s="6" t="s">
        <v>199</v>
      </c>
      <c r="D172" s="6" t="s">
        <v>53</v>
      </c>
      <c r="E172" s="12"/>
      <c r="F172" s="11"/>
      <c r="G172" s="12"/>
      <c r="H172" s="11"/>
      <c r="I172" s="12"/>
      <c r="J172" s="11"/>
      <c r="K172" s="12"/>
      <c r="L172" s="12"/>
      <c r="M172" s="12"/>
      <c r="N172" s="12"/>
      <c r="O172" s="12"/>
      <c r="P172" s="11"/>
      <c r="Q172" s="12"/>
      <c r="R172" s="12"/>
      <c r="S172" s="11"/>
      <c r="T172" s="21"/>
      <c r="U172" s="11"/>
      <c r="V172" s="12"/>
      <c r="W172" s="12" t="s">
        <v>16</v>
      </c>
      <c r="X172" s="20">
        <f t="shared" si="77"/>
        <v>0</v>
      </c>
      <c r="Y172" s="20">
        <v>50</v>
      </c>
    </row>
    <row r="173" ht="15.6" hidden="1" outlineLevel="2" spans="1:25">
      <c r="A173" s="12">
        <v>204</v>
      </c>
      <c r="B173" s="12">
        <v>37</v>
      </c>
      <c r="C173" s="6" t="s">
        <v>200</v>
      </c>
      <c r="D173" s="6" t="s">
        <v>53</v>
      </c>
      <c r="E173" s="12">
        <v>17.5</v>
      </c>
      <c r="F173" s="11">
        <f>LOOKUP(E173,{0,1,1.8,2.6,3.4,4.2,5,6.3,7.6,8.9,10.2,11.5,12.8,14.1,15.4,16.7,18,19.7,21.4,23.1,24.8},{0,10,20,30,40,50,60,62,64,66,68,70,72,74,76,78,80,85,90,95,100})</f>
        <v>78</v>
      </c>
      <c r="G173" s="12">
        <v>170</v>
      </c>
      <c r="H173" s="11">
        <f>LOOKUP(G173,{0,124,129,134,139,144,149,152,155,158,161,164,167,170,173,176,179,186,193,199,205},{0,10,20,30,40,50,60,62,64,66,68,70,72,74,76,78,80,85,90,95,100})</f>
        <v>74</v>
      </c>
      <c r="I173" s="12">
        <v>43</v>
      </c>
      <c r="J173" s="11">
        <f>LOOKUP(I173,{0,14,16,18,20,22,24,26,28,30,32,34,36,38,40,42,44,47,50,52,54},{0,10,20,30,40,50,60,62,64,66,68,70,72,74,76,78,80,85,90,95,100})</f>
        <v>78</v>
      </c>
      <c r="K173" s="12"/>
      <c r="L173" s="15"/>
      <c r="M173" s="12">
        <f t="shared" si="86"/>
        <v>78</v>
      </c>
      <c r="N173" s="12">
        <v>8.7</v>
      </c>
      <c r="O173" s="12">
        <f t="shared" si="87"/>
        <v>3.3</v>
      </c>
      <c r="P173" s="11">
        <f>LOOKUP(O173,{0,0.5,0.7,0.9,1.1,1.3,1.5,1.7,1.9,2.1,2.3,2.5,2.7,2.9,3.1,3.3,3.5,3.8,4.1,4.2,4.3},{0,10,20,30,40,50,60,62,64,66,68,70,72,74,76,78,80,85,90,95,100})</f>
        <v>78</v>
      </c>
      <c r="Q173" s="12">
        <v>3.5</v>
      </c>
      <c r="R173" s="12">
        <f t="shared" si="88"/>
        <v>6.5</v>
      </c>
      <c r="S173" s="11">
        <f>LOOKUP(R173,{0,4.72,4.82,4.92,5.42,5.52,5.62,5.67,5.72,5.77,5.82,5.87,5.92,5.97,6.42,6.47,6.52,6.59,6.66,6.72,6.78},{0,10,20,30,40,50,60,62,64,66,68,70,72,74,76,78,80,85,90,95,100})</f>
        <v>78</v>
      </c>
      <c r="T173" s="12"/>
      <c r="U173" s="12"/>
      <c r="V173" s="12">
        <f t="shared" si="89"/>
        <v>78</v>
      </c>
      <c r="W173" s="12"/>
      <c r="X173" s="20">
        <f t="shared" si="77"/>
        <v>54.2</v>
      </c>
      <c r="Y173" s="20">
        <f t="shared" si="90"/>
        <v>77.4285714285714</v>
      </c>
    </row>
    <row r="174" ht="15.6" hidden="1" outlineLevel="2" spans="1:25">
      <c r="A174" s="12">
        <v>204</v>
      </c>
      <c r="B174" s="12">
        <v>38</v>
      </c>
      <c r="C174" s="13" t="s">
        <v>202</v>
      </c>
      <c r="D174" s="6" t="s">
        <v>53</v>
      </c>
      <c r="E174" s="12">
        <v>25.5</v>
      </c>
      <c r="F174" s="11">
        <f>LOOKUP(E174,{0,1,1.8,2.6,3.4,4.2,5,6.3,7.6,8.9,10.2,11.5,12.8,14.1,15.4,16.7,18,19.7,21.4,23.1,24.8},{0,10,20,30,40,50,60,62,64,66,68,70,72,74,76,78,80,85,90,95,100})</f>
        <v>100</v>
      </c>
      <c r="G174" s="12">
        <v>184</v>
      </c>
      <c r="H174" s="11">
        <f>LOOKUP(G174,{0,124,129,134,139,144,149,152,155,158,161,164,167,170,173,176,179,186,193,199,205},{0,10,20,30,40,50,60,62,64,66,68,70,72,74,76,78,80,85,90,95,100})</f>
        <v>80</v>
      </c>
      <c r="I174" s="12">
        <v>56</v>
      </c>
      <c r="J174" s="11">
        <f>LOOKUP(I174,{0,14,16,18,20,22,24,26,28,30,32,34,36,38,40,42,44,47,50,52,54},{0,10,20,30,40,50,60,62,64,66,68,70,72,74,76,78,80,85,90,95,100})</f>
        <v>100</v>
      </c>
      <c r="K174" s="12">
        <f>I174-54</f>
        <v>2</v>
      </c>
      <c r="L174" s="11">
        <f>LOOKUP(K174,{0,2,4,6,7,8,9,10,11,12,13},{0,1,2,3,4,5,6,7,8,9,10})</f>
        <v>1</v>
      </c>
      <c r="M174" s="12">
        <f t="shared" si="86"/>
        <v>101</v>
      </c>
      <c r="N174" s="12">
        <v>8.2</v>
      </c>
      <c r="O174" s="12">
        <f t="shared" si="87"/>
        <v>3.8</v>
      </c>
      <c r="P174" s="11">
        <f>LOOKUP(O174,{0,0.5,0.7,0.9,1.1,1.3,1.5,1.7,1.9,2.1,2.3,2.5,2.7,2.9,3.1,3.3,3.5,3.8,4.1,4.2,4.3},{0,10,20,30,40,50,60,62,64,66,68,70,72,74,76,78,80,85,90,95,100})</f>
        <v>85</v>
      </c>
      <c r="Q174" s="12">
        <v>3.29</v>
      </c>
      <c r="R174" s="12">
        <f t="shared" si="88"/>
        <v>6.71</v>
      </c>
      <c r="S174" s="11">
        <f>LOOKUP(R174,{0,4.72,4.82,4.92,5.42,5.52,5.62,5.67,5.72,5.77,5.82,5.87,5.92,5.97,6.42,6.47,6.52,6.59,6.66,6.72,6.78},{0,10,20,30,40,50,60,62,64,66,68,70,72,74,76,78,80,85,90,95,100})</f>
        <v>90</v>
      </c>
      <c r="T174" s="12"/>
      <c r="U174" s="12"/>
      <c r="V174" s="12">
        <f t="shared" si="89"/>
        <v>90</v>
      </c>
      <c r="W174" s="12"/>
      <c r="X174" s="20">
        <f t="shared" si="77"/>
        <v>63</v>
      </c>
      <c r="Y174" s="20">
        <f t="shared" si="90"/>
        <v>91</v>
      </c>
    </row>
    <row r="175" ht="15.6" hidden="1" outlineLevel="2" spans="1:25">
      <c r="A175" s="12">
        <v>204</v>
      </c>
      <c r="B175" s="12">
        <v>39</v>
      </c>
      <c r="C175" s="6" t="s">
        <v>203</v>
      </c>
      <c r="D175" s="6" t="s">
        <v>53</v>
      </c>
      <c r="E175" s="12">
        <v>27.7</v>
      </c>
      <c r="F175" s="11">
        <f>LOOKUP(E175,{0,1,1.8,2.6,3.4,4.2,5,6.3,7.6,8.9,10.2,11.5,12.8,14.1,15.4,16.7,18,19.7,21.4,23.1,24.8},{0,10,20,30,40,50,60,62,64,66,68,70,72,74,76,78,80,85,90,95,100})</f>
        <v>100</v>
      </c>
      <c r="G175" s="12">
        <v>215</v>
      </c>
      <c r="H175" s="11">
        <f>LOOKUP(G175,{0,124,129,134,139,144,149,152,155,158,161,164,167,170,173,176,179,186,193,199,205},{0,10,20,30,40,50,60,62,64,66,68,70,72,74,76,78,80,85,90,95,100})</f>
        <v>100</v>
      </c>
      <c r="I175" s="12">
        <v>55</v>
      </c>
      <c r="J175" s="11">
        <f>LOOKUP(I175,{0,14,16,18,20,22,24,26,28,30,32,34,36,38,40,42,44,47,50,52,54},{0,10,20,30,40,50,60,62,64,66,68,70,72,74,76,78,80,85,90,95,100})</f>
        <v>100</v>
      </c>
      <c r="K175" s="12">
        <f>I175-54</f>
        <v>1</v>
      </c>
      <c r="L175" s="11">
        <f>LOOKUP(K175,{0,2,4,6,7,8,9,10,11,12,13},{0,1,2,3,4,5,6,7,8,9,10})</f>
        <v>0</v>
      </c>
      <c r="M175" s="12">
        <f t="shared" si="86"/>
        <v>100</v>
      </c>
      <c r="N175" s="12">
        <v>7.8</v>
      </c>
      <c r="O175" s="12">
        <f t="shared" si="87"/>
        <v>4.2</v>
      </c>
      <c r="P175" s="11">
        <f>LOOKUP(O175,{0,0.5,0.7,0.9,1.1,1.3,1.5,1.7,1.9,2.1,2.3,2.5,2.7,2.9,3.1,3.3,3.5,3.8,4.1,4.2,4.3},{0,10,20,30,40,50,60,62,64,66,68,70,72,74,76,78,80,85,90,95,100})</f>
        <v>95</v>
      </c>
      <c r="Q175" s="12">
        <v>3.34</v>
      </c>
      <c r="R175" s="12">
        <f t="shared" si="88"/>
        <v>6.66</v>
      </c>
      <c r="S175" s="11">
        <f>LOOKUP(R175,{0,4.72,4.82,4.92,5.42,5.52,5.62,5.67,5.72,5.77,5.82,5.87,5.92,5.97,6.42,6.47,6.52,6.59,6.66,6.72,6.78},{0,10,20,30,40,50,60,62,64,66,68,70,72,74,76,78,80,85,90,95,100})</f>
        <v>90</v>
      </c>
      <c r="T175" s="12"/>
      <c r="U175" s="12"/>
      <c r="V175" s="12">
        <f t="shared" si="89"/>
        <v>90</v>
      </c>
      <c r="W175" s="12"/>
      <c r="X175" s="20">
        <f t="shared" si="77"/>
        <v>67</v>
      </c>
      <c r="Y175" s="20">
        <f t="shared" si="90"/>
        <v>95.7142857142857</v>
      </c>
    </row>
    <row r="176" ht="15.6" hidden="1" outlineLevel="2" spans="1:25">
      <c r="A176" s="12">
        <v>204</v>
      </c>
      <c r="B176" s="12">
        <v>40</v>
      </c>
      <c r="C176" s="6" t="s">
        <v>204</v>
      </c>
      <c r="D176" s="6" t="s">
        <v>53</v>
      </c>
      <c r="E176" s="12">
        <v>9.2</v>
      </c>
      <c r="F176" s="11">
        <f>LOOKUP(E176,{0,1,1.8,2.6,3.4,4.2,5,6.3,7.6,8.9,10.2,11.5,12.8,14.1,15.4,16.7,18,19.7,21.4,23.1,24.8},{0,10,20,30,40,50,60,62,64,66,68,70,72,74,76,78,80,85,90,95,100})</f>
        <v>66</v>
      </c>
      <c r="G176" s="12">
        <v>175</v>
      </c>
      <c r="H176" s="11">
        <f>LOOKUP(G176,{0,124,129,134,139,144,149,152,155,158,161,164,167,170,173,176,179,186,193,199,205},{0,10,20,30,40,50,60,62,64,66,68,70,72,74,76,78,80,85,90,95,100})</f>
        <v>76</v>
      </c>
      <c r="I176" s="12">
        <v>43</v>
      </c>
      <c r="J176" s="11">
        <f>LOOKUP(I176,{0,14,16,18,20,22,24,26,28,30,32,34,36,38,40,42,44,47,50,52,54},{0,10,20,30,40,50,60,62,64,66,68,70,72,74,76,78,80,85,90,95,100})</f>
        <v>78</v>
      </c>
      <c r="K176" s="12"/>
      <c r="L176" s="12"/>
      <c r="M176" s="12">
        <f t="shared" si="86"/>
        <v>78</v>
      </c>
      <c r="N176" s="12">
        <v>9.2</v>
      </c>
      <c r="O176" s="12">
        <f t="shared" si="87"/>
        <v>2.8</v>
      </c>
      <c r="P176" s="11">
        <f>LOOKUP(O176,{0,0.5,0.7,0.9,1.1,1.3,1.5,1.7,1.9,2.1,2.3,2.5,2.7,2.9,3.1,3.3,3.5,3.8,4.1,4.2,4.3},{0,10,20,30,40,50,60,62,64,66,68,70,72,74,76,78,80,85,90,95,100})</f>
        <v>72</v>
      </c>
      <c r="Q176" s="12">
        <v>4.17</v>
      </c>
      <c r="R176" s="12">
        <f t="shared" si="88"/>
        <v>5.83</v>
      </c>
      <c r="S176" s="11">
        <f>LOOKUP(R176,{0,4.72,4.82,4.92,5.42,5.52,5.62,5.67,5.72,5.77,5.82,5.87,5.92,5.97,6.42,6.47,6.52,6.59,6.66,6.72,6.78},{0,10,20,30,40,50,60,62,64,66,68,70,72,74,76,78,80,85,90,95,100})</f>
        <v>68</v>
      </c>
      <c r="T176" s="12"/>
      <c r="U176" s="12"/>
      <c r="V176" s="12">
        <f t="shared" si="89"/>
        <v>68</v>
      </c>
      <c r="W176" s="12"/>
      <c r="X176" s="20">
        <f t="shared" si="77"/>
        <v>50</v>
      </c>
      <c r="Y176" s="20">
        <f t="shared" si="90"/>
        <v>71.4285714285714</v>
      </c>
    </row>
    <row r="177" ht="15.6" hidden="1" outlineLevel="2" spans="1:25">
      <c r="A177" s="12">
        <v>204</v>
      </c>
      <c r="B177" s="12">
        <v>41</v>
      </c>
      <c r="C177" s="6" t="s">
        <v>205</v>
      </c>
      <c r="D177" s="6" t="s">
        <v>53</v>
      </c>
      <c r="E177" s="12">
        <v>12.8</v>
      </c>
      <c r="F177" s="11">
        <f>LOOKUP(E177,{0,1,1.8,2.6,3.4,4.2,5,6.3,7.6,8.9,10.2,11.5,12.8,14.1,15.4,16.7,18,19.7,21.4,23.1,24.8},{0,10,20,30,40,50,60,62,64,66,68,70,72,74,76,78,80,85,90,95,100})</f>
        <v>72</v>
      </c>
      <c r="G177" s="12">
        <v>212</v>
      </c>
      <c r="H177" s="11">
        <f>LOOKUP(G177,{0,124,129,134,139,144,149,152,155,158,161,164,167,170,173,176,179,186,193,199,205},{0,10,20,30,40,50,60,62,64,66,68,70,72,74,76,78,80,85,90,95,100})</f>
        <v>100</v>
      </c>
      <c r="I177" s="12">
        <v>52</v>
      </c>
      <c r="J177" s="11">
        <f>LOOKUP(I177,{0,14,16,18,20,22,24,26,28,30,32,34,36,38,40,42,44,47,50,52,54},{0,10,20,30,40,50,60,62,64,66,68,70,72,74,76,78,80,85,90,95,100})</f>
        <v>95</v>
      </c>
      <c r="K177" s="12"/>
      <c r="L177" s="12"/>
      <c r="M177" s="12">
        <f t="shared" si="86"/>
        <v>95</v>
      </c>
      <c r="N177" s="12">
        <v>7.8</v>
      </c>
      <c r="O177" s="12">
        <f t="shared" si="87"/>
        <v>4.2</v>
      </c>
      <c r="P177" s="11">
        <f>LOOKUP(O177,{0,0.5,0.7,0.9,1.1,1.3,1.5,1.7,1.9,2.1,2.3,2.5,2.7,2.9,3.1,3.3,3.5,3.8,4.1,4.2,4.3},{0,10,20,30,40,50,60,62,64,66,68,70,72,74,76,78,80,85,90,95,100})</f>
        <v>95</v>
      </c>
      <c r="Q177" s="12">
        <v>3.3</v>
      </c>
      <c r="R177" s="12">
        <f t="shared" si="88"/>
        <v>6.7</v>
      </c>
      <c r="S177" s="11">
        <f>LOOKUP(R177,{0,4.72,4.82,4.92,5.42,5.52,5.62,5.67,5.72,5.77,5.82,5.87,5.92,5.97,6.42,6.47,6.52,6.59,6.66,6.72,6.78},{0,10,20,30,40,50,60,62,64,66,68,70,72,74,76,78,80,85,90,95,100})</f>
        <v>90</v>
      </c>
      <c r="T177" s="12"/>
      <c r="U177" s="12"/>
      <c r="V177" s="12">
        <f t="shared" si="89"/>
        <v>90</v>
      </c>
      <c r="W177" s="12"/>
      <c r="X177" s="20">
        <f t="shared" si="77"/>
        <v>63.7</v>
      </c>
      <c r="Y177" s="20">
        <f t="shared" si="90"/>
        <v>91</v>
      </c>
    </row>
    <row r="178" customFormat="1" ht="15.6" hidden="1" outlineLevel="2" spans="1:25">
      <c r="A178" s="12">
        <v>204</v>
      </c>
      <c r="B178" s="12">
        <v>42</v>
      </c>
      <c r="C178" s="6" t="s">
        <v>206</v>
      </c>
      <c r="D178" s="6" t="s">
        <v>53</v>
      </c>
      <c r="E178" s="12">
        <v>25</v>
      </c>
      <c r="F178" s="11">
        <f>LOOKUP(E178,{0,1,1.8,2.6,3.4,4.2,5,6.3,7.6,8.9,10.2,11.5,12.8,14.1,15.4,16.7,18,19.7,21.4,23.1,24.8},{0,10,20,30,40,50,60,62,64,66,68,70,72,74,76,78,80,85,90,95,100})</f>
        <v>100</v>
      </c>
      <c r="G178" s="12">
        <v>180</v>
      </c>
      <c r="H178" s="11">
        <f>LOOKUP(G178,{0,124,129,134,139,144,149,152,155,158,161,164,167,170,173,176,179,186,193,199,205},{0,10,20,30,40,50,60,62,64,66,68,70,72,74,76,78,80,85,90,95,100})</f>
        <v>80</v>
      </c>
      <c r="I178" s="12">
        <v>53</v>
      </c>
      <c r="J178" s="11">
        <f>LOOKUP(I178,{0,14,16,18,20,22,24,26,28,30,32,34,36,38,40,42,44,47,50,52,54},{0,10,20,30,40,50,60,62,64,66,68,70,72,74,76,78,80,85,90,95,100})</f>
        <v>95</v>
      </c>
      <c r="K178" s="12"/>
      <c r="L178" s="12"/>
      <c r="M178" s="12">
        <f t="shared" si="86"/>
        <v>95</v>
      </c>
      <c r="N178" s="12">
        <v>8.8</v>
      </c>
      <c r="O178" s="12">
        <f t="shared" si="87"/>
        <v>3.2</v>
      </c>
      <c r="P178" s="11">
        <f>LOOKUP(O178,{0,0.5,0.7,0.9,1.1,1.3,1.5,1.7,1.9,2.1,2.3,2.5,2.7,2.9,3.1,3.3,3.5,3.8,4.1,4.2,4.3},{0,10,20,30,40,50,60,62,64,66,68,70,72,74,76,78,80,85,90,95,100})</f>
        <v>76</v>
      </c>
      <c r="Q178" s="12">
        <v>3.45</v>
      </c>
      <c r="R178" s="12">
        <f t="shared" si="88"/>
        <v>6.55</v>
      </c>
      <c r="S178" s="11">
        <f>LOOKUP(R178,{0,4.72,4.82,4.92,5.42,5.52,5.62,5.67,5.72,5.77,5.82,5.87,5.92,5.97,6.42,6.47,6.52,6.59,6.66,6.72,6.78},{0,10,20,30,40,50,60,62,64,66,68,70,72,74,76,78,80,85,90,95,100})</f>
        <v>80</v>
      </c>
      <c r="T178" s="12"/>
      <c r="U178" s="12"/>
      <c r="V178" s="12">
        <f t="shared" si="89"/>
        <v>80</v>
      </c>
      <c r="W178" s="12"/>
      <c r="X178" s="20">
        <f t="shared" si="77"/>
        <v>58.7</v>
      </c>
      <c r="Y178" s="20">
        <f t="shared" si="90"/>
        <v>83.8571428571429</v>
      </c>
    </row>
    <row r="179" s="1" customFormat="1" ht="15.6" hidden="1" outlineLevel="2" spans="1:25">
      <c r="A179" s="12">
        <v>204</v>
      </c>
      <c r="B179" s="12">
        <v>43</v>
      </c>
      <c r="C179" s="6" t="s">
        <v>207</v>
      </c>
      <c r="D179" s="6" t="s">
        <v>53</v>
      </c>
      <c r="E179" s="12">
        <v>17.5</v>
      </c>
      <c r="F179" s="11">
        <f>LOOKUP(E179,{0,1,1.8,2.6,3.4,4.2,5,6.3,7.6,8.9,10.2,11.5,12.8,14.1,15.4,16.7,18,19.7,21.4,23.1,24.8},{0,10,20,30,40,50,60,62,64,66,68,70,72,74,76,78,80,85,90,95,100})</f>
        <v>78</v>
      </c>
      <c r="G179" s="12">
        <v>192</v>
      </c>
      <c r="H179" s="11">
        <f>LOOKUP(G179,{0,124,129,134,139,144,149,152,155,158,161,164,167,170,173,176,179,186,193,199,205},{0,10,20,30,40,50,60,62,64,66,68,70,72,74,76,78,80,85,90,95,100})</f>
        <v>85</v>
      </c>
      <c r="I179" s="12">
        <v>49</v>
      </c>
      <c r="J179" s="11">
        <f>LOOKUP(I179,{0,14,16,18,20,22,24,26,28,30,32,34,36,38,40,42,44,47,50,52,54},{0,10,20,30,40,50,60,62,64,66,68,70,72,74,76,78,80,85,90,95,100})</f>
        <v>85</v>
      </c>
      <c r="K179" s="12"/>
      <c r="L179" s="15"/>
      <c r="M179" s="12">
        <f t="shared" si="86"/>
        <v>85</v>
      </c>
      <c r="N179" s="12">
        <v>8.8</v>
      </c>
      <c r="O179" s="12">
        <f t="shared" si="87"/>
        <v>3.2</v>
      </c>
      <c r="P179" s="11">
        <f>LOOKUP(O179,{0,0.5,0.7,0.9,1.1,1.3,1.5,1.7,1.9,2.1,2.3,2.5,2.7,2.9,3.1,3.3,3.5,3.8,4.1,4.2,4.3},{0,10,20,30,40,50,60,62,64,66,68,70,72,74,76,78,80,85,90,95,100})</f>
        <v>76</v>
      </c>
      <c r="Q179" s="12">
        <v>3.47</v>
      </c>
      <c r="R179" s="12">
        <f t="shared" si="88"/>
        <v>6.53</v>
      </c>
      <c r="S179" s="11">
        <f>LOOKUP(R179,{0,4.72,4.82,4.92,5.42,5.52,5.62,5.67,5.72,5.77,5.82,5.87,5.92,5.97,6.42,6.47,6.52,6.59,6.66,6.72,6.78},{0,10,20,30,40,50,60,62,64,66,68,70,72,74,76,78,80,85,90,95,100})</f>
        <v>80</v>
      </c>
      <c r="T179" s="12"/>
      <c r="U179" s="12"/>
      <c r="V179" s="12">
        <f t="shared" si="89"/>
        <v>80</v>
      </c>
      <c r="W179" s="12"/>
      <c r="X179" s="20">
        <f t="shared" si="77"/>
        <v>56</v>
      </c>
      <c r="Y179" s="20">
        <f t="shared" si="90"/>
        <v>80</v>
      </c>
    </row>
    <row r="180" ht="15.6" hidden="1" outlineLevel="2" spans="1:25">
      <c r="A180" s="12">
        <v>204</v>
      </c>
      <c r="B180" s="12">
        <v>44</v>
      </c>
      <c r="C180" s="6" t="s">
        <v>208</v>
      </c>
      <c r="D180" s="6" t="s">
        <v>53</v>
      </c>
      <c r="E180" s="12">
        <v>23</v>
      </c>
      <c r="F180" s="11">
        <f>LOOKUP(E180,{0,1,1.8,2.6,3.4,4.2,5,6.3,7.6,8.9,10.2,11.5,12.8,14.1,15.4,16.7,18,19.7,21.4,23.1,24.8},{0,10,20,30,40,50,60,62,64,66,68,70,72,74,76,78,80,85,90,95,100})</f>
        <v>90</v>
      </c>
      <c r="G180" s="12">
        <v>186</v>
      </c>
      <c r="H180" s="11">
        <f>LOOKUP(G180,{0,124,129,134,139,144,149,152,155,158,161,164,167,170,173,176,179,186,193,199,205},{0,10,20,30,40,50,60,62,64,66,68,70,72,74,76,78,80,85,90,95,100})</f>
        <v>85</v>
      </c>
      <c r="I180" s="12">
        <v>51</v>
      </c>
      <c r="J180" s="11">
        <f>LOOKUP(I180,{0,14,16,18,20,22,24,26,28,30,32,34,36,38,40,42,44,47,50,52,54},{0,10,20,30,40,50,60,62,64,66,68,70,72,74,76,78,80,85,90,95,100})</f>
        <v>90</v>
      </c>
      <c r="K180" s="12"/>
      <c r="L180" s="12"/>
      <c r="M180" s="12">
        <f t="shared" si="86"/>
        <v>90</v>
      </c>
      <c r="N180" s="12">
        <v>8.9</v>
      </c>
      <c r="O180" s="12">
        <f t="shared" si="87"/>
        <v>3.1</v>
      </c>
      <c r="P180" s="11">
        <f>LOOKUP(O180,{0,0.5,0.7,0.9,1.1,1.3,1.5,1.7,1.9,2.1,2.3,2.5,2.7,2.9,3.1,3.3,3.5,3.8,4.1,4.2,4.3},{0,10,20,30,40,50,60,62,64,66,68,70,72,74,76,78,80,85,90,95,100})</f>
        <v>76</v>
      </c>
      <c r="Q180" s="12">
        <v>3.42</v>
      </c>
      <c r="R180" s="12">
        <f t="shared" si="88"/>
        <v>6.58</v>
      </c>
      <c r="S180" s="11">
        <f>LOOKUP(R180,{0,4.72,4.82,4.92,5.42,5.52,5.62,5.67,5.72,5.77,5.82,5.87,5.92,5.97,6.42,6.47,6.52,6.59,6.66,6.72,6.78},{0,10,20,30,40,50,60,62,64,66,68,70,72,74,76,78,80,85,90,95,100})</f>
        <v>80</v>
      </c>
      <c r="T180" s="12"/>
      <c r="U180" s="12"/>
      <c r="V180" s="12">
        <f t="shared" si="89"/>
        <v>80</v>
      </c>
      <c r="W180" s="12"/>
      <c r="X180" s="20">
        <f t="shared" si="77"/>
        <v>57.7</v>
      </c>
      <c r="Y180" s="20">
        <f t="shared" si="90"/>
        <v>82.4285714285714</v>
      </c>
    </row>
    <row r="181" ht="15.6" hidden="1" outlineLevel="2" spans="1:25">
      <c r="A181" s="12">
        <v>204</v>
      </c>
      <c r="B181" s="12">
        <v>45</v>
      </c>
      <c r="C181" s="6" t="s">
        <v>209</v>
      </c>
      <c r="D181" s="6" t="s">
        <v>53</v>
      </c>
      <c r="E181" s="12">
        <v>19.1</v>
      </c>
      <c r="F181" s="11">
        <f>LOOKUP(E181,{0,1,1.8,2.6,3.4,4.2,5,6.3,7.6,8.9,10.2,11.5,12.8,14.1,15.4,16.7,18,19.7,21.4,23.1,24.8},{0,10,20,30,40,50,60,62,64,66,68,70,72,74,76,78,80,85,90,95,100})</f>
        <v>80</v>
      </c>
      <c r="G181" s="12">
        <v>210</v>
      </c>
      <c r="H181" s="11">
        <f>LOOKUP(G181,{0,124,129,134,139,144,149,152,155,158,161,164,167,170,173,176,179,186,193,199,205},{0,10,20,30,40,50,60,62,64,66,68,70,72,74,76,78,80,85,90,95,100})</f>
        <v>100</v>
      </c>
      <c r="I181" s="12">
        <v>49</v>
      </c>
      <c r="J181" s="11">
        <f>LOOKUP(I181,{0,14,16,18,20,22,24,26,28,30,32,34,36,38,40,42,44,47,50,52,54},{0,10,20,30,40,50,60,62,64,66,68,70,72,74,76,78,80,85,90,95,100})</f>
        <v>85</v>
      </c>
      <c r="K181" s="12"/>
      <c r="L181" s="12"/>
      <c r="M181" s="12">
        <f t="shared" si="86"/>
        <v>85</v>
      </c>
      <c r="N181" s="12">
        <v>8.4</v>
      </c>
      <c r="O181" s="12">
        <f t="shared" si="87"/>
        <v>3.6</v>
      </c>
      <c r="P181" s="11">
        <f>LOOKUP(O181,{0,0.5,0.7,0.9,1.1,1.3,1.5,1.7,1.9,2.1,2.3,2.5,2.7,2.9,3.1,3.3,3.5,3.8,4.1,4.2,4.3},{0,10,20,30,40,50,60,62,64,66,68,70,72,74,76,78,80,85,90,95,100})</f>
        <v>80</v>
      </c>
      <c r="Q181" s="12">
        <v>3.39</v>
      </c>
      <c r="R181" s="12">
        <f t="shared" si="88"/>
        <v>6.61</v>
      </c>
      <c r="S181" s="11">
        <f>LOOKUP(R181,{0,4.72,4.82,4.92,5.42,5.52,5.62,5.67,5.72,5.77,5.82,5.87,5.92,5.97,6.42,6.47,6.52,6.59,6.66,6.72,6.78},{0,10,20,30,40,50,60,62,64,66,68,70,72,74,76,78,80,85,90,95,100})</f>
        <v>85</v>
      </c>
      <c r="T181" s="12"/>
      <c r="U181" s="12"/>
      <c r="V181" s="12">
        <f t="shared" si="89"/>
        <v>85</v>
      </c>
      <c r="W181" s="12"/>
      <c r="X181" s="20">
        <f t="shared" si="77"/>
        <v>59.5</v>
      </c>
      <c r="Y181" s="20">
        <f t="shared" si="90"/>
        <v>85</v>
      </c>
    </row>
    <row r="182" ht="15.6" hidden="1" outlineLevel="2" spans="1:25">
      <c r="A182" s="12">
        <v>204</v>
      </c>
      <c r="B182" s="12">
        <v>46</v>
      </c>
      <c r="C182" s="6" t="s">
        <v>210</v>
      </c>
      <c r="D182" s="6" t="s">
        <v>53</v>
      </c>
      <c r="E182" s="12">
        <v>28</v>
      </c>
      <c r="F182" s="11">
        <f>LOOKUP(E182,{0,1,1.8,2.6,3.4,4.2,5,6.3,7.6,8.9,10.2,11.5,12.8,14.1,15.4,16.7,18,19.7,21.4,23.1,24.8},{0,10,20,30,40,50,60,62,64,66,68,70,72,74,76,78,80,85,90,95,100})</f>
        <v>100</v>
      </c>
      <c r="G182" s="12">
        <v>166</v>
      </c>
      <c r="H182" s="11">
        <f>LOOKUP(G182,{0,124,129,134,139,144,149,152,155,158,161,164,167,170,173,176,179,186,193,199,205},{0,10,20,30,40,50,60,62,64,66,68,70,72,74,76,78,80,85,90,95,100})</f>
        <v>70</v>
      </c>
      <c r="I182" s="12">
        <v>42</v>
      </c>
      <c r="J182" s="11">
        <f>LOOKUP(I182,{0,14,16,18,20,22,24,26,28,30,32,34,36,38,40,42,44,47,50,52,54},{0,10,20,30,40,50,60,62,64,66,68,70,72,74,76,78,80,85,90,95,100})</f>
        <v>78</v>
      </c>
      <c r="K182" s="12"/>
      <c r="L182" s="15"/>
      <c r="M182" s="12">
        <f t="shared" si="86"/>
        <v>78</v>
      </c>
      <c r="N182" s="12"/>
      <c r="O182" s="12"/>
      <c r="P182" s="11"/>
      <c r="Q182" s="12">
        <v>4.39</v>
      </c>
      <c r="R182" s="12">
        <f t="shared" si="88"/>
        <v>5.61</v>
      </c>
      <c r="S182" s="11">
        <f>LOOKUP(R182,{0,4.72,4.82,4.92,5.42,5.52,5.62,5.67,5.72,5.77,5.82,5.87,5.92,5.97,6.42,6.47,6.52,6.59,6.66,6.72,6.78},{0,10,20,30,40,50,60,62,64,66,68,70,72,74,76,78,80,85,90,95,100})</f>
        <v>50</v>
      </c>
      <c r="T182" s="12"/>
      <c r="U182" s="12"/>
      <c r="V182" s="12">
        <f t="shared" si="89"/>
        <v>50</v>
      </c>
      <c r="W182" s="12"/>
      <c r="X182" s="20">
        <f t="shared" si="77"/>
        <v>34.8</v>
      </c>
      <c r="Y182" s="23">
        <v>50</v>
      </c>
    </row>
    <row r="183" ht="15.6" hidden="1" outlineLevel="2" spans="1:25">
      <c r="A183" s="12">
        <v>204</v>
      </c>
      <c r="B183" s="12">
        <v>47</v>
      </c>
      <c r="C183" s="6" t="s">
        <v>211</v>
      </c>
      <c r="D183" s="6" t="s">
        <v>53</v>
      </c>
      <c r="E183" s="12">
        <v>11.5</v>
      </c>
      <c r="F183" s="11">
        <f>LOOKUP(E183,{0,1,1.8,2.6,3.4,4.2,5,6.3,7.6,8.9,10.2,11.5,12.8,14.1,15.4,16.7,18,19.7,21.4,23.1,24.8},{0,10,20,30,40,50,60,62,64,66,68,70,72,74,76,78,80,85,90,95,100})</f>
        <v>70</v>
      </c>
      <c r="G183" s="12">
        <v>157</v>
      </c>
      <c r="H183" s="11">
        <f>LOOKUP(G183,{0,124,129,134,139,144,149,152,155,158,161,164,167,170,173,176,179,186,193,199,205},{0,10,20,30,40,50,60,62,64,66,68,70,72,74,76,78,80,85,90,95,100})</f>
        <v>64</v>
      </c>
      <c r="I183" s="12">
        <v>44</v>
      </c>
      <c r="J183" s="11">
        <f>LOOKUP(I183,{0,14,16,18,20,22,24,26,28,30,32,34,36,38,40,42,44,47,50,52,54},{0,10,20,30,40,50,60,62,64,66,68,70,72,74,76,78,80,85,90,95,100})</f>
        <v>80</v>
      </c>
      <c r="K183" s="12"/>
      <c r="L183" s="15"/>
      <c r="M183" s="12">
        <f t="shared" si="86"/>
        <v>80</v>
      </c>
      <c r="N183" s="12"/>
      <c r="O183" s="12"/>
      <c r="P183" s="11"/>
      <c r="Q183" s="12">
        <v>4.4</v>
      </c>
      <c r="R183" s="12">
        <f t="shared" si="88"/>
        <v>5.6</v>
      </c>
      <c r="S183" s="11">
        <f>LOOKUP(R183,{0,4.72,4.82,4.92,5.42,5.52,5.62,5.67,5.72,5.77,5.82,5.87,5.92,5.97,6.42,6.47,6.52,6.59,6.66,6.72,6.78},{0,10,20,30,40,50,60,62,64,66,68,70,72,74,76,78,80,85,90,95,100})</f>
        <v>50</v>
      </c>
      <c r="T183" s="12"/>
      <c r="U183" s="12"/>
      <c r="V183" s="12">
        <f t="shared" si="89"/>
        <v>50</v>
      </c>
      <c r="W183" s="12"/>
      <c r="X183" s="20">
        <f t="shared" si="77"/>
        <v>31.4</v>
      </c>
      <c r="Y183" s="23">
        <v>50</v>
      </c>
    </row>
    <row r="184" ht="15.6" outlineLevel="1" collapsed="1" spans="1:25">
      <c r="A184" s="14" t="s">
        <v>858</v>
      </c>
      <c r="B184" s="12"/>
      <c r="C184" s="6"/>
      <c r="D184" s="6"/>
      <c r="E184" s="12"/>
      <c r="F184" s="11">
        <f>SUBTOTAL(1,F137:F183)</f>
        <v>83.6590909090909</v>
      </c>
      <c r="G184" s="12"/>
      <c r="H184" s="11">
        <f>SUBTOTAL(1,H137:H183)</f>
        <v>84.0232558139535</v>
      </c>
      <c r="I184" s="12"/>
      <c r="J184" s="11">
        <f>SUBTOTAL(1,J137:J183)</f>
        <v>77</v>
      </c>
      <c r="K184" s="12"/>
      <c r="L184" s="15"/>
      <c r="M184" s="12">
        <f>SUBTOTAL(1,M137:M183)</f>
        <v>77.1136363636364</v>
      </c>
      <c r="N184" s="12"/>
      <c r="O184" s="12"/>
      <c r="P184" s="11">
        <f>SUBTOTAL(1,P137:P183)</f>
        <v>82.390243902439</v>
      </c>
      <c r="Q184" s="12"/>
      <c r="R184" s="12"/>
      <c r="S184" s="11">
        <f>SUBTOTAL(1,S137:S183)</f>
        <v>82.7380952380952</v>
      </c>
      <c r="T184" s="12"/>
      <c r="U184" s="12"/>
      <c r="V184" s="12">
        <f>SUBTOTAL(1,V137:V183)</f>
        <v>82.8333333333333</v>
      </c>
      <c r="W184" s="12"/>
      <c r="X184" s="20">
        <f>SUBTOTAL(1,X137:X183)</f>
        <v>51.8893617021277</v>
      </c>
      <c r="Y184" s="23">
        <f>SUBTOTAL(1,Y137:Y183)</f>
        <v>78.1428571428572</v>
      </c>
    </row>
    <row r="185" ht="15.6" hidden="1" outlineLevel="2" spans="1:25">
      <c r="A185" s="12">
        <v>205</v>
      </c>
      <c r="B185" s="12">
        <v>1</v>
      </c>
      <c r="C185" s="13" t="s">
        <v>213</v>
      </c>
      <c r="D185" s="6" t="s">
        <v>11</v>
      </c>
      <c r="E185" s="12"/>
      <c r="F185" s="11"/>
      <c r="G185" s="12"/>
      <c r="H185" s="11"/>
      <c r="I185" s="12"/>
      <c r="J185" s="11"/>
      <c r="K185" s="12"/>
      <c r="L185" s="12"/>
      <c r="M185" s="12"/>
      <c r="N185" s="12">
        <v>7.1</v>
      </c>
      <c r="O185" s="12">
        <f t="shared" ref="O185:O189" si="91">12-N185</f>
        <v>4.9</v>
      </c>
      <c r="P185" s="11">
        <f>LOOKUP(O185,{0,1.6,1.8,2,2.2,2.4,2.6,2.8,3,3.2,3.4,3.6,3.8,4,4.2,4.4,4.6,4.7,4.8,4.9,5},{0,10,20,30,40,50,60,62,64,66,68,70,72,74,76,78,80,85,90,95,100})</f>
        <v>95</v>
      </c>
      <c r="Q185" s="12"/>
      <c r="R185" s="12"/>
      <c r="S185" s="11"/>
      <c r="T185" s="12"/>
      <c r="U185" s="11"/>
      <c r="V185" s="12"/>
      <c r="W185" s="12" t="s">
        <v>16</v>
      </c>
      <c r="X185" s="20">
        <f t="shared" ref="X185:X197" si="92">F185*0.1+H185*0.1+J185*0.1+P185*0.2+S185*0.2</f>
        <v>19</v>
      </c>
      <c r="Y185" s="20">
        <v>50</v>
      </c>
    </row>
    <row r="186" ht="15.6" hidden="1" outlineLevel="2" spans="1:25">
      <c r="A186" s="12">
        <v>205</v>
      </c>
      <c r="B186" s="12">
        <v>2</v>
      </c>
      <c r="C186" s="6" t="s">
        <v>214</v>
      </c>
      <c r="D186" s="6" t="s">
        <v>11</v>
      </c>
      <c r="E186" s="12">
        <v>7</v>
      </c>
      <c r="F186" s="11">
        <f>LOOKUP(E186,{0,-2.9,-1.9,-0.9,0.1,1.1,2.1,3.5,4.9,6.3,7.7,9.1,10.5,11.9,13.3,14.7,16.1,18.3,20.5,22.4,24.3},{0,10,20,30,40,50,60,62,64,66,68,70,72,74,76,78,80,85,90,95,100})</f>
        <v>66</v>
      </c>
      <c r="G186" s="12">
        <v>203</v>
      </c>
      <c r="H186" s="11">
        <f>LOOKUP(G186,{0,175,180,185,190,195,200,204,208,212,216,220,224,228,232,236,240,248,255,260,265},{0,10,20,30,40,50,60,62,64,66,68,70,72,74,76,78,80,85,90,95,100})</f>
        <v>60</v>
      </c>
      <c r="I186" s="12">
        <v>0</v>
      </c>
      <c r="J186" s="11">
        <f>LOOKUP(I186,{0,3,4,5,6,7,8,9,10,11,12,13,14,15,16,17},{0,10,20,30,40,50,60,64,68,72,76,80,85,90,95,100})</f>
        <v>0</v>
      </c>
      <c r="K186" s="12"/>
      <c r="L186" s="12"/>
      <c r="M186" s="12">
        <f t="shared" ref="M186:M189" si="93">J186+L186</f>
        <v>0</v>
      </c>
      <c r="N186" s="12">
        <v>8</v>
      </c>
      <c r="O186" s="12">
        <f t="shared" si="91"/>
        <v>4</v>
      </c>
      <c r="P186" s="11">
        <f>LOOKUP(O186,{0,1.6,1.8,2,2.2,2.4,2.6,2.8,3,3.2,3.4,3.6,3.8,4,4.2,4.4,4.6,4.7,4.8,4.9,5},{0,10,20,30,40,50,60,62,64,66,68,70,72,74,76,78,80,85,90,95,100})</f>
        <v>74</v>
      </c>
      <c r="Q186" s="12">
        <v>5.17</v>
      </c>
      <c r="R186" s="12">
        <f t="shared" ref="R186:R189" si="94">10-Q186</f>
        <v>4.83</v>
      </c>
      <c r="S186" s="11">
        <f>LOOKUP(R186,{0,3.8,4,4.6,4.8,5,5.6,5.65,5.7,5.75,5.8,5.85,5.9,5.95,6,6.45,6.5,6.58,6.65,6.7,6.75},{0,10,20,30,40,50,60,62,64,66,68,70,72,74,76,78,80,85,90,95,100})</f>
        <v>40</v>
      </c>
      <c r="T186" s="12"/>
      <c r="U186" s="12"/>
      <c r="V186" s="12">
        <f t="shared" ref="V186:V189" si="95">S186+U186</f>
        <v>40</v>
      </c>
      <c r="W186" s="12"/>
      <c r="X186" s="20">
        <f t="shared" si="92"/>
        <v>35.4</v>
      </c>
      <c r="Y186" s="20">
        <f t="shared" ref="Y186:Y189" si="96">X186/0.7+L186+U186</f>
        <v>50.5714285714286</v>
      </c>
    </row>
    <row r="187" ht="15.6" hidden="1" outlineLevel="2" spans="1:25">
      <c r="A187" s="12">
        <v>205</v>
      </c>
      <c r="B187" s="12">
        <v>3</v>
      </c>
      <c r="C187" s="6" t="s">
        <v>215</v>
      </c>
      <c r="D187" s="6" t="s">
        <v>11</v>
      </c>
      <c r="E187" s="12">
        <v>9.6</v>
      </c>
      <c r="F187" s="11">
        <f>LOOKUP(E187,{0,-2.9,-1.9,-0.9,0.1,1.1,2.1,3.5,4.9,6.3,7.7,9.1,10.5,11.9,13.3,14.7,16.1,18.3,20.5,22.4,24.3},{0,10,20,30,40,50,60,62,64,66,68,70,72,74,76,78,80,85,90,95,100})</f>
        <v>70</v>
      </c>
      <c r="G187" s="12">
        <v>236</v>
      </c>
      <c r="H187" s="11">
        <f>LOOKUP(G187,{0,175,180,185,190,195,200,204,208,212,216,220,224,228,232,236,240,248,255,260,265},{0,10,20,30,40,50,60,62,64,66,68,70,72,74,76,78,80,85,90,95,100})</f>
        <v>78</v>
      </c>
      <c r="I187" s="12">
        <v>27</v>
      </c>
      <c r="J187" s="11">
        <f>LOOKUP(I187,{0,3,4,5,6,7,8,9,10,11,12,13,14,15,16,17},{0,10,20,30,40,50,60,64,68,72,76,80,85,90,95,100})</f>
        <v>100</v>
      </c>
      <c r="K187" s="12">
        <f>I187-17</f>
        <v>10</v>
      </c>
      <c r="L187" s="11">
        <f>LOOKUP(K187,{0,1,2,3,4,5,6,7,8,9,10},{0,1,2,3,4,5,6,7,8,9,10})</f>
        <v>10</v>
      </c>
      <c r="M187" s="12">
        <f t="shared" si="93"/>
        <v>110</v>
      </c>
      <c r="N187" s="12">
        <v>7.3</v>
      </c>
      <c r="O187" s="12">
        <f t="shared" si="91"/>
        <v>4.7</v>
      </c>
      <c r="P187" s="11">
        <f>LOOKUP(O187,{0,1.6,1.8,2,2.2,2.4,2.6,2.8,3,3.2,3.4,3.6,3.8,4,4.2,4.4,4.6,4.7,4.8,4.9,5},{0,10,20,30,40,50,60,62,64,66,68,70,72,74,76,78,80,85,90,95,100})</f>
        <v>85</v>
      </c>
      <c r="Q187" s="12">
        <v>3.59</v>
      </c>
      <c r="R187" s="12">
        <f t="shared" si="94"/>
        <v>6.41</v>
      </c>
      <c r="S187" s="11">
        <f>LOOKUP(R187,{0,3.8,4,4.6,4.8,5,5.6,5.65,5.7,5.75,5.8,5.85,5.9,5.95,6,6.45,6.5,6.58,6.65,6.7,6.75},{0,10,20,30,40,50,60,62,64,66,68,70,72,74,76,78,80,85,90,95,100})</f>
        <v>76</v>
      </c>
      <c r="T187" s="12"/>
      <c r="U187" s="12"/>
      <c r="V187" s="12">
        <f t="shared" si="95"/>
        <v>76</v>
      </c>
      <c r="W187" s="12"/>
      <c r="X187" s="20">
        <f t="shared" si="92"/>
        <v>57</v>
      </c>
      <c r="Y187" s="20">
        <f t="shared" si="96"/>
        <v>91.4285714285714</v>
      </c>
    </row>
    <row r="188" ht="15.6" hidden="1" outlineLevel="2" spans="1:25">
      <c r="A188" s="12">
        <v>205</v>
      </c>
      <c r="B188" s="12">
        <v>4</v>
      </c>
      <c r="C188" s="6" t="s">
        <v>216</v>
      </c>
      <c r="D188" s="6" t="s">
        <v>11</v>
      </c>
      <c r="E188" s="12">
        <v>7.5</v>
      </c>
      <c r="F188" s="11">
        <f>LOOKUP(E188,{0,-2.9,-1.9,-0.9,0.1,1.1,2.1,3.5,4.9,6.3,7.7,9.1,10.5,11.9,13.3,14.7,16.1,18.3,20.5,22.4,24.3},{0,10,20,30,40,50,60,62,64,66,68,70,72,74,76,78,80,85,90,95,100})</f>
        <v>66</v>
      </c>
      <c r="G188" s="12">
        <v>220</v>
      </c>
      <c r="H188" s="11">
        <f>LOOKUP(G188,{0,175,180,185,190,195,200,204,208,212,216,220,224,228,232,236,240,248,255,260,265},{0,10,20,30,40,50,60,62,64,66,68,70,72,74,76,78,80,85,90,95,100})</f>
        <v>70</v>
      </c>
      <c r="I188" s="12">
        <v>20</v>
      </c>
      <c r="J188" s="11">
        <f>LOOKUP(I188,{0,3,4,5,6,7,8,9,10,11,12,13,14,15,16,17},{0,10,20,30,40,50,60,64,68,72,76,80,85,90,95,100})</f>
        <v>100</v>
      </c>
      <c r="K188" s="12">
        <f>I188-17</f>
        <v>3</v>
      </c>
      <c r="L188" s="11">
        <f>LOOKUP(K188,{0,1,2,3,4,5,6,7,8,9,10},{0,1,2,3,4,5,6,7,8,9,10})</f>
        <v>3</v>
      </c>
      <c r="M188" s="12">
        <f t="shared" si="93"/>
        <v>103</v>
      </c>
      <c r="N188" s="12">
        <v>7.2</v>
      </c>
      <c r="O188" s="12">
        <f t="shared" si="91"/>
        <v>4.8</v>
      </c>
      <c r="P188" s="11">
        <f>LOOKUP(O188,{0,1.6,1.8,2,2.2,2.4,2.6,2.8,3,3.2,3.4,3.6,3.8,4,4.2,4.4,4.6,4.7,4.8,4.9,5},{0,10,20,30,40,50,60,62,64,66,68,70,72,74,76,78,80,85,90,95,100})</f>
        <v>90</v>
      </c>
      <c r="Q188" s="12">
        <v>3.5</v>
      </c>
      <c r="R188" s="12">
        <f t="shared" si="94"/>
        <v>6.5</v>
      </c>
      <c r="S188" s="11">
        <f>LOOKUP(R188,{0,3.8,4,4.6,4.8,5,5.6,5.65,5.7,5.75,5.8,5.85,5.9,5.95,6,6.45,6.5,6.58,6.65,6.7,6.75},{0,10,20,30,40,50,60,62,64,66,68,70,72,74,76,78,80,85,90,95,100})</f>
        <v>80</v>
      </c>
      <c r="T188" s="12"/>
      <c r="U188" s="12"/>
      <c r="V188" s="12">
        <f t="shared" si="95"/>
        <v>80</v>
      </c>
      <c r="W188" s="12"/>
      <c r="X188" s="20">
        <f t="shared" si="92"/>
        <v>57.6</v>
      </c>
      <c r="Y188" s="20">
        <f t="shared" si="96"/>
        <v>85.2857142857143</v>
      </c>
    </row>
    <row r="189" ht="15.6" hidden="1" outlineLevel="2" spans="1:25">
      <c r="A189" s="12">
        <v>205</v>
      </c>
      <c r="B189" s="12">
        <v>5</v>
      </c>
      <c r="C189" s="6" t="s">
        <v>217</v>
      </c>
      <c r="D189" s="6" t="s">
        <v>11</v>
      </c>
      <c r="E189" s="12">
        <v>10.6</v>
      </c>
      <c r="F189" s="11">
        <f>LOOKUP(E189,{0,-2.9,-1.9,-0.9,0.1,1.1,2.1,3.5,4.9,6.3,7.7,9.1,10.5,11.9,13.3,14.7,16.1,18.3,20.5,22.4,24.3},{0,10,20,30,40,50,60,62,64,66,68,70,72,74,76,78,80,85,90,95,100})</f>
        <v>72</v>
      </c>
      <c r="G189" s="12">
        <v>190</v>
      </c>
      <c r="H189" s="11">
        <f>LOOKUP(G189,{0,175,180,185,190,195,200,204,208,212,216,220,224,228,232,236,240,248,255,260,265},{0,10,20,30,40,50,60,62,64,66,68,70,72,74,76,78,80,85,90,95,100})</f>
        <v>40</v>
      </c>
      <c r="I189" s="12">
        <v>3</v>
      </c>
      <c r="J189" s="11">
        <f>LOOKUP(I189,{0,3,4,5,6,7,8,9,10,11,12,13,14,15,16,17},{0,10,20,30,40,50,60,64,68,72,76,80,85,90,95,100})</f>
        <v>10</v>
      </c>
      <c r="K189" s="12"/>
      <c r="L189" s="12"/>
      <c r="M189" s="12">
        <f t="shared" si="93"/>
        <v>10</v>
      </c>
      <c r="N189" s="12">
        <v>8.1</v>
      </c>
      <c r="O189" s="12">
        <f t="shared" si="91"/>
        <v>3.9</v>
      </c>
      <c r="P189" s="11">
        <f>LOOKUP(O189,{0,1.6,1.8,2,2.2,2.4,2.6,2.8,3,3.2,3.4,3.6,3.8,4,4.2,4.4,4.6,4.7,4.8,4.9,5},{0,10,20,30,40,50,60,62,64,66,68,70,72,74,76,78,80,85,90,95,100})</f>
        <v>72</v>
      </c>
      <c r="Q189" s="12">
        <v>5.02</v>
      </c>
      <c r="R189" s="12">
        <f t="shared" si="94"/>
        <v>4.98</v>
      </c>
      <c r="S189" s="11">
        <f>LOOKUP(R189,{0,3.8,4,4.6,4.8,5,5.6,5.65,5.7,5.75,5.8,5.85,5.9,5.95,6,6.45,6.5,6.58,6.65,6.7,6.75},{0,10,20,30,40,50,60,62,64,66,68,70,72,74,76,78,80,85,90,95,100})</f>
        <v>40</v>
      </c>
      <c r="T189" s="12"/>
      <c r="U189" s="12"/>
      <c r="V189" s="12">
        <f t="shared" si="95"/>
        <v>40</v>
      </c>
      <c r="W189" s="12"/>
      <c r="X189" s="20">
        <f t="shared" si="92"/>
        <v>34.6</v>
      </c>
      <c r="Y189" s="20">
        <f t="shared" si="96"/>
        <v>49.4285714285714</v>
      </c>
    </row>
    <row r="190" ht="15.6" hidden="1" outlineLevel="2" spans="1:25">
      <c r="A190" s="12">
        <v>205</v>
      </c>
      <c r="B190" s="12">
        <v>6</v>
      </c>
      <c r="C190" s="6" t="s">
        <v>218</v>
      </c>
      <c r="D190" s="6" t="s">
        <v>11</v>
      </c>
      <c r="E190" s="12"/>
      <c r="F190" s="11"/>
      <c r="G190" s="12"/>
      <c r="H190" s="11"/>
      <c r="I190" s="12"/>
      <c r="J190" s="11"/>
      <c r="K190" s="12"/>
      <c r="L190" s="12"/>
      <c r="M190" s="12"/>
      <c r="N190" s="12"/>
      <c r="O190" s="12"/>
      <c r="P190" s="11"/>
      <c r="Q190" s="12"/>
      <c r="R190" s="12"/>
      <c r="S190" s="11"/>
      <c r="T190" s="12"/>
      <c r="U190" s="11"/>
      <c r="V190" s="12"/>
      <c r="W190" s="12"/>
      <c r="X190" s="20">
        <f t="shared" si="92"/>
        <v>0</v>
      </c>
      <c r="Y190" s="23">
        <v>50</v>
      </c>
    </row>
    <row r="191" ht="15.6" hidden="1" outlineLevel="2" spans="1:25">
      <c r="A191" s="12">
        <v>205</v>
      </c>
      <c r="B191" s="12">
        <v>7</v>
      </c>
      <c r="C191" s="6" t="s">
        <v>219</v>
      </c>
      <c r="D191" s="6" t="s">
        <v>11</v>
      </c>
      <c r="E191" s="12">
        <v>2.3</v>
      </c>
      <c r="F191" s="11">
        <f>LOOKUP(E191,{0,-2.9,-1.9,-0.9,0.1,1.1,2.1,3.5,4.9,6.3,7.7,9.1,10.5,11.9,13.3,14.7,16.1,18.3,20.5,22.4,24.3},{0,10,20,30,40,50,60,62,64,66,68,70,72,74,76,78,80,85,90,95,100})</f>
        <v>60</v>
      </c>
      <c r="G191" s="12">
        <v>220</v>
      </c>
      <c r="H191" s="11">
        <f>LOOKUP(G191,{0,175,180,185,190,195,200,204,208,212,216,220,224,228,232,236,240,248,255,260,265},{0,10,20,30,40,50,60,62,64,66,68,70,72,74,76,78,80,85,90,95,100})</f>
        <v>70</v>
      </c>
      <c r="I191" s="12">
        <v>0</v>
      </c>
      <c r="J191" s="11">
        <f>LOOKUP(I191,{0,3,4,5,6,7,8,9,10,11,12,13,14,15,16,17},{0,10,20,30,40,50,60,64,68,72,76,80,85,90,95,100})</f>
        <v>0</v>
      </c>
      <c r="K191" s="12"/>
      <c r="L191" s="15"/>
      <c r="M191" s="12">
        <f t="shared" ref="M191:M207" si="97">J191+L191</f>
        <v>0</v>
      </c>
      <c r="N191" s="12">
        <v>7.7</v>
      </c>
      <c r="O191" s="12">
        <f t="shared" ref="O191:O194" si="98">12-N191</f>
        <v>4.3</v>
      </c>
      <c r="P191" s="11">
        <f>LOOKUP(O191,{0,1.6,1.8,2,2.2,2.4,2.6,2.8,3,3.2,3.4,3.6,3.8,4,4.2,4.4,4.6,4.7,4.8,4.9,5},{0,10,20,30,40,50,60,62,64,66,68,70,72,74,76,78,80,85,90,95,100})</f>
        <v>76</v>
      </c>
      <c r="Q191" s="12">
        <v>4.38</v>
      </c>
      <c r="R191" s="12">
        <f t="shared" ref="R191:R207" si="99">10-Q191</f>
        <v>5.62</v>
      </c>
      <c r="S191" s="11">
        <f>LOOKUP(R191,{0,3.8,4,4.6,4.8,5,5.6,5.65,5.7,5.75,5.8,5.85,5.9,5.95,6,6.45,6.5,6.58,6.65,6.7,6.75},{0,10,20,30,40,50,60,62,64,66,68,70,72,74,76,78,80,85,90,95,100})</f>
        <v>60</v>
      </c>
      <c r="T191" s="12"/>
      <c r="U191" s="12"/>
      <c r="V191" s="12">
        <f t="shared" ref="V191:V207" si="100">S191+U191</f>
        <v>60</v>
      </c>
      <c r="W191" s="12"/>
      <c r="X191" s="20">
        <f t="shared" si="92"/>
        <v>40.2</v>
      </c>
      <c r="Y191" s="20">
        <f t="shared" ref="Y191:Y194" si="101">X191/0.7+L191+U191</f>
        <v>57.4285714285714</v>
      </c>
    </row>
    <row r="192" customFormat="1" ht="15.6" hidden="1" outlineLevel="2" spans="1:25">
      <c r="A192" s="12">
        <v>205</v>
      </c>
      <c r="B192" s="12">
        <v>8</v>
      </c>
      <c r="C192" s="6" t="s">
        <v>220</v>
      </c>
      <c r="D192" s="6" t="s">
        <v>11</v>
      </c>
      <c r="E192" s="12">
        <v>14</v>
      </c>
      <c r="F192" s="11">
        <f>LOOKUP(E192,{0,-2.9,-1.9,-0.9,0.1,1.1,2.1,3.5,4.9,6.3,7.7,9.1,10.5,11.9,13.3,14.7,16.1,18.3,20.5,22.4,24.3},{0,10,20,30,40,50,60,62,64,66,68,70,72,74,76,78,80,85,90,95,100})</f>
        <v>76</v>
      </c>
      <c r="G192" s="12">
        <v>219</v>
      </c>
      <c r="H192" s="11">
        <f>LOOKUP(G192,{0,175,180,185,190,195,200,204,208,212,216,220,224,228,232,236,240,248,255,260,265},{0,10,20,30,40,50,60,62,64,66,68,70,72,74,76,78,80,85,90,95,100})</f>
        <v>68</v>
      </c>
      <c r="I192" s="12">
        <v>3</v>
      </c>
      <c r="J192" s="11">
        <f>LOOKUP(I192,{0,3,4,5,6,7,8,9,10,11,12,13,14,15,16,17},{0,10,20,30,40,50,60,64,68,72,76,80,85,90,95,100})</f>
        <v>10</v>
      </c>
      <c r="K192" s="12"/>
      <c r="L192" s="15"/>
      <c r="M192" s="12">
        <f t="shared" si="97"/>
        <v>10</v>
      </c>
      <c r="N192" s="12">
        <v>7.4</v>
      </c>
      <c r="O192" s="12">
        <f t="shared" si="98"/>
        <v>4.6</v>
      </c>
      <c r="P192" s="11">
        <f>LOOKUP(O192,{0,1.6,1.8,2,2.2,2.4,2.6,2.8,3,3.2,3.4,3.6,3.8,4,4.2,4.4,4.6,4.7,4.8,4.9,5},{0,10,20,30,40,50,60,62,64,66,68,70,72,74,76,78,80,85,90,95,100})</f>
        <v>80</v>
      </c>
      <c r="Q192" s="12">
        <v>4.04</v>
      </c>
      <c r="R192" s="12">
        <f t="shared" si="99"/>
        <v>5.96</v>
      </c>
      <c r="S192" s="11">
        <f>LOOKUP(R192,{0,3.8,4,4.6,4.8,5,5.6,5.65,5.7,5.75,5.8,5.85,5.9,5.95,6,6.45,6.5,6.58,6.65,6.7,6.75},{0,10,20,30,40,50,60,62,64,66,68,70,72,74,76,78,80,85,90,95,100})</f>
        <v>74</v>
      </c>
      <c r="T192" s="12"/>
      <c r="U192" s="12"/>
      <c r="V192" s="12">
        <f t="shared" si="100"/>
        <v>74</v>
      </c>
      <c r="W192" s="12"/>
      <c r="X192" s="20">
        <f t="shared" si="92"/>
        <v>46.2</v>
      </c>
      <c r="Y192" s="20">
        <f t="shared" si="101"/>
        <v>66</v>
      </c>
    </row>
    <row r="193" s="1" customFormat="1" ht="15.6" hidden="1" outlineLevel="2" spans="1:25">
      <c r="A193" s="12">
        <v>205</v>
      </c>
      <c r="B193" s="12">
        <v>9</v>
      </c>
      <c r="C193" s="6" t="s">
        <v>221</v>
      </c>
      <c r="D193" s="6" t="s">
        <v>11</v>
      </c>
      <c r="E193" s="12"/>
      <c r="F193" s="11"/>
      <c r="G193" s="12"/>
      <c r="H193" s="11"/>
      <c r="I193" s="12"/>
      <c r="J193" s="11"/>
      <c r="K193" s="12"/>
      <c r="L193" s="15"/>
      <c r="M193" s="12"/>
      <c r="N193" s="12"/>
      <c r="O193" s="12"/>
      <c r="P193" s="11"/>
      <c r="Q193" s="12"/>
      <c r="R193" s="12"/>
      <c r="S193" s="11"/>
      <c r="T193" s="12"/>
      <c r="U193" s="11"/>
      <c r="V193" s="12"/>
      <c r="W193" s="12"/>
      <c r="X193" s="20">
        <f t="shared" si="92"/>
        <v>0</v>
      </c>
      <c r="Y193" s="23">
        <v>50</v>
      </c>
    </row>
    <row r="194" ht="15.6" hidden="1" outlineLevel="2" spans="1:25">
      <c r="A194" s="12">
        <v>205</v>
      </c>
      <c r="B194" s="12">
        <v>10</v>
      </c>
      <c r="C194" s="6" t="s">
        <v>222</v>
      </c>
      <c r="D194" s="6" t="s">
        <v>11</v>
      </c>
      <c r="E194" s="12">
        <v>14</v>
      </c>
      <c r="F194" s="11">
        <f>LOOKUP(E194,{0,-2.9,-1.9,-0.9,0.1,1.1,2.1,3.5,4.9,6.3,7.7,9.1,10.5,11.9,13.3,14.7,16.1,18.3,20.5,22.4,24.3},{0,10,20,30,40,50,60,62,64,66,68,70,72,74,76,78,80,85,90,95,100})</f>
        <v>76</v>
      </c>
      <c r="G194" s="12">
        <v>235</v>
      </c>
      <c r="H194" s="11">
        <f>LOOKUP(G194,{0,175,180,185,190,195,200,204,208,212,216,220,224,228,232,236,240,248,255,260,265},{0,10,20,30,40,50,60,62,64,66,68,70,72,74,76,78,80,85,90,95,100})</f>
        <v>76</v>
      </c>
      <c r="I194" s="12">
        <v>17</v>
      </c>
      <c r="J194" s="11">
        <f>LOOKUP(I194,{0,3,4,5,6,7,8,9,10,11,12,13,14,15,16,17},{0,10,20,30,40,50,60,64,68,72,76,80,85,90,95,100})</f>
        <v>100</v>
      </c>
      <c r="K194" s="12">
        <f>I194-17</f>
        <v>0</v>
      </c>
      <c r="L194" s="16">
        <f>LOOKUP(K194,{0,1,2,3,4,5,6,7,8,9,10},{0,1,2,3,4,5,6,7,8,9,10})</f>
        <v>0</v>
      </c>
      <c r="M194" s="12">
        <f t="shared" si="97"/>
        <v>100</v>
      </c>
      <c r="N194" s="12">
        <v>7.3</v>
      </c>
      <c r="O194" s="12">
        <f t="shared" si="98"/>
        <v>4.7</v>
      </c>
      <c r="P194" s="11">
        <f>LOOKUP(O194,{0,1.6,1.8,2,2.2,2.4,2.6,2.8,3,3.2,3.4,3.6,3.8,4,4.2,4.4,4.6,4.7,4.8,4.9,5},{0,10,20,30,40,50,60,62,64,66,68,70,72,74,76,78,80,85,90,95,100})</f>
        <v>85</v>
      </c>
      <c r="Q194" s="12">
        <v>4.08</v>
      </c>
      <c r="R194" s="12">
        <f t="shared" si="99"/>
        <v>5.92</v>
      </c>
      <c r="S194" s="11">
        <f>LOOKUP(R194,{0,3.8,4,4.6,4.8,5,5.6,5.65,5.7,5.75,5.8,5.85,5.9,5.95,6,6.45,6.5,6.58,6.65,6.7,6.75},{0,10,20,30,40,50,60,62,64,66,68,70,72,74,76,78,80,85,90,95,100})</f>
        <v>72</v>
      </c>
      <c r="T194" s="12"/>
      <c r="U194" s="12"/>
      <c r="V194" s="12">
        <f t="shared" si="100"/>
        <v>72</v>
      </c>
      <c r="W194" s="12"/>
      <c r="X194" s="20">
        <f t="shared" si="92"/>
        <v>56.6</v>
      </c>
      <c r="Y194" s="20">
        <f t="shared" si="101"/>
        <v>80.8571428571429</v>
      </c>
    </row>
    <row r="195" ht="15.6" hidden="1" outlineLevel="2" spans="1:25">
      <c r="A195" s="12">
        <v>205</v>
      </c>
      <c r="B195" s="12">
        <v>11</v>
      </c>
      <c r="C195" s="13" t="s">
        <v>224</v>
      </c>
      <c r="D195" s="6" t="s">
        <v>11</v>
      </c>
      <c r="E195" s="12">
        <v>1</v>
      </c>
      <c r="F195" s="11">
        <f>LOOKUP(E195,{0,-2.9,-1.9,-0.9,0.1,1.1,2.1,3.5,4.9,6.3,7.7,9.1,10.5,11.9,13.3,14.7,16.1,18.3,20.5,22.4,24.3},{0,10,20,30,40,50,60,62,64,66,68,70,72,74,76,78,80,85,90,95,100})</f>
        <v>40</v>
      </c>
      <c r="G195" s="12">
        <v>243</v>
      </c>
      <c r="H195" s="11">
        <f>LOOKUP(G195,{0,175,180,185,190,195,200,204,208,212,216,220,224,228,232,236,240,248,255,260,265},{0,10,20,30,40,50,60,62,64,66,68,70,72,74,76,78,80,85,90,95,100})</f>
        <v>80</v>
      </c>
      <c r="I195" s="12">
        <v>6</v>
      </c>
      <c r="J195" s="11">
        <f>LOOKUP(I195,{0,3,4,5,6,7,8,9,10,11,12,13,14,15,16,17},{0,10,20,30,40,50,60,64,68,72,76,80,85,90,95,100})</f>
        <v>40</v>
      </c>
      <c r="K195" s="12"/>
      <c r="L195" s="12"/>
      <c r="M195" s="12">
        <f t="shared" si="97"/>
        <v>40</v>
      </c>
      <c r="N195" s="12"/>
      <c r="O195" s="12"/>
      <c r="P195" s="11"/>
      <c r="Q195" s="12">
        <v>3.51</v>
      </c>
      <c r="R195" s="12">
        <f t="shared" si="99"/>
        <v>6.49</v>
      </c>
      <c r="S195" s="11">
        <f>LOOKUP(R195,{0,3.8,4,4.6,4.8,5,5.6,5.65,5.7,5.75,5.8,5.85,5.9,5.95,6,6.45,6.5,6.58,6.65,6.7,6.75},{0,10,20,30,40,50,60,62,64,66,68,70,72,74,76,78,80,85,90,95,100})</f>
        <v>78</v>
      </c>
      <c r="T195" s="12"/>
      <c r="U195" s="12"/>
      <c r="V195" s="12">
        <f t="shared" si="100"/>
        <v>78</v>
      </c>
      <c r="W195" s="12"/>
      <c r="X195" s="20">
        <f t="shared" si="92"/>
        <v>31.6</v>
      </c>
      <c r="Y195" s="23">
        <v>50</v>
      </c>
    </row>
    <row r="196" ht="15.6" hidden="1" outlineLevel="2" spans="1:25">
      <c r="A196" s="12">
        <v>205</v>
      </c>
      <c r="B196" s="12">
        <v>12</v>
      </c>
      <c r="C196" s="6" t="s">
        <v>225</v>
      </c>
      <c r="D196" s="6" t="s">
        <v>11</v>
      </c>
      <c r="E196" s="12">
        <v>10</v>
      </c>
      <c r="F196" s="11">
        <f>LOOKUP(E196,{0,-2.9,-1.9,-0.9,0.1,1.1,2.1,3.5,4.9,6.3,7.7,9.1,10.5,11.9,13.3,14.7,16.1,18.3,20.5,22.4,24.3},{0,10,20,30,40,50,60,62,64,66,68,70,72,74,76,78,80,85,90,95,100})</f>
        <v>70</v>
      </c>
      <c r="G196" s="12">
        <v>190</v>
      </c>
      <c r="H196" s="11">
        <f>LOOKUP(G196,{0,175,180,185,190,195,200,204,208,212,216,220,224,228,232,236,240,248,255,260,265},{0,10,20,30,40,50,60,62,64,66,68,70,72,74,76,78,80,85,90,95,100})</f>
        <v>40</v>
      </c>
      <c r="I196" s="12">
        <v>1</v>
      </c>
      <c r="J196" s="11">
        <f>LOOKUP(I196,{0,3,4,5,6,7,8,9,10,11,12,13,14,15,16,17},{0,10,20,30,40,50,60,64,68,72,76,80,85,90,95,100})</f>
        <v>0</v>
      </c>
      <c r="K196" s="12"/>
      <c r="L196" s="12"/>
      <c r="M196" s="12">
        <f t="shared" si="97"/>
        <v>0</v>
      </c>
      <c r="N196" s="12">
        <v>8</v>
      </c>
      <c r="O196" s="12">
        <f t="shared" ref="O196:O222" si="102">12-N196</f>
        <v>4</v>
      </c>
      <c r="P196" s="11">
        <f>LOOKUP(O196,{0,1.6,1.8,2,2.2,2.4,2.6,2.8,3,3.2,3.4,3.6,3.8,4,4.2,4.4,4.6,4.7,4.8,4.9,5},{0,10,20,30,40,50,60,62,64,66,68,70,72,74,76,78,80,85,90,95,100})</f>
        <v>74</v>
      </c>
      <c r="Q196" s="12">
        <v>4.36</v>
      </c>
      <c r="R196" s="12">
        <f t="shared" si="99"/>
        <v>5.64</v>
      </c>
      <c r="S196" s="11">
        <f>LOOKUP(R196,{0,3.8,4,4.6,4.8,5,5.6,5.65,5.7,5.75,5.8,5.85,5.9,5.95,6,6.45,6.5,6.58,6.65,6.7,6.75},{0,10,20,30,40,50,60,62,64,66,68,70,72,74,76,78,80,85,90,95,100})</f>
        <v>60</v>
      </c>
      <c r="T196" s="12"/>
      <c r="U196" s="12"/>
      <c r="V196" s="12">
        <f t="shared" si="100"/>
        <v>60</v>
      </c>
      <c r="W196" s="12"/>
      <c r="X196" s="20">
        <f t="shared" si="92"/>
        <v>37.8</v>
      </c>
      <c r="Y196" s="20">
        <f t="shared" ref="Y196:Y207" si="103">X196/0.7+L196+U196</f>
        <v>54</v>
      </c>
    </row>
    <row r="197" ht="15.6" hidden="1" outlineLevel="2" spans="1:25">
      <c r="A197" s="12">
        <v>205</v>
      </c>
      <c r="B197" s="12">
        <v>13</v>
      </c>
      <c r="C197" s="6" t="s">
        <v>226</v>
      </c>
      <c r="D197" s="6" t="s">
        <v>11</v>
      </c>
      <c r="E197" s="12">
        <v>14</v>
      </c>
      <c r="F197" s="11">
        <f>LOOKUP(E197,{0,-2.9,-1.9,-0.9,0.1,1.1,2.1,3.5,4.9,6.3,7.7,9.1,10.5,11.9,13.3,14.7,16.1,18.3,20.5,22.4,24.3},{0,10,20,30,40,50,60,62,64,66,68,70,72,74,76,78,80,85,90,95,100})</f>
        <v>76</v>
      </c>
      <c r="G197" s="12">
        <v>223</v>
      </c>
      <c r="H197" s="11">
        <f>LOOKUP(G197,{0,175,180,185,190,195,200,204,208,212,216,220,224,228,232,236,240,248,255,260,265},{0,10,20,30,40,50,60,62,64,66,68,70,72,74,76,78,80,85,90,95,100})</f>
        <v>70</v>
      </c>
      <c r="I197" s="12">
        <v>5</v>
      </c>
      <c r="J197" s="11">
        <f>LOOKUP(I197,{0,3,4,5,6,7,8,9,10,11,12,13,14,15,16,17},{0,10,20,30,40,50,60,64,68,72,76,80,85,90,95,100})</f>
        <v>30</v>
      </c>
      <c r="K197" s="12"/>
      <c r="L197" s="12"/>
      <c r="M197" s="12">
        <f t="shared" si="97"/>
        <v>30</v>
      </c>
      <c r="N197" s="12">
        <v>7.3</v>
      </c>
      <c r="O197" s="12">
        <f t="shared" si="102"/>
        <v>4.7</v>
      </c>
      <c r="P197" s="11">
        <f>LOOKUP(O197,{0,1.6,1.8,2,2.2,2.4,2.6,2.8,3,3.2,3.4,3.6,3.8,4,4.2,4.4,4.6,4.7,4.8,4.9,5},{0,10,20,30,40,50,60,62,64,66,68,70,72,74,76,78,80,85,90,95,100})</f>
        <v>85</v>
      </c>
      <c r="Q197" s="12">
        <v>4.14</v>
      </c>
      <c r="R197" s="12">
        <f t="shared" si="99"/>
        <v>5.86</v>
      </c>
      <c r="S197" s="11">
        <f>LOOKUP(R197,{0,3.8,4,4.6,4.8,5,5.6,5.65,5.7,5.75,5.8,5.85,5.9,5.95,6,6.45,6.5,6.58,6.65,6.7,6.75},{0,10,20,30,40,50,60,62,64,66,68,70,72,74,76,78,80,85,90,95,100})</f>
        <v>70</v>
      </c>
      <c r="T197" s="12"/>
      <c r="U197" s="12"/>
      <c r="V197" s="12">
        <f t="shared" si="100"/>
        <v>70</v>
      </c>
      <c r="W197" s="12"/>
      <c r="X197" s="20">
        <f t="shared" si="92"/>
        <v>48.6</v>
      </c>
      <c r="Y197" s="20">
        <f t="shared" si="103"/>
        <v>69.4285714285714</v>
      </c>
    </row>
    <row r="198" ht="15.6" hidden="1" outlineLevel="2" spans="1:25">
      <c r="A198" s="12">
        <v>205</v>
      </c>
      <c r="B198" s="12">
        <v>14</v>
      </c>
      <c r="C198" s="6" t="s">
        <v>227</v>
      </c>
      <c r="D198" s="6" t="s">
        <v>11</v>
      </c>
      <c r="E198" s="12">
        <v>22.5</v>
      </c>
      <c r="F198" s="11">
        <f>LOOKUP(E198,{0,-2.9,-1.9,-0.9,0.1,1.1,2.1,3.5,4.9,6.3,7.7,9.1,10.5,11.9,13.3,14.7,16.1,18.3,20.5,22.4,24.3},{0,10,20,30,40,50,60,62,64,66,68,70,72,74,76,78,80,85,90,95,100})</f>
        <v>95</v>
      </c>
      <c r="G198" s="12">
        <v>247</v>
      </c>
      <c r="H198" s="11">
        <f>LOOKUP(G198,{0,175,180,185,190,195,200,204,208,212,216,220,224,228,232,236,240,248,255,260,265},{0,10,20,30,40,50,60,62,64,66,68,70,72,74,76,78,80,85,90,95,100})</f>
        <v>80</v>
      </c>
      <c r="I198" s="12">
        <v>8</v>
      </c>
      <c r="J198" s="11">
        <f>LOOKUP(I198,{0,3,4,5,6,7,8,9,10,11,12,13,14,15,16,17},{0,10,20,30,40,50,60,64,68,72,76,80,85,90,95,100})</f>
        <v>60</v>
      </c>
      <c r="K198" s="12"/>
      <c r="L198" s="15"/>
      <c r="M198" s="12">
        <f t="shared" si="97"/>
        <v>60</v>
      </c>
      <c r="N198" s="12">
        <v>7.4</v>
      </c>
      <c r="O198" s="12">
        <f t="shared" si="102"/>
        <v>4.6</v>
      </c>
      <c r="P198" s="11">
        <f>LOOKUP(O198,{0,1.6,1.8,2,2.2,2.4,2.6,2.8,3,3.2,3.4,3.6,3.8,4,4.2,4.4,4.6,4.7,4.8,4.9,5},{0,10,20,30,40,50,60,62,64,66,68,70,72,74,76,78,80,85,90,95,100})</f>
        <v>80</v>
      </c>
      <c r="Q198" s="12">
        <v>3.22</v>
      </c>
      <c r="R198" s="12">
        <f t="shared" si="99"/>
        <v>6.78</v>
      </c>
      <c r="S198" s="11">
        <f>LOOKUP(R198,{0,3.8,4,4.6,4.8,5,5.6,5.65,5.7,5.75,5.8,5.85,5.9,5.95,6,6.45,6.5,6.58,6.65,6.7,6.75},{0,10,20,30,40,50,60,62,64,66,68,70,72,74,76,78,80,85,90,95,100})</f>
        <v>100</v>
      </c>
      <c r="T198" s="12">
        <f>3.25-Q198</f>
        <v>0.0299999999999998</v>
      </c>
      <c r="U198" s="11">
        <f>LOOKUP(T198,{0,0.04,0.08,0.12,0.16,0.2,0.23,0.26,0.29,0.32,0.35},{0,1,2,3,4,5,6,7,8,9,10})</f>
        <v>0</v>
      </c>
      <c r="V198" s="12">
        <f t="shared" si="100"/>
        <v>100</v>
      </c>
      <c r="W198" s="12"/>
      <c r="X198" s="20">
        <f t="shared" ref="X198:X261" si="104">F198*0.1+H198*0.1+J198*0.1+P198*0.2+S198*0.2</f>
        <v>59.5</v>
      </c>
      <c r="Y198" s="20">
        <f t="shared" si="103"/>
        <v>85</v>
      </c>
    </row>
    <row r="199" ht="15.6" hidden="1" outlineLevel="2" spans="1:25">
      <c r="A199" s="12">
        <v>205</v>
      </c>
      <c r="B199" s="12">
        <v>15</v>
      </c>
      <c r="C199" s="6" t="s">
        <v>228</v>
      </c>
      <c r="D199" s="6" t="s">
        <v>11</v>
      </c>
      <c r="E199" s="12">
        <v>2</v>
      </c>
      <c r="F199" s="11">
        <f>LOOKUP(E199,{0,-2.9,-1.9,-0.9,0.1,1.1,2.1,3.5,4.9,6.3,7.7,9.1,10.5,11.9,13.3,14.7,16.1,18.3,20.5,22.4,24.3},{0,10,20,30,40,50,60,62,64,66,68,70,72,74,76,78,80,85,90,95,100})</f>
        <v>50</v>
      </c>
      <c r="G199" s="12">
        <v>210</v>
      </c>
      <c r="H199" s="11">
        <f>LOOKUP(G199,{0,175,180,185,190,195,200,204,208,212,216,220,224,228,232,236,240,248,255,260,265},{0,10,20,30,40,50,60,62,64,66,68,70,72,74,76,78,80,85,90,95,100})</f>
        <v>64</v>
      </c>
      <c r="I199" s="12">
        <v>5</v>
      </c>
      <c r="J199" s="11">
        <f>LOOKUP(I199,{0,3,4,5,6,7,8,9,10,11,12,13,14,15,16,17},{0,10,20,30,40,50,60,64,68,72,76,80,85,90,95,100})</f>
        <v>30</v>
      </c>
      <c r="K199" s="12"/>
      <c r="L199" s="12"/>
      <c r="M199" s="12">
        <f t="shared" si="97"/>
        <v>30</v>
      </c>
      <c r="N199" s="12">
        <v>7.4</v>
      </c>
      <c r="O199" s="12">
        <f t="shared" si="102"/>
        <v>4.6</v>
      </c>
      <c r="P199" s="11">
        <f>LOOKUP(O199,{0,1.6,1.8,2,2.2,2.4,2.6,2.8,3,3.2,3.4,3.6,3.8,4,4.2,4.4,4.6,4.7,4.8,4.9,5},{0,10,20,30,40,50,60,62,64,66,68,70,72,74,76,78,80,85,90,95,100})</f>
        <v>80</v>
      </c>
      <c r="Q199" s="12">
        <v>4.09</v>
      </c>
      <c r="R199" s="12">
        <f t="shared" si="99"/>
        <v>5.91</v>
      </c>
      <c r="S199" s="11">
        <f>LOOKUP(R199,{0,3.8,4,4.6,4.8,5,5.6,5.65,5.7,5.75,5.8,5.85,5.9,5.95,6,6.45,6.5,6.58,6.65,6.7,6.75},{0,10,20,30,40,50,60,62,64,66,68,70,72,74,76,78,80,85,90,95,100})</f>
        <v>72</v>
      </c>
      <c r="T199" s="12"/>
      <c r="U199" s="12"/>
      <c r="V199" s="12">
        <f t="shared" si="100"/>
        <v>72</v>
      </c>
      <c r="W199" s="12"/>
      <c r="X199" s="20">
        <f t="shared" si="104"/>
        <v>44.8</v>
      </c>
      <c r="Y199" s="20">
        <f t="shared" si="103"/>
        <v>64</v>
      </c>
    </row>
    <row r="200" ht="15.6" hidden="1" outlineLevel="2" spans="1:25">
      <c r="A200" s="12">
        <v>205</v>
      </c>
      <c r="B200" s="12">
        <v>16</v>
      </c>
      <c r="C200" s="6" t="s">
        <v>229</v>
      </c>
      <c r="D200" s="6" t="s">
        <v>11</v>
      </c>
      <c r="E200" s="12">
        <v>24.5</v>
      </c>
      <c r="F200" s="11">
        <f>LOOKUP(E200,{0,-2.9,-1.9,-0.9,0.1,1.1,2.1,3.5,4.9,6.3,7.7,9.1,10.5,11.9,13.3,14.7,16.1,18.3,20.5,22.4,24.3},{0,10,20,30,40,50,60,62,64,66,68,70,72,74,76,78,80,85,90,95,100})</f>
        <v>100</v>
      </c>
      <c r="G200" s="12">
        <v>250</v>
      </c>
      <c r="H200" s="11">
        <f>LOOKUP(G200,{0,175,180,185,190,195,200,204,208,212,216,220,224,228,232,236,240,248,255,260,265},{0,10,20,30,40,50,60,62,64,66,68,70,72,74,76,78,80,85,90,95,100})</f>
        <v>85</v>
      </c>
      <c r="I200" s="12">
        <v>1</v>
      </c>
      <c r="J200" s="11">
        <f>LOOKUP(I200,{0,3,4,5,6,7,8,9,10,11,12,13,14,15,16,17},{0,10,20,30,40,50,60,64,68,72,76,80,85,90,95,100})</f>
        <v>0</v>
      </c>
      <c r="K200" s="12"/>
      <c r="L200" s="12"/>
      <c r="M200" s="12">
        <f t="shared" si="97"/>
        <v>0</v>
      </c>
      <c r="N200" s="12">
        <v>7.2</v>
      </c>
      <c r="O200" s="12">
        <f t="shared" si="102"/>
        <v>4.8</v>
      </c>
      <c r="P200" s="11">
        <f>LOOKUP(O200,{0,1.6,1.8,2,2.2,2.4,2.6,2.8,3,3.2,3.4,3.6,3.8,4,4.2,4.4,4.6,4.7,4.8,4.9,5},{0,10,20,30,40,50,60,62,64,66,68,70,72,74,76,78,80,85,90,95,100})</f>
        <v>90</v>
      </c>
      <c r="Q200" s="12">
        <v>4.02</v>
      </c>
      <c r="R200" s="12">
        <f t="shared" si="99"/>
        <v>5.98</v>
      </c>
      <c r="S200" s="11">
        <f>LOOKUP(R200,{0,3.8,4,4.6,4.8,5,5.6,5.65,5.7,5.75,5.8,5.85,5.9,5.95,6,6.45,6.5,6.58,6.65,6.7,6.75},{0,10,20,30,40,50,60,62,64,66,68,70,72,74,76,78,80,85,90,95,100})</f>
        <v>74</v>
      </c>
      <c r="T200" s="12"/>
      <c r="U200" s="12"/>
      <c r="V200" s="12">
        <f t="shared" si="100"/>
        <v>74</v>
      </c>
      <c r="W200" s="12"/>
      <c r="X200" s="20">
        <f t="shared" si="104"/>
        <v>51.3</v>
      </c>
      <c r="Y200" s="20">
        <f t="shared" si="103"/>
        <v>73.2857142857143</v>
      </c>
    </row>
    <row r="201" ht="15.6" hidden="1" outlineLevel="2" spans="1:25">
      <c r="A201" s="12">
        <v>205</v>
      </c>
      <c r="B201" s="12">
        <v>17</v>
      </c>
      <c r="C201" s="6" t="s">
        <v>230</v>
      </c>
      <c r="D201" s="6" t="s">
        <v>11</v>
      </c>
      <c r="E201" s="12">
        <v>7.5</v>
      </c>
      <c r="F201" s="11">
        <f>LOOKUP(E201,{0,-2.9,-1.9,-0.9,0.1,1.1,2.1,3.5,4.9,6.3,7.7,9.1,10.5,11.9,13.3,14.7,16.1,18.3,20.5,22.4,24.3},{0,10,20,30,40,50,60,62,64,66,68,70,72,74,76,78,80,85,90,95,100})</f>
        <v>66</v>
      </c>
      <c r="G201" s="12">
        <v>237</v>
      </c>
      <c r="H201" s="11">
        <f>LOOKUP(G201,{0,175,180,185,190,195,200,204,208,212,216,220,224,228,232,236,240,248,255,260,265},{0,10,20,30,40,50,60,62,64,66,68,70,72,74,76,78,80,85,90,95,100})</f>
        <v>78</v>
      </c>
      <c r="I201" s="12">
        <v>12</v>
      </c>
      <c r="J201" s="11">
        <f>LOOKUP(I201,{0,3,4,5,6,7,8,9,10,11,12,13,14,15,16,17},{0,10,20,30,40,50,60,64,68,72,76,80,85,90,95,100})</f>
        <v>76</v>
      </c>
      <c r="K201" s="12"/>
      <c r="L201" s="12"/>
      <c r="M201" s="12">
        <f t="shared" si="97"/>
        <v>76</v>
      </c>
      <c r="N201" s="12">
        <v>6.9</v>
      </c>
      <c r="O201" s="12">
        <f t="shared" si="102"/>
        <v>5.1</v>
      </c>
      <c r="P201" s="11">
        <f>LOOKUP(O201,{0,1.6,1.8,2,2.2,2.4,2.6,2.8,3,3.2,3.4,3.6,3.8,4,4.2,4.4,4.6,4.7,4.8,4.9,5},{0,10,20,30,40,50,60,62,64,66,68,70,72,74,76,78,80,85,90,95,100})</f>
        <v>100</v>
      </c>
      <c r="Q201" s="12">
        <v>3.54</v>
      </c>
      <c r="R201" s="12">
        <f t="shared" si="99"/>
        <v>6.46</v>
      </c>
      <c r="S201" s="11">
        <f>LOOKUP(R201,{0,3.8,4,4.6,4.8,5,5.6,5.65,5.7,5.75,5.8,5.85,5.9,5.95,6,6.45,6.5,6.58,6.65,6.7,6.75},{0,10,20,30,40,50,60,62,64,66,68,70,72,74,76,78,80,85,90,95,100})</f>
        <v>78</v>
      </c>
      <c r="T201" s="12"/>
      <c r="U201" s="12"/>
      <c r="V201" s="12">
        <f t="shared" si="100"/>
        <v>78</v>
      </c>
      <c r="W201" s="12"/>
      <c r="X201" s="20">
        <f t="shared" si="104"/>
        <v>57.6</v>
      </c>
      <c r="Y201" s="20">
        <f t="shared" si="103"/>
        <v>82.2857142857143</v>
      </c>
    </row>
    <row r="202" ht="15.6" hidden="1" outlineLevel="2" spans="1:25">
      <c r="A202" s="12">
        <v>205</v>
      </c>
      <c r="B202" s="12">
        <v>18</v>
      </c>
      <c r="C202" s="6" t="s">
        <v>231</v>
      </c>
      <c r="D202" s="6" t="s">
        <v>11</v>
      </c>
      <c r="E202" s="12">
        <v>3</v>
      </c>
      <c r="F202" s="11">
        <f>LOOKUP(E202,{0,-2.9,-1.9,-0.9,0.1,1.1,2.1,3.5,4.9,6.3,7.7,9.1,10.5,11.9,13.3,14.7,16.1,18.3,20.5,22.4,24.3},{0,10,20,30,40,50,60,62,64,66,68,70,72,74,76,78,80,85,90,95,100})</f>
        <v>60</v>
      </c>
      <c r="G202" s="12">
        <v>250</v>
      </c>
      <c r="H202" s="11">
        <f>LOOKUP(G202,{0,175,180,185,190,195,200,204,208,212,216,220,224,228,232,236,240,248,255,260,265},{0,10,20,30,40,50,60,62,64,66,68,70,72,74,76,78,80,85,90,95,100})</f>
        <v>85</v>
      </c>
      <c r="I202" s="12">
        <v>13</v>
      </c>
      <c r="J202" s="11">
        <f>LOOKUP(I202,{0,3,4,5,6,7,8,9,10,11,12,13,14,15,16,17},{0,10,20,30,40,50,60,64,68,72,76,80,85,90,95,100})</f>
        <v>80</v>
      </c>
      <c r="K202" s="12"/>
      <c r="L202" s="12"/>
      <c r="M202" s="12">
        <f t="shared" si="97"/>
        <v>80</v>
      </c>
      <c r="N202" s="12">
        <v>7.1</v>
      </c>
      <c r="O202" s="12">
        <f t="shared" si="102"/>
        <v>4.9</v>
      </c>
      <c r="P202" s="11">
        <f>LOOKUP(O202,{0,1.6,1.8,2,2.2,2.4,2.6,2.8,3,3.2,3.4,3.6,3.8,4,4.2,4.4,4.6,4.7,4.8,4.9,5},{0,10,20,30,40,50,60,62,64,66,68,70,72,74,76,78,80,85,90,95,100})</f>
        <v>95</v>
      </c>
      <c r="Q202" s="12">
        <v>3.38</v>
      </c>
      <c r="R202" s="12">
        <f t="shared" si="99"/>
        <v>6.62</v>
      </c>
      <c r="S202" s="11">
        <f>LOOKUP(R202,{0,3.8,4,4.6,4.8,5,5.6,5.65,5.7,5.75,5.8,5.85,5.9,5.95,6,6.45,6.5,6.58,6.65,6.7,6.75},{0,10,20,30,40,50,60,62,64,66,68,70,72,74,76,78,80,85,90,95,100})</f>
        <v>85</v>
      </c>
      <c r="T202" s="12"/>
      <c r="U202" s="12"/>
      <c r="V202" s="12">
        <f t="shared" si="100"/>
        <v>85</v>
      </c>
      <c r="W202" s="12"/>
      <c r="X202" s="20">
        <f t="shared" si="104"/>
        <v>58.5</v>
      </c>
      <c r="Y202" s="20">
        <f t="shared" si="103"/>
        <v>83.5714285714286</v>
      </c>
    </row>
    <row r="203" ht="15.6" hidden="1" outlineLevel="2" spans="1:25">
      <c r="A203" s="12">
        <v>205</v>
      </c>
      <c r="B203" s="12">
        <v>19</v>
      </c>
      <c r="C203" s="6" t="s">
        <v>232</v>
      </c>
      <c r="D203" s="6" t="s">
        <v>11</v>
      </c>
      <c r="E203" s="12">
        <v>17</v>
      </c>
      <c r="F203" s="11">
        <f>LOOKUP(E203,{0,-2.9,-1.9,-0.9,0.1,1.1,2.1,3.5,4.9,6.3,7.7,9.1,10.5,11.9,13.3,14.7,16.1,18.3,20.5,22.4,24.3},{0,10,20,30,40,50,60,62,64,66,68,70,72,74,76,78,80,85,90,95,100})</f>
        <v>80</v>
      </c>
      <c r="G203" s="12">
        <v>225</v>
      </c>
      <c r="H203" s="11">
        <f>LOOKUP(G203,{0,175,180,185,190,195,200,204,208,212,216,220,224,228,232,236,240,248,255,260,265},{0,10,20,30,40,50,60,62,64,66,68,70,72,74,76,78,80,85,90,95,100})</f>
        <v>72</v>
      </c>
      <c r="I203" s="12">
        <v>17</v>
      </c>
      <c r="J203" s="11">
        <f>LOOKUP(I203,{0,3,4,5,6,7,8,9,10,11,12,13,14,15,16,17},{0,10,20,30,40,50,60,64,68,72,76,80,85,90,95,100})</f>
        <v>100</v>
      </c>
      <c r="K203" s="12">
        <f>I203-17</f>
        <v>0</v>
      </c>
      <c r="L203" s="16">
        <f>LOOKUP(K203,{0,1,2,3,4,5,6,7,8,9,10},{0,1,2,3,4,5,6,7,8,9,10})</f>
        <v>0</v>
      </c>
      <c r="M203" s="12">
        <f t="shared" si="97"/>
        <v>100</v>
      </c>
      <c r="N203" s="12">
        <v>7.2</v>
      </c>
      <c r="O203" s="12">
        <f t="shared" si="102"/>
        <v>4.8</v>
      </c>
      <c r="P203" s="11">
        <f>LOOKUP(O203,{0,1.6,1.8,2,2.2,2.4,2.6,2.8,3,3.2,3.4,3.6,3.8,4,4.2,4.4,4.6,4.7,4.8,4.9,5},{0,10,20,30,40,50,60,62,64,66,68,70,72,74,76,78,80,85,90,95,100})</f>
        <v>90</v>
      </c>
      <c r="Q203" s="12">
        <v>4.12</v>
      </c>
      <c r="R203" s="12">
        <f t="shared" si="99"/>
        <v>5.88</v>
      </c>
      <c r="S203" s="11">
        <f>LOOKUP(R203,{0,3.8,4,4.6,4.8,5,5.6,5.65,5.7,5.75,5.8,5.85,5.9,5.95,6,6.45,6.5,6.58,6.65,6.7,6.75},{0,10,20,30,40,50,60,62,64,66,68,70,72,74,76,78,80,85,90,95,100})</f>
        <v>70</v>
      </c>
      <c r="T203" s="12"/>
      <c r="U203" s="12"/>
      <c r="V203" s="12">
        <f t="shared" si="100"/>
        <v>70</v>
      </c>
      <c r="W203" s="12"/>
      <c r="X203" s="20">
        <f t="shared" si="104"/>
        <v>57.2</v>
      </c>
      <c r="Y203" s="20">
        <f t="shared" si="103"/>
        <v>81.7142857142857</v>
      </c>
    </row>
    <row r="204" ht="15.6" hidden="1" outlineLevel="2" spans="1:25">
      <c r="A204" s="12">
        <v>205</v>
      </c>
      <c r="B204" s="12">
        <v>20</v>
      </c>
      <c r="C204" s="6" t="s">
        <v>233</v>
      </c>
      <c r="D204" s="6" t="s">
        <v>11</v>
      </c>
      <c r="E204" s="12">
        <v>8</v>
      </c>
      <c r="F204" s="11">
        <f>LOOKUP(E204,{0,-2.9,-1.9,-0.9,0.1,1.1,2.1,3.5,4.9,6.3,7.7,9.1,10.5,11.9,13.3,14.7,16.1,18.3,20.5,22.4,24.3},{0,10,20,30,40,50,60,62,64,66,68,70,72,74,76,78,80,85,90,95,100})</f>
        <v>68</v>
      </c>
      <c r="G204" s="12">
        <v>265</v>
      </c>
      <c r="H204" s="11">
        <f>LOOKUP(G204,{0,175,180,185,190,195,200,204,208,212,216,220,224,228,232,236,240,248,255,260,265},{0,10,20,30,40,50,60,62,64,66,68,70,72,74,76,78,80,85,90,95,100})</f>
        <v>100</v>
      </c>
      <c r="I204" s="12">
        <v>8</v>
      </c>
      <c r="J204" s="11">
        <f>LOOKUP(I204,{0,3,4,5,6,7,8,9,10,11,12,13,14,15,16,17},{0,10,20,30,40,50,60,64,68,72,76,80,85,90,95,100})</f>
        <v>60</v>
      </c>
      <c r="K204" s="12"/>
      <c r="L204" s="12"/>
      <c r="M204" s="12">
        <f t="shared" si="97"/>
        <v>60</v>
      </c>
      <c r="N204" s="12">
        <v>7</v>
      </c>
      <c r="O204" s="12">
        <f t="shared" si="102"/>
        <v>5</v>
      </c>
      <c r="P204" s="11">
        <f>LOOKUP(O204,{0,1.6,1.8,2,2.2,2.4,2.6,2.8,3,3.2,3.4,3.6,3.8,4,4.2,4.4,4.6,4.7,4.8,4.9,5},{0,10,20,30,40,50,60,62,64,66,68,70,72,74,76,78,80,85,90,95,100})</f>
        <v>100</v>
      </c>
      <c r="Q204" s="12">
        <v>4.03</v>
      </c>
      <c r="R204" s="12">
        <f t="shared" si="99"/>
        <v>5.97</v>
      </c>
      <c r="S204" s="11">
        <f>LOOKUP(R204,{0,3.8,4,4.6,4.8,5,5.6,5.65,5.7,5.75,5.8,5.85,5.9,5.95,6,6.45,6.5,6.58,6.65,6.7,6.75},{0,10,20,30,40,50,60,62,64,66,68,70,72,74,76,78,80,85,90,95,100})</f>
        <v>74</v>
      </c>
      <c r="T204" s="12"/>
      <c r="U204" s="12"/>
      <c r="V204" s="12">
        <f t="shared" si="100"/>
        <v>74</v>
      </c>
      <c r="W204" s="12"/>
      <c r="X204" s="20">
        <f t="shared" si="104"/>
        <v>57.6</v>
      </c>
      <c r="Y204" s="20">
        <f t="shared" si="103"/>
        <v>82.2857142857143</v>
      </c>
    </row>
    <row r="205" ht="15.6" hidden="1" outlineLevel="2" spans="1:25">
      <c r="A205" s="12">
        <v>205</v>
      </c>
      <c r="B205" s="12">
        <v>21</v>
      </c>
      <c r="C205" s="13" t="s">
        <v>235</v>
      </c>
      <c r="D205" s="6" t="s">
        <v>11</v>
      </c>
      <c r="E205" s="12">
        <v>-7</v>
      </c>
      <c r="F205" s="11">
        <v>0</v>
      </c>
      <c r="G205" s="12">
        <v>237</v>
      </c>
      <c r="H205" s="11">
        <f>LOOKUP(G205,{0,175,180,185,190,195,200,204,208,212,216,220,224,228,232,236,240,248,255,260,265},{0,10,20,30,40,50,60,62,64,66,68,70,72,74,76,78,80,85,90,95,100})</f>
        <v>78</v>
      </c>
      <c r="I205" s="12">
        <v>2</v>
      </c>
      <c r="J205" s="11">
        <f>LOOKUP(I205,{0,3,4,5,6,7,8,9,10,11,12,13,14,15,16,17},{0,10,20,30,40,50,60,64,68,72,76,80,85,90,95,100})</f>
        <v>0</v>
      </c>
      <c r="K205" s="12"/>
      <c r="L205" s="12"/>
      <c r="M205" s="12">
        <f t="shared" si="97"/>
        <v>0</v>
      </c>
      <c r="N205" s="12">
        <v>7.5</v>
      </c>
      <c r="O205" s="12">
        <f t="shared" si="102"/>
        <v>4.5</v>
      </c>
      <c r="P205" s="11">
        <f>LOOKUP(O205,{0,1.6,1.8,2,2.2,2.4,2.6,2.8,3,3.2,3.4,3.6,3.8,4,4.2,4.4,4.6,4.7,4.8,4.9,5},{0,10,20,30,40,50,60,62,64,66,68,70,72,74,76,78,80,85,90,95,100})</f>
        <v>78</v>
      </c>
      <c r="Q205" s="12">
        <v>4.1</v>
      </c>
      <c r="R205" s="12">
        <f t="shared" si="99"/>
        <v>5.9</v>
      </c>
      <c r="S205" s="11">
        <f>LOOKUP(R205,{0,3.8,4,4.6,4.8,5,5.6,5.65,5.7,5.75,5.8,5.85,5.9,5.95,6,6.45,6.5,6.58,6.65,6.7,6.75},{0,10,20,30,40,50,60,62,64,66,68,70,72,74,76,78,80,85,90,95,100})</f>
        <v>72</v>
      </c>
      <c r="T205" s="12"/>
      <c r="U205" s="12"/>
      <c r="V205" s="12">
        <f t="shared" si="100"/>
        <v>72</v>
      </c>
      <c r="W205" s="12"/>
      <c r="X205" s="20">
        <f t="shared" si="104"/>
        <v>37.8</v>
      </c>
      <c r="Y205" s="20">
        <f t="shared" si="103"/>
        <v>54</v>
      </c>
    </row>
    <row r="206" s="1" customFormat="1" ht="15.6" hidden="1" outlineLevel="2" spans="1:25">
      <c r="A206" s="12">
        <v>205</v>
      </c>
      <c r="B206" s="12">
        <v>22</v>
      </c>
      <c r="C206" s="6" t="s">
        <v>236</v>
      </c>
      <c r="D206" s="6" t="s">
        <v>11</v>
      </c>
      <c r="E206" s="12"/>
      <c r="F206" s="11"/>
      <c r="G206" s="12">
        <v>236</v>
      </c>
      <c r="H206" s="11">
        <f>LOOKUP(G206,{0,175,180,185,190,195,200,204,208,212,216,220,224,228,232,236,240,248,255,260,265},{0,10,20,30,40,50,60,62,64,66,68,70,72,74,76,78,80,85,90,95,100})</f>
        <v>78</v>
      </c>
      <c r="I206" s="12">
        <v>15</v>
      </c>
      <c r="J206" s="11">
        <f>LOOKUP(I206,{0,3,4,5,6,7,8,9,10,11,12,13,14,15,16,17},{0,10,20,30,40,50,60,64,68,72,76,80,85,90,95,100})</f>
        <v>90</v>
      </c>
      <c r="K206" s="12"/>
      <c r="L206" s="15"/>
      <c r="M206" s="12">
        <f t="shared" si="97"/>
        <v>90</v>
      </c>
      <c r="N206" s="12">
        <v>7</v>
      </c>
      <c r="O206" s="12">
        <f t="shared" si="102"/>
        <v>5</v>
      </c>
      <c r="P206" s="11">
        <f>LOOKUP(O206,{0,1.6,1.8,2,2.2,2.4,2.6,2.8,3,3.2,3.4,3.6,3.8,4,4.2,4.4,4.6,4.7,4.8,4.9,5},{0,10,20,30,40,50,60,62,64,66,68,70,72,74,76,78,80,85,90,95,100})</f>
        <v>100</v>
      </c>
      <c r="Q206" s="12">
        <v>4.1</v>
      </c>
      <c r="R206" s="12">
        <f t="shared" si="99"/>
        <v>5.9</v>
      </c>
      <c r="S206" s="11">
        <f>LOOKUP(R206,{0,3.8,4,4.6,4.8,5,5.6,5.65,5.7,5.75,5.8,5.85,5.9,5.95,6,6.45,6.5,6.58,6.65,6.7,6.75},{0,10,20,30,40,50,60,62,64,66,68,70,72,74,76,78,80,85,90,95,100})</f>
        <v>72</v>
      </c>
      <c r="T206" s="12"/>
      <c r="U206" s="12"/>
      <c r="V206" s="12">
        <f t="shared" si="100"/>
        <v>72</v>
      </c>
      <c r="W206" s="12" t="s">
        <v>146</v>
      </c>
      <c r="X206" s="20">
        <f t="shared" si="104"/>
        <v>51.2</v>
      </c>
      <c r="Y206" s="20">
        <f t="shared" si="103"/>
        <v>73.1428571428571</v>
      </c>
    </row>
    <row r="207" ht="15.6" hidden="1" outlineLevel="2" spans="1:25">
      <c r="A207" s="12">
        <v>205</v>
      </c>
      <c r="B207" s="12">
        <v>23</v>
      </c>
      <c r="C207" s="6" t="s">
        <v>237</v>
      </c>
      <c r="D207" s="6" t="s">
        <v>11</v>
      </c>
      <c r="E207" s="12">
        <v>18</v>
      </c>
      <c r="F207" s="11">
        <f>LOOKUP(E207,{0,-2.9,-1.9,-0.9,0.1,1.1,2.1,3.5,4.9,6.3,7.7,9.1,10.5,11.9,13.3,14.7,16.1,18.3,20.5,22.4,24.3},{0,10,20,30,40,50,60,62,64,66,68,70,72,74,76,78,80,85,90,95,100})</f>
        <v>80</v>
      </c>
      <c r="G207" s="12">
        <v>228</v>
      </c>
      <c r="H207" s="11">
        <f>LOOKUP(G207,{0,175,180,185,190,195,200,204,208,212,216,220,224,228,232,236,240,248,255,260,265},{0,10,20,30,40,50,60,62,64,66,68,70,72,74,76,78,80,85,90,95,100})</f>
        <v>74</v>
      </c>
      <c r="I207" s="12">
        <v>1</v>
      </c>
      <c r="J207" s="11">
        <f>LOOKUP(I207,{0,3,4,5,6,7,8,9,10,11,12,13,14,15,16,17},{0,10,20,30,40,50,60,64,68,72,76,80,85,90,95,100})</f>
        <v>0</v>
      </c>
      <c r="K207" s="12"/>
      <c r="L207" s="15"/>
      <c r="M207" s="12">
        <f t="shared" si="97"/>
        <v>0</v>
      </c>
      <c r="N207" s="12">
        <v>7.5</v>
      </c>
      <c r="O207" s="12">
        <f t="shared" si="102"/>
        <v>4.5</v>
      </c>
      <c r="P207" s="11">
        <f>LOOKUP(O207,{0,1.6,1.8,2,2.2,2.4,2.6,2.8,3,3.2,3.4,3.6,3.8,4,4.2,4.4,4.6,4.7,4.8,4.9,5},{0,10,20,30,40,50,60,62,64,66,68,70,72,74,76,78,80,85,90,95,100})</f>
        <v>78</v>
      </c>
      <c r="Q207" s="12">
        <v>3.57</v>
      </c>
      <c r="R207" s="12">
        <f t="shared" si="99"/>
        <v>6.43</v>
      </c>
      <c r="S207" s="11">
        <f>LOOKUP(R207,{0,3.8,4,4.6,4.8,5,5.6,5.65,5.7,5.75,5.8,5.85,5.9,5.95,6,6.45,6.5,6.58,6.65,6.7,6.75},{0,10,20,30,40,50,60,62,64,66,68,70,72,74,76,78,80,85,90,95,100})</f>
        <v>76</v>
      </c>
      <c r="T207" s="12"/>
      <c r="U207" s="12"/>
      <c r="V207" s="12">
        <f t="shared" si="100"/>
        <v>76</v>
      </c>
      <c r="W207" s="12"/>
      <c r="X207" s="20">
        <f t="shared" si="104"/>
        <v>46.2</v>
      </c>
      <c r="Y207" s="20">
        <f t="shared" si="103"/>
        <v>66</v>
      </c>
    </row>
    <row r="208" ht="15.6" hidden="1" outlineLevel="2" spans="1:25">
      <c r="A208" s="12">
        <v>205</v>
      </c>
      <c r="B208" s="12">
        <v>24</v>
      </c>
      <c r="C208" s="6" t="s">
        <v>238</v>
      </c>
      <c r="D208" s="6" t="s">
        <v>11</v>
      </c>
      <c r="E208" s="12"/>
      <c r="F208" s="11"/>
      <c r="G208" s="12"/>
      <c r="H208" s="11"/>
      <c r="I208" s="12"/>
      <c r="J208" s="11"/>
      <c r="K208" s="12"/>
      <c r="L208" s="15"/>
      <c r="M208" s="12"/>
      <c r="N208" s="12">
        <v>7.1</v>
      </c>
      <c r="O208" s="12">
        <f t="shared" si="102"/>
        <v>4.9</v>
      </c>
      <c r="P208" s="11">
        <f>LOOKUP(O208,{0,1.6,1.8,2,2.2,2.4,2.6,2.8,3,3.2,3.4,3.6,3.8,4,4.2,4.4,4.6,4.7,4.8,4.9,5},{0,10,20,30,40,50,60,62,64,66,68,70,72,74,76,78,80,85,90,95,100})</f>
        <v>95</v>
      </c>
      <c r="Q208" s="12"/>
      <c r="R208" s="12"/>
      <c r="S208" s="11"/>
      <c r="T208" s="12"/>
      <c r="U208" s="11"/>
      <c r="V208" s="12"/>
      <c r="W208" s="12" t="s">
        <v>14</v>
      </c>
      <c r="X208" s="20">
        <f t="shared" si="104"/>
        <v>19</v>
      </c>
      <c r="Y208" s="20">
        <v>50</v>
      </c>
    </row>
    <row r="209" ht="15.6" hidden="1" outlineLevel="2" spans="1:25">
      <c r="A209" s="12">
        <v>205</v>
      </c>
      <c r="B209" s="12">
        <v>25</v>
      </c>
      <c r="C209" s="6" t="s">
        <v>239</v>
      </c>
      <c r="D209" s="6" t="s">
        <v>11</v>
      </c>
      <c r="E209" s="12">
        <v>15.5</v>
      </c>
      <c r="F209" s="11">
        <f>LOOKUP(E209,{0,-2.9,-1.9,-0.9,0.1,1.1,2.1,3.5,4.9,6.3,7.7,9.1,10.5,11.9,13.3,14.7,16.1,18.3,20.5,22.4,24.3},{0,10,20,30,40,50,60,62,64,66,68,70,72,74,76,78,80,85,90,95,100})</f>
        <v>78</v>
      </c>
      <c r="G209" s="12">
        <v>272</v>
      </c>
      <c r="H209" s="11">
        <f>LOOKUP(G209,{0,175,180,185,190,195,200,204,208,212,216,220,224,228,232,236,240,248,255,260,265},{0,10,20,30,40,50,60,62,64,66,68,70,72,74,76,78,80,85,90,95,100})</f>
        <v>100</v>
      </c>
      <c r="I209" s="12">
        <v>10</v>
      </c>
      <c r="J209" s="11">
        <f>LOOKUP(I209,{0,3,4,5,6,7,8,9,10,11,12,13,14,15,16,17},{0,10,20,30,40,50,60,64,68,72,76,80,85,90,95,100})</f>
        <v>68</v>
      </c>
      <c r="K209" s="12"/>
      <c r="L209" s="15"/>
      <c r="M209" s="12">
        <f t="shared" ref="M209:M232" si="105">J209+L209</f>
        <v>68</v>
      </c>
      <c r="N209" s="12">
        <v>6.9</v>
      </c>
      <c r="O209" s="12">
        <f t="shared" si="102"/>
        <v>5.1</v>
      </c>
      <c r="P209" s="11">
        <f>LOOKUP(O209,{0,1.6,1.8,2,2.2,2.4,2.6,2.8,3,3.2,3.4,3.6,3.8,4,4.2,4.4,4.6,4.7,4.8,4.9,5},{0,10,20,30,40,50,60,62,64,66,68,70,72,74,76,78,80,85,90,95,100})</f>
        <v>100</v>
      </c>
      <c r="Q209" s="12">
        <v>3.3</v>
      </c>
      <c r="R209" s="12">
        <f t="shared" ref="R209:R232" si="106">10-Q209</f>
        <v>6.7</v>
      </c>
      <c r="S209" s="11">
        <f>LOOKUP(R209,{0,3.8,4,4.6,4.8,5,5.6,5.65,5.7,5.75,5.8,5.85,5.9,5.95,6,6.45,6.5,6.58,6.65,6.7,6.75},{0,10,20,30,40,50,60,62,64,66,68,70,72,74,76,78,80,85,90,95,100})</f>
        <v>95</v>
      </c>
      <c r="T209" s="12"/>
      <c r="U209" s="12"/>
      <c r="V209" s="12">
        <f t="shared" ref="V209:V232" si="107">S209+U209</f>
        <v>95</v>
      </c>
      <c r="W209" s="12"/>
      <c r="X209" s="20">
        <f t="shared" si="104"/>
        <v>63.6</v>
      </c>
      <c r="Y209" s="20">
        <f t="shared" ref="Y209:Y213" si="108">X209/0.7+L209+U209</f>
        <v>90.8571428571429</v>
      </c>
    </row>
    <row r="210" ht="15.6" hidden="1" outlineLevel="2" spans="1:25">
      <c r="A210" s="12">
        <v>205</v>
      </c>
      <c r="B210" s="12">
        <v>26</v>
      </c>
      <c r="C210" s="6" t="s">
        <v>240</v>
      </c>
      <c r="D210" s="6" t="s">
        <v>11</v>
      </c>
      <c r="E210" s="12">
        <v>20</v>
      </c>
      <c r="F210" s="11">
        <f>LOOKUP(E210,{0,-2.9,-1.9,-0.9,0.1,1.1,2.1,3.5,4.9,6.3,7.7,9.1,10.5,11.9,13.3,14.7,16.1,18.3,20.5,22.4,24.3},{0,10,20,30,40,50,60,62,64,66,68,70,72,74,76,78,80,85,90,95,100})</f>
        <v>85</v>
      </c>
      <c r="G210" s="12">
        <v>238</v>
      </c>
      <c r="H210" s="11">
        <f>LOOKUP(G210,{0,175,180,185,190,195,200,204,208,212,216,220,224,228,232,236,240,248,255,260,265},{0,10,20,30,40,50,60,62,64,66,68,70,72,74,76,78,80,85,90,95,100})</f>
        <v>78</v>
      </c>
      <c r="I210" s="12">
        <v>15</v>
      </c>
      <c r="J210" s="11">
        <f>LOOKUP(I210,{0,3,4,5,6,7,8,9,10,11,12,13,14,15,16,17},{0,10,20,30,40,50,60,64,68,72,76,80,85,90,95,100})</f>
        <v>90</v>
      </c>
      <c r="K210" s="12"/>
      <c r="L210" s="12"/>
      <c r="M210" s="12">
        <f t="shared" si="105"/>
        <v>90</v>
      </c>
      <c r="N210" s="12">
        <v>7.4</v>
      </c>
      <c r="O210" s="12">
        <f t="shared" si="102"/>
        <v>4.6</v>
      </c>
      <c r="P210" s="11">
        <f>LOOKUP(O210,{0,1.6,1.8,2,2.2,2.4,2.6,2.8,3,3.2,3.4,3.6,3.8,4,4.2,4.4,4.6,4.7,4.8,4.9,5},{0,10,20,30,40,50,60,62,64,66,68,70,72,74,76,78,80,85,90,95,100})</f>
        <v>80</v>
      </c>
      <c r="Q210" s="12">
        <v>4.04</v>
      </c>
      <c r="R210" s="12">
        <f t="shared" si="106"/>
        <v>5.96</v>
      </c>
      <c r="S210" s="11">
        <f>LOOKUP(R210,{0,3.8,4,4.6,4.8,5,5.6,5.65,5.7,5.75,5.8,5.85,5.9,5.95,6,6.45,6.5,6.58,6.65,6.7,6.75},{0,10,20,30,40,50,60,62,64,66,68,70,72,74,76,78,80,85,90,95,100})</f>
        <v>74</v>
      </c>
      <c r="T210" s="12"/>
      <c r="U210" s="12"/>
      <c r="V210" s="12">
        <f t="shared" si="107"/>
        <v>74</v>
      </c>
      <c r="W210" s="12"/>
      <c r="X210" s="20">
        <f t="shared" si="104"/>
        <v>56.1</v>
      </c>
      <c r="Y210" s="20">
        <f t="shared" si="108"/>
        <v>80.1428571428571</v>
      </c>
    </row>
    <row r="211" ht="15.6" hidden="1" outlineLevel="2" spans="1:25">
      <c r="A211" s="12">
        <v>205</v>
      </c>
      <c r="B211" s="12">
        <v>27</v>
      </c>
      <c r="C211" s="6" t="s">
        <v>241</v>
      </c>
      <c r="D211" s="6" t="s">
        <v>11</v>
      </c>
      <c r="E211" s="12">
        <v>15</v>
      </c>
      <c r="F211" s="11">
        <f>LOOKUP(E211,{0,-2.9,-1.9,-0.9,0.1,1.1,2.1,3.5,4.9,6.3,7.7,9.1,10.5,11.9,13.3,14.7,16.1,18.3,20.5,22.4,24.3},{0,10,20,30,40,50,60,62,64,66,68,70,72,74,76,78,80,85,90,95,100})</f>
        <v>78</v>
      </c>
      <c r="G211" s="12">
        <v>252</v>
      </c>
      <c r="H211" s="11">
        <f>LOOKUP(G211,{0,175,180,185,190,195,200,204,208,212,216,220,224,228,232,236,240,248,255,260,265},{0,10,20,30,40,50,60,62,64,66,68,70,72,74,76,78,80,85,90,95,100})</f>
        <v>85</v>
      </c>
      <c r="I211" s="12">
        <v>4</v>
      </c>
      <c r="J211" s="11">
        <f>LOOKUP(I211,{0,3,4,5,6,7,8,9,10,11,12,13,14,15,16,17},{0,10,20,30,40,50,60,64,68,72,76,80,85,90,95,100})</f>
        <v>20</v>
      </c>
      <c r="K211" s="12"/>
      <c r="L211" s="12"/>
      <c r="M211" s="12">
        <f t="shared" si="105"/>
        <v>20</v>
      </c>
      <c r="N211" s="12">
        <v>7</v>
      </c>
      <c r="O211" s="12">
        <f t="shared" si="102"/>
        <v>5</v>
      </c>
      <c r="P211" s="11">
        <f>LOOKUP(O211,{0,1.6,1.8,2,2.2,2.4,2.6,2.8,3,3.2,3.4,3.6,3.8,4,4.2,4.4,4.6,4.7,4.8,4.9,5},{0,10,20,30,40,50,60,62,64,66,68,70,72,74,76,78,80,85,90,95,100})</f>
        <v>100</v>
      </c>
      <c r="Q211" s="12">
        <v>4.05</v>
      </c>
      <c r="R211" s="12">
        <f t="shared" si="106"/>
        <v>5.95</v>
      </c>
      <c r="S211" s="11">
        <f>LOOKUP(R211,{0,3.8,4,4.6,4.8,5,5.6,5.65,5.7,5.75,5.8,5.85,5.9,5.95,6,6.45,6.5,6.58,6.65,6.7,6.75},{0,10,20,30,40,50,60,62,64,66,68,70,72,74,76,78,80,85,90,95,100})</f>
        <v>74</v>
      </c>
      <c r="T211" s="12"/>
      <c r="U211" s="12"/>
      <c r="V211" s="12">
        <f t="shared" si="107"/>
        <v>74</v>
      </c>
      <c r="W211" s="12"/>
      <c r="X211" s="20">
        <f t="shared" si="104"/>
        <v>53.1</v>
      </c>
      <c r="Y211" s="20">
        <f t="shared" si="108"/>
        <v>75.8571428571428</v>
      </c>
    </row>
    <row r="212" ht="15.6" hidden="1" outlineLevel="2" spans="1:25">
      <c r="A212" s="12">
        <v>205</v>
      </c>
      <c r="B212" s="12">
        <v>28</v>
      </c>
      <c r="C212" s="6" t="s">
        <v>242</v>
      </c>
      <c r="D212" s="6" t="s">
        <v>11</v>
      </c>
      <c r="E212" s="12">
        <v>15</v>
      </c>
      <c r="F212" s="11">
        <f>LOOKUP(E212,{0,-2.9,-1.9,-0.9,0.1,1.1,2.1,3.5,4.9,6.3,7.7,9.1,10.5,11.9,13.3,14.7,16.1,18.3,20.5,22.4,24.3},{0,10,20,30,40,50,60,62,64,66,68,70,72,74,76,78,80,85,90,95,100})</f>
        <v>78</v>
      </c>
      <c r="G212" s="12">
        <v>279</v>
      </c>
      <c r="H212" s="11">
        <f>LOOKUP(G212,{0,175,180,185,190,195,200,204,208,212,216,220,224,228,232,236,240,248,255,260,265},{0,10,20,30,40,50,60,62,64,66,68,70,72,74,76,78,80,85,90,95,100})</f>
        <v>100</v>
      </c>
      <c r="I212" s="12">
        <v>10</v>
      </c>
      <c r="J212" s="11">
        <f>LOOKUP(I212,{0,3,4,5,6,7,8,9,10,11,12,13,14,15,16,17},{0,10,20,30,40,50,60,64,68,72,76,80,85,90,95,100})</f>
        <v>68</v>
      </c>
      <c r="K212" s="12"/>
      <c r="L212" s="12"/>
      <c r="M212" s="12">
        <f t="shared" si="105"/>
        <v>68</v>
      </c>
      <c r="N212" s="12">
        <v>7.3</v>
      </c>
      <c r="O212" s="12">
        <f t="shared" si="102"/>
        <v>4.7</v>
      </c>
      <c r="P212" s="11">
        <f>LOOKUP(O212,{0,1.6,1.8,2,2.2,2.4,2.6,2.8,3,3.2,3.4,3.6,3.8,4,4.2,4.4,4.6,4.7,4.8,4.9,5},{0,10,20,30,40,50,60,62,64,66,68,70,72,74,76,78,80,85,90,95,100})</f>
        <v>85</v>
      </c>
      <c r="Q212" s="12">
        <v>3.36</v>
      </c>
      <c r="R212" s="12">
        <f t="shared" si="106"/>
        <v>6.64</v>
      </c>
      <c r="S212" s="11">
        <f>LOOKUP(R212,{0,3.8,4,4.6,4.8,5,5.6,5.65,5.7,5.75,5.8,5.85,5.9,5.95,6,6.45,6.5,6.58,6.65,6.7,6.75},{0,10,20,30,40,50,60,62,64,66,68,70,72,74,76,78,80,85,90,95,100})</f>
        <v>85</v>
      </c>
      <c r="T212" s="12"/>
      <c r="U212" s="12"/>
      <c r="V212" s="12">
        <f t="shared" si="107"/>
        <v>85</v>
      </c>
      <c r="W212" s="12"/>
      <c r="X212" s="20">
        <f t="shared" si="104"/>
        <v>58.6</v>
      </c>
      <c r="Y212" s="20">
        <f t="shared" si="108"/>
        <v>83.7142857142857</v>
      </c>
    </row>
    <row r="213" ht="15.6" hidden="1" outlineLevel="2" spans="1:25">
      <c r="A213" s="12">
        <v>205</v>
      </c>
      <c r="B213" s="12">
        <v>29</v>
      </c>
      <c r="C213" s="6" t="s">
        <v>243</v>
      </c>
      <c r="D213" s="6" t="s">
        <v>11</v>
      </c>
      <c r="E213" s="12">
        <v>18.5</v>
      </c>
      <c r="F213" s="11">
        <f>LOOKUP(E213,{0,-2.9,-1.9,-0.9,0.1,1.1,2.1,3.5,4.9,6.3,7.7,9.1,10.5,11.9,13.3,14.7,16.1,18.3,20.5,22.4,24.3},{0,10,20,30,40,50,60,62,64,66,68,70,72,74,76,78,80,85,90,95,100})</f>
        <v>85</v>
      </c>
      <c r="G213" s="12">
        <v>198</v>
      </c>
      <c r="H213" s="11">
        <f>LOOKUP(G213,{0,175,180,185,190,195,200,204,208,212,216,220,224,228,232,236,240,248,255,260,265},{0,10,20,30,40,50,60,62,64,66,68,70,72,74,76,78,80,85,90,95,100})</f>
        <v>50</v>
      </c>
      <c r="I213" s="12">
        <v>5</v>
      </c>
      <c r="J213" s="11">
        <f>LOOKUP(I213,{0,3,4,5,6,7,8,9,10,11,12,13,14,15,16,17},{0,10,20,30,40,50,60,64,68,72,76,80,85,90,95,100})</f>
        <v>30</v>
      </c>
      <c r="K213" s="12"/>
      <c r="L213" s="15"/>
      <c r="M213" s="12">
        <f t="shared" si="105"/>
        <v>30</v>
      </c>
      <c r="N213" s="12">
        <v>9.2</v>
      </c>
      <c r="O213" s="12">
        <f t="shared" si="102"/>
        <v>2.8</v>
      </c>
      <c r="P213" s="11">
        <f>LOOKUP(O213,{0,1.6,1.8,2,2.2,2.4,2.6,2.8,3,3.2,3.4,3.6,3.8,4,4.2,4.4,4.6,4.7,4.8,4.9,5},{0,10,20,30,40,50,60,62,64,66,68,70,72,74,76,78,80,85,90,95,100})</f>
        <v>62</v>
      </c>
      <c r="Q213" s="12">
        <v>4.17</v>
      </c>
      <c r="R213" s="12">
        <f t="shared" si="106"/>
        <v>5.83</v>
      </c>
      <c r="S213" s="11">
        <f>LOOKUP(R213,{0,3.8,4,4.6,4.8,5,5.6,5.65,5.7,5.75,5.8,5.85,5.9,5.95,6,6.45,6.5,6.58,6.65,6.7,6.75},{0,10,20,30,40,50,60,62,64,66,68,70,72,74,76,78,80,85,90,95,100})</f>
        <v>68</v>
      </c>
      <c r="T213" s="12"/>
      <c r="U213" s="12"/>
      <c r="V213" s="12">
        <f t="shared" si="107"/>
        <v>68</v>
      </c>
      <c r="W213" s="12"/>
      <c r="X213" s="20">
        <f t="shared" si="104"/>
        <v>42.5</v>
      </c>
      <c r="Y213" s="20">
        <f t="shared" si="108"/>
        <v>60.7142857142857</v>
      </c>
    </row>
    <row r="214" ht="15.6" hidden="1" outlineLevel="2" spans="1:25">
      <c r="A214" s="12">
        <v>205</v>
      </c>
      <c r="B214" s="12">
        <v>30</v>
      </c>
      <c r="C214" s="6" t="s">
        <v>244</v>
      </c>
      <c r="D214" s="6" t="s">
        <v>11</v>
      </c>
      <c r="E214" s="12"/>
      <c r="F214" s="11"/>
      <c r="G214" s="12">
        <v>214</v>
      </c>
      <c r="H214" s="11">
        <f>LOOKUP(G214,{0,175,180,185,190,195,200,204,208,212,216,220,224,228,232,236,240,248,255,260,265},{0,10,20,30,40,50,60,62,64,66,68,70,72,74,76,78,80,85,90,95,100})</f>
        <v>66</v>
      </c>
      <c r="I214" s="12">
        <v>2</v>
      </c>
      <c r="J214" s="11">
        <f>LOOKUP(I214,{0,3,4,5,6,7,8,9,10,11,12,13,14,15,16,17},{0,10,20,30,40,50,60,64,68,72,76,80,85,90,95,100})</f>
        <v>0</v>
      </c>
      <c r="K214" s="12"/>
      <c r="L214" s="12"/>
      <c r="M214" s="12">
        <f t="shared" si="105"/>
        <v>0</v>
      </c>
      <c r="N214" s="12">
        <v>7.7</v>
      </c>
      <c r="O214" s="12">
        <f t="shared" si="102"/>
        <v>4.3</v>
      </c>
      <c r="P214" s="11">
        <f>LOOKUP(O214,{0,1.6,1.8,2,2.2,2.4,2.6,2.8,3,3.2,3.4,3.6,3.8,4,4.2,4.4,4.6,4.7,4.8,4.9,5},{0,10,20,30,40,50,60,62,64,66,68,70,72,74,76,78,80,85,90,95,100})</f>
        <v>76</v>
      </c>
      <c r="Q214" s="12">
        <v>4.39</v>
      </c>
      <c r="R214" s="12">
        <f t="shared" si="106"/>
        <v>5.61</v>
      </c>
      <c r="S214" s="11">
        <f>LOOKUP(R214,{0,3.8,4,4.6,4.8,5,5.6,5.65,5.7,5.75,5.8,5.85,5.9,5.95,6,6.45,6.5,6.58,6.65,6.7,6.75},{0,10,20,30,40,50,60,62,64,66,68,70,72,74,76,78,80,85,90,95,100})</f>
        <v>60</v>
      </c>
      <c r="T214" s="12"/>
      <c r="U214" s="12"/>
      <c r="V214" s="12">
        <f t="shared" si="107"/>
        <v>60</v>
      </c>
      <c r="W214" s="12" t="s">
        <v>146</v>
      </c>
      <c r="X214" s="20">
        <f t="shared" si="104"/>
        <v>33.8</v>
      </c>
      <c r="Y214" s="20">
        <v>50</v>
      </c>
    </row>
    <row r="215" s="1" customFormat="1" ht="15.6" hidden="1" outlineLevel="2" spans="1:25">
      <c r="A215" s="12">
        <v>205</v>
      </c>
      <c r="B215" s="12">
        <v>31</v>
      </c>
      <c r="C215" s="13" t="s">
        <v>246</v>
      </c>
      <c r="D215" s="6" t="s">
        <v>11</v>
      </c>
      <c r="E215" s="12">
        <v>22.5</v>
      </c>
      <c r="F215" s="11">
        <f>LOOKUP(E215,{0,-2.9,-1.9,-0.9,0.1,1.1,2.1,3.5,4.9,6.3,7.7,9.1,10.5,11.9,13.3,14.7,16.1,18.3,20.5,22.4,24.3},{0,10,20,30,40,50,60,62,64,66,68,70,72,74,76,78,80,85,90,95,100})</f>
        <v>95</v>
      </c>
      <c r="G215" s="12">
        <v>247</v>
      </c>
      <c r="H215" s="11">
        <f>LOOKUP(G215,{0,175,180,185,190,195,200,204,208,212,216,220,224,228,232,236,240,248,255,260,265},{0,10,20,30,40,50,60,62,64,66,68,70,72,74,76,78,80,85,90,95,100})</f>
        <v>80</v>
      </c>
      <c r="I215" s="12">
        <v>9</v>
      </c>
      <c r="J215" s="11">
        <f>LOOKUP(I215,{0,3,4,5,6,7,8,9,10,11,12,13,14,15,16,17},{0,10,20,30,40,50,60,64,68,72,76,80,85,90,95,100})</f>
        <v>64</v>
      </c>
      <c r="K215" s="12"/>
      <c r="L215" s="12"/>
      <c r="M215" s="12">
        <f t="shared" si="105"/>
        <v>64</v>
      </c>
      <c r="N215" s="12">
        <v>7</v>
      </c>
      <c r="O215" s="12">
        <f t="shared" si="102"/>
        <v>5</v>
      </c>
      <c r="P215" s="11">
        <f>LOOKUP(O215,{0,1.6,1.8,2,2.2,2.4,2.6,2.8,3,3.2,3.4,3.6,3.8,4,4.2,4.4,4.6,4.7,4.8,4.9,5},{0,10,20,30,40,50,60,62,64,66,68,70,72,74,76,78,80,85,90,95,100})</f>
        <v>100</v>
      </c>
      <c r="Q215" s="12">
        <v>4.04</v>
      </c>
      <c r="R215" s="12">
        <f t="shared" si="106"/>
        <v>5.96</v>
      </c>
      <c r="S215" s="11">
        <f>LOOKUP(R215,{0,3.8,4,4.6,4.8,5,5.6,5.65,5.7,5.75,5.8,5.85,5.9,5.95,6,6.45,6.5,6.58,6.65,6.7,6.75},{0,10,20,30,40,50,60,62,64,66,68,70,72,74,76,78,80,85,90,95,100})</f>
        <v>74</v>
      </c>
      <c r="T215" s="12"/>
      <c r="U215" s="12"/>
      <c r="V215" s="12">
        <f t="shared" si="107"/>
        <v>74</v>
      </c>
      <c r="W215" s="12"/>
      <c r="X215" s="20">
        <f t="shared" si="104"/>
        <v>58.7</v>
      </c>
      <c r="Y215" s="20">
        <f t="shared" ref="Y215:Y232" si="109">X215/0.7+L215+U215</f>
        <v>83.8571428571429</v>
      </c>
    </row>
    <row r="216" ht="15.6" hidden="1" outlineLevel="2" spans="1:25">
      <c r="A216" s="12">
        <v>205</v>
      </c>
      <c r="B216" s="12">
        <v>32</v>
      </c>
      <c r="C216" s="6" t="s">
        <v>247</v>
      </c>
      <c r="D216" s="6" t="s">
        <v>11</v>
      </c>
      <c r="E216" s="12"/>
      <c r="F216" s="11"/>
      <c r="G216" s="12"/>
      <c r="H216" s="11"/>
      <c r="I216" s="12">
        <v>0</v>
      </c>
      <c r="J216" s="11">
        <f>LOOKUP(I216,{0,3,4,5,6,7,8,9,10,11,12,13,14,15,16,17},{0,10,20,30,40,50,60,64,68,72,76,80,85,90,95,100})</f>
        <v>0</v>
      </c>
      <c r="K216" s="12"/>
      <c r="L216" s="12"/>
      <c r="M216" s="12">
        <f t="shared" si="105"/>
        <v>0</v>
      </c>
      <c r="N216" s="12">
        <v>8.4</v>
      </c>
      <c r="O216" s="12">
        <f t="shared" si="102"/>
        <v>3.6</v>
      </c>
      <c r="P216" s="11">
        <f>LOOKUP(O216,{0,1.6,1.8,2,2.2,2.4,2.6,2.8,3,3.2,3.4,3.6,3.8,4,4.2,4.4,4.6,4.7,4.8,4.9,5},{0,10,20,30,40,50,60,62,64,66,68,70,72,74,76,78,80,85,90,95,100})</f>
        <v>70</v>
      </c>
      <c r="Q216" s="12">
        <v>4.47</v>
      </c>
      <c r="R216" s="12">
        <f t="shared" si="106"/>
        <v>5.53</v>
      </c>
      <c r="S216" s="11">
        <f>LOOKUP(R216,{0,3.8,4,4.6,4.8,5,5.6,5.65,5.7,5.75,5.8,5.85,5.9,5.95,6,6.45,6.5,6.58,6.65,6.7,6.75},{0,10,20,30,40,50,60,62,64,66,68,70,72,74,76,78,80,85,90,95,100})</f>
        <v>50</v>
      </c>
      <c r="T216" s="12"/>
      <c r="U216" s="12"/>
      <c r="V216" s="12">
        <f t="shared" si="107"/>
        <v>50</v>
      </c>
      <c r="W216" s="12" t="s">
        <v>16</v>
      </c>
      <c r="X216" s="20">
        <f t="shared" si="104"/>
        <v>24</v>
      </c>
      <c r="Y216" s="20">
        <v>50</v>
      </c>
    </row>
    <row r="217" ht="15.6" hidden="1" outlineLevel="2" spans="1:25">
      <c r="A217" s="12">
        <v>205</v>
      </c>
      <c r="B217" s="12">
        <v>33</v>
      </c>
      <c r="C217" s="6" t="s">
        <v>248</v>
      </c>
      <c r="D217" s="6" t="s">
        <v>11</v>
      </c>
      <c r="E217" s="12">
        <v>3.2</v>
      </c>
      <c r="F217" s="11">
        <f>LOOKUP(E217,{0,-2.9,-1.9,-0.9,0.1,1.1,2.1,3.5,4.9,6.3,7.7,9.1,10.5,11.9,13.3,14.7,16.1,18.3,20.5,22.4,24.3},{0,10,20,30,40,50,60,62,64,66,68,70,72,74,76,78,80,85,90,95,100})</f>
        <v>60</v>
      </c>
      <c r="G217" s="12">
        <v>218</v>
      </c>
      <c r="H217" s="11">
        <f>LOOKUP(G217,{0,175,180,185,190,195,200,204,208,212,216,220,224,228,232,236,240,248,255,260,265},{0,10,20,30,40,50,60,62,64,66,68,70,72,74,76,78,80,85,90,95,100})</f>
        <v>68</v>
      </c>
      <c r="I217" s="12">
        <v>0</v>
      </c>
      <c r="J217" s="11">
        <f>LOOKUP(I217,{0,3,4,5,6,7,8,9,10,11,12,13,14,15,16,17},{0,10,20,30,40,50,60,64,68,72,76,80,85,90,95,100})</f>
        <v>0</v>
      </c>
      <c r="K217" s="12"/>
      <c r="L217" s="12"/>
      <c r="M217" s="12">
        <f t="shared" si="105"/>
        <v>0</v>
      </c>
      <c r="N217" s="12">
        <v>8.2</v>
      </c>
      <c r="O217" s="12">
        <f t="shared" si="102"/>
        <v>3.8</v>
      </c>
      <c r="P217" s="11">
        <f>LOOKUP(O217,{0,1.6,1.8,2,2.2,2.4,2.6,2.8,3,3.2,3.4,3.6,3.8,4,4.2,4.4,4.6,4.7,4.8,4.9,5},{0,10,20,30,40,50,60,62,64,66,68,70,72,74,76,78,80,85,90,95,100})</f>
        <v>72</v>
      </c>
      <c r="Q217" s="12">
        <v>4.5</v>
      </c>
      <c r="R217" s="12">
        <f t="shared" si="106"/>
        <v>5.5</v>
      </c>
      <c r="S217" s="11">
        <f>LOOKUP(R217,{0,3.8,4,4.6,4.8,5,5.6,5.65,5.7,5.75,5.8,5.85,5.9,5.95,6,6.45,6.5,6.58,6.65,6.7,6.75},{0,10,20,30,40,50,60,62,64,66,68,70,72,74,76,78,80,85,90,95,100})</f>
        <v>50</v>
      </c>
      <c r="T217" s="12"/>
      <c r="U217" s="12"/>
      <c r="V217" s="12">
        <f t="shared" si="107"/>
        <v>50</v>
      </c>
      <c r="W217" s="12"/>
      <c r="X217" s="20">
        <f t="shared" si="104"/>
        <v>37.2</v>
      </c>
      <c r="Y217" s="20">
        <f t="shared" si="109"/>
        <v>53.1428571428572</v>
      </c>
    </row>
    <row r="218" ht="15.6" hidden="1" outlineLevel="2" spans="1:25">
      <c r="A218" s="12">
        <v>205</v>
      </c>
      <c r="B218" s="12">
        <v>34</v>
      </c>
      <c r="C218" s="6" t="s">
        <v>249</v>
      </c>
      <c r="D218" s="6" t="s">
        <v>11</v>
      </c>
      <c r="E218" s="12">
        <v>19</v>
      </c>
      <c r="F218" s="11">
        <f>LOOKUP(E218,{0,-2.9,-1.9,-0.9,0.1,1.1,2.1,3.5,4.9,6.3,7.7,9.1,10.5,11.9,13.3,14.7,16.1,18.3,20.5,22.4,24.3},{0,10,20,30,40,50,60,62,64,66,68,70,72,74,76,78,80,85,90,95,100})</f>
        <v>85</v>
      </c>
      <c r="G218" s="12">
        <v>242</v>
      </c>
      <c r="H218" s="11">
        <f>LOOKUP(G218,{0,175,180,185,190,195,200,204,208,212,216,220,224,228,232,236,240,248,255,260,265},{0,10,20,30,40,50,60,62,64,66,68,70,72,74,76,78,80,85,90,95,100})</f>
        <v>80</v>
      </c>
      <c r="I218" s="12">
        <v>17</v>
      </c>
      <c r="J218" s="11">
        <f>LOOKUP(I218,{0,3,4,5,6,7,8,9,10,11,12,13,14,15,16,17},{0,10,20,30,40,50,60,64,68,72,76,80,85,90,95,100})</f>
        <v>100</v>
      </c>
      <c r="K218" s="12">
        <f>I218-17</f>
        <v>0</v>
      </c>
      <c r="L218" s="11">
        <f>LOOKUP(K218,{0,1,2,3,4,5,6,7,8,9,10},{0,1,2,3,4,5,6,7,8,9,10})</f>
        <v>0</v>
      </c>
      <c r="M218" s="12">
        <f t="shared" si="105"/>
        <v>100</v>
      </c>
      <c r="N218" s="12">
        <v>7.7</v>
      </c>
      <c r="O218" s="12">
        <f t="shared" si="102"/>
        <v>4.3</v>
      </c>
      <c r="P218" s="11">
        <f>LOOKUP(O218,{0,1.6,1.8,2,2.2,2.4,2.6,2.8,3,3.2,3.4,3.6,3.8,4,4.2,4.4,4.6,4.7,4.8,4.9,5},{0,10,20,30,40,50,60,62,64,66,68,70,72,74,76,78,80,85,90,95,100})</f>
        <v>76</v>
      </c>
      <c r="Q218" s="12">
        <v>4.07</v>
      </c>
      <c r="R218" s="12">
        <f t="shared" si="106"/>
        <v>5.93</v>
      </c>
      <c r="S218" s="11">
        <f>LOOKUP(R218,{0,3.8,4,4.6,4.8,5,5.6,5.65,5.7,5.75,5.8,5.85,5.9,5.95,6,6.45,6.5,6.58,6.65,6.7,6.75},{0,10,20,30,40,50,60,62,64,66,68,70,72,74,76,78,80,85,90,95,100})</f>
        <v>72</v>
      </c>
      <c r="T218" s="12"/>
      <c r="U218" s="12"/>
      <c r="V218" s="12">
        <f t="shared" si="107"/>
        <v>72</v>
      </c>
      <c r="W218" s="12"/>
      <c r="X218" s="20">
        <f t="shared" si="104"/>
        <v>56.1</v>
      </c>
      <c r="Y218" s="20">
        <f t="shared" si="109"/>
        <v>80.1428571428572</v>
      </c>
    </row>
    <row r="219" ht="15.6" hidden="1" outlineLevel="2" spans="1:25">
      <c r="A219" s="12">
        <v>205</v>
      </c>
      <c r="B219" s="12">
        <v>35</v>
      </c>
      <c r="C219" s="6" t="s">
        <v>250</v>
      </c>
      <c r="D219" s="6" t="s">
        <v>11</v>
      </c>
      <c r="E219" s="12">
        <v>-11.6</v>
      </c>
      <c r="F219" s="11">
        <v>0</v>
      </c>
      <c r="G219" s="12">
        <v>217</v>
      </c>
      <c r="H219" s="11">
        <f>LOOKUP(G219,{0,175,180,185,190,195,200,204,208,212,216,220,224,228,232,236,240,248,255,260,265},{0,10,20,30,40,50,60,62,64,66,68,70,72,74,76,78,80,85,90,95,100})</f>
        <v>68</v>
      </c>
      <c r="I219" s="12">
        <v>3</v>
      </c>
      <c r="J219" s="11">
        <f>LOOKUP(I219,{0,3,4,5,6,7,8,9,10,11,12,13,14,15,16,17},{0,10,20,30,40,50,60,64,68,72,76,80,85,90,95,100})</f>
        <v>10</v>
      </c>
      <c r="K219" s="12"/>
      <c r="L219" s="15"/>
      <c r="M219" s="12">
        <f t="shared" si="105"/>
        <v>10</v>
      </c>
      <c r="N219" s="12">
        <v>7.5</v>
      </c>
      <c r="O219" s="12">
        <f t="shared" si="102"/>
        <v>4.5</v>
      </c>
      <c r="P219" s="11">
        <f>LOOKUP(O219,{0,1.6,1.8,2,2.2,2.4,2.6,2.8,3,3.2,3.4,3.6,3.8,4,4.2,4.4,4.6,4.7,4.8,4.9,5},{0,10,20,30,40,50,60,62,64,66,68,70,72,74,76,78,80,85,90,95,100})</f>
        <v>78</v>
      </c>
      <c r="Q219" s="12">
        <v>3.54</v>
      </c>
      <c r="R219" s="12">
        <f t="shared" si="106"/>
        <v>6.46</v>
      </c>
      <c r="S219" s="11">
        <f>LOOKUP(R219,{0,3.8,4,4.6,4.8,5,5.6,5.65,5.7,5.75,5.8,5.85,5.9,5.95,6,6.45,6.5,6.58,6.65,6.7,6.75},{0,10,20,30,40,50,60,62,64,66,68,70,72,74,76,78,80,85,90,95,100})</f>
        <v>78</v>
      </c>
      <c r="T219" s="12"/>
      <c r="U219" s="12"/>
      <c r="V219" s="12">
        <f t="shared" si="107"/>
        <v>78</v>
      </c>
      <c r="W219" s="12"/>
      <c r="X219" s="20">
        <f t="shared" si="104"/>
        <v>39</v>
      </c>
      <c r="Y219" s="20">
        <f t="shared" si="109"/>
        <v>55.7142857142857</v>
      </c>
    </row>
    <row r="220" ht="15.6" hidden="1" outlineLevel="2" spans="1:25">
      <c r="A220" s="12">
        <v>205</v>
      </c>
      <c r="B220" s="12">
        <v>36</v>
      </c>
      <c r="C220" s="6" t="s">
        <v>251</v>
      </c>
      <c r="D220" s="6" t="s">
        <v>11</v>
      </c>
      <c r="E220" s="12">
        <v>8.9</v>
      </c>
      <c r="F220" s="11">
        <f>LOOKUP(E220,{0,-2.9,-1.9,-0.9,0.1,1.1,2.1,3.5,4.9,6.3,7.7,9.1,10.5,11.9,13.3,14.7,16.1,18.3,20.5,22.4,24.3},{0,10,20,30,40,50,60,62,64,66,68,70,72,74,76,78,80,85,90,95,100})</f>
        <v>68</v>
      </c>
      <c r="G220" s="12">
        <v>260</v>
      </c>
      <c r="H220" s="11">
        <f>LOOKUP(G220,{0,175,180,185,190,195,200,204,208,212,216,220,224,228,232,236,240,248,255,260,265},{0,10,20,30,40,50,60,62,64,66,68,70,72,74,76,78,80,85,90,95,100})</f>
        <v>95</v>
      </c>
      <c r="I220" s="12">
        <v>10</v>
      </c>
      <c r="J220" s="11">
        <f>LOOKUP(I220,{0,3,4,5,6,7,8,9,10,11,12,13,14,15,16,17},{0,10,20,30,40,50,60,64,68,72,76,80,85,90,95,100})</f>
        <v>68</v>
      </c>
      <c r="K220" s="12"/>
      <c r="L220" s="12"/>
      <c r="M220" s="12">
        <f t="shared" si="105"/>
        <v>68</v>
      </c>
      <c r="N220" s="12">
        <v>6.7</v>
      </c>
      <c r="O220" s="12">
        <f t="shared" si="102"/>
        <v>5.3</v>
      </c>
      <c r="P220" s="11">
        <f>LOOKUP(O220,{0,1.6,1.8,2,2.2,2.4,2.6,2.8,3,3.2,3.4,3.6,3.8,4,4.2,4.4,4.6,4.7,4.8,4.9,5},{0,10,20,30,40,50,60,62,64,66,68,70,72,74,76,78,80,85,90,95,100})</f>
        <v>100</v>
      </c>
      <c r="Q220" s="12">
        <v>3.26</v>
      </c>
      <c r="R220" s="12">
        <f t="shared" si="106"/>
        <v>6.74</v>
      </c>
      <c r="S220" s="11">
        <f>LOOKUP(R220,{0,3.8,4,4.6,4.8,5,5.6,5.65,5.7,5.75,5.8,5.85,5.9,5.95,6,6.45,6.5,6.58,6.65,6.7,6.75},{0,10,20,30,40,50,60,62,64,66,68,70,72,74,76,78,80,85,90,95,100})</f>
        <v>95</v>
      </c>
      <c r="T220" s="12"/>
      <c r="U220" s="12"/>
      <c r="V220" s="12">
        <f t="shared" si="107"/>
        <v>95</v>
      </c>
      <c r="W220" s="12"/>
      <c r="X220" s="20">
        <f t="shared" si="104"/>
        <v>62.1</v>
      </c>
      <c r="Y220" s="20">
        <f t="shared" si="109"/>
        <v>88.7142857142857</v>
      </c>
    </row>
    <row r="221" ht="15.6" hidden="1" outlineLevel="2" spans="1:25">
      <c r="A221" s="12">
        <v>205</v>
      </c>
      <c r="B221" s="12">
        <v>37</v>
      </c>
      <c r="C221" s="6" t="s">
        <v>252</v>
      </c>
      <c r="D221" s="6" t="s">
        <v>11</v>
      </c>
      <c r="E221" s="12">
        <v>16</v>
      </c>
      <c r="F221" s="11">
        <f>LOOKUP(E221,{0,-2.9,-1.9,-0.9,0.1,1.1,2.1,3.5,4.9,6.3,7.7,9.1,10.5,11.9,13.3,14.7,16.1,18.3,20.5,22.4,24.3},{0,10,20,30,40,50,60,62,64,66,68,70,72,74,76,78,80,85,90,95,100})</f>
        <v>78</v>
      </c>
      <c r="G221" s="12">
        <v>225</v>
      </c>
      <c r="H221" s="11">
        <f>LOOKUP(G221,{0,175,180,185,190,195,200,204,208,212,216,220,224,228,232,236,240,248,255,260,265},{0,10,20,30,40,50,60,62,64,66,68,70,72,74,76,78,80,85,90,95,100})</f>
        <v>72</v>
      </c>
      <c r="I221" s="12">
        <v>3</v>
      </c>
      <c r="J221" s="11">
        <f>LOOKUP(I221,{0,3,4,5,6,7,8,9,10,11,12,13,14,15,16,17},{0,10,20,30,40,50,60,64,68,72,76,80,85,90,95,100})</f>
        <v>10</v>
      </c>
      <c r="K221" s="12"/>
      <c r="L221" s="12"/>
      <c r="M221" s="12">
        <f t="shared" si="105"/>
        <v>10</v>
      </c>
      <c r="N221" s="12">
        <v>7</v>
      </c>
      <c r="O221" s="12">
        <f t="shared" si="102"/>
        <v>5</v>
      </c>
      <c r="P221" s="11">
        <f>LOOKUP(O221,{0,1.6,1.8,2,2.2,2.4,2.6,2.8,3,3.2,3.4,3.6,3.8,4,4.2,4.4,4.6,4.7,4.8,4.9,5},{0,10,20,30,40,50,60,62,64,66,68,70,72,74,76,78,80,85,90,95,100})</f>
        <v>100</v>
      </c>
      <c r="Q221" s="12">
        <v>4.08</v>
      </c>
      <c r="R221" s="12">
        <f t="shared" si="106"/>
        <v>5.92</v>
      </c>
      <c r="S221" s="11">
        <f>LOOKUP(R221,{0,3.8,4,4.6,4.8,5,5.6,5.65,5.7,5.75,5.8,5.85,5.9,5.95,6,6.45,6.5,6.58,6.65,6.7,6.75},{0,10,20,30,40,50,60,62,64,66,68,70,72,74,76,78,80,85,90,95,100})</f>
        <v>72</v>
      </c>
      <c r="T221" s="12"/>
      <c r="U221" s="12"/>
      <c r="V221" s="12">
        <f t="shared" si="107"/>
        <v>72</v>
      </c>
      <c r="W221" s="12"/>
      <c r="X221" s="20">
        <f t="shared" si="104"/>
        <v>50.4</v>
      </c>
      <c r="Y221" s="20">
        <f t="shared" si="109"/>
        <v>72</v>
      </c>
    </row>
    <row r="222" ht="15.6" hidden="1" outlineLevel="2" spans="1:25">
      <c r="A222" s="12">
        <v>205</v>
      </c>
      <c r="B222" s="12">
        <v>38</v>
      </c>
      <c r="C222" s="6" t="s">
        <v>253</v>
      </c>
      <c r="D222" s="6" t="s">
        <v>11</v>
      </c>
      <c r="E222" s="12">
        <v>19</v>
      </c>
      <c r="F222" s="11">
        <f>LOOKUP(E222,{0,-2.9,-1.9,-0.9,0.1,1.1,2.1,3.5,4.9,6.3,7.7,9.1,10.5,11.9,13.3,14.7,16.1,18.3,20.5,22.4,24.3},{0,10,20,30,40,50,60,62,64,66,68,70,72,74,76,78,80,85,90,95,100})</f>
        <v>85</v>
      </c>
      <c r="G222" s="12">
        <v>235</v>
      </c>
      <c r="H222" s="11">
        <f>LOOKUP(G222,{0,175,180,185,190,195,200,204,208,212,216,220,224,228,232,236,240,248,255,260,265},{0,10,20,30,40,50,60,62,64,66,68,70,72,74,76,78,80,85,90,95,100})</f>
        <v>76</v>
      </c>
      <c r="I222" s="12">
        <v>7</v>
      </c>
      <c r="J222" s="11">
        <f>LOOKUP(I222,{0,3,4,5,6,7,8,9,10,11,12,13,14,15,16,17},{0,10,20,30,40,50,60,64,68,72,76,80,85,90,95,100})</f>
        <v>50</v>
      </c>
      <c r="K222" s="12"/>
      <c r="L222" s="12"/>
      <c r="M222" s="12">
        <f t="shared" si="105"/>
        <v>50</v>
      </c>
      <c r="N222" s="12">
        <v>7.5</v>
      </c>
      <c r="O222" s="12">
        <f t="shared" si="102"/>
        <v>4.5</v>
      </c>
      <c r="P222" s="11">
        <f>LOOKUP(O222,{0,1.6,1.8,2,2.2,2.4,2.6,2.8,3,3.2,3.4,3.6,3.8,4,4.2,4.4,4.6,4.7,4.8,4.9,5},{0,10,20,30,40,50,60,62,64,66,68,70,72,74,76,78,80,85,90,95,100})</f>
        <v>78</v>
      </c>
      <c r="Q222" s="12">
        <v>4.07</v>
      </c>
      <c r="R222" s="12">
        <f t="shared" si="106"/>
        <v>5.93</v>
      </c>
      <c r="S222" s="11">
        <f>LOOKUP(R222,{0,3.8,4,4.6,4.8,5,5.6,5.65,5.7,5.75,5.8,5.85,5.9,5.95,6,6.45,6.5,6.58,6.65,6.7,6.75},{0,10,20,30,40,50,60,62,64,66,68,70,72,74,76,78,80,85,90,95,100})</f>
        <v>72</v>
      </c>
      <c r="T222" s="12"/>
      <c r="U222" s="12"/>
      <c r="V222" s="12">
        <f t="shared" si="107"/>
        <v>72</v>
      </c>
      <c r="W222" s="12"/>
      <c r="X222" s="20">
        <f t="shared" si="104"/>
        <v>51.1</v>
      </c>
      <c r="Y222" s="20">
        <f t="shared" si="109"/>
        <v>73</v>
      </c>
    </row>
    <row r="223" ht="15.6" hidden="1" outlineLevel="2" spans="1:25">
      <c r="A223" s="12">
        <v>205</v>
      </c>
      <c r="B223" s="12">
        <v>39</v>
      </c>
      <c r="C223" s="6" t="s">
        <v>254</v>
      </c>
      <c r="D223" s="6" t="s">
        <v>11</v>
      </c>
      <c r="E223" s="12">
        <v>12</v>
      </c>
      <c r="F223" s="11">
        <f>LOOKUP(E223,{0,-2.9,-1.9,-0.9,0.1,1.1,2.1,3.5,4.9,6.3,7.7,9.1,10.5,11.9,13.3,14.7,16.1,18.3,20.5,22.4,24.3},{0,10,20,30,40,50,60,62,64,66,68,70,72,74,76,78,80,85,90,95,100})</f>
        <v>74</v>
      </c>
      <c r="G223" s="12">
        <v>265</v>
      </c>
      <c r="H223" s="11">
        <f>LOOKUP(G223,{0,175,180,185,190,195,200,204,208,212,216,220,224,228,232,236,240,248,255,260,265},{0,10,20,30,40,50,60,62,64,66,68,70,72,74,76,78,80,85,90,95,100})</f>
        <v>100</v>
      </c>
      <c r="I223" s="12">
        <v>12</v>
      </c>
      <c r="J223" s="11">
        <f>LOOKUP(I223,{0,3,4,5,6,7,8,9,10,11,12,13,14,15,16,17},{0,10,20,30,40,50,60,64,68,72,76,80,85,90,95,100})</f>
        <v>76</v>
      </c>
      <c r="K223" s="12"/>
      <c r="L223" s="12"/>
      <c r="M223" s="12">
        <f t="shared" si="105"/>
        <v>76</v>
      </c>
      <c r="N223" s="12"/>
      <c r="O223" s="12"/>
      <c r="P223" s="11"/>
      <c r="Q223" s="12">
        <v>3.24</v>
      </c>
      <c r="R223" s="12">
        <f t="shared" si="106"/>
        <v>6.76</v>
      </c>
      <c r="S223" s="11">
        <f>LOOKUP(R223,{0,3.8,4,4.6,4.8,5,5.6,5.65,5.7,5.75,5.8,5.85,5.9,5.95,6,6.45,6.5,6.58,6.65,6.7,6.75},{0,10,20,30,40,50,60,62,64,66,68,70,72,74,76,78,80,85,90,95,100})</f>
        <v>100</v>
      </c>
      <c r="T223" s="12">
        <f>3.25-Q223</f>
        <v>0.00999999999999979</v>
      </c>
      <c r="U223" s="11">
        <f>LOOKUP(T223,{0,0.04,0.08,0.12,0.16,0.2,0.23,0.26,0.29,0.32,0.35},{0,1,2,3,4,5,6,7,8,9,10})</f>
        <v>0</v>
      </c>
      <c r="V223" s="12">
        <f t="shared" si="107"/>
        <v>100</v>
      </c>
      <c r="W223" s="12"/>
      <c r="X223" s="20">
        <f t="shared" si="104"/>
        <v>45</v>
      </c>
      <c r="Y223" s="20">
        <f t="shared" si="109"/>
        <v>64.2857142857143</v>
      </c>
    </row>
    <row r="224" ht="15.6" hidden="1" outlineLevel="2" spans="1:25">
      <c r="A224" s="12">
        <v>205</v>
      </c>
      <c r="B224" s="12">
        <v>40</v>
      </c>
      <c r="C224" s="13" t="s">
        <v>256</v>
      </c>
      <c r="D224" s="6" t="s">
        <v>53</v>
      </c>
      <c r="E224" s="12">
        <v>18.4</v>
      </c>
      <c r="F224" s="11">
        <f>LOOKUP(E224,{0,1,1.8,2.6,3.4,4.2,5,6.3,7.6,8.9,10.2,11.5,12.8,14.1,15.4,16.7,18,19.7,21.4,23.1,24.8},{0,10,20,30,40,50,60,62,64,66,68,70,72,74,76,78,80,85,90,95,100})</f>
        <v>80</v>
      </c>
      <c r="G224" s="12">
        <v>172</v>
      </c>
      <c r="H224" s="11">
        <f>LOOKUP(G224,{0,124,129,134,139,144,149,152,155,158,161,164,167,170,173,176,179,186,193,199,205},{0,10,20,30,40,50,60,62,64,66,68,70,72,74,76,78,80,85,90,95,100})</f>
        <v>74</v>
      </c>
      <c r="I224" s="12">
        <v>48</v>
      </c>
      <c r="J224" s="11">
        <f>LOOKUP(I224,{0,14,16,18,20,22,24,26,28,30,32,34,36,38,40,42,44,47,50,52,54},{0,10,20,30,40,50,60,62,64,66,68,70,72,74,76,78,80,85,90,95,100})</f>
        <v>85</v>
      </c>
      <c r="K224" s="12"/>
      <c r="L224" s="12"/>
      <c r="M224" s="12">
        <f t="shared" si="105"/>
        <v>85</v>
      </c>
      <c r="N224" s="12">
        <v>9.1</v>
      </c>
      <c r="O224" s="12">
        <f t="shared" ref="O224:O232" si="110">12-N224</f>
        <v>2.9</v>
      </c>
      <c r="P224" s="11">
        <f>LOOKUP(O224,{0,0.5,0.7,0.9,1.1,1.3,1.5,1.7,1.9,2.1,2.3,2.5,2.7,2.9,3.1,3.3,3.5,3.8,4.1,4.2,4.3},{0,10,20,30,40,50,60,62,64,66,68,70,72,74,76,78,80,85,90,95,100})</f>
        <v>74</v>
      </c>
      <c r="Q224" s="12">
        <v>3.5</v>
      </c>
      <c r="R224" s="12">
        <f t="shared" si="106"/>
        <v>6.5</v>
      </c>
      <c r="S224" s="11">
        <f>LOOKUP(R224,{0,4.72,4.82,4.92,5.42,5.52,5.62,5.67,5.72,5.77,5.82,5.87,5.92,5.97,6.42,6.47,6.52,6.59,6.66,6.72,6.78},{0,10,20,30,40,50,60,62,64,66,68,70,72,74,76,78,80,85,90,95,100})</f>
        <v>78</v>
      </c>
      <c r="T224" s="12"/>
      <c r="U224" s="12"/>
      <c r="V224" s="12">
        <f t="shared" si="107"/>
        <v>78</v>
      </c>
      <c r="W224" s="12"/>
      <c r="X224" s="20">
        <f t="shared" si="104"/>
        <v>54.3</v>
      </c>
      <c r="Y224" s="20">
        <f t="shared" si="109"/>
        <v>77.5714285714286</v>
      </c>
    </row>
    <row r="225" ht="15.6" hidden="1" outlineLevel="2" spans="1:25">
      <c r="A225" s="12">
        <v>205</v>
      </c>
      <c r="B225" s="12">
        <v>41</v>
      </c>
      <c r="C225" s="6" t="s">
        <v>257</v>
      </c>
      <c r="D225" s="6" t="s">
        <v>53</v>
      </c>
      <c r="E225" s="12">
        <v>28.4</v>
      </c>
      <c r="F225" s="11">
        <f>LOOKUP(E225,{0,1,1.8,2.6,3.4,4.2,5,6.3,7.6,8.9,10.2,11.5,12.8,14.1,15.4,16.7,18,19.7,21.4,23.1,24.8},{0,10,20,30,40,50,60,62,64,66,68,70,72,74,76,78,80,85,90,95,100})</f>
        <v>100</v>
      </c>
      <c r="G225" s="12">
        <v>200</v>
      </c>
      <c r="H225" s="11">
        <f>LOOKUP(G225,{0,124,129,134,139,144,149,152,155,158,161,164,167,170,173,176,179,186,193,199,205},{0,10,20,30,40,50,60,62,64,66,68,70,72,74,76,78,80,85,90,95,100})</f>
        <v>95</v>
      </c>
      <c r="I225" s="12">
        <v>57</v>
      </c>
      <c r="J225" s="11">
        <f>LOOKUP(I225,{0,14,16,18,20,22,24,26,28,30,32,34,36,38,40,42,44,47,50,52,54},{0,10,20,30,40,50,60,62,64,66,68,70,72,74,76,78,80,85,90,95,100})</f>
        <v>100</v>
      </c>
      <c r="K225" s="12">
        <f t="shared" ref="K225:K230" si="111">I225-54</f>
        <v>3</v>
      </c>
      <c r="L225" s="16">
        <f>LOOKUP(K225,{0,2,4,6,7,8,9,10,11,12,13},{0,1,2,3,4,5,6,7,8,9,10})</f>
        <v>1</v>
      </c>
      <c r="M225" s="12">
        <f t="shared" si="105"/>
        <v>101</v>
      </c>
      <c r="N225" s="12">
        <v>8.2</v>
      </c>
      <c r="O225" s="12">
        <f t="shared" si="110"/>
        <v>3.8</v>
      </c>
      <c r="P225" s="11">
        <f>LOOKUP(O225,{0,0.5,0.7,0.9,1.1,1.3,1.5,1.7,1.9,2.1,2.3,2.5,2.7,2.9,3.1,3.3,3.5,3.8,4.1,4.2,4.3},{0,10,20,30,40,50,60,62,64,66,68,70,72,74,76,78,80,85,90,95,100})</f>
        <v>85</v>
      </c>
      <c r="Q225" s="12">
        <v>3.27</v>
      </c>
      <c r="R225" s="12">
        <f t="shared" si="106"/>
        <v>6.73</v>
      </c>
      <c r="S225" s="11">
        <f>LOOKUP(R225,{0,4.72,4.82,4.92,5.42,5.52,5.62,5.67,5.72,5.77,5.82,5.87,5.92,5.97,6.42,6.47,6.52,6.59,6.66,6.72,6.78},{0,10,20,30,40,50,60,62,64,66,68,70,72,74,76,78,80,85,90,95,100})</f>
        <v>95</v>
      </c>
      <c r="T225" s="12"/>
      <c r="U225" s="12"/>
      <c r="V225" s="12">
        <f t="shared" si="107"/>
        <v>95</v>
      </c>
      <c r="W225" s="12"/>
      <c r="X225" s="20">
        <f t="shared" si="104"/>
        <v>65.5</v>
      </c>
      <c r="Y225" s="20">
        <f t="shared" si="109"/>
        <v>94.5714285714286</v>
      </c>
    </row>
    <row r="226" ht="15.6" hidden="1" outlineLevel="2" spans="1:25">
      <c r="A226" s="12">
        <v>205</v>
      </c>
      <c r="B226" s="12">
        <v>42</v>
      </c>
      <c r="C226" s="6" t="s">
        <v>258</v>
      </c>
      <c r="D226" s="6" t="s">
        <v>53</v>
      </c>
      <c r="E226" s="12">
        <v>13.5</v>
      </c>
      <c r="F226" s="11">
        <f>LOOKUP(E226,{0,1,1.8,2.6,3.4,4.2,5,6.3,7.6,8.9,10.2,11.5,12.8,14.1,15.4,16.7,18,19.7,21.4,23.1,24.8},{0,10,20,30,40,50,60,62,64,66,68,70,72,74,76,78,80,85,90,95,100})</f>
        <v>72</v>
      </c>
      <c r="G226" s="12">
        <v>185</v>
      </c>
      <c r="H226" s="11">
        <f>LOOKUP(G226,{0,124,129,134,139,144,149,152,155,158,161,164,167,170,173,176,179,186,193,199,205},{0,10,20,30,40,50,60,62,64,66,68,70,72,74,76,78,80,85,90,95,100})</f>
        <v>80</v>
      </c>
      <c r="I226" s="12">
        <v>60</v>
      </c>
      <c r="J226" s="11">
        <f>LOOKUP(I226,{0,14,16,18,20,22,24,26,28,30,32,34,36,38,40,42,44,47,50,52,54},{0,10,20,30,40,50,60,62,64,66,68,70,72,74,76,78,80,85,90,95,100})</f>
        <v>100</v>
      </c>
      <c r="K226" s="12">
        <f t="shared" si="111"/>
        <v>6</v>
      </c>
      <c r="L226" s="11">
        <f>LOOKUP(K226,{0,2,4,6,7,8,9,10,11,12,13},{0,1,2,3,4,5,6,7,8,9,10})</f>
        <v>3</v>
      </c>
      <c r="M226" s="12">
        <f t="shared" si="105"/>
        <v>103</v>
      </c>
      <c r="N226" s="12">
        <v>8.7</v>
      </c>
      <c r="O226" s="12">
        <f t="shared" si="110"/>
        <v>3.3</v>
      </c>
      <c r="P226" s="11">
        <f>LOOKUP(O226,{0,0.5,0.7,0.9,1.1,1.3,1.5,1.7,1.9,2.1,2.3,2.5,2.7,2.9,3.1,3.3,3.5,3.8,4.1,4.2,4.3},{0,10,20,30,40,50,60,62,64,66,68,70,72,74,76,78,80,85,90,95,100})</f>
        <v>78</v>
      </c>
      <c r="Q226" s="12">
        <v>3.42</v>
      </c>
      <c r="R226" s="12">
        <f t="shared" si="106"/>
        <v>6.58</v>
      </c>
      <c r="S226" s="11">
        <f>LOOKUP(R226,{0,4.72,4.82,4.92,5.42,5.52,5.62,5.67,5.72,5.77,5.82,5.87,5.92,5.97,6.42,6.47,6.52,6.59,6.66,6.72,6.78},{0,10,20,30,40,50,60,62,64,66,68,70,72,74,76,78,80,85,90,95,100})</f>
        <v>80</v>
      </c>
      <c r="T226" s="12"/>
      <c r="U226" s="12"/>
      <c r="V226" s="12">
        <f t="shared" si="107"/>
        <v>80</v>
      </c>
      <c r="W226" s="12"/>
      <c r="X226" s="20">
        <f t="shared" si="104"/>
        <v>56.8</v>
      </c>
      <c r="Y226" s="20">
        <f t="shared" si="109"/>
        <v>84.1428571428571</v>
      </c>
    </row>
    <row r="227" s="1" customFormat="1" ht="15.6" hidden="1" outlineLevel="2" spans="1:25">
      <c r="A227" s="12">
        <v>205</v>
      </c>
      <c r="B227" s="12">
        <v>43</v>
      </c>
      <c r="C227" s="6" t="s">
        <v>259</v>
      </c>
      <c r="D227" s="6" t="s">
        <v>53</v>
      </c>
      <c r="E227" s="12">
        <v>27.7</v>
      </c>
      <c r="F227" s="11">
        <f>LOOKUP(E227,{0,1,1.8,2.6,3.4,4.2,5,6.3,7.6,8.9,10.2,11.5,12.8,14.1,15.4,16.7,18,19.7,21.4,23.1,24.8},{0,10,20,30,40,50,60,62,64,66,68,70,72,74,76,78,80,85,90,95,100})</f>
        <v>100</v>
      </c>
      <c r="G227" s="12">
        <v>165</v>
      </c>
      <c r="H227" s="11">
        <f>LOOKUP(G227,{0,124,129,134,139,144,149,152,155,158,161,164,167,170,173,176,179,186,193,199,205},{0,10,20,30,40,50,60,62,64,66,68,70,72,74,76,78,80,85,90,95,100})</f>
        <v>70</v>
      </c>
      <c r="I227" s="12">
        <v>53</v>
      </c>
      <c r="J227" s="11">
        <f>LOOKUP(I227,{0,14,16,18,20,22,24,26,28,30,32,34,36,38,40,42,44,47,50,52,54},{0,10,20,30,40,50,60,62,64,66,68,70,72,74,76,78,80,85,90,95,100})</f>
        <v>95</v>
      </c>
      <c r="K227" s="12"/>
      <c r="L227" s="12"/>
      <c r="M227" s="12">
        <f t="shared" si="105"/>
        <v>95</v>
      </c>
      <c r="N227" s="12">
        <v>9.3</v>
      </c>
      <c r="O227" s="12">
        <f t="shared" si="110"/>
        <v>2.7</v>
      </c>
      <c r="P227" s="11">
        <f>LOOKUP(O227,{0,0.5,0.7,0.9,1.1,1.3,1.5,1.7,1.9,2.1,2.3,2.5,2.7,2.9,3.1,3.3,3.5,3.8,4.1,4.2,4.3},{0,10,20,30,40,50,60,62,64,66,68,70,72,74,76,78,80,85,90,95,100})</f>
        <v>72</v>
      </c>
      <c r="Q227" s="12">
        <v>3.5</v>
      </c>
      <c r="R227" s="12">
        <f t="shared" si="106"/>
        <v>6.5</v>
      </c>
      <c r="S227" s="11">
        <f>LOOKUP(R227,{0,4.72,4.82,4.92,5.42,5.52,5.62,5.67,5.72,5.77,5.82,5.87,5.92,5.97,6.42,6.47,6.52,6.59,6.66,6.72,6.78},{0,10,20,30,40,50,60,62,64,66,68,70,72,74,76,78,80,85,90,95,100})</f>
        <v>78</v>
      </c>
      <c r="T227" s="12"/>
      <c r="U227" s="12"/>
      <c r="V227" s="12">
        <f t="shared" si="107"/>
        <v>78</v>
      </c>
      <c r="W227" s="12"/>
      <c r="X227" s="20">
        <f t="shared" si="104"/>
        <v>56.5</v>
      </c>
      <c r="Y227" s="20">
        <f t="shared" si="109"/>
        <v>80.7142857142857</v>
      </c>
    </row>
    <row r="228" ht="15.6" hidden="1" outlineLevel="2" spans="1:25">
      <c r="A228" s="12">
        <v>205</v>
      </c>
      <c r="B228" s="12">
        <v>44</v>
      </c>
      <c r="C228" s="6" t="s">
        <v>260</v>
      </c>
      <c r="D228" s="6" t="s">
        <v>53</v>
      </c>
      <c r="E228" s="12">
        <v>16.5</v>
      </c>
      <c r="F228" s="11">
        <f>LOOKUP(E228,{0,1,1.8,2.6,3.4,4.2,5,6.3,7.6,8.9,10.2,11.5,12.8,14.1,15.4,16.7,18,19.7,21.4,23.1,24.8},{0,10,20,30,40,50,60,62,64,66,68,70,72,74,76,78,80,85,90,95,100})</f>
        <v>76</v>
      </c>
      <c r="G228" s="12">
        <v>165</v>
      </c>
      <c r="H228" s="11">
        <f>LOOKUP(G228,{0,124,129,134,139,144,149,152,155,158,161,164,167,170,173,176,179,186,193,199,205},{0,10,20,30,40,50,60,62,64,66,68,70,72,74,76,78,80,85,90,95,100})</f>
        <v>70</v>
      </c>
      <c r="I228" s="12">
        <v>48</v>
      </c>
      <c r="J228" s="11">
        <f>LOOKUP(I228,{0,14,16,18,20,22,24,26,28,30,32,34,36,38,40,42,44,47,50,52,54},{0,10,20,30,40,50,60,62,64,66,68,70,72,74,76,78,80,85,90,95,100})</f>
        <v>85</v>
      </c>
      <c r="K228" s="12"/>
      <c r="L228" s="12"/>
      <c r="M228" s="12">
        <f t="shared" si="105"/>
        <v>85</v>
      </c>
      <c r="N228" s="12">
        <v>9.2</v>
      </c>
      <c r="O228" s="12">
        <f t="shared" si="110"/>
        <v>2.8</v>
      </c>
      <c r="P228" s="11">
        <f>LOOKUP(O228,{0,0.5,0.7,0.9,1.1,1.3,1.5,1.7,1.9,2.1,2.3,2.5,2.7,2.9,3.1,3.3,3.5,3.8,4.1,4.2,4.3},{0,10,20,30,40,50,60,62,64,66,68,70,72,74,76,78,80,85,90,95,100})</f>
        <v>72</v>
      </c>
      <c r="Q228" s="12">
        <v>3.53</v>
      </c>
      <c r="R228" s="12">
        <f t="shared" si="106"/>
        <v>6.47</v>
      </c>
      <c r="S228" s="11">
        <f>LOOKUP(R228,{0,4.72,4.82,4.92,5.42,5.52,5.62,5.67,5.72,5.77,5.82,5.87,5.92,5.97,6.42,6.47,6.52,6.59,6.66,6.72,6.78},{0,10,20,30,40,50,60,62,64,66,68,70,72,74,76,78,80,85,90,95,100})</f>
        <v>78</v>
      </c>
      <c r="T228" s="12"/>
      <c r="U228" s="12"/>
      <c r="V228" s="12">
        <f t="shared" si="107"/>
        <v>78</v>
      </c>
      <c r="W228" s="12"/>
      <c r="X228" s="20">
        <f t="shared" si="104"/>
        <v>53.1</v>
      </c>
      <c r="Y228" s="20">
        <f t="shared" si="109"/>
        <v>75.8571428571429</v>
      </c>
    </row>
    <row r="229" ht="15.6" hidden="1" outlineLevel="2" spans="1:25">
      <c r="A229" s="12">
        <v>205</v>
      </c>
      <c r="B229" s="12">
        <v>45</v>
      </c>
      <c r="C229" s="6" t="s">
        <v>261</v>
      </c>
      <c r="D229" s="6" t="s">
        <v>53</v>
      </c>
      <c r="E229" s="12">
        <v>23.1</v>
      </c>
      <c r="F229" s="11">
        <f>LOOKUP(E229,{0,1,1.8,2.6,3.4,4.2,5,6.3,7.6,8.9,10.2,11.5,12.8,14.1,15.4,16.7,18,19.7,21.4,23.1,24.8},{0,10,20,30,40,50,60,62,64,66,68,70,72,74,76,78,80,85,90,95,100})</f>
        <v>95</v>
      </c>
      <c r="G229" s="12">
        <v>191</v>
      </c>
      <c r="H229" s="11">
        <f>LOOKUP(G229,{0,124,129,134,139,144,149,152,155,158,161,164,167,170,173,176,179,186,193,199,205},{0,10,20,30,40,50,60,62,64,66,68,70,72,74,76,78,80,85,90,95,100})</f>
        <v>85</v>
      </c>
      <c r="I229" s="12">
        <v>57</v>
      </c>
      <c r="J229" s="11">
        <f>LOOKUP(I229,{0,14,16,18,20,22,24,26,28,30,32,34,36,38,40,42,44,47,50,52,54},{0,10,20,30,40,50,60,62,64,66,68,70,72,74,76,78,80,85,90,95,100})</f>
        <v>100</v>
      </c>
      <c r="K229" s="12">
        <f t="shared" si="111"/>
        <v>3</v>
      </c>
      <c r="L229" s="11">
        <f>LOOKUP(K229,{0,2,4,6,7,8,9,10,11,12,13},{0,1,2,3,4,5,6,7,8,9,10})</f>
        <v>1</v>
      </c>
      <c r="M229" s="12">
        <f t="shared" si="105"/>
        <v>101</v>
      </c>
      <c r="N229" s="12">
        <v>8.4</v>
      </c>
      <c r="O229" s="12">
        <f t="shared" si="110"/>
        <v>3.6</v>
      </c>
      <c r="P229" s="11">
        <f>LOOKUP(O229,{0,0.5,0.7,0.9,1.1,1.3,1.5,1.7,1.9,2.1,2.3,2.5,2.7,2.9,3.1,3.3,3.5,3.8,4.1,4.2,4.3},{0,10,20,30,40,50,60,62,64,66,68,70,72,74,76,78,80,85,90,95,100})</f>
        <v>80</v>
      </c>
      <c r="Q229" s="12">
        <v>3.26</v>
      </c>
      <c r="R229" s="12">
        <f t="shared" si="106"/>
        <v>6.74</v>
      </c>
      <c r="S229" s="11">
        <f>LOOKUP(R229,{0,4.72,4.82,4.92,5.42,5.52,5.62,5.67,5.72,5.77,5.82,5.87,5.92,5.97,6.42,6.47,6.52,6.59,6.66,6.72,6.78},{0,10,20,30,40,50,60,62,64,66,68,70,72,74,76,78,80,85,90,95,100})</f>
        <v>95</v>
      </c>
      <c r="T229" s="12"/>
      <c r="U229" s="12"/>
      <c r="V229" s="12">
        <f t="shared" si="107"/>
        <v>95</v>
      </c>
      <c r="W229" s="12"/>
      <c r="X229" s="20">
        <f t="shared" si="104"/>
        <v>63</v>
      </c>
      <c r="Y229" s="20">
        <f t="shared" si="109"/>
        <v>91</v>
      </c>
    </row>
    <row r="230" ht="15.6" hidden="1" outlineLevel="2" spans="1:25">
      <c r="A230" s="12">
        <v>205</v>
      </c>
      <c r="B230" s="12">
        <v>46</v>
      </c>
      <c r="C230" s="6" t="s">
        <v>262</v>
      </c>
      <c r="D230" s="6" t="s">
        <v>53</v>
      </c>
      <c r="E230" s="12">
        <v>23</v>
      </c>
      <c r="F230" s="11">
        <f>LOOKUP(E230,{0,1,1.8,2.6,3.4,4.2,5,6.3,7.6,8.9,10.2,11.5,12.8,14.1,15.4,16.7,18,19.7,21.4,23.1,24.8},{0,10,20,30,40,50,60,62,64,66,68,70,72,74,76,78,80,85,90,95,100})</f>
        <v>90</v>
      </c>
      <c r="G230" s="12">
        <v>183</v>
      </c>
      <c r="H230" s="11">
        <f>LOOKUP(G230,{0,124,129,134,139,144,149,152,155,158,161,164,167,170,173,176,179,186,193,199,205},{0,10,20,30,40,50,60,62,64,66,68,70,72,74,76,78,80,85,90,95,100})</f>
        <v>80</v>
      </c>
      <c r="I230" s="12">
        <v>59</v>
      </c>
      <c r="J230" s="11">
        <f>LOOKUP(I230,{0,14,16,18,20,22,24,26,28,30,32,34,36,38,40,42,44,47,50,52,54},{0,10,20,30,40,50,60,62,64,66,68,70,72,74,76,78,80,85,90,95,100})</f>
        <v>100</v>
      </c>
      <c r="K230" s="12">
        <f t="shared" si="111"/>
        <v>5</v>
      </c>
      <c r="L230" s="11">
        <f>LOOKUP(K230,{0,2,4,6,7,8,9,10,11,12,13},{0,1,2,3,4,5,6,7,8,9,10})</f>
        <v>2</v>
      </c>
      <c r="M230" s="12">
        <f t="shared" si="105"/>
        <v>102</v>
      </c>
      <c r="N230" s="12">
        <v>8.9</v>
      </c>
      <c r="O230" s="12">
        <f t="shared" si="110"/>
        <v>3.1</v>
      </c>
      <c r="P230" s="11">
        <f>LOOKUP(O230,{0,0.5,0.7,0.9,1.1,1.3,1.5,1.7,1.9,2.1,2.3,2.5,2.7,2.9,3.1,3.3,3.5,3.8,4.1,4.2,4.3},{0,10,20,30,40,50,60,62,64,66,68,70,72,74,76,78,80,85,90,95,100})</f>
        <v>76</v>
      </c>
      <c r="Q230" s="12">
        <v>3.36</v>
      </c>
      <c r="R230" s="12">
        <f t="shared" si="106"/>
        <v>6.64</v>
      </c>
      <c r="S230" s="11">
        <f>LOOKUP(R230,{0,4.72,4.82,4.92,5.42,5.52,5.62,5.67,5.72,5.77,5.82,5.87,5.92,5.97,6.42,6.47,6.52,6.59,6.66,6.72,6.78},{0,10,20,30,40,50,60,62,64,66,68,70,72,74,76,78,80,85,90,95,100})</f>
        <v>85</v>
      </c>
      <c r="T230" s="12"/>
      <c r="U230" s="12"/>
      <c r="V230" s="12">
        <f t="shared" si="107"/>
        <v>85</v>
      </c>
      <c r="W230" s="12"/>
      <c r="X230" s="20">
        <f t="shared" si="104"/>
        <v>59.2</v>
      </c>
      <c r="Y230" s="20">
        <f t="shared" si="109"/>
        <v>86.5714285714286</v>
      </c>
    </row>
    <row r="231" ht="15.6" hidden="1" outlineLevel="2" spans="1:25">
      <c r="A231" s="12">
        <v>205</v>
      </c>
      <c r="B231" s="12">
        <v>47</v>
      </c>
      <c r="C231" s="6" t="s">
        <v>263</v>
      </c>
      <c r="D231" s="6" t="s">
        <v>53</v>
      </c>
      <c r="E231" s="12">
        <v>22.8</v>
      </c>
      <c r="F231" s="11">
        <f>LOOKUP(E231,{0,1,1.8,2.6,3.4,4.2,5,6.3,7.6,8.9,10.2,11.5,12.8,14.1,15.4,16.7,18,19.7,21.4,23.1,24.8},{0,10,20,30,40,50,60,62,64,66,68,70,72,74,76,78,80,85,90,95,100})</f>
        <v>90</v>
      </c>
      <c r="G231" s="12">
        <v>165</v>
      </c>
      <c r="H231" s="11">
        <f>LOOKUP(G231,{0,124,129,134,139,144,149,152,155,158,161,164,167,170,173,176,179,186,193,199,205},{0,10,20,30,40,50,60,62,64,66,68,70,72,74,76,78,80,85,90,95,100})</f>
        <v>70</v>
      </c>
      <c r="I231" s="12">
        <v>46</v>
      </c>
      <c r="J231" s="11">
        <f>LOOKUP(I231,{0,14,16,18,20,22,24,26,28,30,32,34,36,38,40,42,44,47,50,52,54},{0,10,20,30,40,50,60,62,64,66,68,70,72,74,76,78,80,85,90,95,100})</f>
        <v>80</v>
      </c>
      <c r="K231" s="12"/>
      <c r="L231" s="12"/>
      <c r="M231" s="12">
        <f t="shared" si="105"/>
        <v>80</v>
      </c>
      <c r="N231" s="12">
        <v>9.3</v>
      </c>
      <c r="O231" s="12">
        <f t="shared" si="110"/>
        <v>2.7</v>
      </c>
      <c r="P231" s="11">
        <f>LOOKUP(O231,{0,0.5,0.7,0.9,1.1,1.3,1.5,1.7,1.9,2.1,2.3,2.5,2.7,2.9,3.1,3.3,3.5,3.8,4.1,4.2,4.3},{0,10,20,30,40,50,60,62,64,66,68,70,72,74,76,78,80,85,90,95,100})</f>
        <v>72</v>
      </c>
      <c r="Q231" s="12">
        <v>3.51</v>
      </c>
      <c r="R231" s="12">
        <f t="shared" si="106"/>
        <v>6.49</v>
      </c>
      <c r="S231" s="11">
        <f>LOOKUP(R231,{0,4.72,4.82,4.92,5.42,5.52,5.62,5.67,5.72,5.77,5.82,5.87,5.92,5.97,6.42,6.47,6.52,6.59,6.66,6.72,6.78},{0,10,20,30,40,50,60,62,64,66,68,70,72,74,76,78,80,85,90,95,100})</f>
        <v>78</v>
      </c>
      <c r="T231" s="12"/>
      <c r="U231" s="12"/>
      <c r="V231" s="12">
        <f t="shared" si="107"/>
        <v>78</v>
      </c>
      <c r="W231" s="12"/>
      <c r="X231" s="20">
        <f t="shared" si="104"/>
        <v>54</v>
      </c>
      <c r="Y231" s="20">
        <f t="shared" si="109"/>
        <v>77.1428571428572</v>
      </c>
    </row>
    <row r="232" ht="15.6" hidden="1" outlineLevel="2" spans="1:25">
      <c r="A232" s="12">
        <v>205</v>
      </c>
      <c r="B232" s="12">
        <v>48</v>
      </c>
      <c r="C232" s="6" t="s">
        <v>264</v>
      </c>
      <c r="D232" s="6" t="s">
        <v>53</v>
      </c>
      <c r="E232" s="12">
        <v>22.2</v>
      </c>
      <c r="F232" s="11">
        <f>LOOKUP(E232,{0,1,1.8,2.6,3.4,4.2,5,6.3,7.6,8.9,10.2,11.5,12.8,14.1,15.4,16.7,18,19.7,21.4,23.1,24.8},{0,10,20,30,40,50,60,62,64,66,68,70,72,74,76,78,80,85,90,95,100})</f>
        <v>90</v>
      </c>
      <c r="G232" s="12">
        <v>210</v>
      </c>
      <c r="H232" s="11">
        <f>LOOKUP(G232,{0,124,129,134,139,144,149,152,155,158,161,164,167,170,173,176,179,186,193,199,205},{0,10,20,30,40,50,60,62,64,66,68,70,72,74,76,78,80,85,90,95,100})</f>
        <v>100</v>
      </c>
      <c r="I232" s="12">
        <v>45</v>
      </c>
      <c r="J232" s="11">
        <f>LOOKUP(I232,{0,14,16,18,20,22,24,26,28,30,32,34,36,38,40,42,44,47,50,52,54},{0,10,20,30,40,50,60,62,64,66,68,70,72,74,76,78,80,85,90,95,100})</f>
        <v>80</v>
      </c>
      <c r="K232" s="12"/>
      <c r="L232" s="12"/>
      <c r="M232" s="12">
        <f t="shared" si="105"/>
        <v>80</v>
      </c>
      <c r="N232" s="12">
        <v>8.3</v>
      </c>
      <c r="O232" s="12">
        <f t="shared" si="110"/>
        <v>3.7</v>
      </c>
      <c r="P232" s="11">
        <f>LOOKUP(O232,{0,0.5,0.7,0.9,1.1,1.3,1.5,1.7,1.9,2.1,2.3,2.5,2.7,2.9,3.1,3.3,3.5,3.8,4.1,4.2,4.3},{0,10,20,30,40,50,60,62,64,66,68,70,72,74,76,78,80,85,90,95,100})</f>
        <v>80</v>
      </c>
      <c r="Q232" s="12">
        <v>3.29</v>
      </c>
      <c r="R232" s="12">
        <f t="shared" si="106"/>
        <v>6.71</v>
      </c>
      <c r="S232" s="11">
        <f>LOOKUP(R232,{0,4.72,4.82,4.92,5.42,5.52,5.62,5.67,5.72,5.77,5.82,5.87,5.92,5.97,6.42,6.47,6.52,6.59,6.66,6.72,6.78},{0,10,20,30,40,50,60,62,64,66,68,70,72,74,76,78,80,85,90,95,100})</f>
        <v>90</v>
      </c>
      <c r="T232" s="12"/>
      <c r="U232" s="12"/>
      <c r="V232" s="12">
        <f t="shared" si="107"/>
        <v>90</v>
      </c>
      <c r="W232" s="12"/>
      <c r="X232" s="20">
        <f t="shared" si="104"/>
        <v>61</v>
      </c>
      <c r="Y232" s="20">
        <f t="shared" si="109"/>
        <v>87.1428571428572</v>
      </c>
    </row>
    <row r="233" ht="15.6" hidden="1" outlineLevel="2" spans="1:25">
      <c r="A233" s="12">
        <v>205</v>
      </c>
      <c r="B233" s="12">
        <v>49</v>
      </c>
      <c r="C233" s="6" t="s">
        <v>265</v>
      </c>
      <c r="D233" s="6" t="s">
        <v>53</v>
      </c>
      <c r="E233" s="12"/>
      <c r="F233" s="11"/>
      <c r="G233" s="12"/>
      <c r="H233" s="11"/>
      <c r="I233" s="12"/>
      <c r="J233" s="11"/>
      <c r="K233" s="12"/>
      <c r="L233" s="15"/>
      <c r="M233" s="12"/>
      <c r="N233" s="12"/>
      <c r="O233" s="12"/>
      <c r="P233" s="11"/>
      <c r="Q233" s="12"/>
      <c r="R233" s="12"/>
      <c r="S233" s="11"/>
      <c r="T233" s="21"/>
      <c r="U233" s="11"/>
      <c r="V233" s="12"/>
      <c r="W233" s="12" t="s">
        <v>89</v>
      </c>
      <c r="X233" s="20">
        <f t="shared" si="104"/>
        <v>0</v>
      </c>
      <c r="Y233" s="20">
        <v>50</v>
      </c>
    </row>
    <row r="234" ht="15.6" hidden="1" outlineLevel="2" spans="1:25">
      <c r="A234" s="12">
        <v>205</v>
      </c>
      <c r="B234" s="12">
        <v>50</v>
      </c>
      <c r="C234" s="6" t="s">
        <v>266</v>
      </c>
      <c r="D234" s="6" t="s">
        <v>53</v>
      </c>
      <c r="E234" s="12"/>
      <c r="F234" s="11"/>
      <c r="G234" s="12"/>
      <c r="H234" s="11"/>
      <c r="I234" s="12"/>
      <c r="J234" s="11"/>
      <c r="K234" s="12"/>
      <c r="L234" s="12"/>
      <c r="M234" s="12"/>
      <c r="N234" s="12"/>
      <c r="O234" s="12"/>
      <c r="P234" s="11"/>
      <c r="Q234" s="12"/>
      <c r="R234" s="12"/>
      <c r="S234" s="11"/>
      <c r="T234" s="21"/>
      <c r="U234" s="11"/>
      <c r="V234" s="12"/>
      <c r="W234" s="12" t="s">
        <v>14</v>
      </c>
      <c r="X234" s="20">
        <f t="shared" si="104"/>
        <v>0</v>
      </c>
      <c r="Y234" s="20">
        <v>50</v>
      </c>
    </row>
    <row r="235" ht="15.6" hidden="1" outlineLevel="2" spans="1:25">
      <c r="A235" s="12">
        <v>205</v>
      </c>
      <c r="B235" s="12">
        <v>51</v>
      </c>
      <c r="C235" s="6" t="s">
        <v>267</v>
      </c>
      <c r="D235" s="6" t="s">
        <v>53</v>
      </c>
      <c r="E235" s="12">
        <v>26.7</v>
      </c>
      <c r="F235" s="11">
        <f>LOOKUP(E235,{0,1,1.8,2.6,3.4,4.2,5,6.3,7.6,8.9,10.2,11.5,12.8,14.1,15.4,16.7,18,19.7,21.4,23.1,24.8},{0,10,20,30,40,50,60,62,64,66,68,70,72,74,76,78,80,85,90,95,100})</f>
        <v>100</v>
      </c>
      <c r="G235" s="12">
        <v>191</v>
      </c>
      <c r="H235" s="11">
        <f>LOOKUP(G235,{0,124,129,134,139,144,149,152,155,158,161,164,167,170,173,176,179,186,193,199,205},{0,10,20,30,40,50,60,62,64,66,68,70,72,74,76,78,80,85,90,95,100})</f>
        <v>85</v>
      </c>
      <c r="I235" s="12">
        <v>53</v>
      </c>
      <c r="J235" s="11">
        <f>LOOKUP(I235,{0,14,16,18,20,22,24,26,28,30,32,34,36,38,40,42,44,47,50,52,54},{0,10,20,30,40,50,60,62,64,66,68,70,72,74,76,78,80,85,90,95,100})</f>
        <v>95</v>
      </c>
      <c r="K235" s="12"/>
      <c r="L235" s="12"/>
      <c r="M235" s="12">
        <f>J235+L235</f>
        <v>95</v>
      </c>
      <c r="N235" s="12">
        <v>8.5</v>
      </c>
      <c r="O235" s="12">
        <f>12-N235</f>
        <v>3.5</v>
      </c>
      <c r="P235" s="11">
        <f>LOOKUP(O235,{0,0.5,0.7,0.9,1.1,1.3,1.5,1.7,1.9,2.1,2.3,2.5,2.7,2.9,3.1,3.3,3.5,3.8,4.1,4.2,4.3},{0,10,20,30,40,50,60,62,64,66,68,70,72,74,76,78,80,85,90,95,100})</f>
        <v>80</v>
      </c>
      <c r="Q235" s="12">
        <v>3.32</v>
      </c>
      <c r="R235" s="12">
        <f>10-Q235</f>
        <v>6.68</v>
      </c>
      <c r="S235" s="11">
        <f>LOOKUP(R235,{0,4.72,4.82,4.92,5.42,5.52,5.62,5.67,5.72,5.77,5.82,5.87,5.92,5.97,6.42,6.47,6.52,6.59,6.66,6.72,6.78},{0,10,20,30,40,50,60,62,64,66,68,70,72,74,76,78,80,85,90,95,100})</f>
        <v>90</v>
      </c>
      <c r="T235" s="12"/>
      <c r="U235" s="12"/>
      <c r="V235" s="12">
        <f>S235+U235</f>
        <v>90</v>
      </c>
      <c r="W235" s="12"/>
      <c r="X235" s="20">
        <f t="shared" si="104"/>
        <v>62</v>
      </c>
      <c r="Y235" s="20">
        <f>X235/0.7+L235+U235</f>
        <v>88.5714285714286</v>
      </c>
    </row>
    <row r="236" ht="15.6" outlineLevel="1" collapsed="1" spans="1:25">
      <c r="A236" s="14" t="s">
        <v>859</v>
      </c>
      <c r="B236" s="12"/>
      <c r="C236" s="6"/>
      <c r="D236" s="6"/>
      <c r="E236" s="12"/>
      <c r="F236" s="11">
        <f>SUBTOTAL(1,F185:F235)</f>
        <v>74.1190476190476</v>
      </c>
      <c r="G236" s="12"/>
      <c r="H236" s="11">
        <f>SUBTOTAL(1,H185:H235)</f>
        <v>76.6590909090909</v>
      </c>
      <c r="I236" s="12"/>
      <c r="J236" s="11">
        <f>SUBTOTAL(1,J185:J235)</f>
        <v>54.6666666666667</v>
      </c>
      <c r="K236" s="12"/>
      <c r="L236" s="12"/>
      <c r="M236" s="12">
        <f>SUBTOTAL(1,M185:M235)</f>
        <v>55.1111111111111</v>
      </c>
      <c r="N236" s="12"/>
      <c r="O236" s="12"/>
      <c r="P236" s="11">
        <f>SUBTOTAL(1,P185:P235)</f>
        <v>83.2888888888889</v>
      </c>
      <c r="Q236" s="12"/>
      <c r="R236" s="12"/>
      <c r="S236" s="11">
        <f>SUBTOTAL(1,S185:S235)</f>
        <v>75.3111111111111</v>
      </c>
      <c r="T236" s="12"/>
      <c r="U236" s="12"/>
      <c r="V236" s="12">
        <f>SUBTOTAL(1,V185:V235)</f>
        <v>75.3111111111111</v>
      </c>
      <c r="W236" s="12"/>
      <c r="X236" s="20">
        <f>SUBTOTAL(1,X185:X235)</f>
        <v>45.5294117647059</v>
      </c>
      <c r="Y236" s="20">
        <f>SUBTOTAL(1,Y185:Y235)</f>
        <v>70.6890756302521</v>
      </c>
    </row>
    <row r="237" ht="15.6" hidden="1" outlineLevel="2" spans="1:25">
      <c r="A237" s="12">
        <v>206</v>
      </c>
      <c r="B237" s="12">
        <v>1</v>
      </c>
      <c r="C237" s="13" t="s">
        <v>269</v>
      </c>
      <c r="D237" s="6" t="s">
        <v>11</v>
      </c>
      <c r="E237" s="12">
        <v>13</v>
      </c>
      <c r="F237" s="11">
        <f>LOOKUP(E237,{0,-2.9,-1.9,-0.9,0.1,1.1,2.1,3.5,4.9,6.3,7.7,9.1,10.5,11.9,13.3,14.7,16.1,18.3,20.5,22.4,24.3},{0,10,20,30,40,50,60,62,64,66,68,70,72,74,76,78,80,85,90,95,100})</f>
        <v>74</v>
      </c>
      <c r="G237" s="12">
        <v>253</v>
      </c>
      <c r="H237" s="11">
        <f>LOOKUP(G237,{0,175,180,185,190,195,200,204,208,212,216,220,224,228,232,236,240,248,255,260,265},{0,10,20,30,40,50,60,62,64,66,68,70,72,74,76,78,80,85,90,95,100})</f>
        <v>85</v>
      </c>
      <c r="I237" s="12">
        <v>20</v>
      </c>
      <c r="J237" s="11">
        <f>LOOKUP(I237,{0,3,4,5,6,7,8,9,10,11,12,13,14,15,16,17},{0,10,20,30,40,50,60,64,68,72,76,80,85,90,95,100})</f>
        <v>100</v>
      </c>
      <c r="K237" s="12">
        <f t="shared" ref="K237:K241" si="112">I237-17</f>
        <v>3</v>
      </c>
      <c r="L237" s="11">
        <f>LOOKUP(K237,{0,1,2,3,4,5,6,7,8,9,10},{0,1,2,3,4,5,6,7,8,9,10})</f>
        <v>3</v>
      </c>
      <c r="M237" s="12">
        <f>J237+L237</f>
        <v>103</v>
      </c>
      <c r="N237" s="12">
        <v>7.3</v>
      </c>
      <c r="O237" s="12">
        <f>12-N237</f>
        <v>4.7</v>
      </c>
      <c r="P237" s="11">
        <f>LOOKUP(O237,{0,1.6,1.8,2,2.2,2.4,2.6,2.8,3,3.2,3.4,3.6,3.8,4,4.2,4.4,4.6,4.7,4.8,4.9,5},{0,10,20,30,40,50,60,62,64,66,68,70,72,74,76,78,80,85,90,95,100})</f>
        <v>85</v>
      </c>
      <c r="Q237" s="12">
        <v>4.18</v>
      </c>
      <c r="R237" s="12">
        <f>10-Q237</f>
        <v>5.82</v>
      </c>
      <c r="S237" s="11">
        <f>LOOKUP(R237,{0,3.8,4,4.6,4.8,5,5.6,5.65,5.7,5.75,5.8,5.85,5.9,5.95,6,6.45,6.5,6.58,6.65,6.7,6.75},{0,10,20,30,40,50,60,62,64,66,68,70,72,74,76,78,80,85,90,95,100})</f>
        <v>68</v>
      </c>
      <c r="T237" s="12"/>
      <c r="U237" s="12"/>
      <c r="V237" s="12">
        <f>S237+U237</f>
        <v>68</v>
      </c>
      <c r="W237" s="12"/>
      <c r="X237" s="20">
        <f t="shared" ref="X237:X287" si="113">F237*0.1+H237*0.1+J237*0.1+P237*0.2+S237*0.2</f>
        <v>56.5</v>
      </c>
      <c r="Y237" s="20">
        <f>X237/0.7+L237+U237</f>
        <v>83.7142857142857</v>
      </c>
    </row>
    <row r="238" ht="15.6" hidden="1" outlineLevel="2" spans="1:25">
      <c r="A238" s="12">
        <v>206</v>
      </c>
      <c r="B238" s="12">
        <v>2</v>
      </c>
      <c r="C238" s="6" t="s">
        <v>270</v>
      </c>
      <c r="D238" s="6" t="s">
        <v>11</v>
      </c>
      <c r="E238" s="12">
        <v>8.5</v>
      </c>
      <c r="F238" s="11">
        <f>LOOKUP(E238,{0,-2.9,-1.9,-0.9,0.1,1.1,2.1,3.5,4.9,6.3,7.7,9.1,10.5,11.9,13.3,14.7,16.1,18.3,20.5,22.4,24.3},{0,10,20,30,40,50,60,62,64,66,68,70,72,74,76,78,80,85,90,95,100})</f>
        <v>68</v>
      </c>
      <c r="G238" s="12">
        <v>237</v>
      </c>
      <c r="H238" s="11">
        <f>LOOKUP(G238,{0,175,180,185,190,195,200,204,208,212,216,220,224,228,232,236,240,248,255,260,265},{0,10,20,30,40,50,60,62,64,66,68,70,72,74,76,78,80,85,90,95,100})</f>
        <v>78</v>
      </c>
      <c r="I238" s="12">
        <v>3</v>
      </c>
      <c r="J238" s="11">
        <f>LOOKUP(I238,{0,3,4,5,6,7,8,9,10,11,12,13,14,15,16,17},{0,10,20,30,40,50,60,64,68,72,76,80,85,90,95,100})</f>
        <v>10</v>
      </c>
      <c r="K238" s="12"/>
      <c r="L238" s="12"/>
      <c r="M238" s="12">
        <f>J238+L238</f>
        <v>10</v>
      </c>
      <c r="N238" s="12">
        <v>7.1</v>
      </c>
      <c r="O238" s="12">
        <f>12-N238</f>
        <v>4.9</v>
      </c>
      <c r="P238" s="11">
        <f>LOOKUP(O238,{0,1.6,1.8,2,2.2,2.4,2.6,2.8,3,3.2,3.4,3.6,3.8,4,4.2,4.4,4.6,4.7,4.8,4.9,5},{0,10,20,30,40,50,60,62,64,66,68,70,72,74,76,78,80,85,90,95,100})</f>
        <v>95</v>
      </c>
      <c r="Q238" s="12">
        <v>4.21</v>
      </c>
      <c r="R238" s="12">
        <f>10-Q238</f>
        <v>5.79</v>
      </c>
      <c r="S238" s="11">
        <f>LOOKUP(R238,{0,3.8,4,4.6,4.8,5,5.6,5.65,5.7,5.75,5.8,5.85,5.9,5.95,6,6.45,6.5,6.58,6.65,6.7,6.75},{0,10,20,30,40,50,60,62,64,66,68,70,72,74,76,78,80,85,90,95,100})</f>
        <v>66</v>
      </c>
      <c r="T238" s="12"/>
      <c r="U238" s="12"/>
      <c r="V238" s="12">
        <f>S238+U238</f>
        <v>66</v>
      </c>
      <c r="W238" s="12"/>
      <c r="X238" s="20">
        <f t="shared" si="113"/>
        <v>47.8</v>
      </c>
      <c r="Y238" s="20">
        <f>X238/0.7+L238+U238</f>
        <v>68.2857142857143</v>
      </c>
    </row>
    <row r="239" ht="15.6" hidden="1" outlineLevel="2" spans="1:25">
      <c r="A239" s="12">
        <v>206</v>
      </c>
      <c r="B239" s="12">
        <v>3</v>
      </c>
      <c r="C239" s="6" t="s">
        <v>271</v>
      </c>
      <c r="D239" s="6" t="s">
        <v>11</v>
      </c>
      <c r="E239" s="12">
        <v>18</v>
      </c>
      <c r="F239" s="11">
        <f>LOOKUP(E239,{0,-2.9,-1.9,-0.9,0.1,1.1,2.1,3.5,4.9,6.3,7.7,9.1,10.5,11.9,13.3,14.7,16.1,18.3,20.5,22.4,24.3},{0,10,20,30,40,50,60,62,64,66,68,70,72,74,76,78,80,85,90,95,100})</f>
        <v>80</v>
      </c>
      <c r="G239" s="12">
        <v>260</v>
      </c>
      <c r="H239" s="11">
        <f>LOOKUP(G239,{0,175,180,185,190,195,200,204,208,212,216,220,224,228,232,236,240,248,255,260,265},{0,10,20,30,40,50,60,62,64,66,68,70,72,74,76,78,80,85,90,95,100})</f>
        <v>95</v>
      </c>
      <c r="I239" s="12">
        <v>20</v>
      </c>
      <c r="J239" s="11">
        <f>LOOKUP(I239,{0,3,4,5,6,7,8,9,10,11,12,13,14,15,16,17},{0,10,20,30,40,50,60,64,68,72,76,80,85,90,95,100})</f>
        <v>100</v>
      </c>
      <c r="K239" s="12">
        <f t="shared" si="112"/>
        <v>3</v>
      </c>
      <c r="L239" s="11">
        <f>LOOKUP(K239,{0,1,2,3,4,5,6,7,8,9,10},{0,1,2,3,4,5,6,7,8,9,10})</f>
        <v>3</v>
      </c>
      <c r="M239" s="12">
        <f>J239+L239</f>
        <v>103</v>
      </c>
      <c r="N239" s="12">
        <v>7.2</v>
      </c>
      <c r="O239" s="12">
        <f>12-N239</f>
        <v>4.8</v>
      </c>
      <c r="P239" s="11">
        <f>LOOKUP(O239,{0,1.6,1.8,2,2.2,2.4,2.6,2.8,3,3.2,3.4,3.6,3.8,4,4.2,4.4,4.6,4.7,4.8,4.9,5},{0,10,20,30,40,50,60,62,64,66,68,70,72,74,76,78,80,85,90,95,100})</f>
        <v>90</v>
      </c>
      <c r="Q239" s="12">
        <v>4.39</v>
      </c>
      <c r="R239" s="12">
        <f>10-Q239</f>
        <v>5.61</v>
      </c>
      <c r="S239" s="11">
        <f>LOOKUP(R239,{0,3.8,4,4.6,4.8,5,5.6,5.65,5.7,5.75,5.8,5.85,5.9,5.95,6,6.45,6.5,6.58,6.65,6.7,6.75},{0,10,20,30,40,50,60,62,64,66,68,70,72,74,76,78,80,85,90,95,100})</f>
        <v>60</v>
      </c>
      <c r="T239" s="12"/>
      <c r="U239" s="12"/>
      <c r="V239" s="12">
        <f>S239+U239</f>
        <v>60</v>
      </c>
      <c r="W239" s="12"/>
      <c r="X239" s="20">
        <f t="shared" si="113"/>
        <v>57.5</v>
      </c>
      <c r="Y239" s="20">
        <f>X239/0.7+L239+U239</f>
        <v>85.1428571428572</v>
      </c>
    </row>
    <row r="240" s="1" customFormat="1" ht="15.6" hidden="1" outlineLevel="2" spans="1:25">
      <c r="A240" s="12">
        <v>206</v>
      </c>
      <c r="B240" s="12">
        <v>4</v>
      </c>
      <c r="C240" s="6" t="s">
        <v>272</v>
      </c>
      <c r="D240" s="6" t="s">
        <v>11</v>
      </c>
      <c r="E240" s="12"/>
      <c r="F240" s="11"/>
      <c r="G240" s="12"/>
      <c r="H240" s="11"/>
      <c r="I240" s="12"/>
      <c r="J240" s="11"/>
      <c r="K240" s="12"/>
      <c r="L240" s="12"/>
      <c r="M240" s="12"/>
      <c r="N240" s="12"/>
      <c r="O240" s="12"/>
      <c r="P240" s="11"/>
      <c r="Q240" s="12"/>
      <c r="R240" s="12"/>
      <c r="S240" s="11"/>
      <c r="T240" s="12"/>
      <c r="U240" s="11"/>
      <c r="V240" s="12"/>
      <c r="W240" s="12" t="s">
        <v>14</v>
      </c>
      <c r="X240" s="20">
        <f t="shared" si="113"/>
        <v>0</v>
      </c>
      <c r="Y240" s="20">
        <v>50</v>
      </c>
    </row>
    <row r="241" ht="15.6" hidden="1" outlineLevel="2" spans="1:25">
      <c r="A241" s="12">
        <v>206</v>
      </c>
      <c r="B241" s="12">
        <v>5</v>
      </c>
      <c r="C241" s="6" t="s">
        <v>273</v>
      </c>
      <c r="D241" s="6" t="s">
        <v>11</v>
      </c>
      <c r="E241" s="12">
        <v>25</v>
      </c>
      <c r="F241" s="11">
        <f>LOOKUP(E241,{0,-2.9,-1.9,-0.9,0.1,1.1,2.1,3.5,4.9,6.3,7.7,9.1,10.5,11.9,13.3,14.7,16.1,18.3,20.5,22.4,24.3},{0,10,20,30,40,50,60,62,64,66,68,70,72,74,76,78,80,85,90,95,100})</f>
        <v>100</v>
      </c>
      <c r="G241" s="12">
        <v>240</v>
      </c>
      <c r="H241" s="11">
        <f>LOOKUP(G241,{0,175,180,185,190,195,200,204,208,212,216,220,224,228,232,236,240,248,255,260,265},{0,10,20,30,40,50,60,62,64,66,68,70,72,74,76,78,80,85,90,95,100})</f>
        <v>80</v>
      </c>
      <c r="I241" s="12">
        <v>19</v>
      </c>
      <c r="J241" s="11">
        <f>LOOKUP(I241,{0,3,4,5,6,7,8,9,10,11,12,13,14,15,16,17},{0,10,20,30,40,50,60,64,68,72,76,80,85,90,95,100})</f>
        <v>100</v>
      </c>
      <c r="K241" s="12">
        <f t="shared" si="112"/>
        <v>2</v>
      </c>
      <c r="L241" s="16">
        <f>LOOKUP(K241,{0,1,2,3,4,5,6,7,8,9,10},{0,1,2,3,4,5,6,7,8,9,10})</f>
        <v>2</v>
      </c>
      <c r="M241" s="12">
        <f t="shared" ref="M241:M291" si="114">J241+L241</f>
        <v>102</v>
      </c>
      <c r="N241" s="12">
        <v>7.2</v>
      </c>
      <c r="O241" s="12">
        <f t="shared" ref="O241:O248" si="115">12-N241</f>
        <v>4.8</v>
      </c>
      <c r="P241" s="11">
        <f>LOOKUP(O241,{0,1.6,1.8,2,2.2,2.4,2.6,2.8,3,3.2,3.4,3.6,3.8,4,4.2,4.4,4.6,4.7,4.8,4.9,5},{0,10,20,30,40,50,60,62,64,66,68,70,72,74,76,78,80,85,90,95,100})</f>
        <v>90</v>
      </c>
      <c r="Q241" s="12">
        <v>3.4</v>
      </c>
      <c r="R241" s="12">
        <f t="shared" ref="R241:R259" si="116">10-Q241</f>
        <v>6.6</v>
      </c>
      <c r="S241" s="11">
        <f>LOOKUP(R241,{0,3.8,4,4.6,4.8,5,5.6,5.65,5.7,5.75,5.8,5.85,5.9,5.95,6,6.45,6.5,6.58,6.65,6.7,6.75},{0,10,20,30,40,50,60,62,64,66,68,70,72,74,76,78,80,85,90,95,100})</f>
        <v>85</v>
      </c>
      <c r="T241" s="12"/>
      <c r="U241" s="12"/>
      <c r="V241" s="12">
        <f t="shared" ref="V241:V259" si="117">S241+U241</f>
        <v>85</v>
      </c>
      <c r="W241" s="12"/>
      <c r="X241" s="20">
        <f t="shared" si="113"/>
        <v>63</v>
      </c>
      <c r="Y241" s="20">
        <f t="shared" ref="Y241:Y256" si="118">X241/0.7+L241+U241</f>
        <v>92</v>
      </c>
    </row>
    <row r="242" ht="15.6" hidden="1" outlineLevel="2" spans="1:25">
      <c r="A242" s="12">
        <v>206</v>
      </c>
      <c r="B242" s="12">
        <v>6</v>
      </c>
      <c r="C242" s="6" t="s">
        <v>274</v>
      </c>
      <c r="D242" s="6" t="s">
        <v>11</v>
      </c>
      <c r="E242" s="12">
        <v>16.6</v>
      </c>
      <c r="F242" s="11">
        <f>LOOKUP(E242,{0,-2.9,-1.9,-0.9,0.1,1.1,2.1,3.5,4.9,6.3,7.7,9.1,10.5,11.9,13.3,14.7,16.1,18.3,20.5,22.4,24.3},{0,10,20,30,40,50,60,62,64,66,68,70,72,74,76,78,80,85,90,95,100})</f>
        <v>80</v>
      </c>
      <c r="G242" s="12">
        <v>200</v>
      </c>
      <c r="H242" s="11">
        <f>LOOKUP(G242,{0,175,180,185,190,195,200,204,208,212,216,220,224,228,232,236,240,248,255,260,265},{0,10,20,30,40,50,60,62,64,66,68,70,72,74,76,78,80,85,90,95,100})</f>
        <v>60</v>
      </c>
      <c r="I242" s="12">
        <v>10</v>
      </c>
      <c r="J242" s="11">
        <f>LOOKUP(I242,{0,3,4,5,6,7,8,9,10,11,12,13,14,15,16,17},{0,10,20,30,40,50,60,64,68,72,76,80,85,90,95,100})</f>
        <v>68</v>
      </c>
      <c r="K242" s="12"/>
      <c r="L242" s="12"/>
      <c r="M242" s="12">
        <f t="shared" si="114"/>
        <v>68</v>
      </c>
      <c r="N242" s="12">
        <v>7.6</v>
      </c>
      <c r="O242" s="12">
        <f t="shared" si="115"/>
        <v>4.4</v>
      </c>
      <c r="P242" s="11">
        <f>LOOKUP(O242,{0,1.6,1.8,2,2.2,2.4,2.6,2.8,3,3.2,3.4,3.6,3.8,4,4.2,4.4,4.6,4.7,4.8,4.9,5},{0,10,20,30,40,50,60,62,64,66,68,70,72,74,76,78,80,85,90,95,100})</f>
        <v>78</v>
      </c>
      <c r="Q242" s="12">
        <v>4.4</v>
      </c>
      <c r="R242" s="12">
        <f t="shared" si="116"/>
        <v>5.6</v>
      </c>
      <c r="S242" s="11">
        <f>LOOKUP(R242,{0,3.8,4,4.6,4.8,5,5.6,5.65,5.7,5.75,5.8,5.85,5.9,5.95,6,6.45,6.5,6.58,6.65,6.7,6.75},{0,10,20,30,40,50,60,62,64,66,68,70,72,74,76,78,80,85,90,95,100})</f>
        <v>60</v>
      </c>
      <c r="T242" s="12"/>
      <c r="U242" s="12"/>
      <c r="V242" s="12">
        <f t="shared" si="117"/>
        <v>60</v>
      </c>
      <c r="W242" s="12"/>
      <c r="X242" s="20">
        <f t="shared" si="113"/>
        <v>48.4</v>
      </c>
      <c r="Y242" s="20">
        <f t="shared" si="118"/>
        <v>69.1428571428572</v>
      </c>
    </row>
    <row r="243" ht="15.6" hidden="1" outlineLevel="2" spans="1:25">
      <c r="A243" s="12">
        <v>206</v>
      </c>
      <c r="B243" s="12">
        <v>7</v>
      </c>
      <c r="C243" s="6" t="s">
        <v>275</v>
      </c>
      <c r="D243" s="6" t="s">
        <v>11</v>
      </c>
      <c r="E243" s="12"/>
      <c r="F243" s="11"/>
      <c r="G243" s="12"/>
      <c r="H243" s="11"/>
      <c r="I243" s="12"/>
      <c r="J243" s="11"/>
      <c r="K243" s="12"/>
      <c r="L243" s="12"/>
      <c r="M243" s="12"/>
      <c r="N243" s="12"/>
      <c r="O243" s="12"/>
      <c r="P243" s="11"/>
      <c r="Q243" s="12"/>
      <c r="R243" s="12"/>
      <c r="S243" s="11"/>
      <c r="T243" s="12"/>
      <c r="U243" s="11"/>
      <c r="V243" s="12"/>
      <c r="W243" s="12" t="s">
        <v>14</v>
      </c>
      <c r="X243" s="20">
        <f t="shared" si="113"/>
        <v>0</v>
      </c>
      <c r="Y243" s="20">
        <v>50</v>
      </c>
    </row>
    <row r="244" ht="15.6" hidden="1" outlineLevel="2" spans="1:25">
      <c r="A244" s="12">
        <v>206</v>
      </c>
      <c r="B244" s="12">
        <v>8</v>
      </c>
      <c r="C244" s="6" t="s">
        <v>276</v>
      </c>
      <c r="D244" s="6" t="s">
        <v>11</v>
      </c>
      <c r="E244" s="12">
        <v>7.4</v>
      </c>
      <c r="F244" s="11">
        <f>LOOKUP(E244,{0,-2.9,-1.9,-0.9,0.1,1.1,2.1,3.5,4.9,6.3,7.7,9.1,10.5,11.9,13.3,14.7,16.1,18.3,20.5,22.4,24.3},{0,10,20,30,40,50,60,62,64,66,68,70,72,74,76,78,80,85,90,95,100})</f>
        <v>66</v>
      </c>
      <c r="G244" s="12">
        <v>235</v>
      </c>
      <c r="H244" s="11">
        <f>LOOKUP(G244,{0,175,180,185,190,195,200,204,208,212,216,220,224,228,232,236,240,248,255,260,265},{0,10,20,30,40,50,60,62,64,66,68,70,72,74,76,78,80,85,90,95,100})</f>
        <v>76</v>
      </c>
      <c r="I244" s="12">
        <v>13</v>
      </c>
      <c r="J244" s="11">
        <f>LOOKUP(I244,{0,3,4,5,6,7,8,9,10,11,12,13,14,15,16,17},{0,10,20,30,40,50,60,64,68,72,76,80,85,90,95,100})</f>
        <v>80</v>
      </c>
      <c r="K244" s="12"/>
      <c r="L244" s="15"/>
      <c r="M244" s="12">
        <f t="shared" si="114"/>
        <v>80</v>
      </c>
      <c r="N244" s="12">
        <v>7</v>
      </c>
      <c r="O244" s="12">
        <f t="shared" si="115"/>
        <v>5</v>
      </c>
      <c r="P244" s="11">
        <f>LOOKUP(O244,{0,1.6,1.8,2,2.2,2.4,2.6,2.8,3,3.2,3.4,3.6,3.8,4,4.2,4.4,4.6,4.7,4.8,4.9,5},{0,10,20,30,40,50,60,62,64,66,68,70,72,74,76,78,80,85,90,95,100})</f>
        <v>100</v>
      </c>
      <c r="Q244" s="12">
        <v>3.53</v>
      </c>
      <c r="R244" s="12">
        <f t="shared" si="116"/>
        <v>6.47</v>
      </c>
      <c r="S244" s="11">
        <f>LOOKUP(R244,{0,3.8,4,4.6,4.8,5,5.6,5.65,5.7,5.75,5.8,5.85,5.9,5.95,6,6.45,6.5,6.58,6.65,6.7,6.75},{0,10,20,30,40,50,60,62,64,66,68,70,72,74,76,78,80,85,90,95,100})</f>
        <v>78</v>
      </c>
      <c r="T244" s="12"/>
      <c r="U244" s="12"/>
      <c r="V244" s="12">
        <f t="shared" si="117"/>
        <v>78</v>
      </c>
      <c r="W244" s="12"/>
      <c r="X244" s="20">
        <f t="shared" si="113"/>
        <v>57.8</v>
      </c>
      <c r="Y244" s="20">
        <f t="shared" si="118"/>
        <v>82.5714285714286</v>
      </c>
    </row>
    <row r="245" ht="15.6" hidden="1" outlineLevel="2" spans="1:25">
      <c r="A245" s="12">
        <v>206</v>
      </c>
      <c r="B245" s="12">
        <v>9</v>
      </c>
      <c r="C245" s="6" t="s">
        <v>277</v>
      </c>
      <c r="D245" s="6" t="s">
        <v>11</v>
      </c>
      <c r="E245" s="12">
        <v>6.1</v>
      </c>
      <c r="F245" s="11">
        <f>LOOKUP(E245,{0,-2.9,-1.9,-0.9,0.1,1.1,2.1,3.5,4.9,6.3,7.7,9.1,10.5,11.9,13.3,14.7,16.1,18.3,20.5,22.4,24.3},{0,10,20,30,40,50,60,62,64,66,68,70,72,74,76,78,80,85,90,95,100})</f>
        <v>64</v>
      </c>
      <c r="G245" s="12">
        <v>185</v>
      </c>
      <c r="H245" s="11">
        <f>LOOKUP(G245,{0,175,180,185,190,195,200,204,208,212,216,220,224,228,232,236,240,248,255,260,265},{0,10,20,30,40,50,60,62,64,66,68,70,72,74,76,78,80,85,90,95,100})</f>
        <v>30</v>
      </c>
      <c r="I245" s="12">
        <v>4</v>
      </c>
      <c r="J245" s="11">
        <f>LOOKUP(I245,{0,3,4,5,6,7,8,9,10,11,12,13,14,15,16,17},{0,10,20,30,40,50,60,64,68,72,76,80,85,90,95,100})</f>
        <v>20</v>
      </c>
      <c r="K245" s="12"/>
      <c r="L245" s="12"/>
      <c r="M245" s="12">
        <f t="shared" si="114"/>
        <v>20</v>
      </c>
      <c r="N245" s="12">
        <v>7.5</v>
      </c>
      <c r="O245" s="12">
        <f t="shared" si="115"/>
        <v>4.5</v>
      </c>
      <c r="P245" s="11">
        <f>LOOKUP(O245,{0,1.6,1.8,2,2.2,2.4,2.6,2.8,3,3.2,3.4,3.6,3.8,4,4.2,4.4,4.6,4.7,4.8,4.9,5},{0,10,20,30,40,50,60,62,64,66,68,70,72,74,76,78,80,85,90,95,100})</f>
        <v>78</v>
      </c>
      <c r="Q245" s="12">
        <v>4.08</v>
      </c>
      <c r="R245" s="12">
        <f t="shared" si="116"/>
        <v>5.92</v>
      </c>
      <c r="S245" s="11">
        <f>LOOKUP(R245,{0,3.8,4,4.6,4.8,5,5.6,5.65,5.7,5.75,5.8,5.85,5.9,5.95,6,6.45,6.5,6.58,6.65,6.7,6.75},{0,10,20,30,40,50,60,62,64,66,68,70,72,74,76,78,80,85,90,95,100})</f>
        <v>72</v>
      </c>
      <c r="T245" s="12"/>
      <c r="U245" s="12"/>
      <c r="V245" s="12">
        <f t="shared" si="117"/>
        <v>72</v>
      </c>
      <c r="W245" s="12"/>
      <c r="X245" s="20">
        <f t="shared" si="113"/>
        <v>41.4</v>
      </c>
      <c r="Y245" s="20">
        <f t="shared" si="118"/>
        <v>59.1428571428571</v>
      </c>
    </row>
    <row r="246" ht="15.6" hidden="1" outlineLevel="2" spans="1:25">
      <c r="A246" s="12">
        <v>206</v>
      </c>
      <c r="B246" s="12">
        <v>10</v>
      </c>
      <c r="C246" s="6" t="s">
        <v>278</v>
      </c>
      <c r="D246" s="6" t="s">
        <v>11</v>
      </c>
      <c r="E246" s="12">
        <v>13</v>
      </c>
      <c r="F246" s="11">
        <f>LOOKUP(E246,{0,-2.9,-1.9,-0.9,0.1,1.1,2.1,3.5,4.9,6.3,7.7,9.1,10.5,11.9,13.3,14.7,16.1,18.3,20.5,22.4,24.3},{0,10,20,30,40,50,60,62,64,66,68,70,72,74,76,78,80,85,90,95,100})</f>
        <v>74</v>
      </c>
      <c r="G246" s="12">
        <v>230</v>
      </c>
      <c r="H246" s="11">
        <f>LOOKUP(G246,{0,175,180,185,190,195,200,204,208,212,216,220,224,228,232,236,240,248,255,260,265},{0,10,20,30,40,50,60,62,64,66,68,70,72,74,76,78,80,85,90,95,100})</f>
        <v>74</v>
      </c>
      <c r="I246" s="12">
        <v>3</v>
      </c>
      <c r="J246" s="11">
        <f>LOOKUP(I246,{0,3,4,5,6,7,8,9,10,11,12,13,14,15,16,17},{0,10,20,30,40,50,60,64,68,72,76,80,85,90,95,100})</f>
        <v>10</v>
      </c>
      <c r="K246" s="12"/>
      <c r="L246" s="15"/>
      <c r="M246" s="12">
        <f t="shared" si="114"/>
        <v>10</v>
      </c>
      <c r="N246" s="12">
        <v>7.1</v>
      </c>
      <c r="O246" s="12">
        <f t="shared" si="115"/>
        <v>4.9</v>
      </c>
      <c r="P246" s="11">
        <f>LOOKUP(O246,{0,1.6,1.8,2,2.2,2.4,2.6,2.8,3,3.2,3.4,3.6,3.8,4,4.2,4.4,4.6,4.7,4.8,4.9,5},{0,10,20,30,40,50,60,62,64,66,68,70,72,74,76,78,80,85,90,95,100})</f>
        <v>95</v>
      </c>
      <c r="Q246" s="12">
        <v>3.39</v>
      </c>
      <c r="R246" s="12">
        <f t="shared" si="116"/>
        <v>6.61</v>
      </c>
      <c r="S246" s="11">
        <f>LOOKUP(R246,{0,3.8,4,4.6,4.8,5,5.6,5.65,5.7,5.75,5.8,5.85,5.9,5.95,6,6.45,6.5,6.58,6.65,6.7,6.75},{0,10,20,30,40,50,60,62,64,66,68,70,72,74,76,78,80,85,90,95,100})</f>
        <v>85</v>
      </c>
      <c r="T246" s="12"/>
      <c r="U246" s="12"/>
      <c r="V246" s="12">
        <f t="shared" si="117"/>
        <v>85</v>
      </c>
      <c r="W246" s="12"/>
      <c r="X246" s="20">
        <f t="shared" si="113"/>
        <v>51.8</v>
      </c>
      <c r="Y246" s="20">
        <f t="shared" si="118"/>
        <v>74</v>
      </c>
    </row>
    <row r="247" ht="15.6" hidden="1" outlineLevel="2" spans="1:25">
      <c r="A247" s="12">
        <v>206</v>
      </c>
      <c r="B247" s="12">
        <v>11</v>
      </c>
      <c r="C247" s="13" t="s">
        <v>280</v>
      </c>
      <c r="D247" s="6" t="s">
        <v>11</v>
      </c>
      <c r="E247" s="12">
        <v>6.8</v>
      </c>
      <c r="F247" s="11">
        <f>LOOKUP(E247,{0,-2.9,-1.9,-0.9,0.1,1.1,2.1,3.5,4.9,6.3,7.7,9.1,10.5,11.9,13.3,14.7,16.1,18.3,20.5,22.4,24.3},{0,10,20,30,40,50,60,62,64,66,68,70,72,74,76,78,80,85,90,95,100})</f>
        <v>66</v>
      </c>
      <c r="G247" s="12">
        <v>194</v>
      </c>
      <c r="H247" s="11">
        <f>LOOKUP(G247,{0,175,180,185,190,195,200,204,208,212,216,220,224,228,232,236,240,248,255,260,265},{0,10,20,30,40,50,60,62,64,66,68,70,72,74,76,78,80,85,90,95,100})</f>
        <v>40</v>
      </c>
      <c r="I247" s="12">
        <v>5</v>
      </c>
      <c r="J247" s="11">
        <f>LOOKUP(I247,{0,3,4,5,6,7,8,9,10,11,12,13,14,15,16,17},{0,10,20,30,40,50,60,64,68,72,76,80,85,90,95,100})</f>
        <v>30</v>
      </c>
      <c r="K247" s="12"/>
      <c r="L247" s="15"/>
      <c r="M247" s="12">
        <f t="shared" si="114"/>
        <v>30</v>
      </c>
      <c r="N247" s="12">
        <v>8</v>
      </c>
      <c r="O247" s="12">
        <f t="shared" si="115"/>
        <v>4</v>
      </c>
      <c r="P247" s="11">
        <f>LOOKUP(O247,{0,1.6,1.8,2,2.2,2.4,2.6,2.8,3,3.2,3.4,3.6,3.8,4,4.2,4.4,4.6,4.7,4.8,4.9,5},{0,10,20,30,40,50,60,62,64,66,68,70,72,74,76,78,80,85,90,95,100})</f>
        <v>74</v>
      </c>
      <c r="Q247" s="12">
        <v>4.16</v>
      </c>
      <c r="R247" s="12">
        <f t="shared" si="116"/>
        <v>5.84</v>
      </c>
      <c r="S247" s="11">
        <f>LOOKUP(R247,{0,3.8,4,4.6,4.8,5,5.6,5.65,5.7,5.75,5.8,5.85,5.9,5.95,6,6.45,6.5,6.58,6.65,6.7,6.75},{0,10,20,30,40,50,60,62,64,66,68,70,72,74,76,78,80,85,90,95,100})</f>
        <v>68</v>
      </c>
      <c r="T247" s="12"/>
      <c r="U247" s="12"/>
      <c r="V247" s="12">
        <f t="shared" si="117"/>
        <v>68</v>
      </c>
      <c r="W247" s="12"/>
      <c r="X247" s="20">
        <f t="shared" si="113"/>
        <v>42</v>
      </c>
      <c r="Y247" s="20">
        <f t="shared" si="118"/>
        <v>60</v>
      </c>
    </row>
    <row r="248" ht="15.6" hidden="1" outlineLevel="2" spans="1:25">
      <c r="A248" s="12">
        <v>206</v>
      </c>
      <c r="B248" s="12">
        <v>12</v>
      </c>
      <c r="C248" s="6" t="s">
        <v>281</v>
      </c>
      <c r="D248" s="6" t="s">
        <v>11</v>
      </c>
      <c r="E248" s="12">
        <v>9.9</v>
      </c>
      <c r="F248" s="11">
        <f>LOOKUP(E248,{0,-2.9,-1.9,-0.9,0.1,1.1,2.1,3.5,4.9,6.3,7.7,9.1,10.5,11.9,13.3,14.7,16.1,18.3,20.5,22.4,24.3},{0,10,20,30,40,50,60,62,64,66,68,70,72,74,76,78,80,85,90,95,100})</f>
        <v>70</v>
      </c>
      <c r="G248" s="12">
        <v>172</v>
      </c>
      <c r="H248" s="11">
        <f>LOOKUP(G248,{0,175,180,185,190,195,200,204,208,212,216,220,224,228,232,236,240,248,255,260,265},{0,10,20,30,40,50,60,62,64,66,68,70,72,74,76,78,80,85,90,95,100})</f>
        <v>0</v>
      </c>
      <c r="I248" s="12">
        <v>0</v>
      </c>
      <c r="J248" s="11">
        <f>LOOKUP(I248,{0,3,4,5,6,7,8,9,10,11,12,13,14,15,16,17},{0,10,20,30,40,50,60,64,68,72,76,80,85,90,95,100})</f>
        <v>0</v>
      </c>
      <c r="K248" s="12"/>
      <c r="L248" s="15"/>
      <c r="M248" s="12">
        <f t="shared" si="114"/>
        <v>0</v>
      </c>
      <c r="N248" s="12">
        <v>9.4</v>
      </c>
      <c r="O248" s="12">
        <f t="shared" si="115"/>
        <v>2.6</v>
      </c>
      <c r="P248" s="11">
        <f>LOOKUP(O248,{0,1.6,1.8,2,2.2,2.4,2.6,2.8,3,3.2,3.4,3.6,3.8,4,4.2,4.4,4.6,4.7,4.8,4.9,5},{0,10,20,30,40,50,60,62,64,66,68,70,72,74,76,78,80,85,90,95,100})</f>
        <v>60</v>
      </c>
      <c r="Q248" s="12">
        <v>4.36</v>
      </c>
      <c r="R248" s="12">
        <f t="shared" si="116"/>
        <v>5.64</v>
      </c>
      <c r="S248" s="11">
        <f>LOOKUP(R248,{0,3.8,4,4.6,4.8,5,5.6,5.65,5.7,5.75,5.8,5.85,5.9,5.95,6,6.45,6.5,6.58,6.65,6.7,6.75},{0,10,20,30,40,50,60,62,64,66,68,70,72,74,76,78,80,85,90,95,100})</f>
        <v>60</v>
      </c>
      <c r="T248" s="12"/>
      <c r="U248" s="12"/>
      <c r="V248" s="12">
        <f t="shared" si="117"/>
        <v>60</v>
      </c>
      <c r="W248" s="12"/>
      <c r="X248" s="20">
        <f t="shared" si="113"/>
        <v>31</v>
      </c>
      <c r="Y248" s="20">
        <f t="shared" si="118"/>
        <v>44.2857142857143</v>
      </c>
    </row>
    <row r="249" ht="15.6" hidden="1" outlineLevel="2" spans="1:25">
      <c r="A249" s="12">
        <v>206</v>
      </c>
      <c r="B249" s="12">
        <v>13</v>
      </c>
      <c r="C249" s="6" t="s">
        <v>282</v>
      </c>
      <c r="D249" s="6" t="s">
        <v>11</v>
      </c>
      <c r="E249" s="12">
        <v>19.4</v>
      </c>
      <c r="F249" s="11">
        <f>LOOKUP(E249,{0,-2.9,-1.9,-0.9,0.1,1.1,2.1,3.5,4.9,6.3,7.7,9.1,10.5,11.9,13.3,14.7,16.1,18.3,20.5,22.4,24.3},{0,10,20,30,40,50,60,62,64,66,68,70,72,74,76,78,80,85,90,95,100})</f>
        <v>85</v>
      </c>
      <c r="G249" s="12">
        <v>256</v>
      </c>
      <c r="H249" s="11">
        <f>LOOKUP(G249,{0,175,180,185,190,195,200,204,208,212,216,220,224,228,232,236,240,248,255,260,265},{0,10,20,30,40,50,60,62,64,66,68,70,72,74,76,78,80,85,90,95,100})</f>
        <v>90</v>
      </c>
      <c r="I249" s="12">
        <v>20</v>
      </c>
      <c r="J249" s="11">
        <f>LOOKUP(I249,{0,3,4,5,6,7,8,9,10,11,12,13,14,15,16,17},{0,10,20,30,40,50,60,64,68,72,76,80,85,90,95,100})</f>
        <v>100</v>
      </c>
      <c r="K249" s="12">
        <f t="shared" ref="K249:K254" si="119">I249-17</f>
        <v>3</v>
      </c>
      <c r="L249" s="11">
        <f>LOOKUP(K249,{0,1,2,3,4,5,6,7,8,9,10},{0,1,2,3,4,5,6,7,8,9,10})</f>
        <v>3</v>
      </c>
      <c r="M249" s="12">
        <f t="shared" si="114"/>
        <v>103</v>
      </c>
      <c r="N249" s="12"/>
      <c r="O249" s="12"/>
      <c r="P249" s="11"/>
      <c r="Q249" s="12">
        <v>3.29</v>
      </c>
      <c r="R249" s="12">
        <f t="shared" si="116"/>
        <v>6.71</v>
      </c>
      <c r="S249" s="11">
        <f>LOOKUP(R249,{0,3.8,4,4.6,4.8,5,5.6,5.65,5.7,5.75,5.8,5.85,5.9,5.95,6,6.45,6.5,6.58,6.65,6.7,6.75},{0,10,20,30,40,50,60,62,64,66,68,70,72,74,76,78,80,85,90,95,100})</f>
        <v>95</v>
      </c>
      <c r="T249" s="12"/>
      <c r="U249" s="12"/>
      <c r="V249" s="12">
        <f t="shared" si="117"/>
        <v>95</v>
      </c>
      <c r="W249" s="12"/>
      <c r="X249" s="20">
        <f t="shared" si="113"/>
        <v>46.5</v>
      </c>
      <c r="Y249" s="20">
        <f t="shared" si="118"/>
        <v>69.4285714285714</v>
      </c>
    </row>
    <row r="250" ht="15.6" hidden="1" outlineLevel="2" spans="1:25">
      <c r="A250" s="12">
        <v>206</v>
      </c>
      <c r="B250" s="12">
        <v>14</v>
      </c>
      <c r="C250" s="6" t="s">
        <v>283</v>
      </c>
      <c r="D250" s="6" t="s">
        <v>11</v>
      </c>
      <c r="E250" s="12">
        <v>14.9</v>
      </c>
      <c r="F250" s="11">
        <f>LOOKUP(E250,{0,-2.9,-1.9,-0.9,0.1,1.1,2.1,3.5,4.9,6.3,7.7,9.1,10.5,11.9,13.3,14.7,16.1,18.3,20.5,22.4,24.3},{0,10,20,30,40,50,60,62,64,66,68,70,72,74,76,78,80,85,90,95,100})</f>
        <v>78</v>
      </c>
      <c r="G250" s="12">
        <v>208</v>
      </c>
      <c r="H250" s="11">
        <f>LOOKUP(G250,{0,175,180,185,190,195,200,204,208,212,216,220,224,228,232,236,240,248,255,260,265},{0,10,20,30,40,50,60,62,64,66,68,70,72,74,76,78,80,85,90,95,100})</f>
        <v>64</v>
      </c>
      <c r="I250" s="12">
        <v>2</v>
      </c>
      <c r="J250" s="11">
        <f>LOOKUP(I250,{0,3,4,5,6,7,8,9,10,11,12,13,14,15,16,17},{0,10,20,30,40,50,60,64,68,72,76,80,85,90,95,100})</f>
        <v>0</v>
      </c>
      <c r="K250" s="12"/>
      <c r="L250" s="15"/>
      <c r="M250" s="12">
        <f t="shared" si="114"/>
        <v>0</v>
      </c>
      <c r="N250" s="12">
        <v>8.2</v>
      </c>
      <c r="O250" s="12">
        <f t="shared" ref="O250:O256" si="120">12-N250</f>
        <v>3.8</v>
      </c>
      <c r="P250" s="11">
        <f>LOOKUP(O250,{0,1.6,1.8,2,2.2,2.4,2.6,2.8,3,3.2,3.4,3.6,3.8,4,4.2,4.4,4.6,4.7,4.8,4.9,5},{0,10,20,30,40,50,60,62,64,66,68,70,72,74,76,78,80,85,90,95,100})</f>
        <v>72</v>
      </c>
      <c r="Q250" s="12">
        <v>4.35</v>
      </c>
      <c r="R250" s="12">
        <f t="shared" si="116"/>
        <v>5.65</v>
      </c>
      <c r="S250" s="11">
        <f>LOOKUP(R250,{0,3.8,4,4.6,4.8,5,5.6,5.65,5.7,5.75,5.8,5.85,5.9,5.95,6,6.45,6.5,6.58,6.65,6.7,6.75},{0,10,20,30,40,50,60,62,64,66,68,70,72,74,76,78,80,85,90,95,100})</f>
        <v>62</v>
      </c>
      <c r="T250" s="12"/>
      <c r="U250" s="12"/>
      <c r="V250" s="12">
        <f t="shared" si="117"/>
        <v>62</v>
      </c>
      <c r="W250" s="12"/>
      <c r="X250" s="20">
        <f t="shared" si="113"/>
        <v>41</v>
      </c>
      <c r="Y250" s="20">
        <f t="shared" si="118"/>
        <v>58.5714285714286</v>
      </c>
    </row>
    <row r="251" s="1" customFormat="1" ht="15.6" hidden="1" outlineLevel="2" spans="1:25">
      <c r="A251" s="12">
        <v>206</v>
      </c>
      <c r="B251" s="12">
        <v>15</v>
      </c>
      <c r="C251" s="6" t="s">
        <v>284</v>
      </c>
      <c r="D251" s="6" t="s">
        <v>11</v>
      </c>
      <c r="E251" s="12">
        <v>0</v>
      </c>
      <c r="F251" s="11">
        <f>LOOKUP(E251,{0,-2.9,-1.9,-0.9,0.1,1.1,2.1,3.5,4.9,6.3,7.7,9.1,10.5,11.9,13.3,14.7,16.1,18.3,20.5,22.4,24.3},{0,10,20,30,40,50,60,62,64,66,68,70,72,74,76,78,80,85,90,95,100})</f>
        <v>30</v>
      </c>
      <c r="G251" s="12">
        <v>170</v>
      </c>
      <c r="H251" s="11">
        <f>LOOKUP(G251,{0,175,180,185,190,195,200,204,208,212,216,220,224,228,232,236,240,248,255,260,265},{0,10,20,30,40,50,60,62,64,66,68,70,72,74,76,78,80,85,90,95,100})</f>
        <v>0</v>
      </c>
      <c r="I251" s="12">
        <v>3</v>
      </c>
      <c r="J251" s="11">
        <f>LOOKUP(I251,{0,3,4,5,6,7,8,9,10,11,12,13,14,15,16,17},{0,10,20,30,40,50,60,64,68,72,76,80,85,90,95,100})</f>
        <v>10</v>
      </c>
      <c r="K251" s="12"/>
      <c r="L251" s="12"/>
      <c r="M251" s="12">
        <f t="shared" si="114"/>
        <v>10</v>
      </c>
      <c r="N251" s="12">
        <v>7.9</v>
      </c>
      <c r="O251" s="12">
        <f t="shared" si="120"/>
        <v>4.1</v>
      </c>
      <c r="P251" s="11">
        <f>LOOKUP(O251,{0,1.6,1.8,2,2.2,2.4,2.6,2.8,3,3.2,3.4,3.6,3.8,4,4.2,4.4,4.6,4.7,4.8,4.9,5},{0,10,20,30,40,50,60,62,64,66,68,70,72,74,76,78,80,85,90,95,100})</f>
        <v>74</v>
      </c>
      <c r="Q251" s="12">
        <v>4.49</v>
      </c>
      <c r="R251" s="12">
        <f t="shared" si="116"/>
        <v>5.51</v>
      </c>
      <c r="S251" s="11">
        <f>LOOKUP(R251,{0,3.8,4,4.6,4.8,5,5.6,5.65,5.7,5.75,5.8,5.85,5.9,5.95,6,6.45,6.5,6.58,6.65,6.7,6.75},{0,10,20,30,40,50,60,62,64,66,68,70,72,74,76,78,80,85,90,95,100})</f>
        <v>50</v>
      </c>
      <c r="T251" s="12"/>
      <c r="U251" s="12"/>
      <c r="V251" s="12">
        <f t="shared" si="117"/>
        <v>50</v>
      </c>
      <c r="W251" s="12"/>
      <c r="X251" s="20">
        <f t="shared" si="113"/>
        <v>28.8</v>
      </c>
      <c r="Y251" s="20">
        <f t="shared" si="118"/>
        <v>41.1428571428571</v>
      </c>
    </row>
    <row r="252" ht="15.6" hidden="1" outlineLevel="2" spans="1:25">
      <c r="A252" s="12">
        <v>206</v>
      </c>
      <c r="B252" s="12">
        <v>16</v>
      </c>
      <c r="C252" s="6" t="s">
        <v>285</v>
      </c>
      <c r="D252" s="6" t="s">
        <v>11</v>
      </c>
      <c r="E252" s="12">
        <v>6.9</v>
      </c>
      <c r="F252" s="11">
        <f>LOOKUP(E252,{0,-2.9,-1.9,-0.9,0.1,1.1,2.1,3.5,4.9,6.3,7.7,9.1,10.5,11.9,13.3,14.7,16.1,18.3,20.5,22.4,24.3},{0,10,20,30,40,50,60,62,64,66,68,70,72,74,76,78,80,85,90,95,100})</f>
        <v>66</v>
      </c>
      <c r="G252" s="12">
        <v>220</v>
      </c>
      <c r="H252" s="11">
        <f>LOOKUP(G252,{0,175,180,185,190,195,200,204,208,212,216,220,224,228,232,236,240,248,255,260,265},{0,10,20,30,40,50,60,62,64,66,68,70,72,74,76,78,80,85,90,95,100})</f>
        <v>70</v>
      </c>
      <c r="I252" s="12">
        <v>3</v>
      </c>
      <c r="J252" s="11">
        <f>LOOKUP(I252,{0,3,4,5,6,7,8,9,10,11,12,13,14,15,16,17},{0,10,20,30,40,50,60,64,68,72,76,80,85,90,95,100})</f>
        <v>10</v>
      </c>
      <c r="K252" s="12"/>
      <c r="L252" s="12"/>
      <c r="M252" s="12">
        <f t="shared" si="114"/>
        <v>10</v>
      </c>
      <c r="N252" s="12">
        <v>7.7</v>
      </c>
      <c r="O252" s="12">
        <f t="shared" si="120"/>
        <v>4.3</v>
      </c>
      <c r="P252" s="11">
        <f>LOOKUP(O252,{0,1.6,1.8,2,2.2,2.4,2.6,2.8,3,3.2,3.4,3.6,3.8,4,4.2,4.4,4.6,4.7,4.8,4.9,5},{0,10,20,30,40,50,60,62,64,66,68,70,72,74,76,78,80,85,90,95,100})</f>
        <v>76</v>
      </c>
      <c r="Q252" s="12">
        <v>5.05</v>
      </c>
      <c r="R252" s="12">
        <f t="shared" si="116"/>
        <v>4.95</v>
      </c>
      <c r="S252" s="11">
        <f>LOOKUP(R252,{0,3.8,4,4.6,4.8,5,5.6,5.65,5.7,5.75,5.8,5.85,5.9,5.95,6,6.45,6.5,6.58,6.65,6.7,6.75},{0,10,20,30,40,50,60,62,64,66,68,70,72,74,76,78,80,85,90,95,100})</f>
        <v>40</v>
      </c>
      <c r="T252" s="12"/>
      <c r="U252" s="12"/>
      <c r="V252" s="12">
        <f t="shared" si="117"/>
        <v>40</v>
      </c>
      <c r="W252" s="12"/>
      <c r="X252" s="20">
        <f t="shared" si="113"/>
        <v>37.8</v>
      </c>
      <c r="Y252" s="20">
        <f t="shared" si="118"/>
        <v>54</v>
      </c>
    </row>
    <row r="253" ht="15.6" hidden="1" outlineLevel="2" spans="1:25">
      <c r="A253" s="12">
        <v>206</v>
      </c>
      <c r="B253" s="12">
        <v>17</v>
      </c>
      <c r="C253" s="6" t="s">
        <v>286</v>
      </c>
      <c r="D253" s="6" t="s">
        <v>11</v>
      </c>
      <c r="E253" s="12">
        <v>14.4</v>
      </c>
      <c r="F253" s="11">
        <f>LOOKUP(E253,{0,-2.9,-1.9,-0.9,0.1,1.1,2.1,3.5,4.9,6.3,7.7,9.1,10.5,11.9,13.3,14.7,16.1,18.3,20.5,22.4,24.3},{0,10,20,30,40,50,60,62,64,66,68,70,72,74,76,78,80,85,90,95,100})</f>
        <v>76</v>
      </c>
      <c r="G253" s="12">
        <v>275</v>
      </c>
      <c r="H253" s="11">
        <f>LOOKUP(G253,{0,175,180,185,190,195,200,204,208,212,216,220,224,228,232,236,240,248,255,260,265},{0,10,20,30,40,50,60,62,64,66,68,70,72,74,76,78,80,85,90,95,100})</f>
        <v>100</v>
      </c>
      <c r="I253" s="12">
        <v>20</v>
      </c>
      <c r="J253" s="11">
        <f>LOOKUP(I253,{0,3,4,5,6,7,8,9,10,11,12,13,14,15,16,17},{0,10,20,30,40,50,60,64,68,72,76,80,85,90,95,100})</f>
        <v>100</v>
      </c>
      <c r="K253" s="12">
        <f t="shared" si="119"/>
        <v>3</v>
      </c>
      <c r="L253" s="11">
        <f>LOOKUP(K253,{0,1,2,3,4,5,6,7,8,9,10},{0,1,2,3,4,5,6,7,8,9,10})</f>
        <v>3</v>
      </c>
      <c r="M253" s="12">
        <f t="shared" si="114"/>
        <v>103</v>
      </c>
      <c r="N253" s="12">
        <v>6.7</v>
      </c>
      <c r="O253" s="12">
        <f t="shared" si="120"/>
        <v>5.3</v>
      </c>
      <c r="P253" s="11">
        <f>LOOKUP(O253,{0,1.6,1.8,2,2.2,2.4,2.6,2.8,3,3.2,3.4,3.6,3.8,4,4.2,4.4,4.6,4.7,4.8,4.9,5},{0,10,20,30,40,50,60,62,64,66,68,70,72,74,76,78,80,85,90,95,100})</f>
        <v>100</v>
      </c>
      <c r="Q253" s="12">
        <v>3.2</v>
      </c>
      <c r="R253" s="12">
        <f t="shared" si="116"/>
        <v>6.8</v>
      </c>
      <c r="S253" s="11">
        <f>LOOKUP(R253,{0,3.8,4,4.6,4.8,5,5.6,5.65,5.7,5.75,5.8,5.85,5.9,5.95,6,6.45,6.5,6.58,6.65,6.7,6.75},{0,10,20,30,40,50,60,62,64,66,68,70,72,74,76,78,80,85,90,95,100})</f>
        <v>100</v>
      </c>
      <c r="T253" s="12">
        <f>3.25-Q253</f>
        <v>0.0499999999999998</v>
      </c>
      <c r="U253" s="11">
        <f>LOOKUP(T253,{0,0.04,0.08,0.12,0.16,0.2,0.23,0.26,0.29,0.32,0.35},{0,1,2,3,4,5,6,7,8,9,10})</f>
        <v>1</v>
      </c>
      <c r="V253" s="12">
        <f t="shared" si="117"/>
        <v>101</v>
      </c>
      <c r="W253" s="12"/>
      <c r="X253" s="20">
        <f t="shared" si="113"/>
        <v>67.6</v>
      </c>
      <c r="Y253" s="20">
        <f t="shared" si="118"/>
        <v>100.571428571429</v>
      </c>
    </row>
    <row r="254" ht="15.6" hidden="1" outlineLevel="2" spans="1:25">
      <c r="A254" s="12">
        <v>206</v>
      </c>
      <c r="B254" s="12">
        <v>18</v>
      </c>
      <c r="C254" s="6" t="s">
        <v>287</v>
      </c>
      <c r="D254" s="6" t="s">
        <v>11</v>
      </c>
      <c r="E254" s="12">
        <v>16.2</v>
      </c>
      <c r="F254" s="11">
        <f>LOOKUP(E254,{0,-2.9,-1.9,-0.9,0.1,1.1,2.1,3.5,4.9,6.3,7.7,9.1,10.5,11.9,13.3,14.7,16.1,18.3,20.5,22.4,24.3},{0,10,20,30,40,50,60,62,64,66,68,70,72,74,76,78,80,85,90,95,100})</f>
        <v>80</v>
      </c>
      <c r="G254" s="12">
        <v>262</v>
      </c>
      <c r="H254" s="11">
        <f>LOOKUP(G254,{0,175,180,185,190,195,200,204,208,212,216,220,224,228,232,236,240,248,255,260,265},{0,10,20,30,40,50,60,62,64,66,68,70,72,74,76,78,80,85,90,95,100})</f>
        <v>95</v>
      </c>
      <c r="I254" s="12">
        <v>19</v>
      </c>
      <c r="J254" s="11">
        <f>LOOKUP(I254,{0,3,4,5,6,7,8,9,10,11,12,13,14,15,16,17},{0,10,20,30,40,50,60,64,68,72,76,80,85,90,95,100})</f>
        <v>100</v>
      </c>
      <c r="K254" s="12">
        <f t="shared" si="119"/>
        <v>2</v>
      </c>
      <c r="L254" s="11">
        <f>LOOKUP(K254,{0,1,2,3,4,5,6,7,8,9,10},{0,1,2,3,4,5,6,7,8,9,10})</f>
        <v>2</v>
      </c>
      <c r="M254" s="12">
        <f t="shared" si="114"/>
        <v>102</v>
      </c>
      <c r="N254" s="12">
        <v>7.5</v>
      </c>
      <c r="O254" s="12">
        <f t="shared" si="120"/>
        <v>4.5</v>
      </c>
      <c r="P254" s="11">
        <f>LOOKUP(O254,{0,1.6,1.8,2,2.2,2.4,2.6,2.8,3,3.2,3.4,3.6,3.8,4,4.2,4.4,4.6,4.7,4.8,4.9,5},{0,10,20,30,40,50,60,62,64,66,68,70,72,74,76,78,80,85,90,95,100})</f>
        <v>78</v>
      </c>
      <c r="Q254" s="12">
        <v>3.42</v>
      </c>
      <c r="R254" s="12">
        <f t="shared" si="116"/>
        <v>6.58</v>
      </c>
      <c r="S254" s="11">
        <f>LOOKUP(R254,{0,3.8,4,4.6,4.8,5,5.6,5.65,5.7,5.75,5.8,5.85,5.9,5.95,6,6.45,6.5,6.58,6.65,6.7,6.75},{0,10,20,30,40,50,60,62,64,66,68,70,72,74,76,78,80,85,90,95,100})</f>
        <v>85</v>
      </c>
      <c r="T254" s="12"/>
      <c r="U254" s="12"/>
      <c r="V254" s="12">
        <f t="shared" si="117"/>
        <v>85</v>
      </c>
      <c r="W254" s="12"/>
      <c r="X254" s="20">
        <f t="shared" si="113"/>
        <v>60.1</v>
      </c>
      <c r="Y254" s="20">
        <f t="shared" si="118"/>
        <v>87.8571428571429</v>
      </c>
    </row>
    <row r="255" ht="15.6" hidden="1" outlineLevel="2" spans="1:25">
      <c r="A255" s="12">
        <v>206</v>
      </c>
      <c r="B255" s="12">
        <v>19</v>
      </c>
      <c r="C255" s="6" t="s">
        <v>288</v>
      </c>
      <c r="D255" s="6" t="s">
        <v>11</v>
      </c>
      <c r="E255" s="12">
        <v>16.5</v>
      </c>
      <c r="F255" s="11">
        <f>LOOKUP(E255,{0,-2.9,-1.9,-0.9,0.1,1.1,2.1,3.5,4.9,6.3,7.7,9.1,10.5,11.9,13.3,14.7,16.1,18.3,20.5,22.4,24.3},{0,10,20,30,40,50,60,62,64,66,68,70,72,74,76,78,80,85,90,95,100})</f>
        <v>80</v>
      </c>
      <c r="G255" s="12">
        <v>208</v>
      </c>
      <c r="H255" s="11">
        <f>LOOKUP(G255,{0,175,180,185,190,195,200,204,208,212,216,220,224,228,232,236,240,248,255,260,265},{0,10,20,30,40,50,60,62,64,66,68,70,72,74,76,78,80,85,90,95,100})</f>
        <v>64</v>
      </c>
      <c r="I255" s="12">
        <v>0</v>
      </c>
      <c r="J255" s="11">
        <f>LOOKUP(I255,{0,3,4,5,6,7,8,9,10,11,12,13,14,15,16,17},{0,10,20,30,40,50,60,64,68,72,76,80,85,90,95,100})</f>
        <v>0</v>
      </c>
      <c r="K255" s="12"/>
      <c r="L255" s="12"/>
      <c r="M255" s="12">
        <f t="shared" si="114"/>
        <v>0</v>
      </c>
      <c r="N255" s="12">
        <v>8.8</v>
      </c>
      <c r="O255" s="12">
        <f t="shared" si="120"/>
        <v>3.2</v>
      </c>
      <c r="P255" s="11">
        <f>LOOKUP(O255,{0,1.6,1.8,2,2.2,2.4,2.6,2.8,3,3.2,3.4,3.6,3.8,4,4.2,4.4,4.6,4.7,4.8,4.9,5},{0,10,20,30,40,50,60,62,64,66,68,70,72,74,76,78,80,85,90,95,100})</f>
        <v>66</v>
      </c>
      <c r="Q255" s="12">
        <v>4.07</v>
      </c>
      <c r="R255" s="12">
        <f t="shared" si="116"/>
        <v>5.93</v>
      </c>
      <c r="S255" s="11">
        <f>LOOKUP(R255,{0,3.8,4,4.6,4.8,5,5.6,5.65,5.7,5.75,5.8,5.85,5.9,5.95,6,6.45,6.5,6.58,6.65,6.7,6.75},{0,10,20,30,40,50,60,62,64,66,68,70,72,74,76,78,80,85,90,95,100})</f>
        <v>72</v>
      </c>
      <c r="T255" s="12"/>
      <c r="U255" s="12"/>
      <c r="V255" s="12">
        <f t="shared" si="117"/>
        <v>72</v>
      </c>
      <c r="W255" s="12"/>
      <c r="X255" s="20">
        <f t="shared" si="113"/>
        <v>42</v>
      </c>
      <c r="Y255" s="20">
        <f t="shared" si="118"/>
        <v>60</v>
      </c>
    </row>
    <row r="256" ht="15.6" hidden="1" outlineLevel="2" spans="1:25">
      <c r="A256" s="12">
        <v>206</v>
      </c>
      <c r="B256" s="12">
        <v>20</v>
      </c>
      <c r="C256" s="13" t="s">
        <v>290</v>
      </c>
      <c r="D256" s="6" t="s">
        <v>11</v>
      </c>
      <c r="E256" s="12">
        <v>12</v>
      </c>
      <c r="F256" s="11">
        <f>LOOKUP(E256,{0,-2.9,-1.9,-0.9,0.1,1.1,2.1,3.5,4.9,6.3,7.7,9.1,10.5,11.9,13.3,14.7,16.1,18.3,20.5,22.4,24.3},{0,10,20,30,40,50,60,62,64,66,68,70,72,74,76,78,80,85,90,95,100})</f>
        <v>74</v>
      </c>
      <c r="G256" s="12">
        <v>226</v>
      </c>
      <c r="H256" s="11">
        <f>LOOKUP(G256,{0,175,180,185,190,195,200,204,208,212,216,220,224,228,232,236,240,248,255,260,265},{0,10,20,30,40,50,60,62,64,66,68,70,72,74,76,78,80,85,90,95,100})</f>
        <v>72</v>
      </c>
      <c r="I256" s="12">
        <v>1</v>
      </c>
      <c r="J256" s="11">
        <f>LOOKUP(I256,{0,3,4,5,6,7,8,9,10,11,12,13,14,15,16,17},{0,10,20,30,40,50,60,64,68,72,76,80,85,90,95,100})</f>
        <v>0</v>
      </c>
      <c r="K256" s="12"/>
      <c r="L256" s="12"/>
      <c r="M256" s="12">
        <f t="shared" si="114"/>
        <v>0</v>
      </c>
      <c r="N256" s="12">
        <v>7.4</v>
      </c>
      <c r="O256" s="12">
        <f t="shared" si="120"/>
        <v>4.6</v>
      </c>
      <c r="P256" s="11">
        <f>LOOKUP(O256,{0,1.6,1.8,2,2.2,2.4,2.6,2.8,3,3.2,3.4,3.6,3.8,4,4.2,4.4,4.6,4.7,4.8,4.9,5},{0,10,20,30,40,50,60,62,64,66,68,70,72,74,76,78,80,85,90,95,100})</f>
        <v>80</v>
      </c>
      <c r="Q256" s="12">
        <v>3.5</v>
      </c>
      <c r="R256" s="12">
        <f t="shared" si="116"/>
        <v>6.5</v>
      </c>
      <c r="S256" s="11">
        <f>LOOKUP(R256,{0,3.8,4,4.6,4.8,5,5.6,5.65,5.7,5.75,5.8,5.85,5.9,5.95,6,6.45,6.5,6.58,6.65,6.7,6.75},{0,10,20,30,40,50,60,62,64,66,68,70,72,74,76,78,80,85,90,95,100})</f>
        <v>80</v>
      </c>
      <c r="T256" s="12"/>
      <c r="U256" s="12"/>
      <c r="V256" s="12">
        <f t="shared" si="117"/>
        <v>80</v>
      </c>
      <c r="W256" s="12"/>
      <c r="X256" s="20">
        <f t="shared" si="113"/>
        <v>46.6</v>
      </c>
      <c r="Y256" s="20">
        <f t="shared" si="118"/>
        <v>66.5714285714286</v>
      </c>
    </row>
    <row r="257" ht="15.6" hidden="1" outlineLevel="2" spans="1:25">
      <c r="A257" s="12">
        <v>206</v>
      </c>
      <c r="B257" s="12">
        <v>21</v>
      </c>
      <c r="C257" s="6" t="s">
        <v>291</v>
      </c>
      <c r="D257" s="6" t="s">
        <v>11</v>
      </c>
      <c r="E257" s="12">
        <v>7</v>
      </c>
      <c r="F257" s="11">
        <f>LOOKUP(E257,{0,-2.9,-1.9,-0.9,0.1,1.1,2.1,3.5,4.9,6.3,7.7,9.1,10.5,11.9,13.3,14.7,16.1,18.3,20.5,22.4,24.3},{0,10,20,30,40,50,60,62,64,66,68,70,72,74,76,78,80,85,90,95,100})</f>
        <v>66</v>
      </c>
      <c r="G257" s="12">
        <v>217</v>
      </c>
      <c r="H257" s="11">
        <f>LOOKUP(G257,{0,175,180,185,190,195,200,204,208,212,216,220,224,228,232,236,240,248,255,260,265},{0,10,20,30,40,50,60,62,64,66,68,70,72,74,76,78,80,85,90,95,100})</f>
        <v>68</v>
      </c>
      <c r="I257" s="12">
        <v>7</v>
      </c>
      <c r="J257" s="11">
        <f>LOOKUP(I257,{0,3,4,5,6,7,8,9,10,11,12,13,14,15,16,17},{0,10,20,30,40,50,60,64,68,72,76,80,85,90,95,100})</f>
        <v>50</v>
      </c>
      <c r="K257" s="12"/>
      <c r="L257" s="12"/>
      <c r="M257" s="12">
        <f t="shared" si="114"/>
        <v>50</v>
      </c>
      <c r="N257" s="12"/>
      <c r="O257" s="12"/>
      <c r="P257" s="11"/>
      <c r="Q257" s="12">
        <v>3.48</v>
      </c>
      <c r="R257" s="12">
        <f t="shared" si="116"/>
        <v>6.52</v>
      </c>
      <c r="S257" s="11">
        <f>LOOKUP(R257,{0,3.8,4,4.6,4.8,5,5.6,5.65,5.7,5.75,5.8,5.85,5.9,5.95,6,6.45,6.5,6.58,6.65,6.7,6.75},{0,10,20,30,40,50,60,62,64,66,68,70,72,74,76,78,80,85,90,95,100})</f>
        <v>80</v>
      </c>
      <c r="T257" s="12"/>
      <c r="U257" s="12"/>
      <c r="V257" s="12">
        <f t="shared" si="117"/>
        <v>80</v>
      </c>
      <c r="W257" s="12"/>
      <c r="X257" s="20">
        <f t="shared" si="113"/>
        <v>34.4</v>
      </c>
      <c r="Y257" s="23">
        <v>50</v>
      </c>
    </row>
    <row r="258" ht="15.6" hidden="1" outlineLevel="2" spans="1:25">
      <c r="A258" s="12">
        <v>206</v>
      </c>
      <c r="B258" s="12">
        <v>22</v>
      </c>
      <c r="C258" s="6" t="s">
        <v>292</v>
      </c>
      <c r="D258" s="6" t="s">
        <v>11</v>
      </c>
      <c r="E258" s="12">
        <v>31</v>
      </c>
      <c r="F258" s="11">
        <f>LOOKUP(E258,{0,-2.9,-1.9,-0.9,0.1,1.1,2.1,3.5,4.9,6.3,7.7,9.1,10.5,11.9,13.3,14.7,16.1,18.3,20.5,22.4,24.3},{0,10,20,30,40,50,60,62,64,66,68,70,72,74,76,78,80,85,90,95,100})</f>
        <v>100</v>
      </c>
      <c r="G258" s="12">
        <v>264</v>
      </c>
      <c r="H258" s="11">
        <f>LOOKUP(G258,{0,175,180,185,190,195,200,204,208,212,216,220,224,228,232,236,240,248,255,260,265},{0,10,20,30,40,50,60,62,64,66,68,70,72,74,76,78,80,85,90,95,100})</f>
        <v>95</v>
      </c>
      <c r="I258" s="12">
        <v>20</v>
      </c>
      <c r="J258" s="11">
        <f>LOOKUP(I258,{0,3,4,5,6,7,8,9,10,11,12,13,14,15,16,17},{0,10,20,30,40,50,60,64,68,72,76,80,85,90,95,100})</f>
        <v>100</v>
      </c>
      <c r="K258" s="12">
        <f>I258-17</f>
        <v>3</v>
      </c>
      <c r="L258" s="11">
        <f>LOOKUP(K258,{0,1,2,3,4,5,6,7,8,9,10},{0,1,2,3,4,5,6,7,8,9,10})</f>
        <v>3</v>
      </c>
      <c r="M258" s="12">
        <f t="shared" si="114"/>
        <v>103</v>
      </c>
      <c r="N258" s="12">
        <v>7</v>
      </c>
      <c r="O258" s="12">
        <f t="shared" ref="O258:O265" si="121">12-N258</f>
        <v>5</v>
      </c>
      <c r="P258" s="11">
        <f>LOOKUP(O258,{0,1.6,1.8,2,2.2,2.4,2.6,2.8,3,3.2,3.4,3.6,3.8,4,4.2,4.4,4.6,4.7,4.8,4.9,5},{0,10,20,30,40,50,60,62,64,66,68,70,72,74,76,78,80,85,90,95,100})</f>
        <v>100</v>
      </c>
      <c r="Q258" s="12">
        <v>3.41</v>
      </c>
      <c r="R258" s="12">
        <f t="shared" si="116"/>
        <v>6.59</v>
      </c>
      <c r="S258" s="11">
        <f>LOOKUP(R258,{0,3.8,4,4.6,4.8,5,5.6,5.65,5.7,5.75,5.8,5.85,5.9,5.95,6,6.45,6.5,6.58,6.65,6.7,6.75},{0,10,20,30,40,50,60,62,64,66,68,70,72,74,76,78,80,85,90,95,100})</f>
        <v>85</v>
      </c>
      <c r="T258" s="12"/>
      <c r="U258" s="12"/>
      <c r="V258" s="12">
        <f t="shared" si="117"/>
        <v>85</v>
      </c>
      <c r="W258" s="12"/>
      <c r="X258" s="20">
        <f t="shared" si="113"/>
        <v>66.5</v>
      </c>
      <c r="Y258" s="20">
        <f t="shared" ref="Y258:Y265" si="122">X258/0.7+L258+U258</f>
        <v>98</v>
      </c>
    </row>
    <row r="259" ht="15.6" hidden="1" outlineLevel="2" spans="1:25">
      <c r="A259" s="12">
        <v>206</v>
      </c>
      <c r="B259" s="12">
        <v>23</v>
      </c>
      <c r="C259" s="6" t="s">
        <v>293</v>
      </c>
      <c r="D259" s="6" t="s">
        <v>11</v>
      </c>
      <c r="E259" s="12">
        <v>9</v>
      </c>
      <c r="F259" s="11">
        <f>LOOKUP(E259,{0,-2.9,-1.9,-0.9,0.1,1.1,2.1,3.5,4.9,6.3,7.7,9.1,10.5,11.9,13.3,14.7,16.1,18.3,20.5,22.4,24.3},{0,10,20,30,40,50,60,62,64,66,68,70,72,74,76,78,80,85,90,95,100})</f>
        <v>68</v>
      </c>
      <c r="G259" s="12">
        <v>188</v>
      </c>
      <c r="H259" s="11">
        <f>LOOKUP(G259,{0,175,180,185,190,195,200,204,208,212,216,220,224,228,232,236,240,248,255,260,265},{0,10,20,30,40,50,60,62,64,66,68,70,72,74,76,78,80,85,90,95,100})</f>
        <v>30</v>
      </c>
      <c r="I259" s="12">
        <v>16</v>
      </c>
      <c r="J259" s="11">
        <f>LOOKUP(I259,{0,3,4,5,6,7,8,9,10,11,12,13,14,15,16,17},{0,10,20,30,40,50,60,64,68,72,76,80,85,90,95,100})</f>
        <v>95</v>
      </c>
      <c r="K259" s="12"/>
      <c r="L259" s="15"/>
      <c r="M259" s="12">
        <f t="shared" si="114"/>
        <v>95</v>
      </c>
      <c r="N259" s="12"/>
      <c r="O259" s="12"/>
      <c r="P259" s="11"/>
      <c r="Q259" s="12">
        <v>4.12</v>
      </c>
      <c r="R259" s="12">
        <f t="shared" si="116"/>
        <v>5.88</v>
      </c>
      <c r="S259" s="11">
        <f>LOOKUP(R259,{0,3.8,4,4.6,4.8,5,5.6,5.65,5.7,5.75,5.8,5.85,5.9,5.95,6,6.45,6.5,6.58,6.65,6.7,6.75},{0,10,20,30,40,50,60,62,64,66,68,70,72,74,76,78,80,85,90,95,100})</f>
        <v>70</v>
      </c>
      <c r="T259" s="12"/>
      <c r="U259" s="12"/>
      <c r="V259" s="12">
        <f t="shared" si="117"/>
        <v>70</v>
      </c>
      <c r="W259" s="12"/>
      <c r="X259" s="20">
        <f t="shared" si="113"/>
        <v>33.3</v>
      </c>
      <c r="Y259" s="23">
        <v>50</v>
      </c>
    </row>
    <row r="260" ht="15.6" hidden="1" outlineLevel="2" spans="1:25">
      <c r="A260" s="12">
        <v>206</v>
      </c>
      <c r="B260" s="12">
        <v>24</v>
      </c>
      <c r="C260" s="6" t="s">
        <v>294</v>
      </c>
      <c r="D260" s="6" t="s">
        <v>11</v>
      </c>
      <c r="E260" s="12">
        <v>16.5</v>
      </c>
      <c r="F260" s="11">
        <f>LOOKUP(E260,{0,-2.9,-1.9,-0.9,0.1,1.1,2.1,3.5,4.9,6.3,7.7,9.1,10.5,11.9,13.3,14.7,16.1,18.3,20.5,22.4,24.3},{0,10,20,30,40,50,60,62,64,66,68,70,72,74,76,78,80,85,90,95,100})</f>
        <v>80</v>
      </c>
      <c r="G260" s="12">
        <v>183</v>
      </c>
      <c r="H260" s="11">
        <f>LOOKUP(G260,{0,175,180,185,190,195,200,204,208,212,216,220,224,228,232,236,240,248,255,260,265},{0,10,20,30,40,50,60,62,64,66,68,70,72,74,76,78,80,85,90,95,100})</f>
        <v>20</v>
      </c>
      <c r="I260" s="12">
        <v>0</v>
      </c>
      <c r="J260" s="11">
        <f>LOOKUP(I260,{0,3,4,5,6,7,8,9,10,11,12,13,14,15,16,17},{0,10,20,30,40,50,60,64,68,72,76,80,85,90,95,100})</f>
        <v>0</v>
      </c>
      <c r="K260" s="12"/>
      <c r="L260" s="12"/>
      <c r="M260" s="12">
        <f t="shared" si="114"/>
        <v>0</v>
      </c>
      <c r="N260" s="12">
        <v>8.6</v>
      </c>
      <c r="O260" s="12">
        <f t="shared" si="121"/>
        <v>3.4</v>
      </c>
      <c r="P260" s="11">
        <f>LOOKUP(O260,{0,1.6,1.8,2,2.2,2.4,2.6,2.8,3,3.2,3.4,3.6,3.8,4,4.2,4.4,4.6,4.7,4.8,4.9,5},{0,10,20,30,40,50,60,62,64,66,68,70,72,74,76,78,80,85,90,95,100})</f>
        <v>68</v>
      </c>
      <c r="Q260" s="12"/>
      <c r="R260" s="12"/>
      <c r="S260" s="11"/>
      <c r="T260" s="12"/>
      <c r="U260" s="11"/>
      <c r="V260" s="12"/>
      <c r="W260" s="12" t="s">
        <v>295</v>
      </c>
      <c r="X260" s="20">
        <f t="shared" si="113"/>
        <v>23.6</v>
      </c>
      <c r="Y260" s="20">
        <v>50</v>
      </c>
    </row>
    <row r="261" ht="15.6" hidden="1" outlineLevel="2" spans="1:25">
      <c r="A261" s="12">
        <v>206</v>
      </c>
      <c r="B261" s="12">
        <v>25</v>
      </c>
      <c r="C261" s="6" t="s">
        <v>296</v>
      </c>
      <c r="D261" s="6" t="s">
        <v>11</v>
      </c>
      <c r="E261" s="12">
        <v>20</v>
      </c>
      <c r="F261" s="11">
        <f>LOOKUP(E261,{0,-2.9,-1.9,-0.9,0.1,1.1,2.1,3.5,4.9,6.3,7.7,9.1,10.5,11.9,13.3,14.7,16.1,18.3,20.5,22.4,24.3},{0,10,20,30,40,50,60,62,64,66,68,70,72,74,76,78,80,85,90,95,100})</f>
        <v>85</v>
      </c>
      <c r="G261" s="12">
        <v>215</v>
      </c>
      <c r="H261" s="11">
        <f>LOOKUP(G261,{0,175,180,185,190,195,200,204,208,212,216,220,224,228,232,236,240,248,255,260,265},{0,10,20,30,40,50,60,62,64,66,68,70,72,74,76,78,80,85,90,95,100})</f>
        <v>66</v>
      </c>
      <c r="I261" s="12">
        <v>6</v>
      </c>
      <c r="J261" s="11">
        <f>LOOKUP(I261,{0,3,4,5,6,7,8,9,10,11,12,13,14,15,16,17},{0,10,20,30,40,50,60,64,68,72,76,80,85,90,95,100})</f>
        <v>40</v>
      </c>
      <c r="K261" s="12"/>
      <c r="L261" s="12"/>
      <c r="M261" s="12">
        <f t="shared" si="114"/>
        <v>40</v>
      </c>
      <c r="N261" s="12">
        <v>7.3</v>
      </c>
      <c r="O261" s="12">
        <f t="shared" si="121"/>
        <v>4.7</v>
      </c>
      <c r="P261" s="11">
        <f>LOOKUP(O261,{0,1.6,1.8,2,2.2,2.4,2.6,2.8,3,3.2,3.4,3.6,3.8,4,4.2,4.4,4.6,4.7,4.8,4.9,5},{0,10,20,30,40,50,60,62,64,66,68,70,72,74,76,78,80,85,90,95,100})</f>
        <v>85</v>
      </c>
      <c r="Q261" s="12">
        <v>3.32</v>
      </c>
      <c r="R261" s="12">
        <f t="shared" ref="R261:R273" si="123">10-Q261</f>
        <v>6.68</v>
      </c>
      <c r="S261" s="11">
        <f>LOOKUP(R261,{0,3.8,4,4.6,4.8,5,5.6,5.65,5.7,5.75,5.8,5.85,5.9,5.95,6,6.45,6.5,6.58,6.65,6.7,6.75},{0,10,20,30,40,50,60,62,64,66,68,70,72,74,76,78,80,85,90,95,100})</f>
        <v>90</v>
      </c>
      <c r="T261" s="12"/>
      <c r="U261" s="12"/>
      <c r="V261" s="12">
        <f t="shared" ref="V261:V273" si="124">S261+U261</f>
        <v>90</v>
      </c>
      <c r="W261" s="12"/>
      <c r="X261" s="20">
        <f t="shared" si="113"/>
        <v>54.1</v>
      </c>
      <c r="Y261" s="20">
        <f t="shared" si="122"/>
        <v>77.2857142857143</v>
      </c>
    </row>
    <row r="262" s="29" customFormat="1" ht="15.6" hidden="1" outlineLevel="2" spans="1:25">
      <c r="A262" s="12">
        <v>206</v>
      </c>
      <c r="B262" s="12">
        <v>26</v>
      </c>
      <c r="C262" s="6" t="s">
        <v>297</v>
      </c>
      <c r="D262" s="6" t="s">
        <v>11</v>
      </c>
      <c r="E262" s="12">
        <v>8.3</v>
      </c>
      <c r="F262" s="11">
        <f>LOOKUP(E262,{0,-2.9,-1.9,-0.9,0.1,1.1,2.1,3.5,4.9,6.3,7.7,9.1,10.5,11.9,13.3,14.7,16.1,18.3,20.5,22.4,24.3},{0,10,20,30,40,50,60,62,64,66,68,70,72,74,76,78,80,85,90,95,100})</f>
        <v>68</v>
      </c>
      <c r="G262" s="12">
        <v>234</v>
      </c>
      <c r="H262" s="11">
        <f>LOOKUP(G262,{0,175,180,185,190,195,200,204,208,212,216,220,224,228,232,236,240,248,255,260,265},{0,10,20,30,40,50,60,62,64,66,68,70,72,74,76,78,80,85,90,95,100})</f>
        <v>76</v>
      </c>
      <c r="I262" s="12">
        <v>3</v>
      </c>
      <c r="J262" s="11">
        <f>LOOKUP(I262,{0,3,4,5,6,7,8,9,10,11,12,13,14,15,16,17},{0,10,20,30,40,50,60,64,68,72,76,80,85,90,95,100})</f>
        <v>10</v>
      </c>
      <c r="K262" s="12"/>
      <c r="L262" s="12"/>
      <c r="M262" s="12">
        <f t="shared" si="114"/>
        <v>10</v>
      </c>
      <c r="N262" s="12">
        <v>7.2</v>
      </c>
      <c r="O262" s="12">
        <f t="shared" si="121"/>
        <v>4.8</v>
      </c>
      <c r="P262" s="11">
        <f>LOOKUP(O262,{0,1.6,1.8,2,2.2,2.4,2.6,2.8,3,3.2,3.4,3.6,3.8,4,4.2,4.4,4.6,4.7,4.8,4.9,5},{0,10,20,30,40,50,60,62,64,66,68,70,72,74,76,78,80,85,90,95,100})</f>
        <v>90</v>
      </c>
      <c r="Q262" s="12">
        <v>3.45</v>
      </c>
      <c r="R262" s="12">
        <f t="shared" si="123"/>
        <v>6.55</v>
      </c>
      <c r="S262" s="11">
        <f>LOOKUP(R262,{0,3.8,4,4.6,4.8,5,5.6,5.65,5.7,5.75,5.8,5.85,5.9,5.95,6,6.45,6.5,6.58,6.65,6.7,6.75},{0,10,20,30,40,50,60,62,64,66,68,70,72,74,76,78,80,85,90,95,100})</f>
        <v>80</v>
      </c>
      <c r="T262" s="12"/>
      <c r="U262" s="12"/>
      <c r="V262" s="12">
        <f t="shared" si="124"/>
        <v>80</v>
      </c>
      <c r="W262" s="12"/>
      <c r="X262" s="20">
        <f t="shared" si="113"/>
        <v>49.4</v>
      </c>
      <c r="Y262" s="20">
        <f t="shared" si="122"/>
        <v>70.5714285714286</v>
      </c>
    </row>
    <row r="263" s="1" customFormat="1" ht="15.6" hidden="1" outlineLevel="2" spans="1:25">
      <c r="A263" s="12">
        <v>206</v>
      </c>
      <c r="B263" s="12">
        <v>27</v>
      </c>
      <c r="C263" s="6" t="s">
        <v>298</v>
      </c>
      <c r="D263" s="6" t="s">
        <v>11</v>
      </c>
      <c r="E263" s="12">
        <v>30.6</v>
      </c>
      <c r="F263" s="11">
        <f>LOOKUP(E263,{0,-2.9,-1.9,-0.9,0.1,1.1,2.1,3.5,4.9,6.3,7.7,9.1,10.5,11.9,13.3,14.7,16.1,18.3,20.5,22.4,24.3},{0,10,20,30,40,50,60,62,64,66,68,70,72,74,76,78,80,85,90,95,100})</f>
        <v>100</v>
      </c>
      <c r="G263" s="12">
        <v>243</v>
      </c>
      <c r="H263" s="11">
        <f>LOOKUP(G263,{0,175,180,185,190,195,200,204,208,212,216,220,224,228,232,236,240,248,255,260,265},{0,10,20,30,40,50,60,62,64,66,68,70,72,74,76,78,80,85,90,95,100})</f>
        <v>80</v>
      </c>
      <c r="I263" s="12">
        <v>10</v>
      </c>
      <c r="J263" s="11">
        <f>LOOKUP(I263,{0,3,4,5,6,7,8,9,10,11,12,13,14,15,16,17},{0,10,20,30,40,50,60,64,68,72,76,80,85,90,95,100})</f>
        <v>68</v>
      </c>
      <c r="K263" s="12"/>
      <c r="L263" s="12"/>
      <c r="M263" s="12">
        <f t="shared" si="114"/>
        <v>68</v>
      </c>
      <c r="N263" s="12">
        <v>7.2</v>
      </c>
      <c r="O263" s="12">
        <f t="shared" si="121"/>
        <v>4.8</v>
      </c>
      <c r="P263" s="11">
        <f>LOOKUP(O263,{0,1.6,1.8,2,2.2,2.4,2.6,2.8,3,3.2,3.4,3.6,3.8,4,4.2,4.4,4.6,4.7,4.8,4.9,5},{0,10,20,30,40,50,60,62,64,66,68,70,72,74,76,78,80,85,90,95,100})</f>
        <v>90</v>
      </c>
      <c r="Q263" s="12">
        <v>3.49</v>
      </c>
      <c r="R263" s="12">
        <f t="shared" si="123"/>
        <v>6.51</v>
      </c>
      <c r="S263" s="11">
        <f>LOOKUP(R263,{0,3.8,4,4.6,4.8,5,5.6,5.65,5.7,5.75,5.8,5.85,5.9,5.95,6,6.45,6.5,6.58,6.65,6.7,6.75},{0,10,20,30,40,50,60,62,64,66,68,70,72,74,76,78,80,85,90,95,100})</f>
        <v>80</v>
      </c>
      <c r="T263" s="12"/>
      <c r="U263" s="12"/>
      <c r="V263" s="12">
        <f t="shared" si="124"/>
        <v>80</v>
      </c>
      <c r="W263" s="12"/>
      <c r="X263" s="20">
        <f t="shared" si="113"/>
        <v>58.8</v>
      </c>
      <c r="Y263" s="20">
        <f t="shared" si="122"/>
        <v>84</v>
      </c>
    </row>
    <row r="264" ht="15.6" hidden="1" outlineLevel="2" spans="1:25">
      <c r="A264" s="12">
        <v>206</v>
      </c>
      <c r="B264" s="12">
        <v>28</v>
      </c>
      <c r="C264" s="6" t="s">
        <v>299</v>
      </c>
      <c r="D264" s="6" t="s">
        <v>11</v>
      </c>
      <c r="E264" s="12">
        <v>18</v>
      </c>
      <c r="F264" s="11">
        <f>LOOKUP(E264,{0,-2.9,-1.9,-0.9,0.1,1.1,2.1,3.5,4.9,6.3,7.7,9.1,10.5,11.9,13.3,14.7,16.1,18.3,20.5,22.4,24.3},{0,10,20,30,40,50,60,62,64,66,68,70,72,74,76,78,80,85,90,95,100})</f>
        <v>80</v>
      </c>
      <c r="G264" s="12">
        <v>241</v>
      </c>
      <c r="H264" s="11">
        <f>LOOKUP(G264,{0,175,180,185,190,195,200,204,208,212,216,220,224,228,232,236,240,248,255,260,265},{0,10,20,30,40,50,60,62,64,66,68,70,72,74,76,78,80,85,90,95,100})</f>
        <v>80</v>
      </c>
      <c r="I264" s="12">
        <v>20</v>
      </c>
      <c r="J264" s="11">
        <f>LOOKUP(I264,{0,3,4,5,6,7,8,9,10,11,12,13,14,15,16,17},{0,10,20,30,40,50,60,64,68,72,76,80,85,90,95,100})</f>
        <v>100</v>
      </c>
      <c r="K264" s="12">
        <f t="shared" ref="K264:K268" si="125">I264-17</f>
        <v>3</v>
      </c>
      <c r="L264" s="11">
        <f>LOOKUP(K264,{0,1,2,3,4,5,6,7,8,9,10},{0,1,2,3,4,5,6,7,8,9,10})</f>
        <v>3</v>
      </c>
      <c r="M264" s="12">
        <f t="shared" si="114"/>
        <v>103</v>
      </c>
      <c r="N264" s="12">
        <v>6.6</v>
      </c>
      <c r="O264" s="12">
        <f t="shared" si="121"/>
        <v>5.4</v>
      </c>
      <c r="P264" s="11">
        <f>LOOKUP(O264,{0,1.6,1.8,2,2.2,2.4,2.6,2.8,3,3.2,3.4,3.6,3.8,4,4.2,4.4,4.6,4.7,4.8,4.9,5},{0,10,20,30,40,50,60,62,64,66,68,70,72,74,76,78,80,85,90,95,100})</f>
        <v>100</v>
      </c>
      <c r="Q264" s="12">
        <v>3.15</v>
      </c>
      <c r="R264" s="12">
        <f t="shared" si="123"/>
        <v>6.85</v>
      </c>
      <c r="S264" s="11">
        <f>LOOKUP(R264,{0,3.8,4,4.6,4.8,5,5.6,5.65,5.7,5.75,5.8,5.85,5.9,5.95,6,6.45,6.5,6.58,6.65,6.7,6.75},{0,10,20,30,40,50,60,62,64,66,68,70,72,74,76,78,80,85,90,95,100})</f>
        <v>100</v>
      </c>
      <c r="T264" s="12">
        <f>3.25-Q264</f>
        <v>0.1</v>
      </c>
      <c r="U264" s="11">
        <f>LOOKUP(T264,{0,0.04,0.08,0.12,0.16,0.2,0.23,0.26,0.29,0.32,0.35},{0,1,2,3,4,5,6,7,8,9,10})</f>
        <v>2</v>
      </c>
      <c r="V264" s="12">
        <f t="shared" si="124"/>
        <v>102</v>
      </c>
      <c r="W264" s="12"/>
      <c r="X264" s="20">
        <f t="shared" si="113"/>
        <v>66</v>
      </c>
      <c r="Y264" s="20">
        <f t="shared" si="122"/>
        <v>99.2857142857143</v>
      </c>
    </row>
    <row r="265" ht="15.6" hidden="1" outlineLevel="2" spans="1:25">
      <c r="A265" s="12">
        <v>206</v>
      </c>
      <c r="B265" s="12">
        <v>29</v>
      </c>
      <c r="C265" s="6" t="s">
        <v>301</v>
      </c>
      <c r="D265" s="6" t="s">
        <v>11</v>
      </c>
      <c r="E265" s="12">
        <v>22</v>
      </c>
      <c r="F265" s="11">
        <f>LOOKUP(E265,{0,-2.9,-1.9,-0.9,0.1,1.1,2.1,3.5,4.9,6.3,7.7,9.1,10.5,11.9,13.3,14.7,16.1,18.3,20.5,22.4,24.3},{0,10,20,30,40,50,60,62,64,66,68,70,72,74,76,78,80,85,90,95,100})</f>
        <v>90</v>
      </c>
      <c r="G265" s="12">
        <v>308</v>
      </c>
      <c r="H265" s="11">
        <f>LOOKUP(G265,{0,175,180,185,190,195,200,204,208,212,216,220,224,228,232,236,240,248,255,260,265},{0,10,20,30,40,50,60,62,64,66,68,70,72,74,76,78,80,85,90,95,100})</f>
        <v>100</v>
      </c>
      <c r="I265" s="12">
        <v>14</v>
      </c>
      <c r="J265" s="11">
        <f>LOOKUP(I265,{0,3,4,5,6,7,8,9,10,11,12,13,14,15,16,17},{0,10,20,30,40,50,60,64,68,72,76,80,85,90,95,100})</f>
        <v>85</v>
      </c>
      <c r="K265" s="12"/>
      <c r="L265" s="12"/>
      <c r="M265" s="12">
        <f t="shared" si="114"/>
        <v>85</v>
      </c>
      <c r="N265" s="12">
        <v>6.8</v>
      </c>
      <c r="O265" s="12">
        <f t="shared" si="121"/>
        <v>5.2</v>
      </c>
      <c r="P265" s="11">
        <f>LOOKUP(O265,{0,1.6,1.8,2,2.2,2.4,2.6,2.8,3,3.2,3.4,3.6,3.8,4,4.2,4.4,4.6,4.7,4.8,4.9,5},{0,10,20,30,40,50,60,62,64,66,68,70,72,74,76,78,80,85,90,95,100})</f>
        <v>100</v>
      </c>
      <c r="Q265" s="12">
        <v>3.16</v>
      </c>
      <c r="R265" s="12">
        <f t="shared" si="123"/>
        <v>6.84</v>
      </c>
      <c r="S265" s="11">
        <f>LOOKUP(R265,{0,3.8,4,4.6,4.8,5,5.6,5.65,5.7,5.75,5.8,5.85,5.9,5.95,6,6.45,6.5,6.58,6.65,6.7,6.75},{0,10,20,30,40,50,60,62,64,66,68,70,72,74,76,78,80,85,90,95,100})</f>
        <v>100</v>
      </c>
      <c r="T265" s="12">
        <f>3.25-Q265</f>
        <v>0.0899999999999999</v>
      </c>
      <c r="U265" s="11">
        <f>LOOKUP(T265,{0,0.04,0.08,0.12,0.16,0.2,0.23,0.26,0.29,0.32,0.35},{0,1,2,3,4,5,6,7,8,9,10})</f>
        <v>2</v>
      </c>
      <c r="V265" s="12">
        <f t="shared" si="124"/>
        <v>102</v>
      </c>
      <c r="W265" s="12"/>
      <c r="X265" s="20">
        <f t="shared" si="113"/>
        <v>67.5</v>
      </c>
      <c r="Y265" s="20">
        <f t="shared" si="122"/>
        <v>98.4285714285714</v>
      </c>
    </row>
    <row r="266" ht="15.6" hidden="1" outlineLevel="2" spans="1:25">
      <c r="A266" s="12">
        <v>206</v>
      </c>
      <c r="B266" s="12">
        <v>30</v>
      </c>
      <c r="C266" s="6" t="s">
        <v>302</v>
      </c>
      <c r="D266" s="6" t="s">
        <v>11</v>
      </c>
      <c r="E266" s="12">
        <v>11</v>
      </c>
      <c r="F266" s="11">
        <f>LOOKUP(E266,{0,-2.9,-1.9,-0.9,0.1,1.1,2.1,3.5,4.9,6.3,7.7,9.1,10.5,11.9,13.3,14.7,16.1,18.3,20.5,22.4,24.3},{0,10,20,30,40,50,60,62,64,66,68,70,72,74,76,78,80,85,90,95,100})</f>
        <v>72</v>
      </c>
      <c r="G266" s="12">
        <v>215</v>
      </c>
      <c r="H266" s="11">
        <f>LOOKUP(G266,{0,175,180,185,190,195,200,204,208,212,216,220,224,228,232,236,240,248,255,260,265},{0,10,20,30,40,50,60,62,64,66,68,70,72,74,76,78,80,85,90,95,100})</f>
        <v>66</v>
      </c>
      <c r="I266" s="12">
        <v>0</v>
      </c>
      <c r="J266" s="11">
        <f>LOOKUP(I266,{0,3,4,5,6,7,8,9,10,11,12,13,14,15,16,17},{0,10,20,30,40,50,60,64,68,72,76,80,85,90,95,100})</f>
        <v>0</v>
      </c>
      <c r="K266" s="12"/>
      <c r="L266" s="12"/>
      <c r="M266" s="12">
        <f t="shared" si="114"/>
        <v>0</v>
      </c>
      <c r="N266" s="12"/>
      <c r="O266" s="12"/>
      <c r="P266" s="11"/>
      <c r="Q266" s="12">
        <v>4.4</v>
      </c>
      <c r="R266" s="12">
        <f t="shared" si="123"/>
        <v>5.6</v>
      </c>
      <c r="S266" s="11">
        <f>LOOKUP(R266,{0,3.8,4,4.6,4.8,5,5.6,5.65,5.7,5.75,5.8,5.85,5.9,5.95,6,6.45,6.5,6.58,6.65,6.7,6.75},{0,10,20,30,40,50,60,62,64,66,68,70,72,74,76,78,80,85,90,95,100})</f>
        <v>60</v>
      </c>
      <c r="T266" s="12"/>
      <c r="U266" s="12"/>
      <c r="V266" s="12">
        <f t="shared" si="124"/>
        <v>60</v>
      </c>
      <c r="W266" s="12"/>
      <c r="X266" s="20">
        <f t="shared" si="113"/>
        <v>25.8</v>
      </c>
      <c r="Y266" s="23">
        <v>50</v>
      </c>
    </row>
    <row r="267" ht="15.6" hidden="1" outlineLevel="2" spans="1:25">
      <c r="A267" s="12">
        <v>206</v>
      </c>
      <c r="B267" s="12">
        <v>31</v>
      </c>
      <c r="C267" s="6" t="s">
        <v>303</v>
      </c>
      <c r="D267" s="6" t="s">
        <v>11</v>
      </c>
      <c r="E267" s="12">
        <v>11</v>
      </c>
      <c r="F267" s="11">
        <f>LOOKUP(E267,{0,-2.9,-1.9,-0.9,0.1,1.1,2.1,3.5,4.9,6.3,7.7,9.1,10.5,11.9,13.3,14.7,16.1,18.3,20.5,22.4,24.3},{0,10,20,30,40,50,60,62,64,66,68,70,72,74,76,78,80,85,90,95,100})</f>
        <v>72</v>
      </c>
      <c r="G267" s="12">
        <v>235</v>
      </c>
      <c r="H267" s="11">
        <f>LOOKUP(G267,{0,175,180,185,190,195,200,204,208,212,216,220,224,228,232,236,240,248,255,260,265},{0,10,20,30,40,50,60,62,64,66,68,70,72,74,76,78,80,85,90,95,100})</f>
        <v>76</v>
      </c>
      <c r="I267" s="12">
        <v>17</v>
      </c>
      <c r="J267" s="11">
        <f>LOOKUP(I267,{0,3,4,5,6,7,8,9,10,11,12,13,14,15,16,17},{0,10,20,30,40,50,60,64,68,72,76,80,85,90,95,100})</f>
        <v>100</v>
      </c>
      <c r="K267" s="12">
        <f t="shared" si="125"/>
        <v>0</v>
      </c>
      <c r="L267" s="16">
        <f>LOOKUP(K267,{0,1,2,3,4,5,6,7,8,9,10},{0,1,2,3,4,5,6,7,8,9,10})</f>
        <v>0</v>
      </c>
      <c r="M267" s="12">
        <f t="shared" si="114"/>
        <v>100</v>
      </c>
      <c r="N267" s="12">
        <v>6.5</v>
      </c>
      <c r="O267" s="12">
        <f t="shared" ref="O267:O273" si="126">12-N267</f>
        <v>5.5</v>
      </c>
      <c r="P267" s="11">
        <f>LOOKUP(O267,{0,1.6,1.8,2,2.2,2.4,2.6,2.8,3,3.2,3.4,3.6,3.8,4,4.2,4.4,4.6,4.7,4.8,4.9,5},{0,10,20,30,40,50,60,62,64,66,68,70,72,74,76,78,80,85,90,95,100})</f>
        <v>100</v>
      </c>
      <c r="Q267" s="12">
        <v>3.29</v>
      </c>
      <c r="R267" s="12">
        <f t="shared" si="123"/>
        <v>6.71</v>
      </c>
      <c r="S267" s="11">
        <f>LOOKUP(R267,{0,3.8,4,4.6,4.8,5,5.6,5.65,5.7,5.75,5.8,5.85,5.9,5.95,6,6.45,6.5,6.58,6.65,6.7,6.75},{0,10,20,30,40,50,60,62,64,66,68,70,72,74,76,78,80,85,90,95,100})</f>
        <v>95</v>
      </c>
      <c r="T267" s="12"/>
      <c r="U267" s="12"/>
      <c r="V267" s="12">
        <f t="shared" si="124"/>
        <v>95</v>
      </c>
      <c r="W267" s="12"/>
      <c r="X267" s="20">
        <f t="shared" si="113"/>
        <v>63.8</v>
      </c>
      <c r="Y267" s="20">
        <f t="shared" ref="Y267:Y273" si="127">X267/0.7+L267+U267</f>
        <v>91.1428571428571</v>
      </c>
    </row>
    <row r="268" ht="15.6" hidden="1" outlineLevel="2" spans="1:25">
      <c r="A268" s="12">
        <v>206</v>
      </c>
      <c r="B268" s="12">
        <v>32</v>
      </c>
      <c r="C268" s="6" t="s">
        <v>304</v>
      </c>
      <c r="D268" s="6" t="s">
        <v>11</v>
      </c>
      <c r="E268" s="12">
        <v>0</v>
      </c>
      <c r="F268" s="11">
        <f>LOOKUP(E268,{0,-2.9,-1.9,-0.9,0.1,1.1,2.1,3.5,4.9,6.3,7.7,9.1,10.5,11.9,13.3,14.7,16.1,18.3,20.5,22.4,24.3},{0,10,20,30,40,50,60,62,64,66,68,70,72,74,76,78,80,85,90,95,100})</f>
        <v>30</v>
      </c>
      <c r="G268" s="12">
        <v>225</v>
      </c>
      <c r="H268" s="11">
        <f>LOOKUP(G268,{0,175,180,185,190,195,200,204,208,212,216,220,224,228,232,236,240,248,255,260,265},{0,10,20,30,40,50,60,62,64,66,68,70,72,74,76,78,80,85,90,95,100})</f>
        <v>72</v>
      </c>
      <c r="I268" s="12">
        <v>21</v>
      </c>
      <c r="J268" s="11">
        <f>LOOKUP(I268,{0,3,4,5,6,7,8,9,10,11,12,13,14,15,16,17},{0,10,20,30,40,50,60,64,68,72,76,80,85,90,95,100})</f>
        <v>100</v>
      </c>
      <c r="K268" s="12">
        <f t="shared" si="125"/>
        <v>4</v>
      </c>
      <c r="L268" s="16">
        <f>LOOKUP(K268,{0,1,2,3,4,5,6,7,8,9,10},{0,1,2,3,4,5,6,7,8,9,10})</f>
        <v>4</v>
      </c>
      <c r="M268" s="12">
        <f t="shared" si="114"/>
        <v>104</v>
      </c>
      <c r="N268" s="12"/>
      <c r="O268" s="12"/>
      <c r="P268" s="11"/>
      <c r="Q268" s="12">
        <v>3.44</v>
      </c>
      <c r="R268" s="12">
        <f t="shared" si="123"/>
        <v>6.56</v>
      </c>
      <c r="S268" s="11">
        <f>LOOKUP(R268,{0,3.8,4,4.6,4.8,5,5.6,5.65,5.7,5.75,5.8,5.85,5.9,5.95,6,6.45,6.5,6.58,6.65,6.7,6.75},{0,10,20,30,40,50,60,62,64,66,68,70,72,74,76,78,80,85,90,95,100})</f>
        <v>80</v>
      </c>
      <c r="T268" s="12"/>
      <c r="U268" s="12"/>
      <c r="V268" s="12">
        <f t="shared" si="124"/>
        <v>80</v>
      </c>
      <c r="W268" s="12"/>
      <c r="X268" s="20">
        <f t="shared" si="113"/>
        <v>36.2</v>
      </c>
      <c r="Y268" s="20">
        <f t="shared" si="127"/>
        <v>55.7142857142857</v>
      </c>
    </row>
    <row r="269" ht="15.6" hidden="1" outlineLevel="2" spans="1:25">
      <c r="A269" s="12">
        <v>206</v>
      </c>
      <c r="B269" s="12">
        <v>33</v>
      </c>
      <c r="C269" s="6" t="s">
        <v>305</v>
      </c>
      <c r="D269" s="6" t="s">
        <v>11</v>
      </c>
      <c r="E269" s="12">
        <v>25</v>
      </c>
      <c r="F269" s="11">
        <f>LOOKUP(E269,{0,-2.9,-1.9,-0.9,0.1,1.1,2.1,3.5,4.9,6.3,7.7,9.1,10.5,11.9,13.3,14.7,16.1,18.3,20.5,22.4,24.3},{0,10,20,30,40,50,60,62,64,66,68,70,72,74,76,78,80,85,90,95,100})</f>
        <v>100</v>
      </c>
      <c r="G269" s="12">
        <v>260</v>
      </c>
      <c r="H269" s="11">
        <f>LOOKUP(G269,{0,175,180,185,190,195,200,204,208,212,216,220,224,228,232,236,240,248,255,260,265},{0,10,20,30,40,50,60,62,64,66,68,70,72,74,76,78,80,85,90,95,100})</f>
        <v>95</v>
      </c>
      <c r="I269" s="12">
        <v>13</v>
      </c>
      <c r="J269" s="11">
        <f>LOOKUP(I269,{0,3,4,5,6,7,8,9,10,11,12,13,14,15,16,17},{0,10,20,30,40,50,60,64,68,72,76,80,85,90,95,100})</f>
        <v>80</v>
      </c>
      <c r="K269" s="12"/>
      <c r="L269" s="12"/>
      <c r="M269" s="12">
        <f t="shared" si="114"/>
        <v>80</v>
      </c>
      <c r="N269" s="12">
        <v>7.1</v>
      </c>
      <c r="O269" s="12">
        <f t="shared" si="126"/>
        <v>4.9</v>
      </c>
      <c r="P269" s="11">
        <f>LOOKUP(O269,{0,1.6,1.8,2,2.2,2.4,2.6,2.8,3,3.2,3.4,3.6,3.8,4,4.2,4.4,4.6,4.7,4.8,4.9,5},{0,10,20,30,40,50,60,62,64,66,68,70,72,74,76,78,80,85,90,95,100})</f>
        <v>95</v>
      </c>
      <c r="Q269" s="12">
        <v>4.11</v>
      </c>
      <c r="R269" s="12">
        <f t="shared" si="123"/>
        <v>5.89</v>
      </c>
      <c r="S269" s="11">
        <f>LOOKUP(R269,{0,3.8,4,4.6,4.8,5,5.6,5.65,5.7,5.75,5.8,5.85,5.9,5.95,6,6.45,6.5,6.58,6.65,6.7,6.75},{0,10,20,30,40,50,60,62,64,66,68,70,72,74,76,78,80,85,90,95,100})</f>
        <v>70</v>
      </c>
      <c r="T269" s="12"/>
      <c r="U269" s="12"/>
      <c r="V269" s="12">
        <f t="shared" si="124"/>
        <v>70</v>
      </c>
      <c r="W269" s="12"/>
      <c r="X269" s="20">
        <f t="shared" si="113"/>
        <v>60.5</v>
      </c>
      <c r="Y269" s="20">
        <f t="shared" si="127"/>
        <v>86.4285714285714</v>
      </c>
    </row>
    <row r="270" ht="15.6" hidden="1" outlineLevel="2" spans="1:25">
      <c r="A270" s="12">
        <v>206</v>
      </c>
      <c r="B270" s="12">
        <v>34</v>
      </c>
      <c r="C270" s="6" t="s">
        <v>306</v>
      </c>
      <c r="D270" s="6" t="s">
        <v>11</v>
      </c>
      <c r="E270" s="12">
        <v>14</v>
      </c>
      <c r="F270" s="11">
        <f>LOOKUP(E270,{0,-2.9,-1.9,-0.9,0.1,1.1,2.1,3.5,4.9,6.3,7.7,9.1,10.5,11.9,13.3,14.7,16.1,18.3,20.5,22.4,24.3},{0,10,20,30,40,50,60,62,64,66,68,70,72,74,76,78,80,85,90,95,100})</f>
        <v>76</v>
      </c>
      <c r="G270" s="12">
        <v>240</v>
      </c>
      <c r="H270" s="11">
        <f>LOOKUP(G270,{0,175,180,185,190,195,200,204,208,212,216,220,224,228,232,236,240,248,255,260,265},{0,10,20,30,40,50,60,62,64,66,68,70,72,74,76,78,80,85,90,95,100})</f>
        <v>80</v>
      </c>
      <c r="I270" s="12">
        <v>7</v>
      </c>
      <c r="J270" s="11">
        <f>LOOKUP(I270,{0,3,4,5,6,7,8,9,10,11,12,13,14,15,16,17},{0,10,20,30,40,50,60,64,68,72,76,80,85,90,95,100})</f>
        <v>50</v>
      </c>
      <c r="K270" s="12"/>
      <c r="L270" s="12"/>
      <c r="M270" s="12">
        <f t="shared" si="114"/>
        <v>50</v>
      </c>
      <c r="N270" s="12">
        <v>7.1</v>
      </c>
      <c r="O270" s="12">
        <f t="shared" si="126"/>
        <v>4.9</v>
      </c>
      <c r="P270" s="11">
        <f>LOOKUP(O270,{0,1.6,1.8,2,2.2,2.4,2.6,2.8,3,3.2,3.4,3.6,3.8,4,4.2,4.4,4.6,4.7,4.8,4.9,5},{0,10,20,30,40,50,60,62,64,66,68,70,72,74,76,78,80,85,90,95,100})</f>
        <v>95</v>
      </c>
      <c r="Q270" s="12">
        <v>5.37</v>
      </c>
      <c r="R270" s="12">
        <f t="shared" si="123"/>
        <v>4.63</v>
      </c>
      <c r="S270" s="11">
        <f>LOOKUP(R270,{0,3.8,4,4.6,4.8,5,5.6,5.65,5.7,5.75,5.8,5.85,5.9,5.95,6,6.45,6.5,6.58,6.65,6.7,6.75},{0,10,20,30,40,50,60,62,64,66,68,70,72,74,76,78,80,85,90,95,100})</f>
        <v>30</v>
      </c>
      <c r="T270" s="12"/>
      <c r="U270" s="12"/>
      <c r="V270" s="12">
        <f t="shared" si="124"/>
        <v>30</v>
      </c>
      <c r="W270" s="12"/>
      <c r="X270" s="20">
        <f t="shared" si="113"/>
        <v>45.6</v>
      </c>
      <c r="Y270" s="20">
        <f t="shared" si="127"/>
        <v>65.1428571428572</v>
      </c>
    </row>
    <row r="271" ht="15.6" hidden="1" outlineLevel="2" spans="1:25">
      <c r="A271" s="12">
        <v>206</v>
      </c>
      <c r="B271" s="12">
        <v>35</v>
      </c>
      <c r="C271" s="6" t="s">
        <v>307</v>
      </c>
      <c r="D271" s="6" t="s">
        <v>11</v>
      </c>
      <c r="E271" s="12">
        <v>16</v>
      </c>
      <c r="F271" s="11">
        <f>LOOKUP(E271,{0,-2.9,-1.9,-0.9,0.1,1.1,2.1,3.5,4.9,6.3,7.7,9.1,10.5,11.9,13.3,14.7,16.1,18.3,20.5,22.4,24.3},{0,10,20,30,40,50,60,62,64,66,68,70,72,74,76,78,80,85,90,95,100})</f>
        <v>78</v>
      </c>
      <c r="G271" s="12">
        <v>234</v>
      </c>
      <c r="H271" s="11">
        <f>LOOKUP(G271,{0,175,180,185,190,195,200,204,208,212,216,220,224,228,232,236,240,248,255,260,265},{0,10,20,30,40,50,60,62,64,66,68,70,72,74,76,78,80,85,90,95,100})</f>
        <v>76</v>
      </c>
      <c r="I271" s="12">
        <v>4</v>
      </c>
      <c r="J271" s="11">
        <f>LOOKUP(I271,{0,3,4,5,6,7,8,9,10,11,12,13,14,15,16,17},{0,10,20,30,40,50,60,64,68,72,76,80,85,90,95,100})</f>
        <v>20</v>
      </c>
      <c r="K271" s="12"/>
      <c r="L271" s="12"/>
      <c r="M271" s="12">
        <f t="shared" si="114"/>
        <v>20</v>
      </c>
      <c r="N271" s="12">
        <v>7.2</v>
      </c>
      <c r="O271" s="12">
        <f t="shared" si="126"/>
        <v>4.8</v>
      </c>
      <c r="P271" s="11">
        <f>LOOKUP(O271,{0,1.6,1.8,2,2.2,2.4,2.6,2.8,3,3.2,3.4,3.6,3.8,4,4.2,4.4,4.6,4.7,4.8,4.9,5},{0,10,20,30,40,50,60,62,64,66,68,70,72,74,76,78,80,85,90,95,100})</f>
        <v>90</v>
      </c>
      <c r="Q271" s="12">
        <v>3.37</v>
      </c>
      <c r="R271" s="12">
        <f t="shared" si="123"/>
        <v>6.63</v>
      </c>
      <c r="S271" s="11">
        <f>LOOKUP(R271,{0,3.8,4,4.6,4.8,5,5.6,5.65,5.7,5.75,5.8,5.85,5.9,5.95,6,6.45,6.5,6.58,6.65,6.7,6.75},{0,10,20,30,40,50,60,62,64,66,68,70,72,74,76,78,80,85,90,95,100})</f>
        <v>85</v>
      </c>
      <c r="T271" s="12"/>
      <c r="U271" s="12"/>
      <c r="V271" s="12">
        <f t="shared" si="124"/>
        <v>85</v>
      </c>
      <c r="W271" s="12"/>
      <c r="X271" s="20">
        <f t="shared" si="113"/>
        <v>52.4</v>
      </c>
      <c r="Y271" s="20">
        <f t="shared" si="127"/>
        <v>74.8571428571429</v>
      </c>
    </row>
    <row r="272" ht="15.6" hidden="1" outlineLevel="2" spans="1:25">
      <c r="A272" s="12">
        <v>206</v>
      </c>
      <c r="B272" s="12">
        <v>36</v>
      </c>
      <c r="C272" s="6" t="s">
        <v>308</v>
      </c>
      <c r="D272" s="6" t="s">
        <v>11</v>
      </c>
      <c r="E272" s="12">
        <v>3</v>
      </c>
      <c r="F272" s="11">
        <f>LOOKUP(E272,{0,-2.9,-1.9,-0.9,0.1,1.1,2.1,3.5,4.9,6.3,7.7,9.1,10.5,11.9,13.3,14.7,16.1,18.3,20.5,22.4,24.3},{0,10,20,30,40,50,60,62,64,66,68,70,72,74,76,78,80,85,90,95,100})</f>
        <v>60</v>
      </c>
      <c r="G272" s="12">
        <v>255</v>
      </c>
      <c r="H272" s="11">
        <f>LOOKUP(G272,{0,175,180,185,190,195,200,204,208,212,216,220,224,228,232,236,240,248,255,260,265},{0,10,20,30,40,50,60,62,64,66,68,70,72,74,76,78,80,85,90,95,100})</f>
        <v>90</v>
      </c>
      <c r="I272" s="12">
        <v>13</v>
      </c>
      <c r="J272" s="11">
        <f>LOOKUP(I272,{0,3,4,5,6,7,8,9,10,11,12,13,14,15,16,17},{0,10,20,30,40,50,60,64,68,72,76,80,85,90,95,100})</f>
        <v>80</v>
      </c>
      <c r="K272" s="12"/>
      <c r="L272" s="12"/>
      <c r="M272" s="12">
        <f t="shared" si="114"/>
        <v>80</v>
      </c>
      <c r="N272" s="12">
        <v>6.9</v>
      </c>
      <c r="O272" s="12">
        <f t="shared" si="126"/>
        <v>5.1</v>
      </c>
      <c r="P272" s="11">
        <f>LOOKUP(O272,{0,1.6,1.8,2,2.2,2.4,2.6,2.8,3,3.2,3.4,3.6,3.8,4,4.2,4.4,4.6,4.7,4.8,4.9,5},{0,10,20,30,40,50,60,62,64,66,68,70,72,74,76,78,80,85,90,95,100})</f>
        <v>100</v>
      </c>
      <c r="Q272" s="12">
        <v>3.44</v>
      </c>
      <c r="R272" s="12">
        <f t="shared" si="123"/>
        <v>6.56</v>
      </c>
      <c r="S272" s="11">
        <f>LOOKUP(R272,{0,3.8,4,4.6,4.8,5,5.6,5.65,5.7,5.75,5.8,5.85,5.9,5.95,6,6.45,6.5,6.58,6.65,6.7,6.75},{0,10,20,30,40,50,60,62,64,66,68,70,72,74,76,78,80,85,90,95,100})</f>
        <v>80</v>
      </c>
      <c r="T272" s="12"/>
      <c r="U272" s="12"/>
      <c r="V272" s="12">
        <f t="shared" si="124"/>
        <v>80</v>
      </c>
      <c r="W272" s="12"/>
      <c r="X272" s="20">
        <f t="shared" si="113"/>
        <v>59</v>
      </c>
      <c r="Y272" s="20">
        <f t="shared" si="127"/>
        <v>84.2857142857143</v>
      </c>
    </row>
    <row r="273" ht="15.6" hidden="1" outlineLevel="2" spans="1:25">
      <c r="A273" s="12">
        <v>206</v>
      </c>
      <c r="B273" s="12">
        <v>37</v>
      </c>
      <c r="C273" s="6" t="s">
        <v>309</v>
      </c>
      <c r="D273" s="6" t="s">
        <v>11</v>
      </c>
      <c r="E273" s="12">
        <v>4</v>
      </c>
      <c r="F273" s="11">
        <f>LOOKUP(E273,{0,-2.9,-1.9,-0.9,0.1,1.1,2.1,3.5,4.9,6.3,7.7,9.1,10.5,11.9,13.3,14.7,16.1,18.3,20.5,22.4,24.3},{0,10,20,30,40,50,60,62,64,66,68,70,72,74,76,78,80,85,90,95,100})</f>
        <v>62</v>
      </c>
      <c r="G273" s="12">
        <v>227</v>
      </c>
      <c r="H273" s="11">
        <f>LOOKUP(G273,{0,175,180,185,190,195,200,204,208,212,216,220,224,228,232,236,240,248,255,260,265},{0,10,20,30,40,50,60,62,64,66,68,70,72,74,76,78,80,85,90,95,100})</f>
        <v>72</v>
      </c>
      <c r="I273" s="12">
        <v>8</v>
      </c>
      <c r="J273" s="11">
        <f>LOOKUP(I273,{0,3,4,5,6,7,8,9,10,11,12,13,14,15,16,17},{0,10,20,30,40,50,60,64,68,72,76,80,85,90,95,100})</f>
        <v>60</v>
      </c>
      <c r="K273" s="12"/>
      <c r="L273" s="12"/>
      <c r="M273" s="12">
        <f t="shared" si="114"/>
        <v>60</v>
      </c>
      <c r="N273" s="12">
        <v>8</v>
      </c>
      <c r="O273" s="12">
        <f t="shared" si="126"/>
        <v>4</v>
      </c>
      <c r="P273" s="11">
        <f>LOOKUP(O273,{0,1.6,1.8,2,2.2,2.4,2.6,2.8,3,3.2,3.4,3.6,3.8,4,4.2,4.4,4.6,4.7,4.8,4.9,5},{0,10,20,30,40,50,60,62,64,66,68,70,72,74,76,78,80,85,90,95,100})</f>
        <v>74</v>
      </c>
      <c r="Q273" s="12">
        <v>4.03</v>
      </c>
      <c r="R273" s="12">
        <f t="shared" si="123"/>
        <v>5.97</v>
      </c>
      <c r="S273" s="11">
        <f>LOOKUP(R273,{0,3.8,4,4.6,4.8,5,5.6,5.65,5.7,5.75,5.8,5.85,5.9,5.95,6,6.45,6.5,6.58,6.65,6.7,6.75},{0,10,20,30,40,50,60,62,64,66,68,70,72,74,76,78,80,85,90,95,100})</f>
        <v>74</v>
      </c>
      <c r="T273" s="12"/>
      <c r="U273" s="12"/>
      <c r="V273" s="12">
        <f t="shared" si="124"/>
        <v>74</v>
      </c>
      <c r="W273" s="12"/>
      <c r="X273" s="20">
        <f t="shared" si="113"/>
        <v>49</v>
      </c>
      <c r="Y273" s="20">
        <f t="shared" si="127"/>
        <v>70</v>
      </c>
    </row>
    <row r="274" ht="15.6" hidden="1" outlineLevel="2" spans="1:25">
      <c r="A274" s="12">
        <v>206</v>
      </c>
      <c r="B274" s="12">
        <v>38</v>
      </c>
      <c r="C274" s="6" t="s">
        <v>310</v>
      </c>
      <c r="D274" s="6" t="s">
        <v>11</v>
      </c>
      <c r="E274" s="12">
        <v>6</v>
      </c>
      <c r="F274" s="11">
        <f>LOOKUP(E274,{0,-2.9,-1.9,-0.9,0.1,1.1,2.1,3.5,4.9,6.3,7.7,9.1,10.5,11.9,13.3,14.7,16.1,18.3,20.5,22.4,24.3},{0,10,20,30,40,50,60,62,64,66,68,70,72,74,76,78,80,85,90,95,100})</f>
        <v>64</v>
      </c>
      <c r="G274" s="12">
        <v>180</v>
      </c>
      <c r="H274" s="11">
        <f>LOOKUP(G274,{0,175,180,185,190,195,200,204,208,212,216,220,224,228,232,236,240,248,255,260,265},{0,10,20,30,40,50,60,62,64,66,68,70,72,74,76,78,80,85,90,95,100})</f>
        <v>20</v>
      </c>
      <c r="I274" s="12">
        <v>0</v>
      </c>
      <c r="J274" s="11">
        <f>LOOKUP(I274,{0,3,4,5,6,7,8,9,10,11,12,13,14,15,16,17},{0,10,20,30,40,50,60,64,68,72,76,80,85,90,95,100})</f>
        <v>0</v>
      </c>
      <c r="K274" s="12"/>
      <c r="L274" s="12"/>
      <c r="M274" s="12">
        <f t="shared" si="114"/>
        <v>0</v>
      </c>
      <c r="N274" s="12"/>
      <c r="O274" s="12"/>
      <c r="P274" s="11"/>
      <c r="Q274" s="12"/>
      <c r="R274" s="12"/>
      <c r="S274" s="11"/>
      <c r="T274" s="12"/>
      <c r="U274" s="11"/>
      <c r="V274" s="12"/>
      <c r="W274" s="12"/>
      <c r="X274" s="20">
        <f t="shared" si="113"/>
        <v>8.4</v>
      </c>
      <c r="Y274" s="23">
        <v>50</v>
      </c>
    </row>
    <row r="275" s="1" customFormat="1" ht="15.6" hidden="1" outlineLevel="2" spans="1:25">
      <c r="A275" s="12">
        <v>206</v>
      </c>
      <c r="B275" s="12">
        <v>39</v>
      </c>
      <c r="C275" s="13" t="s">
        <v>312</v>
      </c>
      <c r="D275" s="6" t="s">
        <v>53</v>
      </c>
      <c r="E275" s="12">
        <v>14.9</v>
      </c>
      <c r="F275" s="11">
        <f>LOOKUP(E275,{0,1,1.8,2.6,3.4,4.2,5,6.3,7.6,8.9,10.2,11.5,12.8,14.1,15.4,16.7,18,19.7,21.4,23.1,24.8},{0,10,20,30,40,50,60,62,64,66,68,70,72,74,76,78,80,85,90,95,100})</f>
        <v>74</v>
      </c>
      <c r="G275" s="12">
        <v>155</v>
      </c>
      <c r="H275" s="11">
        <f>LOOKUP(G275,{0,124,129,134,139,144,149,152,155,158,161,164,167,170,173,176,179,186,193,199,205},{0,10,20,30,40,50,60,62,64,66,68,70,72,74,76,78,80,85,90,95,100})</f>
        <v>64</v>
      </c>
      <c r="I275" s="12">
        <v>36</v>
      </c>
      <c r="J275" s="11">
        <f>LOOKUP(I275,{0,14,16,18,20,22,24,26,28,30,32,34,36,38,40,42,44,47,50,52,54},{0,10,20,30,40,50,60,62,64,66,68,70,72,74,76,78,80,85,90,95,100})</f>
        <v>72</v>
      </c>
      <c r="K275" s="12"/>
      <c r="L275" s="12"/>
      <c r="M275" s="12">
        <f t="shared" si="114"/>
        <v>72</v>
      </c>
      <c r="N275" s="12">
        <v>9.2</v>
      </c>
      <c r="O275" s="12">
        <f t="shared" ref="O275:O291" si="128">12-N275</f>
        <v>2.8</v>
      </c>
      <c r="P275" s="11">
        <f>LOOKUP(O275,{0,0.5,0.7,0.9,1.1,1.3,1.5,1.7,1.9,2.1,2.3,2.5,2.7,2.9,3.1,3.3,3.5,3.8,4.1,4.2,4.3},{0,10,20,30,40,50,60,62,64,66,68,70,72,74,76,78,80,85,90,95,100})</f>
        <v>72</v>
      </c>
      <c r="Q275" s="12">
        <v>4.34</v>
      </c>
      <c r="R275" s="12">
        <f t="shared" ref="R275:R291" si="129">10-Q275</f>
        <v>5.66</v>
      </c>
      <c r="S275" s="11">
        <f>LOOKUP(R275,{0,4.72,4.82,4.92,5.42,5.52,5.62,5.67,5.72,5.77,5.82,5.87,5.92,5.97,6.42,6.47,6.52,6.59,6.66,6.72,6.78},{0,10,20,30,40,50,60,62,64,66,68,70,72,74,76,78,80,85,90,95,100})</f>
        <v>60</v>
      </c>
      <c r="T275" s="12"/>
      <c r="U275" s="12"/>
      <c r="V275" s="12">
        <f t="shared" ref="V275:V291" si="130">S275+U275</f>
        <v>60</v>
      </c>
      <c r="W275" s="12"/>
      <c r="X275" s="20">
        <f t="shared" si="113"/>
        <v>47.4</v>
      </c>
      <c r="Y275" s="20">
        <f t="shared" ref="Y275:Y291" si="131">X275/0.7+L275+U275</f>
        <v>67.7142857142857</v>
      </c>
    </row>
    <row r="276" ht="15.6" hidden="1" outlineLevel="2" spans="1:25">
      <c r="A276" s="12">
        <v>206</v>
      </c>
      <c r="B276" s="12">
        <v>40</v>
      </c>
      <c r="C276" s="6" t="s">
        <v>313</v>
      </c>
      <c r="D276" s="6" t="s">
        <v>53</v>
      </c>
      <c r="E276" s="12">
        <v>16</v>
      </c>
      <c r="F276" s="11">
        <f>LOOKUP(E276,{0,1,1.8,2.6,3.4,4.2,5,6.3,7.6,8.9,10.2,11.5,12.8,14.1,15.4,16.7,18,19.7,21.4,23.1,24.8},{0,10,20,30,40,50,60,62,64,66,68,70,72,74,76,78,80,85,90,95,100})</f>
        <v>76</v>
      </c>
      <c r="G276" s="12">
        <v>186</v>
      </c>
      <c r="H276" s="11">
        <f>LOOKUP(G276,{0,124,129,134,139,144,149,152,155,158,161,164,167,170,173,176,179,186,193,199,205},{0,10,20,30,40,50,60,62,64,66,68,70,72,74,76,78,80,85,90,95,100})</f>
        <v>85</v>
      </c>
      <c r="I276" s="12">
        <v>39</v>
      </c>
      <c r="J276" s="11">
        <f>LOOKUP(I276,{0,14,16,18,20,22,24,26,28,30,32,34,36,38,40,42,44,47,50,52,54},{0,10,20,30,40,50,60,62,64,66,68,70,72,74,76,78,80,85,90,95,100})</f>
        <v>74</v>
      </c>
      <c r="K276" s="12"/>
      <c r="L276" s="12"/>
      <c r="M276" s="12">
        <f t="shared" si="114"/>
        <v>74</v>
      </c>
      <c r="N276" s="12">
        <v>9</v>
      </c>
      <c r="O276" s="12">
        <f t="shared" si="128"/>
        <v>3</v>
      </c>
      <c r="P276" s="11">
        <f>LOOKUP(O276,{0,0.5,0.7,0.9,1.1,1.3,1.5,1.7,1.9,2.1,2.3,2.5,2.7,2.9,3.1,3.3,3.5,3.8,4.1,4.2,4.3},{0,10,20,30,40,50,60,62,64,66,68,70,72,74,76,78,80,85,90,95,100})</f>
        <v>74</v>
      </c>
      <c r="Q276" s="12">
        <v>4.1</v>
      </c>
      <c r="R276" s="12">
        <f t="shared" si="129"/>
        <v>5.9</v>
      </c>
      <c r="S276" s="11">
        <f>LOOKUP(R276,{0,4.72,4.82,4.92,5.42,5.52,5.62,5.67,5.72,5.77,5.82,5.87,5.92,5.97,6.42,6.47,6.52,6.59,6.66,6.72,6.78},{0,10,20,30,40,50,60,62,64,66,68,70,72,74,76,78,80,85,90,95,100})</f>
        <v>70</v>
      </c>
      <c r="T276" s="12"/>
      <c r="U276" s="12"/>
      <c r="V276" s="12">
        <f t="shared" si="130"/>
        <v>70</v>
      </c>
      <c r="W276" s="12"/>
      <c r="X276" s="20">
        <f t="shared" si="113"/>
        <v>52.3</v>
      </c>
      <c r="Y276" s="20">
        <f t="shared" si="131"/>
        <v>74.7142857142857</v>
      </c>
    </row>
    <row r="277" ht="15.6" hidden="1" outlineLevel="2" spans="1:25">
      <c r="A277" s="12">
        <v>206</v>
      </c>
      <c r="B277" s="12">
        <v>41</v>
      </c>
      <c r="C277" s="6" t="s">
        <v>314</v>
      </c>
      <c r="D277" s="6" t="s">
        <v>53</v>
      </c>
      <c r="E277" s="12">
        <v>12.5</v>
      </c>
      <c r="F277" s="11">
        <f>LOOKUP(E277,{0,1,1.8,2.6,3.4,4.2,5,6.3,7.6,8.9,10.2,11.5,12.8,14.1,15.4,16.7,18,19.7,21.4,23.1,24.8},{0,10,20,30,40,50,60,62,64,66,68,70,72,74,76,78,80,85,90,95,100})</f>
        <v>70</v>
      </c>
      <c r="G277" s="12">
        <v>160</v>
      </c>
      <c r="H277" s="11">
        <f>LOOKUP(G277,{0,124,129,134,139,144,149,152,155,158,161,164,167,170,173,176,179,186,193,199,205},{0,10,20,30,40,50,60,62,64,66,68,70,72,74,76,78,80,85,90,95,100})</f>
        <v>66</v>
      </c>
      <c r="I277" s="12">
        <v>44</v>
      </c>
      <c r="J277" s="11">
        <f>LOOKUP(I277,{0,14,16,18,20,22,24,26,28,30,32,34,36,38,40,42,44,47,50,52,54},{0,10,20,30,40,50,60,62,64,66,68,70,72,74,76,78,80,85,90,95,100})</f>
        <v>80</v>
      </c>
      <c r="K277" s="12"/>
      <c r="L277" s="15"/>
      <c r="M277" s="12">
        <f t="shared" si="114"/>
        <v>80</v>
      </c>
      <c r="N277" s="12">
        <v>9.6</v>
      </c>
      <c r="O277" s="12">
        <f t="shared" si="128"/>
        <v>2.4</v>
      </c>
      <c r="P277" s="11">
        <f>LOOKUP(O277,{0,0.5,0.7,0.9,1.1,1.3,1.5,1.7,1.9,2.1,2.3,2.5,2.7,2.9,3.1,3.3,3.5,3.8,4.1,4.2,4.3},{0,10,20,30,40,50,60,62,64,66,68,70,72,74,76,78,80,85,90,95,100})</f>
        <v>68</v>
      </c>
      <c r="Q277" s="12">
        <v>4.13</v>
      </c>
      <c r="R277" s="12">
        <f t="shared" si="129"/>
        <v>5.87</v>
      </c>
      <c r="S277" s="11">
        <f>LOOKUP(R277,{0,4.72,4.82,4.92,5.42,5.52,5.62,5.67,5.72,5.77,5.82,5.87,5.92,5.97,6.42,6.47,6.52,6.59,6.66,6.72,6.78},{0,10,20,30,40,50,60,62,64,66,68,70,72,74,76,78,80,85,90,95,100})</f>
        <v>70</v>
      </c>
      <c r="T277" s="12"/>
      <c r="U277" s="12"/>
      <c r="V277" s="12">
        <f t="shared" si="130"/>
        <v>70</v>
      </c>
      <c r="W277" s="12"/>
      <c r="X277" s="20">
        <f t="shared" si="113"/>
        <v>49.2</v>
      </c>
      <c r="Y277" s="20">
        <f t="shared" si="131"/>
        <v>70.2857142857143</v>
      </c>
    </row>
    <row r="278" ht="15.6" hidden="1" outlineLevel="2" spans="1:25">
      <c r="A278" s="12">
        <v>206</v>
      </c>
      <c r="B278" s="12">
        <v>42</v>
      </c>
      <c r="C278" s="6" t="s">
        <v>315</v>
      </c>
      <c r="D278" s="6" t="s">
        <v>53</v>
      </c>
      <c r="E278" s="12">
        <v>20</v>
      </c>
      <c r="F278" s="11">
        <f>LOOKUP(E278,{0,1,1.8,2.6,3.4,4.2,5,6.3,7.6,8.9,10.2,11.5,12.8,14.1,15.4,16.7,18,19.7,21.4,23.1,24.8},{0,10,20,30,40,50,60,62,64,66,68,70,72,74,76,78,80,85,90,95,100})</f>
        <v>85</v>
      </c>
      <c r="G278" s="12">
        <v>172</v>
      </c>
      <c r="H278" s="11">
        <f>LOOKUP(G278,{0,124,129,134,139,144,149,152,155,158,161,164,167,170,173,176,179,186,193,199,205},{0,10,20,30,40,50,60,62,64,66,68,70,72,74,76,78,80,85,90,95,100})</f>
        <v>74</v>
      </c>
      <c r="I278" s="12">
        <v>42</v>
      </c>
      <c r="J278" s="11">
        <f>LOOKUP(I278,{0,14,16,18,20,22,24,26,28,30,32,34,36,38,40,42,44,47,50,52,54},{0,10,20,30,40,50,60,62,64,66,68,70,72,74,76,78,80,85,90,95,100})</f>
        <v>78</v>
      </c>
      <c r="K278" s="12"/>
      <c r="L278" s="12"/>
      <c r="M278" s="12">
        <f t="shared" si="114"/>
        <v>78</v>
      </c>
      <c r="N278" s="12">
        <v>9</v>
      </c>
      <c r="O278" s="12">
        <f t="shared" si="128"/>
        <v>3</v>
      </c>
      <c r="P278" s="11">
        <f>LOOKUP(O278,{0,0.5,0.7,0.9,1.1,1.3,1.5,1.7,1.9,2.1,2.3,2.5,2.7,2.9,3.1,3.3,3.5,3.8,4.1,4.2,4.3},{0,10,20,30,40,50,60,62,64,66,68,70,72,74,76,78,80,85,90,95,100})</f>
        <v>74</v>
      </c>
      <c r="Q278" s="12">
        <v>3.5</v>
      </c>
      <c r="R278" s="12">
        <f t="shared" si="129"/>
        <v>6.5</v>
      </c>
      <c r="S278" s="11">
        <f>LOOKUP(R278,{0,4.72,4.82,4.92,5.42,5.52,5.62,5.67,5.72,5.77,5.82,5.87,5.92,5.97,6.42,6.47,6.52,6.59,6.66,6.72,6.78},{0,10,20,30,40,50,60,62,64,66,68,70,72,74,76,78,80,85,90,95,100})</f>
        <v>78</v>
      </c>
      <c r="T278" s="12"/>
      <c r="U278" s="12"/>
      <c r="V278" s="12">
        <f t="shared" si="130"/>
        <v>78</v>
      </c>
      <c r="W278" s="12"/>
      <c r="X278" s="20">
        <f t="shared" si="113"/>
        <v>54.1</v>
      </c>
      <c r="Y278" s="20">
        <f t="shared" si="131"/>
        <v>77.2857142857143</v>
      </c>
    </row>
    <row r="279" ht="15.6" hidden="1" outlineLevel="2" spans="1:25">
      <c r="A279" s="12">
        <v>206</v>
      </c>
      <c r="B279" s="12">
        <v>43</v>
      </c>
      <c r="C279" s="6" t="s">
        <v>316</v>
      </c>
      <c r="D279" s="6" t="s">
        <v>53</v>
      </c>
      <c r="E279" s="12">
        <v>25</v>
      </c>
      <c r="F279" s="11">
        <f>LOOKUP(E279,{0,1,1.8,2.6,3.4,4.2,5,6.3,7.6,8.9,10.2,11.5,12.8,14.1,15.4,16.7,18,19.7,21.4,23.1,24.8},{0,10,20,30,40,50,60,62,64,66,68,70,72,74,76,78,80,85,90,95,100})</f>
        <v>100</v>
      </c>
      <c r="G279" s="12">
        <v>173</v>
      </c>
      <c r="H279" s="11">
        <f>LOOKUP(G279,{0,124,129,134,139,144,149,152,155,158,161,164,167,170,173,176,179,186,193,199,205},{0,10,20,30,40,50,60,62,64,66,68,70,72,74,76,78,80,85,90,95,100})</f>
        <v>76</v>
      </c>
      <c r="I279" s="12">
        <v>46</v>
      </c>
      <c r="J279" s="11">
        <f>LOOKUP(I279,{0,14,16,18,20,22,24,26,28,30,32,34,36,38,40,42,44,47,50,52,54},{0,10,20,30,40,50,60,62,64,66,68,70,72,74,76,78,80,85,90,95,100})</f>
        <v>80</v>
      </c>
      <c r="K279" s="12"/>
      <c r="L279" s="12"/>
      <c r="M279" s="12">
        <f t="shared" si="114"/>
        <v>80</v>
      </c>
      <c r="N279" s="12">
        <v>8.2</v>
      </c>
      <c r="O279" s="12">
        <f t="shared" si="128"/>
        <v>3.8</v>
      </c>
      <c r="P279" s="11">
        <f>LOOKUP(O279,{0,0.5,0.7,0.9,1.1,1.3,1.5,1.7,1.9,2.1,2.3,2.5,2.7,2.9,3.1,3.3,3.5,3.8,4.1,4.2,4.3},{0,10,20,30,40,50,60,62,64,66,68,70,72,74,76,78,80,85,90,95,100})</f>
        <v>85</v>
      </c>
      <c r="Q279" s="12">
        <v>3.47</v>
      </c>
      <c r="R279" s="12">
        <f t="shared" si="129"/>
        <v>6.53</v>
      </c>
      <c r="S279" s="11">
        <f>LOOKUP(R279,{0,4.72,4.82,4.92,5.42,5.52,5.62,5.67,5.72,5.77,5.82,5.87,5.92,5.97,6.42,6.47,6.52,6.59,6.66,6.72,6.78},{0,10,20,30,40,50,60,62,64,66,68,70,72,74,76,78,80,85,90,95,100})</f>
        <v>80</v>
      </c>
      <c r="T279" s="12"/>
      <c r="U279" s="12"/>
      <c r="V279" s="12">
        <f t="shared" si="130"/>
        <v>80</v>
      </c>
      <c r="W279" s="12"/>
      <c r="X279" s="20">
        <f t="shared" si="113"/>
        <v>58.6</v>
      </c>
      <c r="Y279" s="20">
        <f t="shared" si="131"/>
        <v>83.7142857142857</v>
      </c>
    </row>
    <row r="280" ht="15.6" hidden="1" outlineLevel="2" spans="1:25">
      <c r="A280" s="12">
        <v>206</v>
      </c>
      <c r="B280" s="12">
        <v>44</v>
      </c>
      <c r="C280" s="6" t="s">
        <v>317</v>
      </c>
      <c r="D280" s="6" t="s">
        <v>53</v>
      </c>
      <c r="E280" s="12">
        <v>26.3</v>
      </c>
      <c r="F280" s="11">
        <f>LOOKUP(E280,{0,1,1.8,2.6,3.4,4.2,5,6.3,7.6,8.9,10.2,11.5,12.8,14.1,15.4,16.7,18,19.7,21.4,23.1,24.8},{0,10,20,30,40,50,60,62,64,66,68,70,72,74,76,78,80,85,90,95,100})</f>
        <v>100</v>
      </c>
      <c r="G280" s="12">
        <v>178</v>
      </c>
      <c r="H280" s="11">
        <f>LOOKUP(G280,{0,124,129,134,139,144,149,152,155,158,161,164,167,170,173,176,179,186,193,199,205},{0,10,20,30,40,50,60,62,64,66,68,70,72,74,76,78,80,85,90,95,100})</f>
        <v>78</v>
      </c>
      <c r="I280" s="12">
        <v>36</v>
      </c>
      <c r="J280" s="11">
        <f>LOOKUP(I280,{0,14,16,18,20,22,24,26,28,30,32,34,36,38,40,42,44,47,50,52,54},{0,10,20,30,40,50,60,62,64,66,68,70,72,74,76,78,80,85,90,95,100})</f>
        <v>72</v>
      </c>
      <c r="K280" s="12"/>
      <c r="L280" s="12"/>
      <c r="M280" s="12">
        <f t="shared" si="114"/>
        <v>72</v>
      </c>
      <c r="N280" s="12">
        <v>9.2</v>
      </c>
      <c r="O280" s="12">
        <f t="shared" si="128"/>
        <v>2.8</v>
      </c>
      <c r="P280" s="11">
        <f>LOOKUP(O280,{0,0.5,0.7,0.9,1.1,1.3,1.5,1.7,1.9,2.1,2.3,2.5,2.7,2.9,3.1,3.3,3.5,3.8,4.1,4.2,4.3},{0,10,20,30,40,50,60,62,64,66,68,70,72,74,76,78,80,85,90,95,100})</f>
        <v>72</v>
      </c>
      <c r="Q280" s="12">
        <v>3.49</v>
      </c>
      <c r="R280" s="12">
        <f t="shared" si="129"/>
        <v>6.51</v>
      </c>
      <c r="S280" s="11">
        <f>LOOKUP(R280,{0,4.72,4.82,4.92,5.42,5.52,5.62,5.67,5.72,5.77,5.82,5.87,5.92,5.97,6.42,6.47,6.52,6.59,6.66,6.72,6.78},{0,10,20,30,40,50,60,62,64,66,68,70,72,74,76,78,80,85,90,95,100})</f>
        <v>78</v>
      </c>
      <c r="T280" s="12"/>
      <c r="U280" s="12"/>
      <c r="V280" s="12">
        <f t="shared" si="130"/>
        <v>78</v>
      </c>
      <c r="W280" s="12"/>
      <c r="X280" s="20">
        <f t="shared" si="113"/>
        <v>55</v>
      </c>
      <c r="Y280" s="20">
        <f t="shared" si="131"/>
        <v>78.5714285714286</v>
      </c>
    </row>
    <row r="281" ht="15.6" hidden="1" outlineLevel="2" spans="1:25">
      <c r="A281" s="12">
        <v>206</v>
      </c>
      <c r="B281" s="12">
        <v>45</v>
      </c>
      <c r="C281" s="6" t="s">
        <v>318</v>
      </c>
      <c r="D281" s="6" t="s">
        <v>53</v>
      </c>
      <c r="E281" s="12">
        <v>16</v>
      </c>
      <c r="F281" s="11">
        <f>LOOKUP(E281,{0,1,1.8,2.6,3.4,4.2,5,6.3,7.6,8.9,10.2,11.5,12.8,14.1,15.4,16.7,18,19.7,21.4,23.1,24.8},{0,10,20,30,40,50,60,62,64,66,68,70,72,74,76,78,80,85,90,95,100})</f>
        <v>76</v>
      </c>
      <c r="G281" s="12">
        <v>200</v>
      </c>
      <c r="H281" s="11">
        <f>LOOKUP(G281,{0,124,129,134,139,144,149,152,155,158,161,164,167,170,173,176,179,186,193,199,205},{0,10,20,30,40,50,60,62,64,66,68,70,72,74,76,78,80,85,90,95,100})</f>
        <v>95</v>
      </c>
      <c r="I281" s="12">
        <v>45</v>
      </c>
      <c r="J281" s="11">
        <f>LOOKUP(I281,{0,14,16,18,20,22,24,26,28,30,32,34,36,38,40,42,44,47,50,52,54},{0,10,20,30,40,50,60,62,64,66,68,70,72,74,76,78,80,85,90,95,100})</f>
        <v>80</v>
      </c>
      <c r="K281" s="12"/>
      <c r="L281" s="12"/>
      <c r="M281" s="12">
        <f t="shared" si="114"/>
        <v>80</v>
      </c>
      <c r="N281" s="12">
        <v>8.1</v>
      </c>
      <c r="O281" s="12">
        <f t="shared" si="128"/>
        <v>3.9</v>
      </c>
      <c r="P281" s="11">
        <f>LOOKUP(O281,{0,0.5,0.7,0.9,1.1,1.3,1.5,1.7,1.9,2.1,2.3,2.5,2.7,2.9,3.1,3.3,3.5,3.8,4.1,4.2,4.3},{0,10,20,30,40,50,60,62,64,66,68,70,72,74,76,78,80,85,90,95,100})</f>
        <v>85</v>
      </c>
      <c r="Q281" s="12">
        <v>3.29</v>
      </c>
      <c r="R281" s="12">
        <f t="shared" si="129"/>
        <v>6.71</v>
      </c>
      <c r="S281" s="11">
        <f>LOOKUP(R281,{0,4.72,4.82,4.92,5.42,5.52,5.62,5.67,5.72,5.77,5.82,5.87,5.92,5.97,6.42,6.47,6.52,6.59,6.66,6.72,6.78},{0,10,20,30,40,50,60,62,64,66,68,70,72,74,76,78,80,85,90,95,100})</f>
        <v>90</v>
      </c>
      <c r="T281" s="12"/>
      <c r="U281" s="12"/>
      <c r="V281" s="12">
        <f t="shared" si="130"/>
        <v>90</v>
      </c>
      <c r="W281" s="12"/>
      <c r="X281" s="20">
        <f t="shared" si="113"/>
        <v>60.1</v>
      </c>
      <c r="Y281" s="20">
        <f t="shared" si="131"/>
        <v>85.8571428571429</v>
      </c>
    </row>
    <row r="282" ht="15.6" hidden="1" outlineLevel="2" spans="1:25">
      <c r="A282" s="12">
        <v>206</v>
      </c>
      <c r="B282" s="12">
        <v>46</v>
      </c>
      <c r="C282" s="6" t="s">
        <v>319</v>
      </c>
      <c r="D282" s="6" t="s">
        <v>53</v>
      </c>
      <c r="E282" s="12">
        <v>17.2</v>
      </c>
      <c r="F282" s="11">
        <f>LOOKUP(E282,{0,1,1.8,2.6,3.4,4.2,5,6.3,7.6,8.9,10.2,11.5,12.8,14.1,15.4,16.7,18,19.7,21.4,23.1,24.8},{0,10,20,30,40,50,60,62,64,66,68,70,72,74,76,78,80,85,90,95,100})</f>
        <v>78</v>
      </c>
      <c r="G282" s="12">
        <v>138</v>
      </c>
      <c r="H282" s="11">
        <f>LOOKUP(G282,{0,124,129,134,139,144,149,152,155,158,161,164,167,170,173,176,179,186,193,199,205},{0,10,20,30,40,50,60,62,64,66,68,70,72,74,76,78,80,85,90,95,100})</f>
        <v>30</v>
      </c>
      <c r="I282" s="12">
        <v>54</v>
      </c>
      <c r="J282" s="11">
        <f>LOOKUP(I282,{0,14,16,18,20,22,24,26,28,30,32,34,36,38,40,42,44,47,50,52,54},{0,10,20,30,40,50,60,62,64,66,68,70,72,74,76,78,80,85,90,95,100})</f>
        <v>100</v>
      </c>
      <c r="K282" s="12">
        <f t="shared" ref="K282:K287" si="132">I282-54</f>
        <v>0</v>
      </c>
      <c r="L282" s="11">
        <f>LOOKUP(K282,{0,2,4,6,7,8,9,10,11,12,13},{0,1,2,3,4,5,6,7,8,9,10})</f>
        <v>0</v>
      </c>
      <c r="M282" s="12">
        <f t="shared" si="114"/>
        <v>100</v>
      </c>
      <c r="N282" s="12">
        <v>10.6</v>
      </c>
      <c r="O282" s="12">
        <f t="shared" si="128"/>
        <v>1.4</v>
      </c>
      <c r="P282" s="11">
        <f>LOOKUP(O282,{0,0.5,0.7,0.9,1.1,1.3,1.5,1.7,1.9,2.1,2.3,2.5,2.7,2.9,3.1,3.3,3.5,3.8,4.1,4.2,4.3},{0,10,20,30,40,50,60,62,64,66,68,70,72,74,76,78,80,85,90,95,100})</f>
        <v>50</v>
      </c>
      <c r="Q282" s="12">
        <v>4.32</v>
      </c>
      <c r="R282" s="12">
        <f t="shared" si="129"/>
        <v>5.68</v>
      </c>
      <c r="S282" s="11">
        <f>LOOKUP(R282,{0,4.72,4.82,4.92,5.42,5.52,5.62,5.67,5.72,5.77,5.82,5.87,5.92,5.97,6.42,6.47,6.52,6.59,6.66,6.72,6.78},{0,10,20,30,40,50,60,62,64,66,68,70,72,74,76,78,80,85,90,95,100})</f>
        <v>62</v>
      </c>
      <c r="T282" s="12"/>
      <c r="U282" s="12"/>
      <c r="V282" s="12">
        <f t="shared" si="130"/>
        <v>62</v>
      </c>
      <c r="W282" s="12"/>
      <c r="X282" s="20">
        <f t="shared" si="113"/>
        <v>43.2</v>
      </c>
      <c r="Y282" s="20">
        <f t="shared" si="131"/>
        <v>61.7142857142857</v>
      </c>
    </row>
    <row r="283" ht="15.6" hidden="1" outlineLevel="2" spans="1:25">
      <c r="A283" s="12">
        <v>206</v>
      </c>
      <c r="B283" s="12">
        <v>47</v>
      </c>
      <c r="C283" s="6" t="s">
        <v>320</v>
      </c>
      <c r="D283" s="6" t="s">
        <v>53</v>
      </c>
      <c r="E283" s="12">
        <v>14.5</v>
      </c>
      <c r="F283" s="11">
        <f>LOOKUP(E283,{0,1,1.8,2.6,3.4,4.2,5,6.3,7.6,8.9,10.2,11.5,12.8,14.1,15.4,16.7,18,19.7,21.4,23.1,24.8},{0,10,20,30,40,50,60,62,64,66,68,70,72,74,76,78,80,85,90,95,100})</f>
        <v>74</v>
      </c>
      <c r="G283" s="12">
        <v>180</v>
      </c>
      <c r="H283" s="11">
        <f>LOOKUP(G283,{0,124,129,134,139,144,149,152,155,158,161,164,167,170,173,176,179,186,193,199,205},{0,10,20,30,40,50,60,62,64,66,68,70,72,74,76,78,80,85,90,95,100})</f>
        <v>80</v>
      </c>
      <c r="I283" s="12">
        <v>53</v>
      </c>
      <c r="J283" s="11">
        <f>LOOKUP(I283,{0,14,16,18,20,22,24,26,28,30,32,34,36,38,40,42,44,47,50,52,54},{0,10,20,30,40,50,60,62,64,66,68,70,72,74,76,78,80,85,90,95,100})</f>
        <v>95</v>
      </c>
      <c r="K283" s="12"/>
      <c r="L283" s="12"/>
      <c r="M283" s="12">
        <f t="shared" si="114"/>
        <v>95</v>
      </c>
      <c r="N283" s="12">
        <v>8.3</v>
      </c>
      <c r="O283" s="12">
        <f t="shared" si="128"/>
        <v>3.7</v>
      </c>
      <c r="P283" s="11">
        <f>LOOKUP(O283,{0,0.5,0.7,0.9,1.1,1.3,1.5,1.7,1.9,2.1,2.3,2.5,2.7,2.9,3.1,3.3,3.5,3.8,4.1,4.2,4.3},{0,10,20,30,40,50,60,62,64,66,68,70,72,74,76,78,80,85,90,95,100})</f>
        <v>80</v>
      </c>
      <c r="Q283" s="12">
        <v>3.4</v>
      </c>
      <c r="R283" s="12">
        <f t="shared" si="129"/>
        <v>6.6</v>
      </c>
      <c r="S283" s="11">
        <f>LOOKUP(R283,{0,4.72,4.82,4.92,5.42,5.52,5.62,5.67,5.72,5.77,5.82,5.87,5.92,5.97,6.42,6.47,6.52,6.59,6.66,6.72,6.78},{0,10,20,30,40,50,60,62,64,66,68,70,72,74,76,78,80,85,90,95,100})</f>
        <v>85</v>
      </c>
      <c r="T283" s="12"/>
      <c r="U283" s="12"/>
      <c r="V283" s="12">
        <f t="shared" si="130"/>
        <v>85</v>
      </c>
      <c r="W283" s="12"/>
      <c r="X283" s="20">
        <f t="shared" si="113"/>
        <v>57.9</v>
      </c>
      <c r="Y283" s="20">
        <f t="shared" si="131"/>
        <v>82.7142857142857</v>
      </c>
    </row>
    <row r="284" ht="15.6" hidden="1" outlineLevel="2" spans="1:25">
      <c r="A284" s="12">
        <v>206</v>
      </c>
      <c r="B284" s="12">
        <v>48</v>
      </c>
      <c r="C284" s="6" t="s">
        <v>321</v>
      </c>
      <c r="D284" s="6" t="s">
        <v>53</v>
      </c>
      <c r="E284" s="12">
        <v>20</v>
      </c>
      <c r="F284" s="11">
        <f>LOOKUP(E284,{0,1,1.8,2.6,3.4,4.2,5,6.3,7.6,8.9,10.2,11.5,12.8,14.1,15.4,16.7,18,19.7,21.4,23.1,24.8},{0,10,20,30,40,50,60,62,64,66,68,70,72,74,76,78,80,85,90,95,100})</f>
        <v>85</v>
      </c>
      <c r="G284" s="12">
        <v>177</v>
      </c>
      <c r="H284" s="11">
        <f>LOOKUP(G284,{0,124,129,134,139,144,149,152,155,158,161,164,167,170,173,176,179,186,193,199,205},{0,10,20,30,40,50,60,62,64,66,68,70,72,74,76,78,80,85,90,95,100})</f>
        <v>78</v>
      </c>
      <c r="I284" s="12">
        <v>47</v>
      </c>
      <c r="J284" s="11">
        <f>LOOKUP(I284,{0,14,16,18,20,22,24,26,28,30,32,34,36,38,40,42,44,47,50,52,54},{0,10,20,30,40,50,60,62,64,66,68,70,72,74,76,78,80,85,90,95,100})</f>
        <v>85</v>
      </c>
      <c r="K284" s="12"/>
      <c r="L284" s="15"/>
      <c r="M284" s="12">
        <f t="shared" si="114"/>
        <v>85</v>
      </c>
      <c r="N284" s="12">
        <v>8.9</v>
      </c>
      <c r="O284" s="12">
        <f t="shared" si="128"/>
        <v>3.1</v>
      </c>
      <c r="P284" s="11">
        <f>LOOKUP(O284,{0,0.5,0.7,0.9,1.1,1.3,1.5,1.7,1.9,2.1,2.3,2.5,2.7,2.9,3.1,3.3,3.5,3.8,4.1,4.2,4.3},{0,10,20,30,40,50,60,62,64,66,68,70,72,74,76,78,80,85,90,95,100})</f>
        <v>76</v>
      </c>
      <c r="Q284" s="12">
        <v>4.28</v>
      </c>
      <c r="R284" s="12">
        <f t="shared" si="129"/>
        <v>5.72</v>
      </c>
      <c r="S284" s="11">
        <f>LOOKUP(R284,{0,4.72,4.82,4.92,5.42,5.52,5.62,5.67,5.72,5.77,5.82,5.87,5.92,5.97,6.42,6.47,6.52,6.59,6.66,6.72,6.78},{0,10,20,30,40,50,60,62,64,66,68,70,72,74,76,78,80,85,90,95,100})</f>
        <v>64</v>
      </c>
      <c r="T284" s="12"/>
      <c r="U284" s="12"/>
      <c r="V284" s="12">
        <f t="shared" si="130"/>
        <v>64</v>
      </c>
      <c r="W284" s="12"/>
      <c r="X284" s="20">
        <f t="shared" si="113"/>
        <v>52.8</v>
      </c>
      <c r="Y284" s="20">
        <f t="shared" si="131"/>
        <v>75.4285714285714</v>
      </c>
    </row>
    <row r="285" ht="15.6" hidden="1" outlineLevel="2" spans="1:25">
      <c r="A285" s="12">
        <v>206</v>
      </c>
      <c r="B285" s="12">
        <v>49</v>
      </c>
      <c r="C285" s="6" t="s">
        <v>322</v>
      </c>
      <c r="D285" s="6" t="s">
        <v>53</v>
      </c>
      <c r="E285" s="12">
        <v>18.9</v>
      </c>
      <c r="F285" s="11">
        <f>LOOKUP(E285,{0,1,1.8,2.6,3.4,4.2,5,6.3,7.6,8.9,10.2,11.5,12.8,14.1,15.4,16.7,18,19.7,21.4,23.1,24.8},{0,10,20,30,40,50,60,62,64,66,68,70,72,74,76,78,80,85,90,95,100})</f>
        <v>80</v>
      </c>
      <c r="G285" s="12">
        <v>165</v>
      </c>
      <c r="H285" s="11">
        <f>LOOKUP(G285,{0,124,129,134,139,144,149,152,155,158,161,164,167,170,173,176,179,186,193,199,205},{0,10,20,30,40,50,60,62,64,66,68,70,72,74,76,78,80,85,90,95,100})</f>
        <v>70</v>
      </c>
      <c r="I285" s="12">
        <v>49</v>
      </c>
      <c r="J285" s="11">
        <f>LOOKUP(I285,{0,14,16,18,20,22,24,26,28,30,32,34,36,38,40,42,44,47,50,52,54},{0,10,20,30,40,50,60,62,64,66,68,70,72,74,76,78,80,85,90,95,100})</f>
        <v>85</v>
      </c>
      <c r="K285" s="12"/>
      <c r="L285" s="12"/>
      <c r="M285" s="12">
        <f t="shared" si="114"/>
        <v>85</v>
      </c>
      <c r="N285" s="12">
        <v>8.5</v>
      </c>
      <c r="O285" s="12">
        <f t="shared" si="128"/>
        <v>3.5</v>
      </c>
      <c r="P285" s="11">
        <f>LOOKUP(O285,{0,0.5,0.7,0.9,1.1,1.3,1.5,1.7,1.9,2.1,2.3,2.5,2.7,2.9,3.1,3.3,3.5,3.8,4.1,4.2,4.3},{0,10,20,30,40,50,60,62,64,66,68,70,72,74,76,78,80,85,90,95,100})</f>
        <v>80</v>
      </c>
      <c r="Q285" s="12">
        <v>3.46</v>
      </c>
      <c r="R285" s="12">
        <f t="shared" si="129"/>
        <v>6.54</v>
      </c>
      <c r="S285" s="11">
        <f>LOOKUP(R285,{0,4.72,4.82,4.92,5.42,5.52,5.62,5.67,5.72,5.77,5.82,5.87,5.92,5.97,6.42,6.47,6.52,6.59,6.66,6.72,6.78},{0,10,20,30,40,50,60,62,64,66,68,70,72,74,76,78,80,85,90,95,100})</f>
        <v>80</v>
      </c>
      <c r="T285" s="12"/>
      <c r="U285" s="12"/>
      <c r="V285" s="12">
        <f t="shared" si="130"/>
        <v>80</v>
      </c>
      <c r="W285" s="12"/>
      <c r="X285" s="20">
        <f t="shared" si="113"/>
        <v>55.5</v>
      </c>
      <c r="Y285" s="20">
        <f t="shared" si="131"/>
        <v>79.2857142857143</v>
      </c>
    </row>
    <row r="286" ht="15.6" hidden="1" outlineLevel="2" spans="1:25">
      <c r="A286" s="12">
        <v>206</v>
      </c>
      <c r="B286" s="12">
        <v>50</v>
      </c>
      <c r="C286" s="6" t="s">
        <v>323</v>
      </c>
      <c r="D286" s="6" t="s">
        <v>53</v>
      </c>
      <c r="E286" s="12">
        <v>23</v>
      </c>
      <c r="F286" s="11">
        <f>LOOKUP(E286,{0,1,1.8,2.6,3.4,4.2,5,6.3,7.6,8.9,10.2,11.5,12.8,14.1,15.4,16.7,18,19.7,21.4,23.1,24.8},{0,10,20,30,40,50,60,62,64,66,68,70,72,74,76,78,80,85,90,95,100})</f>
        <v>90</v>
      </c>
      <c r="G286" s="12">
        <v>175</v>
      </c>
      <c r="H286" s="11">
        <f>LOOKUP(G286,{0,124,129,134,139,144,149,152,155,158,161,164,167,170,173,176,179,186,193,199,205},{0,10,20,30,40,50,60,62,64,66,68,70,72,74,76,78,80,85,90,95,100})</f>
        <v>76</v>
      </c>
      <c r="I286" s="12">
        <v>54</v>
      </c>
      <c r="J286" s="11">
        <f>LOOKUP(I286,{0,14,16,18,20,22,24,26,28,30,32,34,36,38,40,42,44,47,50,52,54},{0,10,20,30,40,50,60,62,64,66,68,70,72,74,76,78,80,85,90,95,100})</f>
        <v>100</v>
      </c>
      <c r="K286" s="12">
        <f t="shared" si="132"/>
        <v>0</v>
      </c>
      <c r="L286" s="11">
        <f>LOOKUP(K286,{0,2,4,6,7,8,9,10,11,12,13},{0,1,2,3,4,5,6,7,8,9,10})</f>
        <v>0</v>
      </c>
      <c r="M286" s="12">
        <f t="shared" si="114"/>
        <v>100</v>
      </c>
      <c r="N286" s="12">
        <v>9</v>
      </c>
      <c r="O286" s="12">
        <f t="shared" si="128"/>
        <v>3</v>
      </c>
      <c r="P286" s="11">
        <f>LOOKUP(O286,{0,0.5,0.7,0.9,1.1,1.3,1.5,1.7,1.9,2.1,2.3,2.5,2.7,2.9,3.1,3.3,3.5,3.8,4.1,4.2,4.3},{0,10,20,30,40,50,60,62,64,66,68,70,72,74,76,78,80,85,90,95,100})</f>
        <v>74</v>
      </c>
      <c r="Q286" s="12">
        <v>3.33</v>
      </c>
      <c r="R286" s="12">
        <f t="shared" si="129"/>
        <v>6.67</v>
      </c>
      <c r="S286" s="11">
        <f>LOOKUP(R286,{0,4.72,4.82,4.92,5.42,5.52,5.62,5.67,5.72,5.77,5.82,5.87,5.92,5.97,6.42,6.47,6.52,6.59,6.66,6.72,6.78},{0,10,20,30,40,50,60,62,64,66,68,70,72,74,76,78,80,85,90,95,100})</f>
        <v>90</v>
      </c>
      <c r="T286" s="12"/>
      <c r="U286" s="12"/>
      <c r="V286" s="12">
        <f t="shared" si="130"/>
        <v>90</v>
      </c>
      <c r="W286" s="12"/>
      <c r="X286" s="20">
        <f t="shared" si="113"/>
        <v>59.4</v>
      </c>
      <c r="Y286" s="20">
        <f t="shared" si="131"/>
        <v>84.8571428571429</v>
      </c>
    </row>
    <row r="287" s="1" customFormat="1" ht="15.6" hidden="1" outlineLevel="2" spans="1:25">
      <c r="A287" s="12">
        <v>206</v>
      </c>
      <c r="B287" s="12">
        <v>51</v>
      </c>
      <c r="C287" s="6" t="s">
        <v>324</v>
      </c>
      <c r="D287" s="6" t="s">
        <v>53</v>
      </c>
      <c r="E287" s="12">
        <v>22.5</v>
      </c>
      <c r="F287" s="11">
        <f>LOOKUP(E287,{0,1,1.8,2.6,3.4,4.2,5,6.3,7.6,8.9,10.2,11.5,12.8,14.1,15.4,16.7,18,19.7,21.4,23.1,24.8},{0,10,20,30,40,50,60,62,64,66,68,70,72,74,76,78,80,85,90,95,100})</f>
        <v>90</v>
      </c>
      <c r="G287" s="12">
        <v>195</v>
      </c>
      <c r="H287" s="11">
        <f>LOOKUP(G287,{0,124,129,134,139,144,149,152,155,158,161,164,167,170,173,176,179,186,193,199,205},{0,10,20,30,40,50,60,62,64,66,68,70,72,74,76,78,80,85,90,95,100})</f>
        <v>90</v>
      </c>
      <c r="I287" s="12">
        <v>62</v>
      </c>
      <c r="J287" s="11">
        <f>LOOKUP(I287,{0,14,16,18,20,22,24,26,28,30,32,34,36,38,40,42,44,47,50,52,54},{0,10,20,30,40,50,60,62,64,66,68,70,72,74,76,78,80,85,90,95,100})</f>
        <v>100</v>
      </c>
      <c r="K287" s="12">
        <f t="shared" si="132"/>
        <v>8</v>
      </c>
      <c r="L287" s="11">
        <f>LOOKUP(K287,{0,2,4,6,7,8,9,10,11,12,13},{0,1,2,3,4,5,6,7,8,9,10})</f>
        <v>5</v>
      </c>
      <c r="M287" s="12">
        <f t="shared" si="114"/>
        <v>105</v>
      </c>
      <c r="N287" s="12">
        <v>8.4</v>
      </c>
      <c r="O287" s="12">
        <f t="shared" si="128"/>
        <v>3.6</v>
      </c>
      <c r="P287" s="11">
        <f>LOOKUP(O287,{0,0.5,0.7,0.9,1.1,1.3,1.5,1.7,1.9,2.1,2.3,2.5,2.7,2.9,3.1,3.3,3.5,3.8,4.1,4.2,4.3},{0,10,20,30,40,50,60,62,64,66,68,70,72,74,76,78,80,85,90,95,100})</f>
        <v>80</v>
      </c>
      <c r="Q287" s="12">
        <v>3.31</v>
      </c>
      <c r="R287" s="12">
        <f t="shared" si="129"/>
        <v>6.69</v>
      </c>
      <c r="S287" s="11">
        <f>LOOKUP(R287,{0,4.72,4.82,4.92,5.42,5.52,5.62,5.67,5.72,5.77,5.82,5.87,5.92,5.97,6.42,6.47,6.52,6.59,6.66,6.72,6.78},{0,10,20,30,40,50,60,62,64,66,68,70,72,74,76,78,80,85,90,95,100})</f>
        <v>90</v>
      </c>
      <c r="T287" s="12"/>
      <c r="U287" s="12"/>
      <c r="V287" s="12">
        <f t="shared" si="130"/>
        <v>90</v>
      </c>
      <c r="W287" s="12"/>
      <c r="X287" s="20">
        <f t="shared" si="113"/>
        <v>62</v>
      </c>
      <c r="Y287" s="20">
        <f t="shared" si="131"/>
        <v>93.5714285714286</v>
      </c>
    </row>
    <row r="288" s="1" customFormat="1" ht="15.6" outlineLevel="1" collapsed="1" spans="1:25">
      <c r="A288" s="14" t="s">
        <v>860</v>
      </c>
      <c r="B288" s="12"/>
      <c r="C288" s="6"/>
      <c r="D288" s="6"/>
      <c r="E288" s="12"/>
      <c r="F288" s="11">
        <f>SUBTOTAL(1,F237:F287)</f>
        <v>76.3265306122449</v>
      </c>
      <c r="G288" s="12"/>
      <c r="H288" s="11">
        <f>SUBTOTAL(1,H237:H287)</f>
        <v>69.3265306122449</v>
      </c>
      <c r="I288" s="12"/>
      <c r="J288" s="11">
        <f>SUBTOTAL(1,J237:J287)</f>
        <v>60.7551020408163</v>
      </c>
      <c r="K288" s="12"/>
      <c r="L288" s="11"/>
      <c r="M288" s="12">
        <f>SUBTOTAL(1,M237:M287)</f>
        <v>61.3877551020408</v>
      </c>
      <c r="N288" s="12"/>
      <c r="O288" s="12"/>
      <c r="P288" s="11">
        <f>SUBTOTAL(1,P237:P287)</f>
        <v>82.5116279069767</v>
      </c>
      <c r="Q288" s="12"/>
      <c r="R288" s="12"/>
      <c r="S288" s="11">
        <f>SUBTOTAL(1,S237:S287)</f>
        <v>75.3617021276596</v>
      </c>
      <c r="T288" s="12"/>
      <c r="U288" s="12"/>
      <c r="V288" s="12">
        <f>SUBTOTAL(1,V237:V287)</f>
        <v>75.468085106383</v>
      </c>
      <c r="W288" s="12"/>
      <c r="X288" s="20">
        <f>SUBTOTAL(1,X237:X287)</f>
        <v>47.6352941176471</v>
      </c>
      <c r="Y288" s="20">
        <f>SUBTOTAL(1,Y237:Y287)</f>
        <v>72.1036414565826</v>
      </c>
    </row>
    <row r="289" ht="15.6" hidden="1" outlineLevel="2" spans="1:25">
      <c r="A289" s="12">
        <v>207</v>
      </c>
      <c r="B289" s="12">
        <v>1</v>
      </c>
      <c r="C289" s="13" t="s">
        <v>326</v>
      </c>
      <c r="D289" s="6" t="s">
        <v>11</v>
      </c>
      <c r="E289" s="12">
        <v>10</v>
      </c>
      <c r="F289" s="11">
        <f>LOOKUP(E289,{0,-2.9,-1.9,-0.9,0.1,1.1,2.1,3.5,4.9,6.3,7.7,9.1,10.5,11.9,13.3,14.7,16.1,18.3,20.5,22.4,24.3},{0,10,20,30,40,50,60,62,64,66,68,70,72,74,76,78,80,85,90,95,100})</f>
        <v>70</v>
      </c>
      <c r="G289" s="12">
        <v>220</v>
      </c>
      <c r="H289" s="11">
        <f>LOOKUP(G289,{0,175,180,185,190,195,200,204,208,212,216,220,224,228,232,236,240,248,255,260,265},{0,10,20,30,40,50,60,62,64,66,68,70,72,74,76,78,80,85,90,95,100})</f>
        <v>70</v>
      </c>
      <c r="I289" s="12">
        <v>18</v>
      </c>
      <c r="J289" s="11">
        <f>LOOKUP(I289,{0,3,4,5,6,7,8,9,10,11,12,13,14,15,16,17},{0,10,20,30,40,50,60,64,68,72,76,80,85,90,95,100})</f>
        <v>100</v>
      </c>
      <c r="K289" s="12">
        <f t="shared" ref="K289:K292" si="133">I289-17</f>
        <v>1</v>
      </c>
      <c r="L289" s="11">
        <f>LOOKUP(K289,{0,1,2,3,4,5,6,7,8,9,10},{0,1,2,3,4,5,6,7,8,9,10})</f>
        <v>1</v>
      </c>
      <c r="M289" s="12">
        <f>J289+L289</f>
        <v>101</v>
      </c>
      <c r="N289" s="12">
        <v>7</v>
      </c>
      <c r="O289" s="12">
        <f>12-N289</f>
        <v>5</v>
      </c>
      <c r="P289" s="11">
        <f>LOOKUP(O289,{0,1.6,1.8,2,2.2,2.4,2.6,2.8,3,3.2,3.4,3.6,3.8,4,4.2,4.4,4.6,4.7,4.8,4.9,5},{0,10,20,30,40,50,60,62,64,66,68,70,72,74,76,78,80,85,90,95,100})</f>
        <v>100</v>
      </c>
      <c r="Q289" s="12">
        <v>3.34</v>
      </c>
      <c r="R289" s="12">
        <f>10-Q289</f>
        <v>6.66</v>
      </c>
      <c r="S289" s="11">
        <f>LOOKUP(R289,{0,3.8,4,4.6,4.8,5,5.6,5.65,5.7,5.75,5.8,5.85,5.9,5.95,6,6.45,6.5,6.58,6.65,6.7,6.75},{0,10,20,30,40,50,60,62,64,66,68,70,72,74,76,78,80,85,90,95,100})</f>
        <v>90</v>
      </c>
      <c r="T289" s="12"/>
      <c r="U289" s="12"/>
      <c r="V289" s="12">
        <f>S289+U289</f>
        <v>90</v>
      </c>
      <c r="W289" s="12"/>
      <c r="X289" s="20">
        <f t="shared" ref="X289:X338" si="134">F289*0.1+H289*0.1+J289*0.1+P289*0.2+S289*0.2</f>
        <v>62</v>
      </c>
      <c r="Y289" s="20">
        <f>X289/0.7+L289+U289</f>
        <v>89.5714285714286</v>
      </c>
    </row>
    <row r="290" ht="15.6" hidden="1" outlineLevel="2" spans="1:25">
      <c r="A290" s="12">
        <v>207</v>
      </c>
      <c r="B290" s="12">
        <v>2</v>
      </c>
      <c r="C290" s="6" t="s">
        <v>327</v>
      </c>
      <c r="D290" s="6" t="s">
        <v>11</v>
      </c>
      <c r="E290" s="12">
        <v>21</v>
      </c>
      <c r="F290" s="11">
        <f>LOOKUP(E290,{0,-2.9,-1.9,-0.9,0.1,1.1,2.1,3.5,4.9,6.3,7.7,9.1,10.5,11.9,13.3,14.7,16.1,18.3,20.5,22.4,24.3},{0,10,20,30,40,50,60,62,64,66,68,70,72,74,76,78,80,85,90,95,100})</f>
        <v>90</v>
      </c>
      <c r="G290" s="12">
        <v>245</v>
      </c>
      <c r="H290" s="11">
        <f>LOOKUP(G290,{0,175,180,185,190,195,200,204,208,212,216,220,224,228,232,236,240,248,255,260,265},{0,10,20,30,40,50,60,62,64,66,68,70,72,74,76,78,80,85,90,95,100})</f>
        <v>80</v>
      </c>
      <c r="I290" s="12">
        <v>23</v>
      </c>
      <c r="J290" s="11">
        <f>LOOKUP(I290,{0,3,4,5,6,7,8,9,10,11,12,13,14,15,16,17},{0,10,20,30,40,50,60,64,68,72,76,80,85,90,95,100})</f>
        <v>100</v>
      </c>
      <c r="K290" s="12">
        <f t="shared" si="133"/>
        <v>6</v>
      </c>
      <c r="L290" s="11">
        <f>LOOKUP(K290,{0,1,2,3,4,5,6,7,8,9,10},{0,1,2,3,4,5,6,7,8,9,10})</f>
        <v>6</v>
      </c>
      <c r="M290" s="12">
        <f>J290+L290</f>
        <v>106</v>
      </c>
      <c r="N290" s="12">
        <v>7.1</v>
      </c>
      <c r="O290" s="12">
        <f>12-N290</f>
        <v>4.9</v>
      </c>
      <c r="P290" s="11">
        <f>LOOKUP(O290,{0,1.6,1.8,2,2.2,2.4,2.6,2.8,3,3.2,3.4,3.6,3.8,4,4.2,4.4,4.6,4.7,4.8,4.9,5},{0,10,20,30,40,50,60,62,64,66,68,70,72,74,76,78,80,85,90,95,100})</f>
        <v>95</v>
      </c>
      <c r="Q290" s="12">
        <v>3.57</v>
      </c>
      <c r="R290" s="12">
        <f>10-Q290</f>
        <v>6.43</v>
      </c>
      <c r="S290" s="11">
        <f>LOOKUP(R290,{0,3.8,4,4.6,4.8,5,5.6,5.65,5.7,5.75,5.8,5.85,5.9,5.95,6,6.45,6.5,6.58,6.65,6.7,6.75},{0,10,20,30,40,50,60,62,64,66,68,70,72,74,76,78,80,85,90,95,100})</f>
        <v>76</v>
      </c>
      <c r="T290" s="12"/>
      <c r="U290" s="12"/>
      <c r="V290" s="12">
        <f>S290+U290</f>
        <v>76</v>
      </c>
      <c r="W290" s="12"/>
      <c r="X290" s="20">
        <f t="shared" si="134"/>
        <v>61.2</v>
      </c>
      <c r="Y290" s="20">
        <f>X290/0.7+L290+U290</f>
        <v>93.4285714285714</v>
      </c>
    </row>
    <row r="291" ht="15.6" hidden="1" outlineLevel="2" spans="1:25">
      <c r="A291" s="12">
        <v>207</v>
      </c>
      <c r="B291" s="12">
        <v>3</v>
      </c>
      <c r="C291" s="6" t="s">
        <v>328</v>
      </c>
      <c r="D291" s="6" t="s">
        <v>11</v>
      </c>
      <c r="E291" s="12">
        <v>6</v>
      </c>
      <c r="F291" s="11">
        <f>LOOKUP(E291,{0,-2.9,-1.9,-0.9,0.1,1.1,2.1,3.5,4.9,6.3,7.7,9.1,10.5,11.9,13.3,14.7,16.1,18.3,20.5,22.4,24.3},{0,10,20,30,40,50,60,62,64,66,68,70,72,74,76,78,80,85,90,95,100})</f>
        <v>64</v>
      </c>
      <c r="G291" s="12">
        <v>230</v>
      </c>
      <c r="H291" s="11">
        <f>LOOKUP(G291,{0,175,180,185,190,195,200,204,208,212,216,220,224,228,232,236,240,248,255,260,265},{0,10,20,30,40,50,60,62,64,66,68,70,72,74,76,78,80,85,90,95,100})</f>
        <v>74</v>
      </c>
      <c r="I291" s="12">
        <v>20</v>
      </c>
      <c r="J291" s="11">
        <f>LOOKUP(I291,{0,3,4,5,6,7,8,9,10,11,12,13,14,15,16,17},{0,10,20,30,40,50,60,64,68,72,76,80,85,90,95,100})</f>
        <v>100</v>
      </c>
      <c r="K291" s="12">
        <f t="shared" si="133"/>
        <v>3</v>
      </c>
      <c r="L291" s="11">
        <f>LOOKUP(K291,{0,1,2,3,4,5,6,7,8,9,10},{0,1,2,3,4,5,6,7,8,9,10})</f>
        <v>3</v>
      </c>
      <c r="M291" s="12">
        <f>J291+L291</f>
        <v>103</v>
      </c>
      <c r="N291" s="12">
        <v>6.8</v>
      </c>
      <c r="O291" s="12">
        <f>12-N291</f>
        <v>5.2</v>
      </c>
      <c r="P291" s="11">
        <f>LOOKUP(O291,{0,1.6,1.8,2,2.2,2.4,2.6,2.8,3,3.2,3.4,3.6,3.8,4,4.2,4.4,4.6,4.7,4.8,4.9,5},{0,10,20,30,40,50,60,62,64,66,68,70,72,74,76,78,80,85,90,95,100})</f>
        <v>100</v>
      </c>
      <c r="Q291" s="12">
        <v>3.39</v>
      </c>
      <c r="R291" s="12">
        <f>10-Q291</f>
        <v>6.61</v>
      </c>
      <c r="S291" s="11">
        <f>LOOKUP(R291,{0,3.8,4,4.6,4.8,5,5.6,5.65,5.7,5.75,5.8,5.85,5.9,5.95,6,6.45,6.5,6.58,6.65,6.7,6.75},{0,10,20,30,40,50,60,62,64,66,68,70,72,74,76,78,80,85,90,95,100})</f>
        <v>85</v>
      </c>
      <c r="T291" s="12"/>
      <c r="U291" s="12"/>
      <c r="V291" s="12">
        <f>S291+U291</f>
        <v>85</v>
      </c>
      <c r="W291" s="12"/>
      <c r="X291" s="20">
        <f t="shared" si="134"/>
        <v>60.8</v>
      </c>
      <c r="Y291" s="20">
        <f>X291/0.7+L291+U291</f>
        <v>89.8571428571429</v>
      </c>
    </row>
    <row r="292" ht="15.6" hidden="1" outlineLevel="2" spans="1:25">
      <c r="A292" s="12">
        <v>207</v>
      </c>
      <c r="B292" s="12">
        <v>4</v>
      </c>
      <c r="C292" s="6" t="s">
        <v>329</v>
      </c>
      <c r="D292" s="6" t="s">
        <v>11</v>
      </c>
      <c r="E292" s="12">
        <v>20</v>
      </c>
      <c r="F292" s="11">
        <f>LOOKUP(E292,{0,-2.9,-1.9,-0.9,0.1,1.1,2.1,3.5,4.9,6.3,7.7,9.1,10.5,11.9,13.3,14.7,16.1,18.3,20.5,22.4,24.3},{0,10,20,30,40,50,60,62,64,66,68,70,72,74,76,78,80,85,90,95,100})</f>
        <v>85</v>
      </c>
      <c r="G292" s="12">
        <v>240</v>
      </c>
      <c r="H292" s="11">
        <f>LOOKUP(G292,{0,175,180,185,190,195,200,204,208,212,216,220,224,228,232,236,240,248,255,260,265},{0,10,20,30,40,50,60,62,64,66,68,70,72,74,76,78,80,85,90,95,100})</f>
        <v>80</v>
      </c>
      <c r="I292" s="12">
        <v>20</v>
      </c>
      <c r="J292" s="11">
        <f>LOOKUP(I292,{0,3,4,5,6,7,8,9,10,11,12,13,14,15,16,17},{0,10,20,30,40,50,60,64,68,72,76,80,85,90,95,100})</f>
        <v>100</v>
      </c>
      <c r="K292" s="12">
        <f t="shared" si="133"/>
        <v>3</v>
      </c>
      <c r="L292" s="16">
        <f>LOOKUP(K292,{0,1,2,3,4,5,6,7,8,9,10},{0,1,2,3,4,5,6,7,8,9,10})</f>
        <v>3</v>
      </c>
      <c r="M292" s="12">
        <f>J292+L292</f>
        <v>103</v>
      </c>
      <c r="N292" s="12">
        <v>7.4</v>
      </c>
      <c r="O292" s="12">
        <f>12-N292</f>
        <v>4.6</v>
      </c>
      <c r="P292" s="11">
        <f>LOOKUP(O292,{0,1.6,1.8,2,2.2,2.4,2.6,2.8,3,3.2,3.4,3.6,3.8,4,4.2,4.4,4.6,4.7,4.8,4.9,5},{0,10,20,30,40,50,60,62,64,66,68,70,72,74,76,78,80,85,90,95,100})</f>
        <v>80</v>
      </c>
      <c r="Q292" s="12">
        <v>4.58</v>
      </c>
      <c r="R292" s="12">
        <f>10-Q292</f>
        <v>5.42</v>
      </c>
      <c r="S292" s="11">
        <f>LOOKUP(R292,{0,3.8,4,4.6,4.8,5,5.6,5.65,5.7,5.75,5.8,5.85,5.9,5.95,6,6.45,6.5,6.58,6.65,6.7,6.75},{0,10,20,30,40,50,60,62,64,66,68,70,72,74,76,78,80,85,90,95,100})</f>
        <v>50</v>
      </c>
      <c r="T292" s="12"/>
      <c r="U292" s="12"/>
      <c r="V292" s="12">
        <f>S292+U292</f>
        <v>50</v>
      </c>
      <c r="W292" s="12"/>
      <c r="X292" s="20">
        <f t="shared" si="134"/>
        <v>52.5</v>
      </c>
      <c r="Y292" s="20">
        <f>X292/0.7+L292+U292</f>
        <v>78</v>
      </c>
    </row>
    <row r="293" ht="15.6" hidden="1" outlineLevel="2" spans="1:25">
      <c r="A293" s="12">
        <v>207</v>
      </c>
      <c r="B293" s="12">
        <v>5</v>
      </c>
      <c r="C293" s="6" t="s">
        <v>330</v>
      </c>
      <c r="D293" s="6" t="s">
        <v>11</v>
      </c>
      <c r="E293" s="12"/>
      <c r="F293" s="11"/>
      <c r="G293" s="12"/>
      <c r="H293" s="11"/>
      <c r="I293" s="12"/>
      <c r="J293" s="11"/>
      <c r="K293" s="12"/>
      <c r="L293" s="15"/>
      <c r="M293" s="12"/>
      <c r="N293" s="12"/>
      <c r="O293" s="12"/>
      <c r="P293" s="11"/>
      <c r="Q293" s="12"/>
      <c r="R293" s="12"/>
      <c r="S293" s="11"/>
      <c r="T293" s="12"/>
      <c r="U293" s="11"/>
      <c r="V293" s="12"/>
      <c r="W293" s="12" t="s">
        <v>14</v>
      </c>
      <c r="X293" s="20">
        <f t="shared" si="134"/>
        <v>0</v>
      </c>
      <c r="Y293" s="20">
        <v>50</v>
      </c>
    </row>
    <row r="294" ht="15.6" hidden="1" outlineLevel="2" spans="1:25">
      <c r="A294" s="12">
        <v>207</v>
      </c>
      <c r="B294" s="12">
        <v>6</v>
      </c>
      <c r="C294" s="6" t="s">
        <v>331</v>
      </c>
      <c r="D294" s="6" t="s">
        <v>11</v>
      </c>
      <c r="E294" s="12"/>
      <c r="F294" s="11"/>
      <c r="G294" s="12"/>
      <c r="H294" s="11"/>
      <c r="I294" s="12"/>
      <c r="J294" s="11"/>
      <c r="K294" s="12"/>
      <c r="L294" s="15"/>
      <c r="M294" s="12"/>
      <c r="N294" s="12"/>
      <c r="O294" s="12"/>
      <c r="P294" s="11"/>
      <c r="Q294" s="12"/>
      <c r="R294" s="12"/>
      <c r="S294" s="11"/>
      <c r="T294" s="12"/>
      <c r="U294" s="11"/>
      <c r="V294" s="12"/>
      <c r="W294" s="12" t="s">
        <v>14</v>
      </c>
      <c r="X294" s="20">
        <f t="shared" si="134"/>
        <v>0</v>
      </c>
      <c r="Y294" s="20">
        <v>50</v>
      </c>
    </row>
    <row r="295" ht="15.6" hidden="1" outlineLevel="2" spans="1:25">
      <c r="A295" s="12">
        <v>207</v>
      </c>
      <c r="B295" s="12">
        <v>7</v>
      </c>
      <c r="C295" s="6" t="s">
        <v>332</v>
      </c>
      <c r="D295" s="6" t="s">
        <v>11</v>
      </c>
      <c r="E295" s="12">
        <v>12.5</v>
      </c>
      <c r="F295" s="11">
        <f>LOOKUP(E295,{0,-2.9,-1.9,-0.9,0.1,1.1,2.1,3.5,4.9,6.3,7.7,9.1,10.5,11.9,13.3,14.7,16.1,18.3,20.5,22.4,24.3},{0,10,20,30,40,50,60,62,64,66,68,70,72,74,76,78,80,85,90,95,100})</f>
        <v>74</v>
      </c>
      <c r="G295" s="12">
        <v>240</v>
      </c>
      <c r="H295" s="11">
        <f>LOOKUP(G295,{0,175,180,185,190,195,200,204,208,212,216,220,224,228,232,236,240,248,255,260,265},{0,10,20,30,40,50,60,62,64,66,68,70,72,74,76,78,80,85,90,95,100})</f>
        <v>80</v>
      </c>
      <c r="I295" s="12">
        <v>0</v>
      </c>
      <c r="J295" s="11">
        <f>LOOKUP(I295,{0,3,4,5,6,7,8,9,10,11,12,13,14,15,16,17},{0,10,20,30,40,50,60,64,68,72,76,80,85,90,95,100})</f>
        <v>0</v>
      </c>
      <c r="K295" s="12"/>
      <c r="L295" s="12"/>
      <c r="M295" s="12">
        <f t="shared" ref="M295:M307" si="135">J295+L295</f>
        <v>0</v>
      </c>
      <c r="N295" s="12">
        <v>7.2</v>
      </c>
      <c r="O295" s="12">
        <f t="shared" ref="O295:O307" si="136">12-N295</f>
        <v>4.8</v>
      </c>
      <c r="P295" s="11">
        <f>LOOKUP(O295,{0,1.6,1.8,2,2.2,2.4,2.6,2.8,3,3.2,3.4,3.6,3.8,4,4.2,4.4,4.6,4.7,4.8,4.9,5},{0,10,20,30,40,50,60,62,64,66,68,70,72,74,76,78,80,85,90,95,100})</f>
        <v>90</v>
      </c>
      <c r="Q295" s="12">
        <v>3.54</v>
      </c>
      <c r="R295" s="12">
        <f t="shared" ref="R295:R307" si="137">10-Q295</f>
        <v>6.46</v>
      </c>
      <c r="S295" s="11">
        <f>LOOKUP(R295,{0,3.8,4,4.6,4.8,5,5.6,5.65,5.7,5.75,5.8,5.85,5.9,5.95,6,6.45,6.5,6.58,6.65,6.7,6.75},{0,10,20,30,40,50,60,62,64,66,68,70,72,74,76,78,80,85,90,95,100})</f>
        <v>78</v>
      </c>
      <c r="T295" s="12"/>
      <c r="U295" s="12"/>
      <c r="V295" s="12">
        <f t="shared" ref="V295:V307" si="138">S295+U295</f>
        <v>78</v>
      </c>
      <c r="W295" s="12"/>
      <c r="X295" s="20">
        <f t="shared" si="134"/>
        <v>49</v>
      </c>
      <c r="Y295" s="20">
        <f t="shared" ref="Y295:Y307" si="139">X295/0.7+L295+U295</f>
        <v>70</v>
      </c>
    </row>
    <row r="296" ht="15.6" hidden="1" outlineLevel="2" spans="1:25">
      <c r="A296" s="12">
        <v>207</v>
      </c>
      <c r="B296" s="12">
        <v>8</v>
      </c>
      <c r="C296" s="6" t="s">
        <v>333</v>
      </c>
      <c r="D296" s="6" t="s">
        <v>11</v>
      </c>
      <c r="E296" s="12">
        <v>13</v>
      </c>
      <c r="F296" s="11">
        <f>LOOKUP(E296,{0,-2.9,-1.9,-0.9,0.1,1.1,2.1,3.5,4.9,6.3,7.7,9.1,10.5,11.9,13.3,14.7,16.1,18.3,20.5,22.4,24.3},{0,10,20,30,40,50,60,62,64,66,68,70,72,74,76,78,80,85,90,95,100})</f>
        <v>74</v>
      </c>
      <c r="G296" s="12">
        <v>255</v>
      </c>
      <c r="H296" s="11">
        <f>LOOKUP(G296,{0,175,180,185,190,195,200,204,208,212,216,220,224,228,232,236,240,248,255,260,265},{0,10,20,30,40,50,60,62,64,66,68,70,72,74,76,78,80,85,90,95,100})</f>
        <v>90</v>
      </c>
      <c r="I296" s="12">
        <v>23</v>
      </c>
      <c r="J296" s="11">
        <f>LOOKUP(I296,{0,3,4,5,6,7,8,9,10,11,12,13,14,15,16,17},{0,10,20,30,40,50,60,64,68,72,76,80,85,90,95,100})</f>
        <v>100</v>
      </c>
      <c r="K296" s="12">
        <f>I296-17</f>
        <v>6</v>
      </c>
      <c r="L296" s="11">
        <f>LOOKUP(K296,{0,1,2,3,4,5,6,7,8,9,10},{0,1,2,3,4,5,6,7,8,9,10})</f>
        <v>6</v>
      </c>
      <c r="M296" s="12">
        <f t="shared" si="135"/>
        <v>106</v>
      </c>
      <c r="N296" s="12">
        <v>7.5</v>
      </c>
      <c r="O296" s="12">
        <f t="shared" si="136"/>
        <v>4.5</v>
      </c>
      <c r="P296" s="11">
        <f>LOOKUP(O296,{0,1.6,1.8,2,2.2,2.4,2.6,2.8,3,3.2,3.4,3.6,3.8,4,4.2,4.4,4.6,4.7,4.8,4.9,5},{0,10,20,30,40,50,60,62,64,66,68,70,72,74,76,78,80,85,90,95,100})</f>
        <v>78</v>
      </c>
      <c r="Q296" s="12">
        <v>4.15</v>
      </c>
      <c r="R296" s="12">
        <f t="shared" si="137"/>
        <v>5.85</v>
      </c>
      <c r="S296" s="11">
        <f>LOOKUP(R296,{0,3.8,4,4.6,4.8,5,5.6,5.65,5.7,5.75,5.8,5.85,5.9,5.95,6,6.45,6.5,6.58,6.65,6.7,6.75},{0,10,20,30,40,50,60,62,64,66,68,70,72,74,76,78,80,85,90,95,100})</f>
        <v>70</v>
      </c>
      <c r="T296" s="12"/>
      <c r="U296" s="12"/>
      <c r="V296" s="12">
        <f t="shared" si="138"/>
        <v>70</v>
      </c>
      <c r="W296" s="12"/>
      <c r="X296" s="20">
        <f t="shared" si="134"/>
        <v>56</v>
      </c>
      <c r="Y296" s="20">
        <f t="shared" si="139"/>
        <v>86</v>
      </c>
    </row>
    <row r="297" ht="15.6" hidden="1" outlineLevel="2" spans="1:25">
      <c r="A297" s="12">
        <v>207</v>
      </c>
      <c r="B297" s="12">
        <v>9</v>
      </c>
      <c r="C297" s="6" t="s">
        <v>334</v>
      </c>
      <c r="D297" s="6" t="s">
        <v>11</v>
      </c>
      <c r="E297" s="12">
        <v>14</v>
      </c>
      <c r="F297" s="11">
        <f>LOOKUP(E297,{0,-2.9,-1.9,-0.9,0.1,1.1,2.1,3.5,4.9,6.3,7.7,9.1,10.5,11.9,13.3,14.7,16.1,18.3,20.5,22.4,24.3},{0,10,20,30,40,50,60,62,64,66,68,70,72,74,76,78,80,85,90,95,100})</f>
        <v>76</v>
      </c>
      <c r="G297" s="12">
        <v>215</v>
      </c>
      <c r="H297" s="11">
        <f>LOOKUP(G297,{0,175,180,185,190,195,200,204,208,212,216,220,224,228,232,236,240,248,255,260,265},{0,10,20,30,40,50,60,62,64,66,68,70,72,74,76,78,80,85,90,95,100})</f>
        <v>66</v>
      </c>
      <c r="I297" s="12">
        <v>12</v>
      </c>
      <c r="J297" s="11">
        <f>LOOKUP(I297,{0,3,4,5,6,7,8,9,10,11,12,13,14,15,16,17},{0,10,20,30,40,50,60,64,68,72,76,80,85,90,95,100})</f>
        <v>76</v>
      </c>
      <c r="K297" s="12"/>
      <c r="L297" s="12"/>
      <c r="M297" s="12">
        <f t="shared" si="135"/>
        <v>76</v>
      </c>
      <c r="N297" s="12">
        <v>7.3</v>
      </c>
      <c r="O297" s="12">
        <f t="shared" si="136"/>
        <v>4.7</v>
      </c>
      <c r="P297" s="11">
        <f>LOOKUP(O297,{0,1.6,1.8,2,2.2,2.4,2.6,2.8,3,3.2,3.4,3.6,3.8,4,4.2,4.4,4.6,4.7,4.8,4.9,5},{0,10,20,30,40,50,60,62,64,66,68,70,72,74,76,78,80,85,90,95,100})</f>
        <v>85</v>
      </c>
      <c r="Q297" s="12">
        <v>3.52</v>
      </c>
      <c r="R297" s="12">
        <f t="shared" si="137"/>
        <v>6.48</v>
      </c>
      <c r="S297" s="11">
        <f>LOOKUP(R297,{0,3.8,4,4.6,4.8,5,5.6,5.65,5.7,5.75,5.8,5.85,5.9,5.95,6,6.45,6.5,6.58,6.65,6.7,6.75},{0,10,20,30,40,50,60,62,64,66,68,70,72,74,76,78,80,85,90,95,100})</f>
        <v>78</v>
      </c>
      <c r="T297" s="12"/>
      <c r="U297" s="12"/>
      <c r="V297" s="12">
        <f t="shared" si="138"/>
        <v>78</v>
      </c>
      <c r="W297" s="12"/>
      <c r="X297" s="20">
        <f t="shared" si="134"/>
        <v>54.4</v>
      </c>
      <c r="Y297" s="20">
        <f t="shared" si="139"/>
        <v>77.7142857142857</v>
      </c>
    </row>
    <row r="298" ht="15.6" hidden="1" outlineLevel="2" spans="1:25">
      <c r="A298" s="12">
        <v>207</v>
      </c>
      <c r="B298" s="12">
        <v>10</v>
      </c>
      <c r="C298" s="6" t="s">
        <v>335</v>
      </c>
      <c r="D298" s="6" t="s">
        <v>11</v>
      </c>
      <c r="E298" s="12">
        <v>14</v>
      </c>
      <c r="F298" s="11">
        <f>LOOKUP(E298,{0,-2.9,-1.9,-0.9,0.1,1.1,2.1,3.5,4.9,6.3,7.7,9.1,10.5,11.9,13.3,14.7,16.1,18.3,20.5,22.4,24.3},{0,10,20,30,40,50,60,62,64,66,68,70,72,74,76,78,80,85,90,95,100})</f>
        <v>76</v>
      </c>
      <c r="G298" s="12">
        <v>215</v>
      </c>
      <c r="H298" s="11">
        <f>LOOKUP(G298,{0,175,180,185,190,195,200,204,208,212,216,220,224,228,232,236,240,248,255,260,265},{0,10,20,30,40,50,60,62,64,66,68,70,72,74,76,78,80,85,90,95,100})</f>
        <v>66</v>
      </c>
      <c r="I298" s="12">
        <v>0</v>
      </c>
      <c r="J298" s="11">
        <f>LOOKUP(I298,{0,3,4,5,6,7,8,9,10,11,12,13,14,15,16,17},{0,10,20,30,40,50,60,64,68,72,76,80,85,90,95,100})</f>
        <v>0</v>
      </c>
      <c r="K298" s="12"/>
      <c r="L298" s="12"/>
      <c r="M298" s="12">
        <f t="shared" si="135"/>
        <v>0</v>
      </c>
      <c r="N298" s="12">
        <v>7.7</v>
      </c>
      <c r="O298" s="12">
        <f t="shared" si="136"/>
        <v>4.3</v>
      </c>
      <c r="P298" s="11">
        <f>LOOKUP(O298,{0,1.6,1.8,2,2.2,2.4,2.6,2.8,3,3.2,3.4,3.6,3.8,4,4.2,4.4,4.6,4.7,4.8,4.9,5},{0,10,20,30,40,50,60,62,64,66,68,70,72,74,76,78,80,85,90,95,100})</f>
        <v>76</v>
      </c>
      <c r="Q298" s="12">
        <v>3.55</v>
      </c>
      <c r="R298" s="12">
        <f t="shared" si="137"/>
        <v>6.45</v>
      </c>
      <c r="S298" s="11">
        <f>LOOKUP(R298,{0,3.8,4,4.6,4.8,5,5.6,5.65,5.7,5.75,5.8,5.85,5.9,5.95,6,6.45,6.5,6.58,6.65,6.7,6.75},{0,10,20,30,40,50,60,62,64,66,68,70,72,74,76,78,80,85,90,95,100})</f>
        <v>78</v>
      </c>
      <c r="T298" s="12"/>
      <c r="U298" s="12"/>
      <c r="V298" s="12">
        <f t="shared" si="138"/>
        <v>78</v>
      </c>
      <c r="W298" s="12"/>
      <c r="X298" s="20">
        <f t="shared" si="134"/>
        <v>45</v>
      </c>
      <c r="Y298" s="20">
        <f t="shared" si="139"/>
        <v>64.2857142857143</v>
      </c>
    </row>
    <row r="299" customFormat="1" ht="15.6" hidden="1" outlineLevel="2" spans="1:25">
      <c r="A299" s="12">
        <v>207</v>
      </c>
      <c r="B299" s="12">
        <v>11</v>
      </c>
      <c r="C299" s="6" t="s">
        <v>336</v>
      </c>
      <c r="D299" s="6" t="s">
        <v>11</v>
      </c>
      <c r="E299" s="12">
        <v>5</v>
      </c>
      <c r="F299" s="11">
        <f>LOOKUP(E299,{0,-2.9,-1.9,-0.9,0.1,1.1,2.1,3.5,4.9,6.3,7.7,9.1,10.5,11.9,13.3,14.7,16.1,18.3,20.5,22.4,24.3},{0,10,20,30,40,50,60,62,64,66,68,70,72,74,76,78,80,85,90,95,100})</f>
        <v>64</v>
      </c>
      <c r="G299" s="12">
        <v>223</v>
      </c>
      <c r="H299" s="11">
        <f>LOOKUP(G299,{0,175,180,185,190,195,200,204,208,212,216,220,224,228,232,236,240,248,255,260,265},{0,10,20,30,40,50,60,62,64,66,68,70,72,74,76,78,80,85,90,95,100})</f>
        <v>70</v>
      </c>
      <c r="I299" s="12">
        <v>15</v>
      </c>
      <c r="J299" s="11">
        <f>LOOKUP(I299,{0,3,4,5,6,7,8,9,10,11,12,13,14,15,16,17},{0,10,20,30,40,50,60,64,68,72,76,80,85,90,95,100})</f>
        <v>90</v>
      </c>
      <c r="K299" s="12"/>
      <c r="L299" s="15"/>
      <c r="M299" s="12">
        <f t="shared" si="135"/>
        <v>90</v>
      </c>
      <c r="N299" s="12">
        <v>7.1</v>
      </c>
      <c r="O299" s="12">
        <f t="shared" si="136"/>
        <v>4.9</v>
      </c>
      <c r="P299" s="11">
        <f>LOOKUP(O299,{0,1.6,1.8,2,2.2,2.4,2.6,2.8,3,3.2,3.4,3.6,3.8,4,4.2,4.4,4.6,4.7,4.8,4.9,5},{0,10,20,30,40,50,60,62,64,66,68,70,72,74,76,78,80,85,90,95,100})</f>
        <v>95</v>
      </c>
      <c r="Q299" s="12">
        <v>3.34</v>
      </c>
      <c r="R299" s="12">
        <f t="shared" si="137"/>
        <v>6.66</v>
      </c>
      <c r="S299" s="11">
        <f>LOOKUP(R299,{0,3.8,4,4.6,4.8,5,5.6,5.65,5.7,5.75,5.8,5.85,5.9,5.95,6,6.45,6.5,6.58,6.65,6.7,6.75},{0,10,20,30,40,50,60,62,64,66,68,70,72,74,76,78,80,85,90,95,100})</f>
        <v>90</v>
      </c>
      <c r="T299" s="12"/>
      <c r="U299" s="12"/>
      <c r="V299" s="12">
        <f t="shared" si="138"/>
        <v>90</v>
      </c>
      <c r="W299" s="12"/>
      <c r="X299" s="20">
        <f t="shared" si="134"/>
        <v>59.4</v>
      </c>
      <c r="Y299" s="20">
        <f t="shared" si="139"/>
        <v>84.8571428571429</v>
      </c>
    </row>
    <row r="300" customFormat="1" ht="15.6" hidden="1" outlineLevel="2" spans="1:25">
      <c r="A300" s="12">
        <v>207</v>
      </c>
      <c r="B300" s="12">
        <v>12</v>
      </c>
      <c r="C300" s="6" t="s">
        <v>337</v>
      </c>
      <c r="D300" s="6" t="s">
        <v>11</v>
      </c>
      <c r="E300" s="12">
        <v>13</v>
      </c>
      <c r="F300" s="11">
        <f>LOOKUP(E300,{0,-2.9,-1.9,-0.9,0.1,1.1,2.1,3.5,4.9,6.3,7.7,9.1,10.5,11.9,13.3,14.7,16.1,18.3,20.5,22.4,24.3},{0,10,20,30,40,50,60,62,64,66,68,70,72,74,76,78,80,85,90,95,100})</f>
        <v>74</v>
      </c>
      <c r="G300" s="12">
        <v>237</v>
      </c>
      <c r="H300" s="11">
        <f>LOOKUP(G300,{0,175,180,185,190,195,200,204,208,212,216,220,224,228,232,236,240,248,255,260,265},{0,10,20,30,40,50,60,62,64,66,68,70,72,74,76,78,80,85,90,95,100})</f>
        <v>78</v>
      </c>
      <c r="I300" s="12">
        <v>2</v>
      </c>
      <c r="J300" s="11">
        <f>LOOKUP(I300,{0,3,4,5,6,7,8,9,10,11,12,13,14,15,16,17},{0,10,20,30,40,50,60,64,68,72,76,80,85,90,95,100})</f>
        <v>0</v>
      </c>
      <c r="K300" s="12"/>
      <c r="L300" s="12"/>
      <c r="M300" s="12">
        <f t="shared" si="135"/>
        <v>0</v>
      </c>
      <c r="N300" s="12">
        <v>7.5</v>
      </c>
      <c r="O300" s="12">
        <f t="shared" si="136"/>
        <v>4.5</v>
      </c>
      <c r="P300" s="11">
        <f>LOOKUP(O300,{0,1.6,1.8,2,2.2,2.4,2.6,2.8,3,3.2,3.4,3.6,3.8,4,4.2,4.4,4.6,4.7,4.8,4.9,5},{0,10,20,30,40,50,60,62,64,66,68,70,72,74,76,78,80,85,90,95,100})</f>
        <v>78</v>
      </c>
      <c r="Q300" s="12">
        <v>3.48</v>
      </c>
      <c r="R300" s="12">
        <f t="shared" si="137"/>
        <v>6.52</v>
      </c>
      <c r="S300" s="11">
        <f>LOOKUP(R300,{0,3.8,4,4.6,4.8,5,5.6,5.65,5.7,5.75,5.8,5.85,5.9,5.95,6,6.45,6.5,6.58,6.65,6.7,6.75},{0,10,20,30,40,50,60,62,64,66,68,70,72,74,76,78,80,85,90,95,100})</f>
        <v>80</v>
      </c>
      <c r="T300" s="12"/>
      <c r="U300" s="12"/>
      <c r="V300" s="12">
        <f t="shared" si="138"/>
        <v>80</v>
      </c>
      <c r="W300" s="12"/>
      <c r="X300" s="20">
        <f t="shared" si="134"/>
        <v>46.8</v>
      </c>
      <c r="Y300" s="20">
        <f t="shared" si="139"/>
        <v>66.8571428571429</v>
      </c>
    </row>
    <row r="301" customFormat="1" ht="15.6" hidden="1" outlineLevel="2" spans="1:25">
      <c r="A301" s="12">
        <v>207</v>
      </c>
      <c r="B301" s="12">
        <v>13</v>
      </c>
      <c r="C301" s="13" t="s">
        <v>339</v>
      </c>
      <c r="D301" s="6" t="s">
        <v>11</v>
      </c>
      <c r="E301" s="12">
        <v>21</v>
      </c>
      <c r="F301" s="11">
        <f>LOOKUP(E301,{0,-2.9,-1.9,-0.9,0.1,1.1,2.1,3.5,4.9,6.3,7.7,9.1,10.5,11.9,13.3,14.7,16.1,18.3,20.5,22.4,24.3},{0,10,20,30,40,50,60,62,64,66,68,70,72,74,76,78,80,85,90,95,100})</f>
        <v>90</v>
      </c>
      <c r="G301" s="12">
        <v>258</v>
      </c>
      <c r="H301" s="11">
        <f>LOOKUP(G301,{0,175,180,185,190,195,200,204,208,212,216,220,224,228,232,236,240,248,255,260,265},{0,10,20,30,40,50,60,62,64,66,68,70,72,74,76,78,80,85,90,95,100})</f>
        <v>90</v>
      </c>
      <c r="I301" s="12">
        <v>17</v>
      </c>
      <c r="J301" s="11">
        <f>LOOKUP(I301,{0,3,4,5,6,7,8,9,10,11,12,13,14,15,16,17},{0,10,20,30,40,50,60,64,68,72,76,80,85,90,95,100})</f>
        <v>100</v>
      </c>
      <c r="K301" s="12">
        <f t="shared" ref="K301:K307" si="140">I301-17</f>
        <v>0</v>
      </c>
      <c r="L301" s="11">
        <f>LOOKUP(K301,{0,1,2,3,4,5,6,7,8,9,10},{0,1,2,3,4,5,6,7,8,9,10})</f>
        <v>0</v>
      </c>
      <c r="M301" s="12">
        <f t="shared" si="135"/>
        <v>100</v>
      </c>
      <c r="N301" s="12">
        <v>6.7</v>
      </c>
      <c r="O301" s="12">
        <f t="shared" si="136"/>
        <v>5.3</v>
      </c>
      <c r="P301" s="11">
        <f>LOOKUP(O301,{0,1.6,1.8,2,2.2,2.4,2.6,2.8,3,3.2,3.4,3.6,3.8,4,4.2,4.4,4.6,4.7,4.8,4.9,5},{0,10,20,30,40,50,60,62,64,66,68,70,72,74,76,78,80,85,90,95,100})</f>
        <v>100</v>
      </c>
      <c r="Q301" s="12">
        <v>3.45</v>
      </c>
      <c r="R301" s="12">
        <f t="shared" si="137"/>
        <v>6.55</v>
      </c>
      <c r="S301" s="11">
        <f>LOOKUP(R301,{0,3.8,4,4.6,4.8,5,5.6,5.65,5.7,5.75,5.8,5.85,5.9,5.95,6,6.45,6.5,6.58,6.65,6.7,6.75},{0,10,20,30,40,50,60,62,64,66,68,70,72,74,76,78,80,85,90,95,100})</f>
        <v>80</v>
      </c>
      <c r="T301" s="12"/>
      <c r="U301" s="12"/>
      <c r="V301" s="12">
        <f t="shared" si="138"/>
        <v>80</v>
      </c>
      <c r="W301" s="12"/>
      <c r="X301" s="20">
        <f t="shared" si="134"/>
        <v>64</v>
      </c>
      <c r="Y301" s="20">
        <f t="shared" si="139"/>
        <v>91.4285714285714</v>
      </c>
    </row>
    <row r="302" customFormat="1" ht="15.6" hidden="1" outlineLevel="2" spans="1:25">
      <c r="A302" s="12">
        <v>207</v>
      </c>
      <c r="B302" s="12">
        <v>14</v>
      </c>
      <c r="C302" s="6" t="s">
        <v>340</v>
      </c>
      <c r="D302" s="6" t="s">
        <v>11</v>
      </c>
      <c r="E302" s="12">
        <v>6.2</v>
      </c>
      <c r="F302" s="11">
        <f>LOOKUP(E302,{0,-2.9,-1.9,-0.9,0.1,1.1,2.1,3.5,4.9,6.3,7.7,9.1,10.5,11.9,13.3,14.7,16.1,18.3,20.5,22.4,24.3},{0,10,20,30,40,50,60,62,64,66,68,70,72,74,76,78,80,85,90,95,100})</f>
        <v>64</v>
      </c>
      <c r="G302" s="12">
        <v>214</v>
      </c>
      <c r="H302" s="11">
        <f>LOOKUP(G302,{0,175,180,185,190,195,200,204,208,212,216,220,224,228,232,236,240,248,255,260,265},{0,10,20,30,40,50,60,62,64,66,68,70,72,74,76,78,80,85,90,95,100})</f>
        <v>66</v>
      </c>
      <c r="I302" s="12">
        <v>5</v>
      </c>
      <c r="J302" s="11">
        <f>LOOKUP(I302,{0,3,4,5,6,7,8,9,10,11,12,13,14,15,16,17},{0,10,20,30,40,50,60,64,68,72,76,80,85,90,95,100})</f>
        <v>30</v>
      </c>
      <c r="K302" s="12"/>
      <c r="L302" s="12"/>
      <c r="M302" s="12">
        <f t="shared" si="135"/>
        <v>30</v>
      </c>
      <c r="N302" s="12">
        <v>7.3</v>
      </c>
      <c r="O302" s="12">
        <f t="shared" si="136"/>
        <v>4.7</v>
      </c>
      <c r="P302" s="11">
        <f>LOOKUP(O302,{0,1.6,1.8,2,2.2,2.4,2.6,2.8,3,3.2,3.4,3.6,3.8,4,4.2,4.4,4.6,4.7,4.8,4.9,5},{0,10,20,30,40,50,60,62,64,66,68,70,72,74,76,78,80,85,90,95,100})</f>
        <v>85</v>
      </c>
      <c r="Q302" s="12">
        <v>3.58</v>
      </c>
      <c r="R302" s="12">
        <f t="shared" si="137"/>
        <v>6.42</v>
      </c>
      <c r="S302" s="11">
        <f>LOOKUP(R302,{0,3.8,4,4.6,4.8,5,5.6,5.65,5.7,5.75,5.8,5.85,5.9,5.95,6,6.45,6.5,6.58,6.65,6.7,6.75},{0,10,20,30,40,50,60,62,64,66,68,70,72,74,76,78,80,85,90,95,100})</f>
        <v>76</v>
      </c>
      <c r="T302" s="12"/>
      <c r="U302" s="12"/>
      <c r="V302" s="12">
        <f t="shared" si="138"/>
        <v>76</v>
      </c>
      <c r="W302" s="12"/>
      <c r="X302" s="20">
        <f t="shared" si="134"/>
        <v>48.2</v>
      </c>
      <c r="Y302" s="20">
        <f t="shared" si="139"/>
        <v>68.8571428571429</v>
      </c>
    </row>
    <row r="303" customFormat="1" ht="15.6" hidden="1" outlineLevel="2" spans="1:25">
      <c r="A303" s="12">
        <v>207</v>
      </c>
      <c r="B303" s="12">
        <v>15</v>
      </c>
      <c r="C303" s="6" t="s">
        <v>341</v>
      </c>
      <c r="D303" s="6" t="s">
        <v>11</v>
      </c>
      <c r="E303" s="12">
        <v>6.6</v>
      </c>
      <c r="F303" s="11">
        <f>LOOKUP(E303,{0,-2.9,-1.9,-0.9,0.1,1.1,2.1,3.5,4.9,6.3,7.7,9.1,10.5,11.9,13.3,14.7,16.1,18.3,20.5,22.4,24.3},{0,10,20,30,40,50,60,62,64,66,68,70,72,74,76,78,80,85,90,95,100})</f>
        <v>66</v>
      </c>
      <c r="G303" s="12">
        <v>201</v>
      </c>
      <c r="H303" s="11">
        <f>LOOKUP(G303,{0,175,180,185,190,195,200,204,208,212,216,220,224,228,232,236,240,248,255,260,265},{0,10,20,30,40,50,60,62,64,66,68,70,72,74,76,78,80,85,90,95,100})</f>
        <v>60</v>
      </c>
      <c r="I303" s="12">
        <v>5</v>
      </c>
      <c r="J303" s="11">
        <f>LOOKUP(I303,{0,3,4,5,6,7,8,9,10,11,12,13,14,15,16,17},{0,10,20,30,40,50,60,64,68,72,76,80,85,90,95,100})</f>
        <v>30</v>
      </c>
      <c r="K303" s="12"/>
      <c r="L303" s="12"/>
      <c r="M303" s="12">
        <f t="shared" si="135"/>
        <v>30</v>
      </c>
      <c r="N303" s="12">
        <v>7.1</v>
      </c>
      <c r="O303" s="12">
        <f t="shared" si="136"/>
        <v>4.9</v>
      </c>
      <c r="P303" s="11">
        <f>LOOKUP(O303,{0,1.6,1.8,2,2.2,2.4,2.6,2.8,3,3.2,3.4,3.6,3.8,4,4.2,4.4,4.6,4.7,4.8,4.9,5},{0,10,20,30,40,50,60,62,64,66,68,70,72,74,76,78,80,85,90,95,100})</f>
        <v>95</v>
      </c>
      <c r="Q303" s="12">
        <v>4.45</v>
      </c>
      <c r="R303" s="12">
        <f t="shared" si="137"/>
        <v>5.55</v>
      </c>
      <c r="S303" s="11">
        <f>LOOKUP(R303,{0,3.8,4,4.6,4.8,5,5.6,5.65,5.7,5.75,5.8,5.85,5.9,5.95,6,6.45,6.5,6.58,6.65,6.7,6.75},{0,10,20,30,40,50,60,62,64,66,68,70,72,74,76,78,80,85,90,95,100})</f>
        <v>50</v>
      </c>
      <c r="T303" s="12"/>
      <c r="U303" s="12"/>
      <c r="V303" s="12">
        <f t="shared" si="138"/>
        <v>50</v>
      </c>
      <c r="W303" s="12"/>
      <c r="X303" s="20">
        <f t="shared" si="134"/>
        <v>44.6</v>
      </c>
      <c r="Y303" s="20">
        <f t="shared" si="139"/>
        <v>63.7142857142857</v>
      </c>
    </row>
    <row r="304" customFormat="1" ht="15.6" hidden="1" outlineLevel="2" spans="1:25">
      <c r="A304" s="12">
        <v>207</v>
      </c>
      <c r="B304" s="12">
        <v>16</v>
      </c>
      <c r="C304" s="6" t="s">
        <v>342</v>
      </c>
      <c r="D304" s="6" t="s">
        <v>11</v>
      </c>
      <c r="E304" s="12">
        <v>12.5</v>
      </c>
      <c r="F304" s="11">
        <f>LOOKUP(E304,{0,-2.9,-1.9,-0.9,0.1,1.1,2.1,3.5,4.9,6.3,7.7,9.1,10.5,11.9,13.3,14.7,16.1,18.3,20.5,22.4,24.3},{0,10,20,30,40,50,60,62,64,66,68,70,72,74,76,78,80,85,90,95,100})</f>
        <v>74</v>
      </c>
      <c r="G304" s="12">
        <v>260</v>
      </c>
      <c r="H304" s="11">
        <f>LOOKUP(G304,{0,175,180,185,190,195,200,204,208,212,216,220,224,228,232,236,240,248,255,260,265},{0,10,20,30,40,50,60,62,64,66,68,70,72,74,76,78,80,85,90,95,100})</f>
        <v>95</v>
      </c>
      <c r="I304" s="12">
        <v>19</v>
      </c>
      <c r="J304" s="11">
        <f>LOOKUP(I304,{0,3,4,5,6,7,8,9,10,11,12,13,14,15,16,17},{0,10,20,30,40,50,60,64,68,72,76,80,85,90,95,100})</f>
        <v>100</v>
      </c>
      <c r="K304" s="12">
        <f t="shared" si="140"/>
        <v>2</v>
      </c>
      <c r="L304" s="16">
        <f>LOOKUP(K304,{0,1,2,3,4,5,6,7,8,9,10},{0,1,2,3,4,5,6,7,8,9,10})</f>
        <v>2</v>
      </c>
      <c r="M304" s="12">
        <f t="shared" si="135"/>
        <v>102</v>
      </c>
      <c r="N304" s="12">
        <v>6.9</v>
      </c>
      <c r="O304" s="12">
        <f t="shared" si="136"/>
        <v>5.1</v>
      </c>
      <c r="P304" s="11">
        <f>LOOKUP(O304,{0,1.6,1.8,2,2.2,2.4,2.6,2.8,3,3.2,3.4,3.6,3.8,4,4.2,4.4,4.6,4.7,4.8,4.9,5},{0,10,20,30,40,50,60,62,64,66,68,70,72,74,76,78,80,85,90,95,100})</f>
        <v>100</v>
      </c>
      <c r="Q304" s="12">
        <v>3.44</v>
      </c>
      <c r="R304" s="12">
        <f t="shared" si="137"/>
        <v>6.56</v>
      </c>
      <c r="S304" s="11">
        <f>LOOKUP(R304,{0,3.8,4,4.6,4.8,5,5.6,5.65,5.7,5.75,5.8,5.85,5.9,5.95,6,6.45,6.5,6.58,6.65,6.7,6.75},{0,10,20,30,40,50,60,62,64,66,68,70,72,74,76,78,80,85,90,95,100})</f>
        <v>80</v>
      </c>
      <c r="T304" s="12"/>
      <c r="U304" s="12"/>
      <c r="V304" s="12">
        <f t="shared" si="138"/>
        <v>80</v>
      </c>
      <c r="W304" s="12"/>
      <c r="X304" s="20">
        <f t="shared" si="134"/>
        <v>62.9</v>
      </c>
      <c r="Y304" s="20">
        <f t="shared" si="139"/>
        <v>91.8571428571429</v>
      </c>
    </row>
    <row r="305" customFormat="1" ht="15.6" hidden="1" outlineLevel="2" spans="1:25">
      <c r="A305" s="12">
        <v>207</v>
      </c>
      <c r="B305" s="12">
        <v>17</v>
      </c>
      <c r="C305" s="6" t="s">
        <v>343</v>
      </c>
      <c r="D305" s="6" t="s">
        <v>11</v>
      </c>
      <c r="E305" s="12">
        <v>10.8</v>
      </c>
      <c r="F305" s="11">
        <f>LOOKUP(E305,{0,-2.9,-1.9,-0.9,0.1,1.1,2.1,3.5,4.9,6.3,7.7,9.1,10.5,11.9,13.3,14.7,16.1,18.3,20.5,22.4,24.3},{0,10,20,30,40,50,60,62,64,66,68,70,72,74,76,78,80,85,90,95,100})</f>
        <v>72</v>
      </c>
      <c r="G305" s="12">
        <v>259</v>
      </c>
      <c r="H305" s="11">
        <f>LOOKUP(G305,{0,175,180,185,190,195,200,204,208,212,216,220,224,228,232,236,240,248,255,260,265},{0,10,20,30,40,50,60,62,64,66,68,70,72,74,76,78,80,85,90,95,100})</f>
        <v>90</v>
      </c>
      <c r="I305" s="12">
        <v>20</v>
      </c>
      <c r="J305" s="11">
        <f>LOOKUP(I305,{0,3,4,5,6,7,8,9,10,11,12,13,14,15,16,17},{0,10,20,30,40,50,60,64,68,72,76,80,85,90,95,100})</f>
        <v>100</v>
      </c>
      <c r="K305" s="12">
        <f t="shared" si="140"/>
        <v>3</v>
      </c>
      <c r="L305" s="16">
        <f>LOOKUP(K305,{0,1,2,3,4,5,6,7,8,9,10},{0,1,2,3,4,5,6,7,8,9,10})</f>
        <v>3</v>
      </c>
      <c r="M305" s="12">
        <f t="shared" si="135"/>
        <v>103</v>
      </c>
      <c r="N305" s="12">
        <v>6.7</v>
      </c>
      <c r="O305" s="12">
        <f t="shared" si="136"/>
        <v>5.3</v>
      </c>
      <c r="P305" s="11">
        <f>LOOKUP(O305,{0,1.6,1.8,2,2.2,2.4,2.6,2.8,3,3.2,3.4,3.6,3.8,4,4.2,4.4,4.6,4.7,4.8,4.9,5},{0,10,20,30,40,50,60,62,64,66,68,70,72,74,76,78,80,85,90,95,100})</f>
        <v>100</v>
      </c>
      <c r="Q305" s="12">
        <v>3.39</v>
      </c>
      <c r="R305" s="12">
        <f t="shared" si="137"/>
        <v>6.61</v>
      </c>
      <c r="S305" s="11">
        <f>LOOKUP(R305,{0,3.8,4,4.6,4.8,5,5.6,5.65,5.7,5.75,5.8,5.85,5.9,5.95,6,6.45,6.5,6.58,6.65,6.7,6.75},{0,10,20,30,40,50,60,62,64,66,68,70,72,74,76,78,80,85,90,95,100})</f>
        <v>85</v>
      </c>
      <c r="T305" s="12"/>
      <c r="U305" s="12"/>
      <c r="V305" s="12">
        <f t="shared" si="138"/>
        <v>85</v>
      </c>
      <c r="W305" s="12"/>
      <c r="X305" s="20">
        <f t="shared" si="134"/>
        <v>63.2</v>
      </c>
      <c r="Y305" s="20">
        <f t="shared" si="139"/>
        <v>93.2857142857143</v>
      </c>
    </row>
    <row r="306" customFormat="1" ht="15.6" hidden="1" outlineLevel="2" spans="1:25">
      <c r="A306" s="12">
        <v>207</v>
      </c>
      <c r="B306" s="12">
        <v>18</v>
      </c>
      <c r="C306" s="6" t="s">
        <v>344</v>
      </c>
      <c r="D306" s="6" t="s">
        <v>11</v>
      </c>
      <c r="E306" s="12">
        <v>19.5</v>
      </c>
      <c r="F306" s="11">
        <f>LOOKUP(E306,{0,-2.9,-1.9,-0.9,0.1,1.1,2.1,3.5,4.9,6.3,7.7,9.1,10.5,11.9,13.3,14.7,16.1,18.3,20.5,22.4,24.3},{0,10,20,30,40,50,60,62,64,66,68,70,72,74,76,78,80,85,90,95,100})</f>
        <v>85</v>
      </c>
      <c r="G306" s="12">
        <v>243</v>
      </c>
      <c r="H306" s="11">
        <f>LOOKUP(G306,{0,175,180,185,190,195,200,204,208,212,216,220,224,228,232,236,240,248,255,260,265},{0,10,20,30,40,50,60,62,64,66,68,70,72,74,76,78,80,85,90,95,100})</f>
        <v>80</v>
      </c>
      <c r="I306" s="12">
        <v>21</v>
      </c>
      <c r="J306" s="11">
        <f>LOOKUP(I306,{0,3,4,5,6,7,8,9,10,11,12,13,14,15,16,17},{0,10,20,30,40,50,60,64,68,72,76,80,85,90,95,100})</f>
        <v>100</v>
      </c>
      <c r="K306" s="12">
        <f t="shared" si="140"/>
        <v>4</v>
      </c>
      <c r="L306" s="16">
        <f>LOOKUP(K306,{0,1,2,3,4,5,6,7,8,9,10},{0,1,2,3,4,5,6,7,8,9,10})</f>
        <v>4</v>
      </c>
      <c r="M306" s="12">
        <f t="shared" si="135"/>
        <v>104</v>
      </c>
      <c r="N306" s="12">
        <v>7.2</v>
      </c>
      <c r="O306" s="12">
        <f t="shared" si="136"/>
        <v>4.8</v>
      </c>
      <c r="P306" s="11">
        <f>LOOKUP(O306,{0,1.6,1.8,2,2.2,2.4,2.6,2.8,3,3.2,3.4,3.6,3.8,4,4.2,4.4,4.6,4.7,4.8,4.9,5},{0,10,20,30,40,50,60,62,64,66,68,70,72,74,76,78,80,85,90,95,100})</f>
        <v>90</v>
      </c>
      <c r="Q306" s="12">
        <v>3.46</v>
      </c>
      <c r="R306" s="12">
        <f t="shared" si="137"/>
        <v>6.54</v>
      </c>
      <c r="S306" s="11">
        <f>LOOKUP(R306,{0,3.8,4,4.6,4.8,5,5.6,5.65,5.7,5.75,5.8,5.85,5.9,5.95,6,6.45,6.5,6.58,6.65,6.7,6.75},{0,10,20,30,40,50,60,62,64,66,68,70,72,74,76,78,80,85,90,95,100})</f>
        <v>80</v>
      </c>
      <c r="T306" s="12"/>
      <c r="U306" s="12"/>
      <c r="V306" s="12">
        <f t="shared" si="138"/>
        <v>80</v>
      </c>
      <c r="W306" s="12"/>
      <c r="X306" s="20">
        <f t="shared" si="134"/>
        <v>60.5</v>
      </c>
      <c r="Y306" s="20">
        <f t="shared" si="139"/>
        <v>90.4285714285714</v>
      </c>
    </row>
    <row r="307" customFormat="1" ht="15.6" hidden="1" outlineLevel="2" spans="1:25">
      <c r="A307" s="12">
        <v>207</v>
      </c>
      <c r="B307" s="12">
        <v>19</v>
      </c>
      <c r="C307" s="6" t="s">
        <v>345</v>
      </c>
      <c r="D307" s="6" t="s">
        <v>11</v>
      </c>
      <c r="E307" s="12">
        <v>10.3</v>
      </c>
      <c r="F307" s="11">
        <f>LOOKUP(E307,{0,-2.9,-1.9,-0.9,0.1,1.1,2.1,3.5,4.9,6.3,7.7,9.1,10.5,11.9,13.3,14.7,16.1,18.3,20.5,22.4,24.3},{0,10,20,30,40,50,60,62,64,66,68,70,72,74,76,78,80,85,90,95,100})</f>
        <v>70</v>
      </c>
      <c r="G307" s="12">
        <v>241</v>
      </c>
      <c r="H307" s="11">
        <f>LOOKUP(G307,{0,175,180,185,190,195,200,204,208,212,216,220,224,228,232,236,240,248,255,260,265},{0,10,20,30,40,50,60,62,64,66,68,70,72,74,76,78,80,85,90,95,100})</f>
        <v>80</v>
      </c>
      <c r="I307" s="12">
        <v>19</v>
      </c>
      <c r="J307" s="11">
        <f>LOOKUP(I307,{0,3,4,5,6,7,8,9,10,11,12,13,14,15,16,17},{0,10,20,30,40,50,60,64,68,72,76,80,85,90,95,100})</f>
        <v>100</v>
      </c>
      <c r="K307" s="12">
        <f t="shared" si="140"/>
        <v>2</v>
      </c>
      <c r="L307" s="11">
        <f>LOOKUP(K307,{0,1,2,3,4,5,6,7,8,9,10},{0,1,2,3,4,5,6,7,8,9,10})</f>
        <v>2</v>
      </c>
      <c r="M307" s="12">
        <f t="shared" si="135"/>
        <v>102</v>
      </c>
      <c r="N307" s="12">
        <v>7.3</v>
      </c>
      <c r="O307" s="12">
        <f t="shared" si="136"/>
        <v>4.7</v>
      </c>
      <c r="P307" s="11">
        <f>LOOKUP(O307,{0,1.6,1.8,2,2.2,2.4,2.6,2.8,3,3.2,3.4,3.6,3.8,4,4.2,4.4,4.6,4.7,4.8,4.9,5},{0,10,20,30,40,50,60,62,64,66,68,70,72,74,76,78,80,85,90,95,100})</f>
        <v>85</v>
      </c>
      <c r="Q307" s="12">
        <v>3.56</v>
      </c>
      <c r="R307" s="12">
        <f t="shared" si="137"/>
        <v>6.44</v>
      </c>
      <c r="S307" s="11">
        <f>LOOKUP(R307,{0,3.8,4,4.6,4.8,5,5.6,5.65,5.7,5.75,5.8,5.85,5.9,5.95,6,6.45,6.5,6.58,6.65,6.7,6.75},{0,10,20,30,40,50,60,62,64,66,68,70,72,74,76,78,80,85,90,95,100})</f>
        <v>76</v>
      </c>
      <c r="T307" s="12"/>
      <c r="U307" s="12"/>
      <c r="V307" s="12">
        <f t="shared" si="138"/>
        <v>76</v>
      </c>
      <c r="W307" s="12"/>
      <c r="X307" s="20">
        <f t="shared" si="134"/>
        <v>57.2</v>
      </c>
      <c r="Y307" s="20">
        <f t="shared" si="139"/>
        <v>83.7142857142857</v>
      </c>
    </row>
    <row r="308" customFormat="1" ht="15.6" hidden="1" outlineLevel="2" spans="1:25">
      <c r="A308" s="12">
        <v>207</v>
      </c>
      <c r="B308" s="12">
        <v>20</v>
      </c>
      <c r="C308" s="6" t="s">
        <v>346</v>
      </c>
      <c r="D308" s="6" t="s">
        <v>11</v>
      </c>
      <c r="E308" s="12"/>
      <c r="F308" s="11"/>
      <c r="G308" s="12"/>
      <c r="H308" s="11"/>
      <c r="I308" s="12"/>
      <c r="J308" s="11"/>
      <c r="K308" s="12"/>
      <c r="L308" s="12"/>
      <c r="M308" s="12"/>
      <c r="N308" s="12"/>
      <c r="O308" s="12"/>
      <c r="P308" s="11"/>
      <c r="Q308" s="12"/>
      <c r="R308" s="12"/>
      <c r="S308" s="11"/>
      <c r="T308" s="12"/>
      <c r="U308" s="11"/>
      <c r="V308" s="12"/>
      <c r="W308" s="12"/>
      <c r="X308" s="20">
        <f t="shared" si="134"/>
        <v>0</v>
      </c>
      <c r="Y308" s="23">
        <v>50</v>
      </c>
    </row>
    <row r="309" customFormat="1" ht="15.6" hidden="1" outlineLevel="2" spans="1:25">
      <c r="A309" s="12">
        <v>207</v>
      </c>
      <c r="B309" s="12">
        <v>21</v>
      </c>
      <c r="C309" s="6" t="s">
        <v>347</v>
      </c>
      <c r="D309" s="6" t="s">
        <v>11</v>
      </c>
      <c r="E309" s="12">
        <v>10.5</v>
      </c>
      <c r="F309" s="11">
        <f>LOOKUP(E309,{0,-2.9,-1.9,-0.9,0.1,1.1,2.1,3.5,4.9,6.3,7.7,9.1,10.5,11.9,13.3,14.7,16.1,18.3,20.5,22.4,24.3},{0,10,20,30,40,50,60,62,64,66,68,70,72,74,76,78,80,85,90,95,100})</f>
        <v>72</v>
      </c>
      <c r="G309" s="12">
        <v>227</v>
      </c>
      <c r="H309" s="11">
        <f>LOOKUP(G309,{0,175,180,185,190,195,200,204,208,212,216,220,224,228,232,236,240,248,255,260,265},{0,10,20,30,40,50,60,62,64,66,68,70,72,74,76,78,80,85,90,95,100})</f>
        <v>72</v>
      </c>
      <c r="I309" s="12">
        <v>14</v>
      </c>
      <c r="J309" s="11">
        <f>LOOKUP(I309,{0,3,4,5,6,7,8,9,10,11,12,13,14,15,16,17},{0,10,20,30,40,50,60,64,68,72,76,80,85,90,95,100})</f>
        <v>85</v>
      </c>
      <c r="K309" s="12"/>
      <c r="L309" s="12"/>
      <c r="M309" s="12">
        <f t="shared" ref="M309:M312" si="141">J309+L309</f>
        <v>85</v>
      </c>
      <c r="N309" s="12">
        <v>7.4</v>
      </c>
      <c r="O309" s="12">
        <f t="shared" ref="O309:O312" si="142">12-N309</f>
        <v>4.6</v>
      </c>
      <c r="P309" s="11">
        <f>LOOKUP(O309,{0,1.6,1.8,2,2.2,2.4,2.6,2.8,3,3.2,3.4,3.6,3.8,4,4.2,4.4,4.6,4.7,4.8,4.9,5},{0,10,20,30,40,50,60,62,64,66,68,70,72,74,76,78,80,85,90,95,100})</f>
        <v>80</v>
      </c>
      <c r="Q309" s="12">
        <v>3.29</v>
      </c>
      <c r="R309" s="12">
        <f t="shared" ref="R309:R312" si="143">10-Q309</f>
        <v>6.71</v>
      </c>
      <c r="S309" s="11">
        <f>LOOKUP(R309,{0,3.8,4,4.6,4.8,5,5.6,5.65,5.7,5.75,5.8,5.85,5.9,5.95,6,6.45,6.5,6.58,6.65,6.7,6.75},{0,10,20,30,40,50,60,62,64,66,68,70,72,74,76,78,80,85,90,95,100})</f>
        <v>95</v>
      </c>
      <c r="T309" s="12"/>
      <c r="U309" s="12"/>
      <c r="V309" s="12">
        <f t="shared" ref="V309:V312" si="144">S309+U309</f>
        <v>95</v>
      </c>
      <c r="W309" s="12"/>
      <c r="X309" s="20">
        <f t="shared" si="134"/>
        <v>57.9</v>
      </c>
      <c r="Y309" s="20">
        <f t="shared" ref="Y309:Y312" si="145">X309/0.7+L309+U309</f>
        <v>82.7142857142857</v>
      </c>
    </row>
    <row r="310" customFormat="1" ht="15.6" hidden="1" outlineLevel="2" spans="1:25">
      <c r="A310" s="12">
        <v>207</v>
      </c>
      <c r="B310" s="12">
        <v>22</v>
      </c>
      <c r="C310" s="6" t="s">
        <v>348</v>
      </c>
      <c r="D310" s="6" t="s">
        <v>11</v>
      </c>
      <c r="E310" s="12">
        <v>10.4</v>
      </c>
      <c r="F310" s="11">
        <f>LOOKUP(E310,{0,-2.9,-1.9,-0.9,0.1,1.1,2.1,3.5,4.9,6.3,7.7,9.1,10.5,11.9,13.3,14.7,16.1,18.3,20.5,22.4,24.3},{0,10,20,30,40,50,60,62,64,66,68,70,72,74,76,78,80,85,90,95,100})</f>
        <v>70</v>
      </c>
      <c r="G310" s="12">
        <v>234</v>
      </c>
      <c r="H310" s="11">
        <f>LOOKUP(G310,{0,175,180,185,190,195,200,204,208,212,216,220,224,228,232,236,240,248,255,260,265},{0,10,20,30,40,50,60,62,64,66,68,70,72,74,76,78,80,85,90,95,100})</f>
        <v>76</v>
      </c>
      <c r="I310" s="12">
        <v>7</v>
      </c>
      <c r="J310" s="11">
        <f>LOOKUP(I310,{0,3,4,5,6,7,8,9,10,11,12,13,14,15,16,17},{0,10,20,30,40,50,60,64,68,72,76,80,85,90,95,100})</f>
        <v>50</v>
      </c>
      <c r="K310" s="12"/>
      <c r="L310" s="15"/>
      <c r="M310" s="12">
        <f t="shared" si="141"/>
        <v>50</v>
      </c>
      <c r="N310" s="12">
        <v>6.7</v>
      </c>
      <c r="O310" s="12">
        <f t="shared" si="142"/>
        <v>5.3</v>
      </c>
      <c r="P310" s="11">
        <f>LOOKUP(O310,{0,1.6,1.8,2,2.2,2.4,2.6,2.8,3,3.2,3.4,3.6,3.8,4,4.2,4.4,4.6,4.7,4.8,4.9,5},{0,10,20,30,40,50,60,62,64,66,68,70,72,74,76,78,80,85,90,95,100})</f>
        <v>100</v>
      </c>
      <c r="Q310" s="12">
        <v>3.54</v>
      </c>
      <c r="R310" s="12">
        <f t="shared" si="143"/>
        <v>6.46</v>
      </c>
      <c r="S310" s="11">
        <f>LOOKUP(R310,{0,3.8,4,4.6,4.8,5,5.6,5.65,5.7,5.75,5.8,5.85,5.9,5.95,6,6.45,6.5,6.58,6.65,6.7,6.75},{0,10,20,30,40,50,60,62,64,66,68,70,72,74,76,78,80,85,90,95,100})</f>
        <v>78</v>
      </c>
      <c r="T310" s="12"/>
      <c r="U310" s="12"/>
      <c r="V310" s="12">
        <f t="shared" si="144"/>
        <v>78</v>
      </c>
      <c r="W310" s="12"/>
      <c r="X310" s="20">
        <f t="shared" si="134"/>
        <v>55.2</v>
      </c>
      <c r="Y310" s="20">
        <f t="shared" si="145"/>
        <v>78.8571428571429</v>
      </c>
    </row>
    <row r="311" s="1" customFormat="1" ht="15.6" hidden="1" outlineLevel="2" spans="1:25">
      <c r="A311" s="12">
        <v>207</v>
      </c>
      <c r="B311" s="12">
        <v>23</v>
      </c>
      <c r="C311" s="6" t="s">
        <v>349</v>
      </c>
      <c r="D311" s="6" t="s">
        <v>11</v>
      </c>
      <c r="E311" s="12">
        <v>19.5</v>
      </c>
      <c r="F311" s="11">
        <f>LOOKUP(E311,{0,-2.9,-1.9,-0.9,0.1,1.1,2.1,3.5,4.9,6.3,7.7,9.1,10.5,11.9,13.3,14.7,16.1,18.3,20.5,22.4,24.3},{0,10,20,30,40,50,60,62,64,66,68,70,72,74,76,78,80,85,90,95,100})</f>
        <v>85</v>
      </c>
      <c r="G311" s="12">
        <v>252</v>
      </c>
      <c r="H311" s="11">
        <f>LOOKUP(G311,{0,175,180,185,190,195,200,204,208,212,216,220,224,228,232,236,240,248,255,260,265},{0,10,20,30,40,50,60,62,64,66,68,70,72,74,76,78,80,85,90,95,100})</f>
        <v>85</v>
      </c>
      <c r="I311" s="12">
        <v>20</v>
      </c>
      <c r="J311" s="11">
        <f>LOOKUP(I311,{0,3,4,5,6,7,8,9,10,11,12,13,14,15,16,17},{0,10,20,30,40,50,60,64,68,72,76,80,85,90,95,100})</f>
        <v>100</v>
      </c>
      <c r="K311" s="12">
        <f>I311-17</f>
        <v>3</v>
      </c>
      <c r="L311" s="11">
        <f>LOOKUP(K311,{0,1,2,3,4,5,6,7,8,9,10},{0,1,2,3,4,5,6,7,8,9,10})</f>
        <v>3</v>
      </c>
      <c r="M311" s="12">
        <f t="shared" si="141"/>
        <v>103</v>
      </c>
      <c r="N311" s="12">
        <v>7.3</v>
      </c>
      <c r="O311" s="12">
        <f t="shared" si="142"/>
        <v>4.7</v>
      </c>
      <c r="P311" s="11">
        <f>LOOKUP(O311,{0,1.6,1.8,2,2.2,2.4,2.6,2.8,3,3.2,3.4,3.6,3.8,4,4.2,4.4,4.6,4.7,4.8,4.9,5},{0,10,20,30,40,50,60,62,64,66,68,70,72,74,76,78,80,85,90,95,100})</f>
        <v>85</v>
      </c>
      <c r="Q311" s="12">
        <v>3.32</v>
      </c>
      <c r="R311" s="12">
        <f t="shared" si="143"/>
        <v>6.68</v>
      </c>
      <c r="S311" s="11">
        <f>LOOKUP(R311,{0,3.8,4,4.6,4.8,5,5.6,5.65,5.7,5.75,5.8,5.85,5.9,5.95,6,6.45,6.5,6.58,6.65,6.7,6.75},{0,10,20,30,40,50,60,62,64,66,68,70,72,74,76,78,80,85,90,95,100})</f>
        <v>90</v>
      </c>
      <c r="T311" s="12"/>
      <c r="U311" s="12"/>
      <c r="V311" s="12">
        <f t="shared" si="144"/>
        <v>90</v>
      </c>
      <c r="W311" s="12"/>
      <c r="X311" s="20">
        <f t="shared" si="134"/>
        <v>62</v>
      </c>
      <c r="Y311" s="20">
        <f t="shared" si="145"/>
        <v>91.5714285714286</v>
      </c>
    </row>
    <row r="312" ht="15.6" hidden="1" outlineLevel="2" spans="1:25">
      <c r="A312" s="12">
        <v>207</v>
      </c>
      <c r="B312" s="12">
        <v>24</v>
      </c>
      <c r="C312" s="6" t="s">
        <v>350</v>
      </c>
      <c r="D312" s="6" t="s">
        <v>11</v>
      </c>
      <c r="E312" s="12">
        <v>14.8</v>
      </c>
      <c r="F312" s="11">
        <f>LOOKUP(E312,{0,-2.9,-1.9,-0.9,0.1,1.1,2.1,3.5,4.9,6.3,7.7,9.1,10.5,11.9,13.3,14.7,16.1,18.3,20.5,22.4,24.3},{0,10,20,30,40,50,60,62,64,66,68,70,72,74,76,78,80,85,90,95,100})</f>
        <v>78</v>
      </c>
      <c r="G312" s="12">
        <v>245</v>
      </c>
      <c r="H312" s="11">
        <f>LOOKUP(G312,{0,175,180,185,190,195,200,204,208,212,216,220,224,228,232,236,240,248,255,260,265},{0,10,20,30,40,50,60,62,64,66,68,70,72,74,76,78,80,85,90,95,100})</f>
        <v>80</v>
      </c>
      <c r="I312" s="12">
        <v>14</v>
      </c>
      <c r="J312" s="11">
        <f>LOOKUP(I312,{0,3,4,5,6,7,8,9,10,11,12,13,14,15,16,17},{0,10,20,30,40,50,60,64,68,72,76,80,85,90,95,100})</f>
        <v>85</v>
      </c>
      <c r="K312" s="12"/>
      <c r="L312" s="15"/>
      <c r="M312" s="12">
        <f t="shared" si="141"/>
        <v>85</v>
      </c>
      <c r="N312" s="12">
        <v>7</v>
      </c>
      <c r="O312" s="12">
        <f t="shared" si="142"/>
        <v>5</v>
      </c>
      <c r="P312" s="11">
        <f>LOOKUP(O312,{0,1.6,1.8,2,2.2,2.4,2.6,2.8,3,3.2,3.4,3.6,3.8,4,4.2,4.4,4.6,4.7,4.8,4.9,5},{0,10,20,30,40,50,60,62,64,66,68,70,72,74,76,78,80,85,90,95,100})</f>
        <v>100</v>
      </c>
      <c r="Q312" s="12">
        <v>3.39</v>
      </c>
      <c r="R312" s="12">
        <f t="shared" si="143"/>
        <v>6.61</v>
      </c>
      <c r="S312" s="11">
        <f>LOOKUP(R312,{0,3.8,4,4.6,4.8,5,5.6,5.65,5.7,5.75,5.8,5.85,5.9,5.95,6,6.45,6.5,6.58,6.65,6.7,6.75},{0,10,20,30,40,50,60,62,64,66,68,70,72,74,76,78,80,85,90,95,100})</f>
        <v>85</v>
      </c>
      <c r="T312" s="12"/>
      <c r="U312" s="12"/>
      <c r="V312" s="12">
        <f t="shared" si="144"/>
        <v>85</v>
      </c>
      <c r="W312" s="12"/>
      <c r="X312" s="20">
        <f t="shared" si="134"/>
        <v>61.3</v>
      </c>
      <c r="Y312" s="20">
        <f t="shared" si="145"/>
        <v>87.5714285714286</v>
      </c>
    </row>
    <row r="313" ht="15.6" hidden="1" outlineLevel="2" spans="1:25">
      <c r="A313" s="12">
        <v>207</v>
      </c>
      <c r="B313" s="12">
        <v>25</v>
      </c>
      <c r="C313" s="13" t="s">
        <v>352</v>
      </c>
      <c r="D313" s="6" t="s">
        <v>11</v>
      </c>
      <c r="E313" s="12"/>
      <c r="F313" s="11"/>
      <c r="G313" s="12"/>
      <c r="H313" s="11"/>
      <c r="I313" s="12"/>
      <c r="J313" s="11"/>
      <c r="K313" s="12"/>
      <c r="L313" s="12"/>
      <c r="M313" s="12"/>
      <c r="N313" s="12"/>
      <c r="O313" s="12"/>
      <c r="P313" s="11"/>
      <c r="Q313" s="12"/>
      <c r="R313" s="12"/>
      <c r="S313" s="11"/>
      <c r="T313" s="12"/>
      <c r="U313" s="11"/>
      <c r="V313" s="12"/>
      <c r="W313" s="12" t="s">
        <v>14</v>
      </c>
      <c r="X313" s="20">
        <f t="shared" si="134"/>
        <v>0</v>
      </c>
      <c r="Y313" s="20">
        <v>50</v>
      </c>
    </row>
    <row r="314" ht="15.6" hidden="1" outlineLevel="2" spans="1:25">
      <c r="A314" s="12">
        <v>207</v>
      </c>
      <c r="B314" s="12">
        <v>26</v>
      </c>
      <c r="C314" s="6" t="s">
        <v>353</v>
      </c>
      <c r="D314" s="6" t="s">
        <v>11</v>
      </c>
      <c r="E314" s="12">
        <v>10.4</v>
      </c>
      <c r="F314" s="11">
        <f>LOOKUP(E314,{0,-2.9,-1.9,-0.9,0.1,1.1,2.1,3.5,4.9,6.3,7.7,9.1,10.5,11.9,13.3,14.7,16.1,18.3,20.5,22.4,24.3},{0,10,20,30,40,50,60,62,64,66,68,70,72,74,76,78,80,85,90,95,100})</f>
        <v>70</v>
      </c>
      <c r="G314" s="12">
        <v>236</v>
      </c>
      <c r="H314" s="11">
        <f>LOOKUP(G314,{0,175,180,185,190,195,200,204,208,212,216,220,224,228,232,236,240,248,255,260,265},{0,10,20,30,40,50,60,62,64,66,68,70,72,74,76,78,80,85,90,95,100})</f>
        <v>78</v>
      </c>
      <c r="I314" s="12">
        <v>9</v>
      </c>
      <c r="J314" s="11">
        <f>LOOKUP(I314,{0,3,4,5,6,7,8,9,10,11,12,13,14,15,16,17},{0,10,20,30,40,50,60,64,68,72,76,80,85,90,95,100})</f>
        <v>64</v>
      </c>
      <c r="K314" s="12"/>
      <c r="L314" s="12"/>
      <c r="M314" s="12">
        <f t="shared" ref="M314:M320" si="146">J314+L314</f>
        <v>64</v>
      </c>
      <c r="N314" s="12">
        <v>6.9</v>
      </c>
      <c r="O314" s="12">
        <f t="shared" ref="O314:O320" si="147">12-N314</f>
        <v>5.1</v>
      </c>
      <c r="P314" s="11">
        <f>LOOKUP(O314,{0,1.6,1.8,2,2.2,2.4,2.6,2.8,3,3.2,3.4,3.6,3.8,4,4.2,4.4,4.6,4.7,4.8,4.9,5},{0,10,20,30,40,50,60,62,64,66,68,70,72,74,76,78,80,85,90,95,100})</f>
        <v>100</v>
      </c>
      <c r="Q314" s="12">
        <v>3.19</v>
      </c>
      <c r="R314" s="12">
        <f t="shared" ref="R314:R320" si="148">10-Q314</f>
        <v>6.81</v>
      </c>
      <c r="S314" s="11">
        <f>LOOKUP(R314,{0,3.8,4,4.6,4.8,5,5.6,5.65,5.7,5.75,5.8,5.85,5.9,5.95,6,6.45,6.5,6.58,6.65,6.7,6.75},{0,10,20,30,40,50,60,62,64,66,68,70,72,74,76,78,80,85,90,95,100})</f>
        <v>100</v>
      </c>
      <c r="T314" s="12">
        <f>3.25-Q314</f>
        <v>0.0600000000000001</v>
      </c>
      <c r="U314" s="11">
        <f>LOOKUP(T314,{0,0.04,0.08,0.12,0.16,0.2,0.23,0.26,0.29,0.32,0.35},{0,1,2,3,4,5,6,7,8,9,10})</f>
        <v>1</v>
      </c>
      <c r="V314" s="12">
        <f t="shared" ref="V314:V320" si="149">S314+U314</f>
        <v>101</v>
      </c>
      <c r="W314" s="12"/>
      <c r="X314" s="20">
        <f t="shared" si="134"/>
        <v>61.2</v>
      </c>
      <c r="Y314" s="20">
        <f t="shared" ref="Y314:Y320" si="150">X314/0.7+L314+U314</f>
        <v>88.4285714285714</v>
      </c>
    </row>
    <row r="315" ht="15.6" hidden="1" outlineLevel="2" spans="1:25">
      <c r="A315" s="12">
        <v>207</v>
      </c>
      <c r="B315" s="12">
        <v>27</v>
      </c>
      <c r="C315" s="6" t="s">
        <v>354</v>
      </c>
      <c r="D315" s="6" t="s">
        <v>11</v>
      </c>
      <c r="E315" s="12"/>
      <c r="F315" s="11"/>
      <c r="G315" s="12"/>
      <c r="H315" s="11"/>
      <c r="I315" s="12"/>
      <c r="J315" s="11"/>
      <c r="K315" s="12"/>
      <c r="L315" s="12"/>
      <c r="M315" s="12"/>
      <c r="N315" s="12"/>
      <c r="O315" s="12"/>
      <c r="P315" s="11"/>
      <c r="Q315" s="12"/>
      <c r="R315" s="12"/>
      <c r="S315" s="11"/>
      <c r="T315" s="12"/>
      <c r="U315" s="11"/>
      <c r="V315" s="12"/>
      <c r="W315" s="12" t="s">
        <v>14</v>
      </c>
      <c r="X315" s="20">
        <f t="shared" si="134"/>
        <v>0</v>
      </c>
      <c r="Y315" s="20">
        <v>50</v>
      </c>
    </row>
    <row r="316" ht="15.6" hidden="1" outlineLevel="2" spans="1:25">
      <c r="A316" s="12">
        <v>207</v>
      </c>
      <c r="B316" s="12">
        <v>28</v>
      </c>
      <c r="C316" s="6" t="s">
        <v>355</v>
      </c>
      <c r="D316" s="6" t="s">
        <v>11</v>
      </c>
      <c r="E316" s="12"/>
      <c r="F316" s="11"/>
      <c r="G316" s="12"/>
      <c r="H316" s="11"/>
      <c r="I316" s="12"/>
      <c r="J316" s="11"/>
      <c r="K316" s="12"/>
      <c r="L316" s="12"/>
      <c r="M316" s="12"/>
      <c r="N316" s="12"/>
      <c r="O316" s="12"/>
      <c r="P316" s="11"/>
      <c r="Q316" s="12"/>
      <c r="R316" s="12"/>
      <c r="S316" s="11"/>
      <c r="T316" s="12"/>
      <c r="U316" s="11"/>
      <c r="V316" s="12"/>
      <c r="W316" s="12" t="s">
        <v>14</v>
      </c>
      <c r="X316" s="20">
        <f t="shared" si="134"/>
        <v>0</v>
      </c>
      <c r="Y316" s="20">
        <v>50</v>
      </c>
    </row>
    <row r="317" ht="15.6" hidden="1" outlineLevel="2" spans="1:25">
      <c r="A317" s="12">
        <v>207</v>
      </c>
      <c r="B317" s="12">
        <v>29</v>
      </c>
      <c r="C317" s="6" t="s">
        <v>356</v>
      </c>
      <c r="D317" s="6" t="s">
        <v>11</v>
      </c>
      <c r="E317" s="12">
        <v>112</v>
      </c>
      <c r="F317" s="11">
        <f>LOOKUP(E317,{0,-2.9,-1.9,-0.9,0.1,1.1,2.1,3.5,4.9,6.3,7.7,9.1,10.5,11.9,13.3,14.7,16.1,18.3,20.5,22.4,24.3},{0,10,20,30,40,50,60,62,64,66,68,70,72,74,76,78,80,85,90,95,100})</f>
        <v>100</v>
      </c>
      <c r="G317" s="12">
        <v>224</v>
      </c>
      <c r="H317" s="11">
        <f>LOOKUP(G317,{0,175,180,185,190,195,200,204,208,212,216,220,224,228,232,236,240,248,255,260,265},{0,10,20,30,40,50,60,62,64,66,68,70,72,74,76,78,80,85,90,95,100})</f>
        <v>72</v>
      </c>
      <c r="I317" s="12">
        <v>21</v>
      </c>
      <c r="J317" s="11">
        <f>LOOKUP(I317,{0,3,4,5,6,7,8,9,10,11,12,13,14,15,16,17},{0,10,20,30,40,50,60,64,68,72,76,80,85,90,95,100})</f>
        <v>100</v>
      </c>
      <c r="K317" s="12">
        <f>I317-17</f>
        <v>4</v>
      </c>
      <c r="L317" s="11">
        <f>LOOKUP(K317,{0,1,2,3,4,5,6,7,8,9,10},{0,1,2,3,4,5,6,7,8,9,10})</f>
        <v>4</v>
      </c>
      <c r="M317" s="12">
        <f t="shared" si="146"/>
        <v>104</v>
      </c>
      <c r="N317" s="12">
        <v>7.7</v>
      </c>
      <c r="O317" s="12">
        <f t="shared" si="147"/>
        <v>4.3</v>
      </c>
      <c r="P317" s="11">
        <f>LOOKUP(O317,{0,1.6,1.8,2,2.2,2.4,2.6,2.8,3,3.2,3.4,3.6,3.8,4,4.2,4.4,4.6,4.7,4.8,4.9,5},{0,10,20,30,40,50,60,62,64,66,68,70,72,74,76,78,80,85,90,95,100})</f>
        <v>76</v>
      </c>
      <c r="Q317" s="12">
        <v>3.31</v>
      </c>
      <c r="R317" s="12">
        <f t="shared" si="148"/>
        <v>6.69</v>
      </c>
      <c r="S317" s="11">
        <f>LOOKUP(R317,{0,3.8,4,4.6,4.8,5,5.6,5.65,5.7,5.75,5.8,5.85,5.9,5.95,6,6.45,6.5,6.58,6.65,6.7,6.75},{0,10,20,30,40,50,60,62,64,66,68,70,72,74,76,78,80,85,90,95,100})</f>
        <v>90</v>
      </c>
      <c r="T317" s="12"/>
      <c r="U317" s="12"/>
      <c r="V317" s="12">
        <f t="shared" si="149"/>
        <v>90</v>
      </c>
      <c r="W317" s="12"/>
      <c r="X317" s="20">
        <f t="shared" si="134"/>
        <v>60.4</v>
      </c>
      <c r="Y317" s="20">
        <f t="shared" si="150"/>
        <v>90.2857142857143</v>
      </c>
    </row>
    <row r="318" ht="15.6" hidden="1" outlineLevel="2" spans="1:25">
      <c r="A318" s="12">
        <v>207</v>
      </c>
      <c r="B318" s="12">
        <v>30</v>
      </c>
      <c r="C318" s="6" t="s">
        <v>357</v>
      </c>
      <c r="D318" s="6" t="s">
        <v>11</v>
      </c>
      <c r="E318" s="12">
        <v>13.6</v>
      </c>
      <c r="F318" s="11">
        <f>LOOKUP(E318,{0,-2.9,-1.9,-0.9,0.1,1.1,2.1,3.5,4.9,6.3,7.7,9.1,10.5,11.9,13.3,14.7,16.1,18.3,20.5,22.4,24.3},{0,10,20,30,40,50,60,62,64,66,68,70,72,74,76,78,80,85,90,95,100})</f>
        <v>76</v>
      </c>
      <c r="G318" s="12">
        <v>226</v>
      </c>
      <c r="H318" s="11">
        <f>LOOKUP(G318,{0,175,180,185,190,195,200,204,208,212,216,220,224,228,232,236,240,248,255,260,265},{0,10,20,30,40,50,60,62,64,66,68,70,72,74,76,78,80,85,90,95,100})</f>
        <v>72</v>
      </c>
      <c r="I318" s="12">
        <v>3</v>
      </c>
      <c r="J318" s="11">
        <f>LOOKUP(I318,{0,3,4,5,6,7,8,9,10,11,12,13,14,15,16,17},{0,10,20,30,40,50,60,64,68,72,76,80,85,90,95,100})</f>
        <v>10</v>
      </c>
      <c r="K318" s="12"/>
      <c r="L318" s="12"/>
      <c r="M318" s="12">
        <f t="shared" si="146"/>
        <v>10</v>
      </c>
      <c r="N318" s="12">
        <v>7.3</v>
      </c>
      <c r="O318" s="12">
        <f t="shared" si="147"/>
        <v>4.7</v>
      </c>
      <c r="P318" s="11">
        <f>LOOKUP(O318,{0,1.6,1.8,2,2.2,2.4,2.6,2.8,3,3.2,3.4,3.6,3.8,4,4.2,4.4,4.6,4.7,4.8,4.9,5},{0,10,20,30,40,50,60,62,64,66,68,70,72,74,76,78,80,85,90,95,100})</f>
        <v>85</v>
      </c>
      <c r="Q318" s="12">
        <v>3.42</v>
      </c>
      <c r="R318" s="12">
        <f t="shared" si="148"/>
        <v>6.58</v>
      </c>
      <c r="S318" s="11">
        <f>LOOKUP(R318,{0,3.8,4,4.6,4.8,5,5.6,5.65,5.7,5.75,5.8,5.85,5.9,5.95,6,6.45,6.5,6.58,6.65,6.7,6.75},{0,10,20,30,40,50,60,62,64,66,68,70,72,74,76,78,80,85,90,95,100})</f>
        <v>85</v>
      </c>
      <c r="T318" s="12"/>
      <c r="U318" s="12"/>
      <c r="V318" s="12">
        <f t="shared" si="149"/>
        <v>85</v>
      </c>
      <c r="W318" s="12"/>
      <c r="X318" s="20">
        <f t="shared" si="134"/>
        <v>49.8</v>
      </c>
      <c r="Y318" s="20">
        <f t="shared" si="150"/>
        <v>71.1428571428571</v>
      </c>
    </row>
    <row r="319" ht="15.6" hidden="1" outlineLevel="2" spans="1:25">
      <c r="A319" s="12">
        <v>207</v>
      </c>
      <c r="B319" s="12">
        <v>31</v>
      </c>
      <c r="C319" s="6" t="s">
        <v>358</v>
      </c>
      <c r="D319" s="6" t="s">
        <v>11</v>
      </c>
      <c r="E319" s="12">
        <v>24</v>
      </c>
      <c r="F319" s="11">
        <f>LOOKUP(E319,{0,-2.9,-1.9,-0.9,0.1,1.1,2.1,3.5,4.9,6.3,7.7,9.1,10.5,11.9,13.3,14.7,16.1,18.3,20.5,22.4,24.3},{0,10,20,30,40,50,60,62,64,66,68,70,72,74,76,78,80,85,90,95,100})</f>
        <v>95</v>
      </c>
      <c r="G319" s="12">
        <v>232</v>
      </c>
      <c r="H319" s="11">
        <f>LOOKUP(G319,{0,175,180,185,190,195,200,204,208,212,216,220,224,228,232,236,240,248,255,260,265},{0,10,20,30,40,50,60,62,64,66,68,70,72,74,76,78,80,85,90,95,100})</f>
        <v>76</v>
      </c>
      <c r="I319" s="12">
        <v>11</v>
      </c>
      <c r="J319" s="11">
        <f>LOOKUP(I319,{0,3,4,5,6,7,8,9,10,11,12,13,14,15,16,17},{0,10,20,30,40,50,60,64,68,72,76,80,85,90,95,100})</f>
        <v>72</v>
      </c>
      <c r="K319" s="12"/>
      <c r="L319" s="12"/>
      <c r="M319" s="12">
        <f t="shared" si="146"/>
        <v>72</v>
      </c>
      <c r="N319" s="12">
        <v>7.5</v>
      </c>
      <c r="O319" s="12">
        <f t="shared" si="147"/>
        <v>4.5</v>
      </c>
      <c r="P319" s="11">
        <f>LOOKUP(O319,{0,1.6,1.8,2,2.2,2.4,2.6,2.8,3,3.2,3.4,3.6,3.8,4,4.2,4.4,4.6,4.7,4.8,4.9,5},{0,10,20,30,40,50,60,62,64,66,68,70,72,74,76,78,80,85,90,95,100})</f>
        <v>78</v>
      </c>
      <c r="Q319" s="12">
        <v>4.06</v>
      </c>
      <c r="R319" s="12">
        <f t="shared" si="148"/>
        <v>5.94</v>
      </c>
      <c r="S319" s="11">
        <f>LOOKUP(R319,{0,3.8,4,4.6,4.8,5,5.6,5.65,5.7,5.75,5.8,5.85,5.9,5.95,6,6.45,6.5,6.58,6.65,6.7,6.75},{0,10,20,30,40,50,60,62,64,66,68,70,72,74,76,78,80,85,90,95,100})</f>
        <v>72</v>
      </c>
      <c r="T319" s="12"/>
      <c r="U319" s="12"/>
      <c r="V319" s="12">
        <f t="shared" si="149"/>
        <v>72</v>
      </c>
      <c r="W319" s="12"/>
      <c r="X319" s="20">
        <f t="shared" si="134"/>
        <v>54.3</v>
      </c>
      <c r="Y319" s="20">
        <f t="shared" si="150"/>
        <v>77.5714285714286</v>
      </c>
    </row>
    <row r="320" ht="15.6" hidden="1" outlineLevel="2" spans="1:25">
      <c r="A320" s="12">
        <v>207</v>
      </c>
      <c r="B320" s="12">
        <v>32</v>
      </c>
      <c r="C320" s="6" t="s">
        <v>359</v>
      </c>
      <c r="D320" s="6" t="s">
        <v>11</v>
      </c>
      <c r="E320" s="12">
        <v>11.4</v>
      </c>
      <c r="F320" s="11">
        <f>LOOKUP(E320,{0,-2.9,-1.9,-0.9,0.1,1.1,2.1,3.5,4.9,6.3,7.7,9.1,10.5,11.9,13.3,14.7,16.1,18.3,20.5,22.4,24.3},{0,10,20,30,40,50,60,62,64,66,68,70,72,74,76,78,80,85,90,95,100})</f>
        <v>72</v>
      </c>
      <c r="G320" s="12">
        <v>215</v>
      </c>
      <c r="H320" s="11">
        <f>LOOKUP(G320,{0,175,180,185,190,195,200,204,208,212,216,220,224,228,232,236,240,248,255,260,265},{0,10,20,30,40,50,60,62,64,66,68,70,72,74,76,78,80,85,90,95,100})</f>
        <v>66</v>
      </c>
      <c r="I320" s="12">
        <v>3</v>
      </c>
      <c r="J320" s="11">
        <f>LOOKUP(I320,{0,3,4,5,6,7,8,9,10,11,12,13,14,15,16,17},{0,10,20,30,40,50,60,64,68,72,76,80,85,90,95,100})</f>
        <v>10</v>
      </c>
      <c r="K320" s="12"/>
      <c r="L320" s="12"/>
      <c r="M320" s="12">
        <f t="shared" si="146"/>
        <v>10</v>
      </c>
      <c r="N320" s="12">
        <v>7.1</v>
      </c>
      <c r="O320" s="12">
        <f t="shared" si="147"/>
        <v>4.9</v>
      </c>
      <c r="P320" s="11">
        <f>LOOKUP(O320,{0,1.6,1.8,2,2.2,2.4,2.6,2.8,3,3.2,3.4,3.6,3.8,4,4.2,4.4,4.6,4.7,4.8,4.9,5},{0,10,20,30,40,50,60,62,64,66,68,70,72,74,76,78,80,85,90,95,100})</f>
        <v>95</v>
      </c>
      <c r="Q320" s="12">
        <v>3.34</v>
      </c>
      <c r="R320" s="12">
        <f t="shared" si="148"/>
        <v>6.66</v>
      </c>
      <c r="S320" s="11">
        <f>LOOKUP(R320,{0,3.8,4,4.6,4.8,5,5.6,5.65,5.7,5.75,5.8,5.85,5.9,5.95,6,6.45,6.5,6.58,6.65,6.7,6.75},{0,10,20,30,40,50,60,62,64,66,68,70,72,74,76,78,80,85,90,95,100})</f>
        <v>90</v>
      </c>
      <c r="T320" s="12"/>
      <c r="U320" s="12"/>
      <c r="V320" s="12">
        <f t="shared" si="149"/>
        <v>90</v>
      </c>
      <c r="W320" s="12"/>
      <c r="X320" s="20">
        <f t="shared" si="134"/>
        <v>51.8</v>
      </c>
      <c r="Y320" s="20">
        <f t="shared" si="150"/>
        <v>74</v>
      </c>
    </row>
    <row r="321" ht="15.6" hidden="1" outlineLevel="2" spans="1:25">
      <c r="A321" s="12">
        <v>207</v>
      </c>
      <c r="B321" s="12">
        <v>33</v>
      </c>
      <c r="C321" s="6" t="s">
        <v>360</v>
      </c>
      <c r="D321" s="6" t="s">
        <v>11</v>
      </c>
      <c r="E321" s="12"/>
      <c r="F321" s="11"/>
      <c r="G321" s="12"/>
      <c r="H321" s="11"/>
      <c r="I321" s="12"/>
      <c r="J321" s="11"/>
      <c r="K321" s="12"/>
      <c r="L321" s="12"/>
      <c r="M321" s="12"/>
      <c r="N321" s="12"/>
      <c r="O321" s="12"/>
      <c r="P321" s="11"/>
      <c r="Q321" s="12"/>
      <c r="R321" s="12"/>
      <c r="S321" s="11"/>
      <c r="T321" s="12"/>
      <c r="U321" s="11"/>
      <c r="V321" s="12"/>
      <c r="W321" s="12" t="s">
        <v>14</v>
      </c>
      <c r="X321" s="20">
        <f t="shared" si="134"/>
        <v>0</v>
      </c>
      <c r="Y321" s="20">
        <v>50</v>
      </c>
    </row>
    <row r="322" s="1" customFormat="1" ht="15.6" hidden="1" outlineLevel="2" spans="1:25">
      <c r="A322" s="12">
        <v>207</v>
      </c>
      <c r="B322" s="12">
        <v>34</v>
      </c>
      <c r="C322" s="6" t="s">
        <v>361</v>
      </c>
      <c r="D322" s="6" t="s">
        <v>11</v>
      </c>
      <c r="E322" s="12">
        <v>5.5</v>
      </c>
      <c r="F322" s="11">
        <f>LOOKUP(E322,{0,-2.9,-1.9,-0.9,0.1,1.1,2.1,3.5,4.9,6.3,7.7,9.1,10.5,11.9,13.3,14.7,16.1,18.3,20.5,22.4,24.3},{0,10,20,30,40,50,60,62,64,66,68,70,72,74,76,78,80,85,90,95,100})</f>
        <v>64</v>
      </c>
      <c r="G322" s="12">
        <v>180</v>
      </c>
      <c r="H322" s="11">
        <f>LOOKUP(G322,{0,175,180,185,190,195,200,204,208,212,216,220,224,228,232,236,240,248,255,260,265},{0,10,20,30,40,50,60,62,64,66,68,70,72,74,76,78,80,85,90,95,100})</f>
        <v>20</v>
      </c>
      <c r="I322" s="12">
        <v>0</v>
      </c>
      <c r="J322" s="11">
        <f>LOOKUP(I322,{0,3,4,5,6,7,8,9,10,11,12,13,14,15,16,17},{0,10,20,30,40,50,60,64,68,72,76,80,85,90,95,100})</f>
        <v>0</v>
      </c>
      <c r="K322" s="12"/>
      <c r="L322" s="12"/>
      <c r="M322" s="12">
        <f t="shared" ref="M322:M338" si="151">J322+L322</f>
        <v>0</v>
      </c>
      <c r="N322" s="12">
        <v>8.5</v>
      </c>
      <c r="O322" s="12">
        <f t="shared" ref="O322:O338" si="152">12-N322</f>
        <v>3.5</v>
      </c>
      <c r="P322" s="11">
        <f>LOOKUP(O322,{0,1.6,1.8,2,2.2,2.4,2.6,2.8,3,3.2,3.4,3.6,3.8,4,4.2,4.4,4.6,4.7,4.8,4.9,5},{0,10,20,30,40,50,60,62,64,66,68,70,72,74,76,78,80,85,90,95,100})</f>
        <v>68</v>
      </c>
      <c r="Q322" s="12">
        <v>5.09</v>
      </c>
      <c r="R322" s="12">
        <f t="shared" ref="R322:R338" si="153">10-Q322</f>
        <v>4.91</v>
      </c>
      <c r="S322" s="11">
        <f>LOOKUP(R322,{0,3.8,4,4.6,4.8,5,5.6,5.65,5.7,5.75,5.8,5.85,5.9,5.95,6,6.45,6.5,6.58,6.65,6.7,6.75},{0,10,20,30,40,50,60,62,64,66,68,70,72,74,76,78,80,85,90,95,100})</f>
        <v>40</v>
      </c>
      <c r="T322" s="12"/>
      <c r="U322" s="12"/>
      <c r="V322" s="12">
        <f t="shared" ref="V322:V338" si="154">S322+U322</f>
        <v>40</v>
      </c>
      <c r="W322" s="12"/>
      <c r="X322" s="20">
        <f t="shared" si="134"/>
        <v>30</v>
      </c>
      <c r="Y322" s="20">
        <f t="shared" ref="Y322:Y338" si="155">X322/0.7+L322+U322</f>
        <v>42.8571428571429</v>
      </c>
    </row>
    <row r="323" ht="15.6" hidden="1" outlineLevel="2" spans="1:25">
      <c r="A323" s="12">
        <v>207</v>
      </c>
      <c r="B323" s="12">
        <v>35</v>
      </c>
      <c r="C323" s="6" t="s">
        <v>362</v>
      </c>
      <c r="D323" s="6" t="s">
        <v>11</v>
      </c>
      <c r="E323" s="12">
        <v>13.5</v>
      </c>
      <c r="F323" s="11">
        <f>LOOKUP(E323,{0,-2.9,-1.9,-0.9,0.1,1.1,2.1,3.5,4.9,6.3,7.7,9.1,10.5,11.9,13.3,14.7,16.1,18.3,20.5,22.4,24.3},{0,10,20,30,40,50,60,62,64,66,68,70,72,74,76,78,80,85,90,95,100})</f>
        <v>76</v>
      </c>
      <c r="G323" s="12">
        <v>251</v>
      </c>
      <c r="H323" s="11">
        <f>LOOKUP(G323,{0,175,180,185,190,195,200,204,208,212,216,220,224,228,232,236,240,248,255,260,265},{0,10,20,30,40,50,60,62,64,66,68,70,72,74,76,78,80,85,90,95,100})</f>
        <v>85</v>
      </c>
      <c r="I323" s="12">
        <v>17</v>
      </c>
      <c r="J323" s="11">
        <f>LOOKUP(I323,{0,3,4,5,6,7,8,9,10,11,12,13,14,15,16,17},{0,10,20,30,40,50,60,64,68,72,76,80,85,90,95,100})</f>
        <v>100</v>
      </c>
      <c r="K323" s="12">
        <f>I323-17</f>
        <v>0</v>
      </c>
      <c r="L323" s="11">
        <f>LOOKUP(K323,{0,1,2,3,4,5,6,7,8,9,10},{0,1,2,3,4,5,6,7,8,9,10})</f>
        <v>0</v>
      </c>
      <c r="M323" s="12">
        <f t="shared" si="151"/>
        <v>100</v>
      </c>
      <c r="N323" s="12">
        <v>7.6</v>
      </c>
      <c r="O323" s="12">
        <f t="shared" si="152"/>
        <v>4.4</v>
      </c>
      <c r="P323" s="11">
        <f>LOOKUP(O323,{0,1.6,1.8,2,2.2,2.4,2.6,2.8,3,3.2,3.4,3.6,3.8,4,4.2,4.4,4.6,4.7,4.8,4.9,5},{0,10,20,30,40,50,60,62,64,66,68,70,72,74,76,78,80,85,90,95,100})</f>
        <v>78</v>
      </c>
      <c r="Q323" s="12">
        <v>4.12</v>
      </c>
      <c r="R323" s="12">
        <f t="shared" si="153"/>
        <v>5.88</v>
      </c>
      <c r="S323" s="11">
        <f>LOOKUP(R323,{0,3.8,4,4.6,4.8,5,5.6,5.65,5.7,5.75,5.8,5.85,5.9,5.95,6,6.45,6.5,6.58,6.65,6.7,6.75},{0,10,20,30,40,50,60,62,64,66,68,70,72,74,76,78,80,85,90,95,100})</f>
        <v>70</v>
      </c>
      <c r="T323" s="12"/>
      <c r="U323" s="12"/>
      <c r="V323" s="12">
        <f t="shared" si="154"/>
        <v>70</v>
      </c>
      <c r="W323" s="12"/>
      <c r="X323" s="20">
        <f t="shared" si="134"/>
        <v>55.7</v>
      </c>
      <c r="Y323" s="20">
        <f t="shared" si="155"/>
        <v>79.5714285714286</v>
      </c>
    </row>
    <row r="324" ht="15.6" hidden="1" outlineLevel="2" spans="1:25">
      <c r="A324" s="12">
        <v>207</v>
      </c>
      <c r="B324" s="12">
        <v>36</v>
      </c>
      <c r="C324" s="6" t="s">
        <v>363</v>
      </c>
      <c r="D324" s="6" t="s">
        <v>11</v>
      </c>
      <c r="E324" s="12">
        <v>13</v>
      </c>
      <c r="F324" s="11">
        <f>LOOKUP(E324,{0,-2.9,-1.9,-0.9,0.1,1.1,2.1,3.5,4.9,6.3,7.7,9.1,10.5,11.9,13.3,14.7,16.1,18.3,20.5,22.4,24.3},{0,10,20,30,40,50,60,62,64,66,68,70,72,74,76,78,80,85,90,95,100})</f>
        <v>74</v>
      </c>
      <c r="G324" s="12">
        <v>239</v>
      </c>
      <c r="H324" s="11">
        <f>LOOKUP(G324,{0,175,180,185,190,195,200,204,208,212,216,220,224,228,232,236,240,248,255,260,265},{0,10,20,30,40,50,60,62,64,66,68,70,72,74,76,78,80,85,90,95,100})</f>
        <v>78</v>
      </c>
      <c r="I324" s="12">
        <v>11</v>
      </c>
      <c r="J324" s="11">
        <f>LOOKUP(I324,{0,3,4,5,6,7,8,9,10,11,12,13,14,15,16,17},{0,10,20,30,40,50,60,64,68,72,76,80,85,90,95,100})</f>
        <v>72</v>
      </c>
      <c r="K324" s="12"/>
      <c r="L324" s="15"/>
      <c r="M324" s="12">
        <f t="shared" si="151"/>
        <v>72</v>
      </c>
      <c r="N324" s="12">
        <v>7.5</v>
      </c>
      <c r="O324" s="12">
        <f t="shared" si="152"/>
        <v>4.5</v>
      </c>
      <c r="P324" s="11">
        <f>LOOKUP(O324,{0,1.6,1.8,2,2.2,2.4,2.6,2.8,3,3.2,3.4,3.6,3.8,4,4.2,4.4,4.6,4.7,4.8,4.9,5},{0,10,20,30,40,50,60,62,64,66,68,70,72,74,76,78,80,85,90,95,100})</f>
        <v>78</v>
      </c>
      <c r="Q324" s="12">
        <v>3.37</v>
      </c>
      <c r="R324" s="12">
        <f t="shared" si="153"/>
        <v>6.63</v>
      </c>
      <c r="S324" s="11">
        <f>LOOKUP(R324,{0,3.8,4,4.6,4.8,5,5.6,5.65,5.7,5.75,5.8,5.85,5.9,5.95,6,6.45,6.5,6.58,6.65,6.7,6.75},{0,10,20,30,40,50,60,62,64,66,68,70,72,74,76,78,80,85,90,95,100})</f>
        <v>85</v>
      </c>
      <c r="T324" s="12"/>
      <c r="U324" s="12"/>
      <c r="V324" s="12">
        <f t="shared" si="154"/>
        <v>85</v>
      </c>
      <c r="W324" s="12"/>
      <c r="X324" s="20">
        <f t="shared" si="134"/>
        <v>55</v>
      </c>
      <c r="Y324" s="20">
        <f t="shared" si="155"/>
        <v>78.5714285714286</v>
      </c>
    </row>
    <row r="325" ht="15.6" hidden="1" outlineLevel="2" spans="1:25">
      <c r="A325" s="12">
        <v>207</v>
      </c>
      <c r="B325" s="12">
        <v>37</v>
      </c>
      <c r="C325" s="13" t="s">
        <v>365</v>
      </c>
      <c r="D325" s="6" t="s">
        <v>53</v>
      </c>
      <c r="E325" s="12">
        <v>17</v>
      </c>
      <c r="F325" s="11">
        <f>LOOKUP(E325,{0,1,1.8,2.6,3.4,4.2,5,6.3,7.6,8.9,10.2,11.5,12.8,14.1,15.4,16.7,18,19.7,21.4,23.1,24.8},{0,10,20,30,40,50,60,62,64,66,68,70,72,74,76,78,80,85,90,95,100})</f>
        <v>78</v>
      </c>
      <c r="G325" s="12">
        <v>178</v>
      </c>
      <c r="H325" s="11">
        <f>LOOKUP(G325,{0,124,129,134,139,144,149,152,155,158,161,164,167,170,173,176,179,186,193,199,205},{0,10,20,30,40,50,60,62,64,66,68,70,72,74,76,78,80,85,90,95,100})</f>
        <v>78</v>
      </c>
      <c r="I325" s="12">
        <v>45</v>
      </c>
      <c r="J325" s="11">
        <f>LOOKUP(I325,{0,14,16,18,20,22,24,26,28,30,32,34,36,38,40,42,44,47,50,52,54},{0,10,20,30,40,50,60,62,64,66,68,70,72,74,76,78,80,85,90,95,100})</f>
        <v>80</v>
      </c>
      <c r="K325" s="12"/>
      <c r="L325" s="15"/>
      <c r="M325" s="12">
        <f t="shared" si="151"/>
        <v>80</v>
      </c>
      <c r="N325" s="12">
        <v>8.6</v>
      </c>
      <c r="O325" s="12">
        <f t="shared" si="152"/>
        <v>3.4</v>
      </c>
      <c r="P325" s="11">
        <f>LOOKUP(O325,{0,0.5,0.7,0.9,1.1,1.3,1.5,1.7,1.9,2.1,2.3,2.5,2.7,2.9,3.1,3.3,3.5,3.8,4.1,4.2,4.3},{0,10,20,30,40,50,60,62,64,66,68,70,72,74,76,78,80,85,90,95,100})</f>
        <v>78</v>
      </c>
      <c r="Q325" s="12">
        <v>3.19</v>
      </c>
      <c r="R325" s="12">
        <f t="shared" si="153"/>
        <v>6.81</v>
      </c>
      <c r="S325" s="11">
        <f>LOOKUP(R325,{0,4.72,4.82,4.92,5.42,5.52,5.62,5.67,5.72,5.77,5.82,5.87,5.92,5.97,6.42,6.47,6.52,6.59,6.66,6.72,6.78},{0,10,20,30,40,50,60,62,64,66,68,70,72,74,76,78,80,85,90,95,100})</f>
        <v>100</v>
      </c>
      <c r="T325" s="21">
        <f>3.22-Q325</f>
        <v>0.0300000000000002</v>
      </c>
      <c r="U325" s="11">
        <f>LOOKUP(T325,{0,0.05,0.1,0.15,0.2,0.25,0.3,0.35,0.4,0.45,0.5},{0,1,2,3,4,5,6,7,8,9,10})</f>
        <v>0</v>
      </c>
      <c r="V325" s="12">
        <f t="shared" si="154"/>
        <v>100</v>
      </c>
      <c r="W325" s="12"/>
      <c r="X325" s="20">
        <f t="shared" si="134"/>
        <v>59.2</v>
      </c>
      <c r="Y325" s="20">
        <f t="shared" si="155"/>
        <v>84.5714285714286</v>
      </c>
    </row>
    <row r="326" ht="15.6" hidden="1" outlineLevel="2" spans="1:25">
      <c r="A326" s="12">
        <v>207</v>
      </c>
      <c r="B326" s="12">
        <v>38</v>
      </c>
      <c r="C326" s="6" t="s">
        <v>366</v>
      </c>
      <c r="D326" s="6" t="s">
        <v>53</v>
      </c>
      <c r="E326" s="12">
        <v>17</v>
      </c>
      <c r="F326" s="11">
        <f>LOOKUP(E326,{0,1,1.8,2.6,3.4,4.2,5,6.3,7.6,8.9,10.2,11.5,12.8,14.1,15.4,16.7,18,19.7,21.4,23.1,24.8},{0,10,20,30,40,50,60,62,64,66,68,70,72,74,76,78,80,85,90,95,100})</f>
        <v>78</v>
      </c>
      <c r="G326" s="12">
        <v>190</v>
      </c>
      <c r="H326" s="11">
        <f>LOOKUP(G326,{0,124,129,134,139,144,149,152,155,158,161,164,167,170,173,176,179,186,193,199,205},{0,10,20,30,40,50,60,62,64,66,68,70,72,74,76,78,80,85,90,95,100})</f>
        <v>85</v>
      </c>
      <c r="I326" s="12">
        <v>50</v>
      </c>
      <c r="J326" s="11">
        <f>LOOKUP(I326,{0,14,16,18,20,22,24,26,28,30,32,34,36,38,40,42,44,47,50,52,54},{0,10,20,30,40,50,60,62,64,66,68,70,72,74,76,78,80,85,90,95,100})</f>
        <v>90</v>
      </c>
      <c r="K326" s="12"/>
      <c r="L326" s="12"/>
      <c r="M326" s="12">
        <f t="shared" si="151"/>
        <v>90</v>
      </c>
      <c r="N326" s="12">
        <v>9.2</v>
      </c>
      <c r="O326" s="12">
        <f t="shared" si="152"/>
        <v>2.8</v>
      </c>
      <c r="P326" s="11">
        <f>LOOKUP(O326,{0,0.5,0.7,0.9,1.1,1.3,1.5,1.7,1.9,2.1,2.3,2.5,2.7,2.9,3.1,3.3,3.5,3.8,4.1,4.2,4.3},{0,10,20,30,40,50,60,62,64,66,68,70,72,74,76,78,80,85,90,95,100})</f>
        <v>72</v>
      </c>
      <c r="Q326" s="12">
        <v>3.45</v>
      </c>
      <c r="R326" s="12">
        <f t="shared" si="153"/>
        <v>6.55</v>
      </c>
      <c r="S326" s="11">
        <f>LOOKUP(R326,{0,4.72,4.82,4.92,5.42,5.52,5.62,5.67,5.72,5.77,5.82,5.87,5.92,5.97,6.42,6.47,6.52,6.59,6.66,6.72,6.78},{0,10,20,30,40,50,60,62,64,66,68,70,72,74,76,78,80,85,90,95,100})</f>
        <v>80</v>
      </c>
      <c r="T326" s="12"/>
      <c r="U326" s="12"/>
      <c r="V326" s="12">
        <f t="shared" si="154"/>
        <v>80</v>
      </c>
      <c r="W326" s="12"/>
      <c r="X326" s="20">
        <f t="shared" si="134"/>
        <v>55.7</v>
      </c>
      <c r="Y326" s="20">
        <f t="shared" si="155"/>
        <v>79.5714285714286</v>
      </c>
    </row>
    <row r="327" ht="15.6" hidden="1" outlineLevel="2" spans="1:25">
      <c r="A327" s="12">
        <v>207</v>
      </c>
      <c r="B327" s="12">
        <v>39</v>
      </c>
      <c r="C327" s="6" t="s">
        <v>367</v>
      </c>
      <c r="D327" s="6" t="s">
        <v>53</v>
      </c>
      <c r="E327" s="12">
        <v>18</v>
      </c>
      <c r="F327" s="11">
        <f>LOOKUP(E327,{0,1,1.8,2.6,3.4,4.2,5,6.3,7.6,8.9,10.2,11.5,12.8,14.1,15.4,16.7,18,19.7,21.4,23.1,24.8},{0,10,20,30,40,50,60,62,64,66,68,70,72,74,76,78,80,85,90,95,100})</f>
        <v>80</v>
      </c>
      <c r="G327" s="12">
        <v>171</v>
      </c>
      <c r="H327" s="11">
        <f>LOOKUP(G327,{0,124,129,134,139,144,149,152,155,158,161,164,167,170,173,176,179,186,193,199,205},{0,10,20,30,40,50,60,62,64,66,68,70,72,74,76,78,80,85,90,95,100})</f>
        <v>74</v>
      </c>
      <c r="I327" s="12">
        <v>57</v>
      </c>
      <c r="J327" s="11">
        <f>LOOKUP(I327,{0,14,16,18,20,22,24,26,28,30,32,34,36,38,40,42,44,47,50,52,54},{0,10,20,30,40,50,60,62,64,66,68,70,72,74,76,78,80,85,90,95,100})</f>
        <v>100</v>
      </c>
      <c r="K327" s="12">
        <f>I327-54</f>
        <v>3</v>
      </c>
      <c r="L327" s="11">
        <f>LOOKUP(K327,{0,2,4,6,7,8,9,10,11,12,13},{0,1,2,3,4,5,6,7,8,9,10})</f>
        <v>1</v>
      </c>
      <c r="M327" s="12">
        <f t="shared" si="151"/>
        <v>101</v>
      </c>
      <c r="N327" s="12">
        <v>8.3</v>
      </c>
      <c r="O327" s="12">
        <f t="shared" si="152"/>
        <v>3.7</v>
      </c>
      <c r="P327" s="11">
        <f>LOOKUP(O327,{0,0.5,0.7,0.9,1.1,1.3,1.5,1.7,1.9,2.1,2.3,2.5,2.7,2.9,3.1,3.3,3.5,3.8,4.1,4.2,4.3},{0,10,20,30,40,50,60,62,64,66,68,70,72,74,76,78,80,85,90,95,100})</f>
        <v>80</v>
      </c>
      <c r="Q327" s="12">
        <v>3.12</v>
      </c>
      <c r="R327" s="12">
        <f t="shared" si="153"/>
        <v>6.88</v>
      </c>
      <c r="S327" s="11">
        <f>LOOKUP(R327,{0,4.72,4.82,4.92,5.42,5.52,5.62,5.67,5.72,5.77,5.82,5.87,5.92,5.97,6.42,6.47,6.52,6.59,6.66,6.72,6.78},{0,10,20,30,40,50,60,62,64,66,68,70,72,74,76,78,80,85,90,95,100})</f>
        <v>100</v>
      </c>
      <c r="T327" s="21">
        <f>3.22-Q327</f>
        <v>0.1</v>
      </c>
      <c r="U327" s="11">
        <f>LOOKUP(T327,{0,0.05,0.1,0.15,0.2,0.25,0.3,0.35,0.4,0.45,0.5},{0,1,2,3,4,5,6,7,8,9,10})</f>
        <v>2</v>
      </c>
      <c r="V327" s="12">
        <f t="shared" si="154"/>
        <v>102</v>
      </c>
      <c r="W327" s="12"/>
      <c r="X327" s="20">
        <f t="shared" si="134"/>
        <v>61.4</v>
      </c>
      <c r="Y327" s="20">
        <f t="shared" si="155"/>
        <v>90.7142857142857</v>
      </c>
    </row>
    <row r="328" ht="15.6" hidden="1" outlineLevel="2" spans="1:25">
      <c r="A328" s="12">
        <v>207</v>
      </c>
      <c r="B328" s="12">
        <v>40</v>
      </c>
      <c r="C328" s="6" t="s">
        <v>368</v>
      </c>
      <c r="D328" s="6" t="s">
        <v>53</v>
      </c>
      <c r="E328" s="12">
        <v>18</v>
      </c>
      <c r="F328" s="11">
        <f>LOOKUP(E328,{0,1,1.8,2.6,3.4,4.2,5,6.3,7.6,8.9,10.2,11.5,12.8,14.1,15.4,16.7,18,19.7,21.4,23.1,24.8},{0,10,20,30,40,50,60,62,64,66,68,70,72,74,76,78,80,85,90,95,100})</f>
        <v>80</v>
      </c>
      <c r="G328" s="12">
        <v>162</v>
      </c>
      <c r="H328" s="11">
        <f>LOOKUP(G328,{0,124,129,134,139,144,149,152,155,158,161,164,167,170,173,176,179,186,193,199,205},{0,10,20,30,40,50,60,62,64,66,68,70,72,74,76,78,80,85,90,95,100})</f>
        <v>68</v>
      </c>
      <c r="I328" s="12">
        <v>49</v>
      </c>
      <c r="J328" s="11">
        <f>LOOKUP(I328,{0,14,16,18,20,22,24,26,28,30,32,34,36,38,40,42,44,47,50,52,54},{0,10,20,30,40,50,60,62,64,66,68,70,72,74,76,78,80,85,90,95,100})</f>
        <v>85</v>
      </c>
      <c r="K328" s="12"/>
      <c r="L328" s="15"/>
      <c r="M328" s="12">
        <f t="shared" si="151"/>
        <v>85</v>
      </c>
      <c r="N328" s="12">
        <v>8.8</v>
      </c>
      <c r="O328" s="12">
        <f t="shared" si="152"/>
        <v>3.2</v>
      </c>
      <c r="P328" s="11">
        <f>LOOKUP(O328,{0,0.5,0.7,0.9,1.1,1.3,1.5,1.7,1.9,2.1,2.3,2.5,2.7,2.9,3.1,3.3,3.5,3.8,4.1,4.2,4.3},{0,10,20,30,40,50,60,62,64,66,68,70,72,74,76,78,80,85,90,95,100})</f>
        <v>76</v>
      </c>
      <c r="Q328" s="12">
        <v>3.34</v>
      </c>
      <c r="R328" s="12">
        <f t="shared" si="153"/>
        <v>6.66</v>
      </c>
      <c r="S328" s="11">
        <f>LOOKUP(R328,{0,4.72,4.82,4.92,5.42,5.52,5.62,5.67,5.72,5.77,5.82,5.87,5.92,5.97,6.42,6.47,6.52,6.59,6.66,6.72,6.78},{0,10,20,30,40,50,60,62,64,66,68,70,72,74,76,78,80,85,90,95,100})</f>
        <v>90</v>
      </c>
      <c r="T328" s="12"/>
      <c r="U328" s="12"/>
      <c r="V328" s="12">
        <f t="shared" si="154"/>
        <v>90</v>
      </c>
      <c r="W328" s="12"/>
      <c r="X328" s="20">
        <f t="shared" si="134"/>
        <v>56.5</v>
      </c>
      <c r="Y328" s="20">
        <f t="shared" si="155"/>
        <v>80.7142857142857</v>
      </c>
    </row>
    <row r="329" ht="15.6" hidden="1" outlineLevel="2" spans="1:25">
      <c r="A329" s="12">
        <v>207</v>
      </c>
      <c r="B329" s="12">
        <v>41</v>
      </c>
      <c r="C329" s="6" t="s">
        <v>369</v>
      </c>
      <c r="D329" s="6" t="s">
        <v>53</v>
      </c>
      <c r="E329" s="12">
        <v>25.6</v>
      </c>
      <c r="F329" s="11">
        <f>LOOKUP(E329,{0,1,1.8,2.6,3.4,4.2,5,6.3,7.6,8.9,10.2,11.5,12.8,14.1,15.4,16.7,18,19.7,21.4,23.1,24.8},{0,10,20,30,40,50,60,62,64,66,68,70,72,74,76,78,80,85,90,95,100})</f>
        <v>100</v>
      </c>
      <c r="G329" s="12">
        <v>180</v>
      </c>
      <c r="H329" s="11">
        <f>LOOKUP(G329,{0,124,129,134,139,144,149,152,155,158,161,164,167,170,173,176,179,186,193,199,205},{0,10,20,30,40,50,60,62,64,66,68,70,72,74,76,78,80,85,90,95,100})</f>
        <v>80</v>
      </c>
      <c r="I329" s="12">
        <v>42</v>
      </c>
      <c r="J329" s="11">
        <f>LOOKUP(I329,{0,14,16,18,20,22,24,26,28,30,32,34,36,38,40,42,44,47,50,52,54},{0,10,20,30,40,50,60,62,64,66,68,70,72,74,76,78,80,85,90,95,100})</f>
        <v>78</v>
      </c>
      <c r="K329" s="12"/>
      <c r="L329" s="12"/>
      <c r="M329" s="12">
        <f t="shared" si="151"/>
        <v>78</v>
      </c>
      <c r="N329" s="12">
        <v>8.8</v>
      </c>
      <c r="O329" s="12">
        <f t="shared" si="152"/>
        <v>3.2</v>
      </c>
      <c r="P329" s="11">
        <f>LOOKUP(O329,{0,0.5,0.7,0.9,1.1,1.3,1.5,1.7,1.9,2.1,2.3,2.5,2.7,2.9,3.1,3.3,3.5,3.8,4.1,4.2,4.3},{0,10,20,30,40,50,60,62,64,66,68,70,72,74,76,78,80,85,90,95,100})</f>
        <v>76</v>
      </c>
      <c r="Q329" s="12">
        <v>3.37</v>
      </c>
      <c r="R329" s="12">
        <f t="shared" si="153"/>
        <v>6.63</v>
      </c>
      <c r="S329" s="11">
        <f>LOOKUP(R329,{0,4.72,4.82,4.92,5.42,5.52,5.62,5.67,5.72,5.77,5.82,5.87,5.92,5.97,6.42,6.47,6.52,6.59,6.66,6.72,6.78},{0,10,20,30,40,50,60,62,64,66,68,70,72,74,76,78,80,85,90,95,100})</f>
        <v>85</v>
      </c>
      <c r="T329" s="12"/>
      <c r="U329" s="12"/>
      <c r="V329" s="12">
        <f t="shared" si="154"/>
        <v>85</v>
      </c>
      <c r="W329" s="12"/>
      <c r="X329" s="20">
        <f t="shared" si="134"/>
        <v>58</v>
      </c>
      <c r="Y329" s="20">
        <f t="shared" si="155"/>
        <v>82.8571428571429</v>
      </c>
    </row>
    <row r="330" ht="15.6" hidden="1" outlineLevel="2" spans="1:25">
      <c r="A330" s="12">
        <v>207</v>
      </c>
      <c r="B330" s="12">
        <v>42</v>
      </c>
      <c r="C330" s="6" t="s">
        <v>370</v>
      </c>
      <c r="D330" s="6" t="s">
        <v>53</v>
      </c>
      <c r="E330" s="12">
        <v>15.3</v>
      </c>
      <c r="F330" s="11">
        <f>LOOKUP(E330,{0,1,1.8,2.6,3.4,4.2,5,6.3,7.6,8.9,10.2,11.5,12.8,14.1,15.4,16.7,18,19.7,21.4,23.1,24.8},{0,10,20,30,40,50,60,62,64,66,68,70,72,74,76,78,80,85,90,95,100})</f>
        <v>74</v>
      </c>
      <c r="G330" s="12">
        <v>187</v>
      </c>
      <c r="H330" s="11">
        <f>LOOKUP(G330,{0,124,129,134,139,144,149,152,155,158,161,164,167,170,173,176,179,186,193,199,205},{0,10,20,30,40,50,60,62,64,66,68,70,72,74,76,78,80,85,90,95,100})</f>
        <v>85</v>
      </c>
      <c r="I330" s="12">
        <v>43</v>
      </c>
      <c r="J330" s="11">
        <f>LOOKUP(I330,{0,14,16,18,20,22,24,26,28,30,32,34,36,38,40,42,44,47,50,52,54},{0,10,20,30,40,50,60,62,64,66,68,70,72,74,76,78,80,85,90,95,100})</f>
        <v>78</v>
      </c>
      <c r="K330" s="12"/>
      <c r="L330" s="12"/>
      <c r="M330" s="12">
        <f t="shared" si="151"/>
        <v>78</v>
      </c>
      <c r="N330" s="12">
        <v>8.3</v>
      </c>
      <c r="O330" s="12">
        <f t="shared" si="152"/>
        <v>3.7</v>
      </c>
      <c r="P330" s="11">
        <f>LOOKUP(O330,{0,0.5,0.7,0.9,1.1,1.3,1.5,1.7,1.9,2.1,2.3,2.5,2.7,2.9,3.1,3.3,3.5,3.8,4.1,4.2,4.3},{0,10,20,30,40,50,60,62,64,66,68,70,72,74,76,78,80,85,90,95,100})</f>
        <v>80</v>
      </c>
      <c r="Q330" s="12">
        <v>3.55</v>
      </c>
      <c r="R330" s="12">
        <f t="shared" si="153"/>
        <v>6.45</v>
      </c>
      <c r="S330" s="11">
        <f>LOOKUP(R330,{0,4.72,4.82,4.92,5.42,5.52,5.62,5.67,5.72,5.77,5.82,5.87,5.92,5.97,6.42,6.47,6.52,6.59,6.66,6.72,6.78},{0,10,20,30,40,50,60,62,64,66,68,70,72,74,76,78,80,85,90,95,100})</f>
        <v>76</v>
      </c>
      <c r="T330" s="12"/>
      <c r="U330" s="12"/>
      <c r="V330" s="12">
        <f t="shared" si="154"/>
        <v>76</v>
      </c>
      <c r="W330" s="12"/>
      <c r="X330" s="20">
        <f t="shared" si="134"/>
        <v>54.9</v>
      </c>
      <c r="Y330" s="20">
        <f t="shared" si="155"/>
        <v>78.4285714285714</v>
      </c>
    </row>
    <row r="331" ht="15.6" hidden="1" outlineLevel="2" spans="1:25">
      <c r="A331" s="12">
        <v>207</v>
      </c>
      <c r="B331" s="12">
        <v>43</v>
      </c>
      <c r="C331" s="6" t="s">
        <v>371</v>
      </c>
      <c r="D331" s="6" t="s">
        <v>53</v>
      </c>
      <c r="E331" s="12">
        <v>17.3</v>
      </c>
      <c r="F331" s="11">
        <f>LOOKUP(E331,{0,1,1.8,2.6,3.4,4.2,5,6.3,7.6,8.9,10.2,11.5,12.8,14.1,15.4,16.7,18,19.7,21.4,23.1,24.8},{0,10,20,30,40,50,60,62,64,66,68,70,72,74,76,78,80,85,90,95,100})</f>
        <v>78</v>
      </c>
      <c r="G331" s="12">
        <v>160</v>
      </c>
      <c r="H331" s="11">
        <f>LOOKUP(G331,{0,124,129,134,139,144,149,152,155,158,161,164,167,170,173,176,179,186,193,199,205},{0,10,20,30,40,50,60,62,64,66,68,70,72,74,76,78,80,85,90,95,100})</f>
        <v>66</v>
      </c>
      <c r="I331" s="12">
        <v>45</v>
      </c>
      <c r="J331" s="11">
        <f>LOOKUP(I331,{0,14,16,18,20,22,24,26,28,30,32,34,36,38,40,42,44,47,50,52,54},{0,10,20,30,40,50,60,62,64,66,68,70,72,74,76,78,80,85,90,95,100})</f>
        <v>80</v>
      </c>
      <c r="K331" s="12"/>
      <c r="L331" s="15"/>
      <c r="M331" s="12">
        <f t="shared" si="151"/>
        <v>80</v>
      </c>
      <c r="N331" s="12">
        <v>8.5</v>
      </c>
      <c r="O331" s="12">
        <f t="shared" si="152"/>
        <v>3.5</v>
      </c>
      <c r="P331" s="11">
        <f>LOOKUP(O331,{0,0.5,0.7,0.9,1.1,1.3,1.5,1.7,1.9,2.1,2.3,2.5,2.7,2.9,3.1,3.3,3.5,3.8,4.1,4.2,4.3},{0,10,20,30,40,50,60,62,64,66,68,70,72,74,76,78,80,85,90,95,100})</f>
        <v>80</v>
      </c>
      <c r="Q331" s="12">
        <v>3.35</v>
      </c>
      <c r="R331" s="12">
        <f t="shared" si="153"/>
        <v>6.65</v>
      </c>
      <c r="S331" s="11">
        <f>LOOKUP(R331,{0,4.72,4.82,4.92,5.42,5.52,5.62,5.67,5.72,5.77,5.82,5.87,5.92,5.97,6.42,6.47,6.52,6.59,6.66,6.72,6.78},{0,10,20,30,40,50,60,62,64,66,68,70,72,74,76,78,80,85,90,95,100})</f>
        <v>85</v>
      </c>
      <c r="T331" s="12"/>
      <c r="U331" s="12"/>
      <c r="V331" s="12">
        <f t="shared" si="154"/>
        <v>85</v>
      </c>
      <c r="W331" s="12"/>
      <c r="X331" s="20">
        <f t="shared" si="134"/>
        <v>55.4</v>
      </c>
      <c r="Y331" s="20">
        <f t="shared" si="155"/>
        <v>79.1428571428572</v>
      </c>
    </row>
    <row r="332" ht="15.6" hidden="1" outlineLevel="2" spans="1:25">
      <c r="A332" s="12">
        <v>207</v>
      </c>
      <c r="B332" s="12">
        <v>44</v>
      </c>
      <c r="C332" s="6" t="s">
        <v>372</v>
      </c>
      <c r="D332" s="6" t="s">
        <v>53</v>
      </c>
      <c r="E332" s="12">
        <v>25</v>
      </c>
      <c r="F332" s="11">
        <f>LOOKUP(E332,{0,1,1.8,2.6,3.4,4.2,5,6.3,7.6,8.9,10.2,11.5,12.8,14.1,15.4,16.7,18,19.7,21.4,23.1,24.8},{0,10,20,30,40,50,60,62,64,66,68,70,72,74,76,78,80,85,90,95,100})</f>
        <v>100</v>
      </c>
      <c r="G332" s="12">
        <v>205</v>
      </c>
      <c r="H332" s="11">
        <f>LOOKUP(G332,{0,124,129,134,139,144,149,152,155,158,161,164,167,170,173,176,179,186,193,199,205},{0,10,20,30,40,50,60,62,64,66,68,70,72,74,76,78,80,85,90,95,100})</f>
        <v>100</v>
      </c>
      <c r="I332" s="12">
        <v>54</v>
      </c>
      <c r="J332" s="11">
        <f>LOOKUP(I332,{0,14,16,18,20,22,24,26,28,30,32,34,36,38,40,42,44,47,50,52,54},{0,10,20,30,40,50,60,62,64,66,68,70,72,74,76,78,80,85,90,95,100})</f>
        <v>100</v>
      </c>
      <c r="K332" s="12">
        <f t="shared" ref="K332:K337" si="156">I332-54</f>
        <v>0</v>
      </c>
      <c r="L332" s="11">
        <f>LOOKUP(K332,{0,2,4,6,7,8,9,10,11,12,13},{0,1,2,3,4,5,6,7,8,9,10})</f>
        <v>0</v>
      </c>
      <c r="M332" s="12">
        <f t="shared" si="151"/>
        <v>100</v>
      </c>
      <c r="N332" s="12">
        <v>8.5</v>
      </c>
      <c r="O332" s="12">
        <f t="shared" si="152"/>
        <v>3.5</v>
      </c>
      <c r="P332" s="11">
        <f>LOOKUP(O332,{0,0.5,0.7,0.9,1.1,1.3,1.5,1.7,1.9,2.1,2.3,2.5,2.7,2.9,3.1,3.3,3.5,3.8,4.1,4.2,4.3},{0,10,20,30,40,50,60,62,64,66,68,70,72,74,76,78,80,85,90,95,100})</f>
        <v>80</v>
      </c>
      <c r="Q332" s="12">
        <v>3.37</v>
      </c>
      <c r="R332" s="12">
        <f t="shared" si="153"/>
        <v>6.63</v>
      </c>
      <c r="S332" s="11">
        <f>LOOKUP(R332,{0,4.72,4.82,4.92,5.42,5.52,5.62,5.67,5.72,5.77,5.82,5.87,5.92,5.97,6.42,6.47,6.52,6.59,6.66,6.72,6.78},{0,10,20,30,40,50,60,62,64,66,68,70,72,74,76,78,80,85,90,95,100})</f>
        <v>85</v>
      </c>
      <c r="T332" s="12"/>
      <c r="U332" s="12"/>
      <c r="V332" s="12">
        <f t="shared" si="154"/>
        <v>85</v>
      </c>
      <c r="W332" s="12"/>
      <c r="X332" s="20">
        <f t="shared" si="134"/>
        <v>63</v>
      </c>
      <c r="Y332" s="20">
        <f t="shared" si="155"/>
        <v>90</v>
      </c>
    </row>
    <row r="333" ht="15.6" hidden="1" outlineLevel="2" spans="1:25">
      <c r="A333" s="12">
        <v>207</v>
      </c>
      <c r="B333" s="12">
        <v>45</v>
      </c>
      <c r="C333" s="6" t="s">
        <v>373</v>
      </c>
      <c r="D333" s="6" t="s">
        <v>53</v>
      </c>
      <c r="E333" s="12">
        <v>12.3</v>
      </c>
      <c r="F333" s="11">
        <f>LOOKUP(E333,{0,1,1.8,2.6,3.4,4.2,5,6.3,7.6,8.9,10.2,11.5,12.8,14.1,15.4,16.7,18,19.7,21.4,23.1,24.8},{0,10,20,30,40,50,60,62,64,66,68,70,72,74,76,78,80,85,90,95,100})</f>
        <v>70</v>
      </c>
      <c r="G333" s="12">
        <v>152</v>
      </c>
      <c r="H333" s="11">
        <f>LOOKUP(G333,{0,124,129,134,139,144,149,152,155,158,161,164,167,170,173,176,179,186,193,199,205},{0,10,20,30,40,50,60,62,64,66,68,70,72,74,76,78,80,85,90,95,100})</f>
        <v>62</v>
      </c>
      <c r="I333" s="12">
        <v>49</v>
      </c>
      <c r="J333" s="11">
        <f>LOOKUP(I333,{0,14,16,18,20,22,24,26,28,30,32,34,36,38,40,42,44,47,50,52,54},{0,10,20,30,40,50,60,62,64,66,68,70,72,74,76,78,80,85,90,95,100})</f>
        <v>85</v>
      </c>
      <c r="K333" s="12"/>
      <c r="L333" s="15"/>
      <c r="M333" s="12">
        <f t="shared" si="151"/>
        <v>85</v>
      </c>
      <c r="N333" s="12">
        <v>8.9</v>
      </c>
      <c r="O333" s="12">
        <f t="shared" si="152"/>
        <v>3.1</v>
      </c>
      <c r="P333" s="11">
        <f>LOOKUP(O333,{0,0.5,0.7,0.9,1.1,1.3,1.5,1.7,1.9,2.1,2.3,2.5,2.7,2.9,3.1,3.3,3.5,3.8,4.1,4.2,4.3},{0,10,20,30,40,50,60,62,64,66,68,70,72,74,76,78,80,85,90,95,100})</f>
        <v>76</v>
      </c>
      <c r="Q333" s="12">
        <v>3.43</v>
      </c>
      <c r="R333" s="12">
        <f t="shared" si="153"/>
        <v>6.57</v>
      </c>
      <c r="S333" s="11">
        <f>LOOKUP(R333,{0,4.72,4.82,4.92,5.42,5.52,5.62,5.67,5.72,5.77,5.82,5.87,5.92,5.97,6.42,6.47,6.52,6.59,6.66,6.72,6.78},{0,10,20,30,40,50,60,62,64,66,68,70,72,74,76,78,80,85,90,95,100})</f>
        <v>80</v>
      </c>
      <c r="T333" s="12"/>
      <c r="U333" s="12"/>
      <c r="V333" s="12">
        <f t="shared" si="154"/>
        <v>80</v>
      </c>
      <c r="W333" s="12"/>
      <c r="X333" s="20">
        <f t="shared" si="134"/>
        <v>52.9</v>
      </c>
      <c r="Y333" s="20">
        <f t="shared" si="155"/>
        <v>75.5714285714286</v>
      </c>
    </row>
    <row r="334" ht="15.6" hidden="1" outlineLevel="2" spans="1:25">
      <c r="A334" s="12">
        <v>207</v>
      </c>
      <c r="B334" s="12">
        <v>46</v>
      </c>
      <c r="C334" s="6" t="s">
        <v>374</v>
      </c>
      <c r="D334" s="6" t="s">
        <v>53</v>
      </c>
      <c r="E334" s="12">
        <v>21.4</v>
      </c>
      <c r="F334" s="11">
        <f>LOOKUP(E334,{0,1,1.8,2.6,3.4,4.2,5,6.3,7.6,8.9,10.2,11.5,12.8,14.1,15.4,16.7,18,19.7,21.4,23.1,24.8},{0,10,20,30,40,50,60,62,64,66,68,70,72,74,76,78,80,85,90,95,100})</f>
        <v>90</v>
      </c>
      <c r="G334" s="12">
        <v>197</v>
      </c>
      <c r="H334" s="11">
        <f>LOOKUP(G334,{0,124,129,134,139,144,149,152,155,158,161,164,167,170,173,176,179,186,193,199,205},{0,10,20,30,40,50,60,62,64,66,68,70,72,74,76,78,80,85,90,95,100})</f>
        <v>90</v>
      </c>
      <c r="I334" s="12">
        <v>45</v>
      </c>
      <c r="J334" s="11">
        <f>LOOKUP(I334,{0,14,16,18,20,22,24,26,28,30,32,34,36,38,40,42,44,47,50,52,54},{0,10,20,30,40,50,60,62,64,66,68,70,72,74,76,78,80,85,90,95,100})</f>
        <v>80</v>
      </c>
      <c r="K334" s="12"/>
      <c r="L334" s="12"/>
      <c r="M334" s="12">
        <f t="shared" si="151"/>
        <v>80</v>
      </c>
      <c r="N334" s="12">
        <v>8.5</v>
      </c>
      <c r="O334" s="12">
        <f t="shared" si="152"/>
        <v>3.5</v>
      </c>
      <c r="P334" s="11">
        <f>LOOKUP(O334,{0,0.5,0.7,0.9,1.1,1.3,1.5,1.7,1.9,2.1,2.3,2.5,2.7,2.9,3.1,3.3,3.5,3.8,4.1,4.2,4.3},{0,10,20,30,40,50,60,62,64,66,68,70,72,74,76,78,80,85,90,95,100})</f>
        <v>80</v>
      </c>
      <c r="Q334" s="12">
        <v>4.01</v>
      </c>
      <c r="R334" s="12">
        <f t="shared" si="153"/>
        <v>5.99</v>
      </c>
      <c r="S334" s="11">
        <f>LOOKUP(R334,{0,4.72,4.82,4.92,5.42,5.52,5.62,5.67,5.72,5.77,5.82,5.87,5.92,5.97,6.42,6.47,6.52,6.59,6.66,6.72,6.78},{0,10,20,30,40,50,60,62,64,66,68,70,72,74,76,78,80,85,90,95,100})</f>
        <v>74</v>
      </c>
      <c r="T334" s="12"/>
      <c r="U334" s="12"/>
      <c r="V334" s="12">
        <f t="shared" si="154"/>
        <v>74</v>
      </c>
      <c r="W334" s="12"/>
      <c r="X334" s="20">
        <f t="shared" si="134"/>
        <v>56.8</v>
      </c>
      <c r="Y334" s="20">
        <f t="shared" si="155"/>
        <v>81.1428571428571</v>
      </c>
    </row>
    <row r="335" customFormat="1" ht="15.6" hidden="1" outlineLevel="2" spans="1:25">
      <c r="A335" s="12">
        <v>207</v>
      </c>
      <c r="B335" s="12">
        <v>47</v>
      </c>
      <c r="C335" s="6" t="s">
        <v>375</v>
      </c>
      <c r="D335" s="6" t="s">
        <v>53</v>
      </c>
      <c r="E335" s="12">
        <v>23</v>
      </c>
      <c r="F335" s="11">
        <f>LOOKUP(E335,{0,1,1.8,2.6,3.4,4.2,5,6.3,7.6,8.9,10.2,11.5,12.8,14.1,15.4,16.7,18,19.7,21.4,23.1,24.8},{0,10,20,30,40,50,60,62,64,66,68,70,72,74,76,78,80,85,90,95,100})</f>
        <v>90</v>
      </c>
      <c r="G335" s="12">
        <v>180</v>
      </c>
      <c r="H335" s="11">
        <f>LOOKUP(G335,{0,124,129,134,139,144,149,152,155,158,161,164,167,170,173,176,179,186,193,199,205},{0,10,20,30,40,50,60,62,64,66,68,70,72,74,76,78,80,85,90,95,100})</f>
        <v>80</v>
      </c>
      <c r="I335" s="12">
        <v>56</v>
      </c>
      <c r="J335" s="11">
        <f>LOOKUP(I335,{0,14,16,18,20,22,24,26,28,30,32,34,36,38,40,42,44,47,50,52,54},{0,10,20,30,40,50,60,62,64,66,68,70,72,74,76,78,80,85,90,95,100})</f>
        <v>100</v>
      </c>
      <c r="K335" s="12">
        <f t="shared" si="156"/>
        <v>2</v>
      </c>
      <c r="L335" s="16">
        <f>LOOKUP(K335,{0,2,4,6,7,8,9,10,11,12,13},{0,1,2,3,4,5,6,7,8,9,10})</f>
        <v>1</v>
      </c>
      <c r="M335" s="12">
        <f t="shared" si="151"/>
        <v>101</v>
      </c>
      <c r="N335" s="12">
        <v>8.6</v>
      </c>
      <c r="O335" s="12">
        <f t="shared" si="152"/>
        <v>3.4</v>
      </c>
      <c r="P335" s="11">
        <f>LOOKUP(O335,{0,0.5,0.7,0.9,1.1,1.3,1.5,1.7,1.9,2.1,2.3,2.5,2.7,2.9,3.1,3.3,3.5,3.8,4.1,4.2,4.3},{0,10,20,30,40,50,60,62,64,66,68,70,72,74,76,78,80,85,90,95,100})</f>
        <v>78</v>
      </c>
      <c r="Q335" s="12">
        <v>4.05</v>
      </c>
      <c r="R335" s="12">
        <f t="shared" si="153"/>
        <v>5.95</v>
      </c>
      <c r="S335" s="11">
        <f>LOOKUP(R335,{0,4.72,4.82,4.92,5.42,5.52,5.62,5.67,5.72,5.77,5.82,5.87,5.92,5.97,6.42,6.47,6.52,6.59,6.66,6.72,6.78},{0,10,20,30,40,50,60,62,64,66,68,70,72,74,76,78,80,85,90,95,100})</f>
        <v>72</v>
      </c>
      <c r="T335" s="12"/>
      <c r="U335" s="12"/>
      <c r="V335" s="12">
        <f t="shared" si="154"/>
        <v>72</v>
      </c>
      <c r="W335" s="12"/>
      <c r="X335" s="20">
        <f t="shared" si="134"/>
        <v>57</v>
      </c>
      <c r="Y335" s="20">
        <f t="shared" si="155"/>
        <v>82.4285714285714</v>
      </c>
    </row>
    <row r="336" customFormat="1" ht="15.6" hidden="1" outlineLevel="2" spans="1:25">
      <c r="A336" s="12">
        <v>207</v>
      </c>
      <c r="B336" s="12">
        <v>48</v>
      </c>
      <c r="C336" s="6" t="s">
        <v>376</v>
      </c>
      <c r="D336" s="6" t="s">
        <v>53</v>
      </c>
      <c r="E336" s="12">
        <v>25.4</v>
      </c>
      <c r="F336" s="11">
        <f>LOOKUP(E336,{0,1,1.8,2.6,3.4,4.2,5,6.3,7.6,8.9,10.2,11.5,12.8,14.1,15.4,16.7,18,19.7,21.4,23.1,24.8},{0,10,20,30,40,50,60,62,64,66,68,70,72,74,76,78,80,85,90,95,100})</f>
        <v>100</v>
      </c>
      <c r="G336" s="12">
        <v>177</v>
      </c>
      <c r="H336" s="11">
        <f>LOOKUP(G336,{0,124,129,134,139,144,149,152,155,158,161,164,167,170,173,176,179,186,193,199,205},{0,10,20,30,40,50,60,62,64,66,68,70,72,74,76,78,80,85,90,95,100})</f>
        <v>78</v>
      </c>
      <c r="I336" s="12">
        <v>44</v>
      </c>
      <c r="J336" s="11">
        <f>LOOKUP(I336,{0,14,16,18,20,22,24,26,28,30,32,34,36,38,40,42,44,47,50,52,54},{0,10,20,30,40,50,60,62,64,66,68,70,72,74,76,78,80,85,90,95,100})</f>
        <v>80</v>
      </c>
      <c r="K336" s="12"/>
      <c r="L336" s="12"/>
      <c r="M336" s="12">
        <f t="shared" si="151"/>
        <v>80</v>
      </c>
      <c r="N336" s="12">
        <v>8.6</v>
      </c>
      <c r="O336" s="12">
        <f t="shared" si="152"/>
        <v>3.4</v>
      </c>
      <c r="P336" s="11">
        <f>LOOKUP(O336,{0,0.5,0.7,0.9,1.1,1.3,1.5,1.7,1.9,2.1,2.3,2.5,2.7,2.9,3.1,3.3,3.5,3.8,4.1,4.2,4.3},{0,10,20,30,40,50,60,62,64,66,68,70,72,74,76,78,80,85,90,95,100})</f>
        <v>78</v>
      </c>
      <c r="Q336" s="12">
        <v>3.41</v>
      </c>
      <c r="R336" s="12">
        <f t="shared" si="153"/>
        <v>6.59</v>
      </c>
      <c r="S336" s="11">
        <f>LOOKUP(R336,{0,4.72,4.82,4.92,5.42,5.52,5.62,5.67,5.72,5.77,5.82,5.87,5.92,5.97,6.42,6.47,6.52,6.59,6.66,6.72,6.78},{0,10,20,30,40,50,60,62,64,66,68,70,72,74,76,78,80,85,90,95,100})</f>
        <v>85</v>
      </c>
      <c r="T336" s="12"/>
      <c r="U336" s="12"/>
      <c r="V336" s="12">
        <f t="shared" si="154"/>
        <v>85</v>
      </c>
      <c r="W336" s="12"/>
      <c r="X336" s="20">
        <f t="shared" si="134"/>
        <v>58.4</v>
      </c>
      <c r="Y336" s="20">
        <f t="shared" si="155"/>
        <v>83.4285714285714</v>
      </c>
    </row>
    <row r="337" customFormat="1" ht="15.6" hidden="1" outlineLevel="2" spans="1:25">
      <c r="A337" s="12">
        <v>207</v>
      </c>
      <c r="B337" s="12">
        <v>49</v>
      </c>
      <c r="C337" s="6" t="s">
        <v>377</v>
      </c>
      <c r="D337" s="6" t="s">
        <v>53</v>
      </c>
      <c r="E337" s="12">
        <v>19</v>
      </c>
      <c r="F337" s="11">
        <f>LOOKUP(E337,{0,1,1.8,2.6,3.4,4.2,5,6.3,7.6,8.9,10.2,11.5,12.8,14.1,15.4,16.7,18,19.7,21.4,23.1,24.8},{0,10,20,30,40,50,60,62,64,66,68,70,72,74,76,78,80,85,90,95,100})</f>
        <v>80</v>
      </c>
      <c r="G337" s="12">
        <v>182</v>
      </c>
      <c r="H337" s="11">
        <f>LOOKUP(G337,{0,124,129,134,139,144,149,152,155,158,161,164,167,170,173,176,179,186,193,199,205},{0,10,20,30,40,50,60,62,64,66,68,70,72,74,76,78,80,85,90,95,100})</f>
        <v>80</v>
      </c>
      <c r="I337" s="12">
        <v>56</v>
      </c>
      <c r="J337" s="11">
        <f>LOOKUP(I337,{0,14,16,18,20,22,24,26,28,30,32,34,36,38,40,42,44,47,50,52,54},{0,10,20,30,40,50,60,62,64,66,68,70,72,74,76,78,80,85,90,95,100})</f>
        <v>100</v>
      </c>
      <c r="K337" s="12">
        <f t="shared" si="156"/>
        <v>2</v>
      </c>
      <c r="L337" s="11">
        <f>LOOKUP(K337,{0,2,4,6,7,8,9,10,11,12,13},{0,1,2,3,4,5,6,7,8,9,10})</f>
        <v>1</v>
      </c>
      <c r="M337" s="12">
        <f t="shared" si="151"/>
        <v>101</v>
      </c>
      <c r="N337" s="12">
        <v>9.3</v>
      </c>
      <c r="O337" s="12">
        <f t="shared" si="152"/>
        <v>2.7</v>
      </c>
      <c r="P337" s="11">
        <f>LOOKUP(O337,{0,0.5,0.7,0.9,1.1,1.3,1.5,1.7,1.9,2.1,2.3,2.5,2.7,2.9,3.1,3.3,3.5,3.8,4.1,4.2,4.3},{0,10,20,30,40,50,60,62,64,66,68,70,72,74,76,78,80,85,90,95,100})</f>
        <v>72</v>
      </c>
      <c r="Q337" s="12">
        <v>3.48</v>
      </c>
      <c r="R337" s="12">
        <f t="shared" si="153"/>
        <v>6.52</v>
      </c>
      <c r="S337" s="11">
        <f>LOOKUP(R337,{0,4.72,4.82,4.92,5.42,5.52,5.62,5.67,5.72,5.77,5.82,5.87,5.92,5.97,6.42,6.47,6.52,6.59,6.66,6.72,6.78},{0,10,20,30,40,50,60,62,64,66,68,70,72,74,76,78,80,85,90,95,100})</f>
        <v>80</v>
      </c>
      <c r="T337" s="12"/>
      <c r="U337" s="12"/>
      <c r="V337" s="12">
        <f t="shared" si="154"/>
        <v>80</v>
      </c>
      <c r="W337" s="12"/>
      <c r="X337" s="20">
        <f t="shared" si="134"/>
        <v>56.4</v>
      </c>
      <c r="Y337" s="20">
        <f t="shared" si="155"/>
        <v>81.5714285714286</v>
      </c>
    </row>
    <row r="338" customFormat="1" ht="15.6" hidden="1" outlineLevel="2" spans="1:25">
      <c r="A338" s="12">
        <v>207</v>
      </c>
      <c r="B338" s="12">
        <v>50</v>
      </c>
      <c r="C338" s="6" t="s">
        <v>378</v>
      </c>
      <c r="D338" s="6" t="s">
        <v>53</v>
      </c>
      <c r="E338" s="12">
        <v>10.2</v>
      </c>
      <c r="F338" s="11">
        <f>LOOKUP(E338,{0,1,1.8,2.6,3.4,4.2,5,6.3,7.6,8.9,10.2,11.5,12.8,14.1,15.4,16.7,18,19.7,21.4,23.1,24.8},{0,10,20,30,40,50,60,62,64,66,68,70,72,74,76,78,80,85,90,95,100})</f>
        <v>68</v>
      </c>
      <c r="G338" s="12">
        <v>173</v>
      </c>
      <c r="H338" s="11">
        <f>LOOKUP(G338,{0,124,129,134,139,144,149,152,155,158,161,164,167,170,173,176,179,186,193,199,205},{0,10,20,30,40,50,60,62,64,66,68,70,72,74,76,78,80,85,90,95,100})</f>
        <v>76</v>
      </c>
      <c r="I338" s="12">
        <v>42</v>
      </c>
      <c r="J338" s="11">
        <f>LOOKUP(I338,{0,14,16,18,20,22,24,26,28,30,32,34,36,38,40,42,44,47,50,52,54},{0,10,20,30,40,50,60,62,64,66,68,70,72,74,76,78,80,85,90,95,100})</f>
        <v>78</v>
      </c>
      <c r="K338" s="12"/>
      <c r="L338" s="12"/>
      <c r="M338" s="12">
        <f t="shared" si="151"/>
        <v>78</v>
      </c>
      <c r="N338" s="12">
        <v>9.2</v>
      </c>
      <c r="O338" s="12">
        <f t="shared" si="152"/>
        <v>2.8</v>
      </c>
      <c r="P338" s="11">
        <f>LOOKUP(O338,{0,0.5,0.7,0.9,1.1,1.3,1.5,1.7,1.9,2.1,2.3,2.5,2.7,2.9,3.1,3.3,3.5,3.8,4.1,4.2,4.3},{0,10,20,30,40,50,60,62,64,66,68,70,72,74,76,78,80,85,90,95,100})</f>
        <v>72</v>
      </c>
      <c r="Q338" s="12">
        <v>3.59</v>
      </c>
      <c r="R338" s="12">
        <f t="shared" si="153"/>
        <v>6.41</v>
      </c>
      <c r="S338" s="11">
        <f>LOOKUP(R338,{0,4.72,4.82,4.92,5.42,5.52,5.62,5.67,5.72,5.77,5.82,5.87,5.92,5.97,6.42,6.47,6.52,6.59,6.66,6.72,6.78},{0,10,20,30,40,50,60,62,64,66,68,70,72,74,76,78,80,85,90,95,100})</f>
        <v>74</v>
      </c>
      <c r="T338" s="12"/>
      <c r="U338" s="12"/>
      <c r="V338" s="12">
        <f t="shared" si="154"/>
        <v>74</v>
      </c>
      <c r="W338" s="12"/>
      <c r="X338" s="20">
        <f t="shared" si="134"/>
        <v>51.4</v>
      </c>
      <c r="Y338" s="20">
        <f t="shared" si="155"/>
        <v>73.4285714285714</v>
      </c>
    </row>
    <row r="339" ht="15.6" outlineLevel="1" collapsed="1" spans="1:25">
      <c r="A339" s="14" t="s">
        <v>861</v>
      </c>
      <c r="B339" s="12"/>
      <c r="C339" s="6"/>
      <c r="D339" s="6"/>
      <c r="E339" s="12"/>
      <c r="F339" s="11">
        <f>SUBTOTAL(1,F289:F338)</f>
        <v>78.2790697674419</v>
      </c>
      <c r="G339" s="12"/>
      <c r="H339" s="11">
        <f>SUBTOTAL(1,H289:H338)</f>
        <v>76.2093023255814</v>
      </c>
      <c r="I339" s="12"/>
      <c r="J339" s="11">
        <f>SUBTOTAL(1,J289:J338)</f>
        <v>74.1395348837209</v>
      </c>
      <c r="K339" s="12"/>
      <c r="L339" s="12"/>
      <c r="M339" s="12">
        <f>SUBTOTAL(1,M289:M338)</f>
        <v>75.0697674418605</v>
      </c>
      <c r="N339" s="12"/>
      <c r="O339" s="12"/>
      <c r="P339" s="11">
        <f>SUBTOTAL(1,P289:P338)</f>
        <v>84.4883720930233</v>
      </c>
      <c r="Q339" s="12"/>
      <c r="R339" s="12"/>
      <c r="S339" s="11">
        <f>SUBTOTAL(1,S289:S338)</f>
        <v>80.1860465116279</v>
      </c>
      <c r="T339" s="12"/>
      <c r="U339" s="12"/>
      <c r="V339" s="12">
        <f>SUBTOTAL(1,V289:V338)</f>
        <v>80.2558139534884</v>
      </c>
      <c r="W339" s="12"/>
      <c r="X339" s="20">
        <f>SUBTOTAL(1,X289:X338)</f>
        <v>47.986</v>
      </c>
      <c r="Y339" s="20">
        <f>SUBTOTAL(1,Y289:Y338)</f>
        <v>76.4114285714286</v>
      </c>
    </row>
    <row r="340" customFormat="1" ht="15.6" hidden="1" outlineLevel="2" spans="1:25">
      <c r="A340" s="12">
        <v>208</v>
      </c>
      <c r="B340" s="12">
        <v>1</v>
      </c>
      <c r="C340" s="13" t="s">
        <v>380</v>
      </c>
      <c r="D340" s="6" t="s">
        <v>11</v>
      </c>
      <c r="E340" s="12"/>
      <c r="F340" s="11"/>
      <c r="G340" s="12"/>
      <c r="H340" s="11"/>
      <c r="I340" s="12"/>
      <c r="J340" s="11"/>
      <c r="K340" s="12"/>
      <c r="L340" s="12"/>
      <c r="M340" s="12"/>
      <c r="N340" s="12"/>
      <c r="O340" s="12"/>
      <c r="P340" s="11"/>
      <c r="Q340" s="12"/>
      <c r="R340" s="12"/>
      <c r="S340" s="11"/>
      <c r="T340" s="12"/>
      <c r="U340" s="11"/>
      <c r="V340" s="12"/>
      <c r="W340" s="12"/>
      <c r="X340" s="20">
        <f t="shared" ref="X340:X392" si="157">F340*0.1+H340*0.1+J340*0.1+P340*0.2+S340*0.2</f>
        <v>0</v>
      </c>
      <c r="Y340" s="23">
        <v>50</v>
      </c>
    </row>
    <row r="341" customFormat="1" ht="15.6" hidden="1" outlineLevel="2" spans="1:25">
      <c r="A341" s="12">
        <v>208</v>
      </c>
      <c r="B341" s="12">
        <v>2</v>
      </c>
      <c r="C341" s="6" t="s">
        <v>381</v>
      </c>
      <c r="D341" s="6" t="s">
        <v>11</v>
      </c>
      <c r="E341" s="12">
        <v>24</v>
      </c>
      <c r="F341" s="11">
        <f>LOOKUP(E341,{0,-2.9,-1.9,-0.9,0.1,1.1,2.1,3.5,4.9,6.3,7.7,9.1,10.5,11.9,13.3,14.7,16.1,18.3,20.5,22.4,24.3},{0,10,20,30,40,50,60,62,64,66,68,70,72,74,76,78,80,85,90,95,100})</f>
        <v>95</v>
      </c>
      <c r="G341" s="12">
        <v>250</v>
      </c>
      <c r="H341" s="11">
        <f>LOOKUP(G341,{0,175,180,185,190,195,200,204,208,212,216,220,224,228,232,236,240,248,255,260,265},{0,10,20,30,40,50,60,62,64,66,68,70,72,74,76,78,80,85,90,95,100})</f>
        <v>85</v>
      </c>
      <c r="I341" s="12">
        <v>12</v>
      </c>
      <c r="J341" s="11">
        <f>LOOKUP(I341,{0,3,4,5,6,7,8,9,10,11,12,13,14,15,16,17},{0,10,20,30,40,50,60,64,68,72,76,80,85,90,95,100})</f>
        <v>76</v>
      </c>
      <c r="K341" s="12"/>
      <c r="L341" s="12"/>
      <c r="M341" s="12">
        <f t="shared" ref="M341:M344" si="158">J341+L341</f>
        <v>76</v>
      </c>
      <c r="N341" s="12">
        <v>7.1</v>
      </c>
      <c r="O341" s="12">
        <f t="shared" ref="O341:O344" si="159">12-N341</f>
        <v>4.9</v>
      </c>
      <c r="P341" s="11">
        <f>LOOKUP(O341,{0,1.6,1.8,2,2.2,2.4,2.6,2.8,3,3.2,3.4,3.6,3.8,4,4.2,4.4,4.6,4.7,4.8,4.9,5},{0,10,20,30,40,50,60,62,64,66,68,70,72,74,76,78,80,85,90,95,100})</f>
        <v>95</v>
      </c>
      <c r="Q341" s="12">
        <v>3.49</v>
      </c>
      <c r="R341" s="12">
        <f t="shared" ref="R341:R344" si="160">10-Q341</f>
        <v>6.51</v>
      </c>
      <c r="S341" s="11">
        <f>LOOKUP(R341,{0,3.8,4,4.6,4.8,5,5.6,5.65,5.7,5.75,5.8,5.85,5.9,5.95,6,6.45,6.5,6.58,6.65,6.7,6.75},{0,10,20,30,40,50,60,62,64,66,68,70,72,74,76,78,80,85,90,95,100})</f>
        <v>80</v>
      </c>
      <c r="T341" s="12"/>
      <c r="U341" s="12"/>
      <c r="V341" s="12">
        <f t="shared" ref="V341:V344" si="161">S341+U341</f>
        <v>80</v>
      </c>
      <c r="W341" s="12"/>
      <c r="X341" s="20">
        <f t="shared" si="157"/>
        <v>60.6</v>
      </c>
      <c r="Y341" s="20">
        <f t="shared" ref="Y341:Y344" si="162">X341/0.7+L341+U341</f>
        <v>86.5714285714286</v>
      </c>
    </row>
    <row r="342" customFormat="1" ht="15.6" hidden="1" outlineLevel="2" spans="1:25">
      <c r="A342" s="12">
        <v>208</v>
      </c>
      <c r="B342" s="12">
        <v>3</v>
      </c>
      <c r="C342" s="6" t="s">
        <v>382</v>
      </c>
      <c r="D342" s="6" t="s">
        <v>11</v>
      </c>
      <c r="E342" s="12">
        <v>14.5</v>
      </c>
      <c r="F342" s="11">
        <f>LOOKUP(E342,{0,-2.9,-1.9,-0.9,0.1,1.1,2.1,3.5,4.9,6.3,7.7,9.1,10.5,11.9,13.3,14.7,16.1,18.3,20.5,22.4,24.3},{0,10,20,30,40,50,60,62,64,66,68,70,72,74,76,78,80,85,90,95,100})</f>
        <v>76</v>
      </c>
      <c r="G342" s="12">
        <v>229</v>
      </c>
      <c r="H342" s="11">
        <f>LOOKUP(G342,{0,175,180,185,190,195,200,204,208,212,216,220,224,228,232,236,240,248,255,260,265},{0,10,20,30,40,50,60,62,64,66,68,70,72,74,76,78,80,85,90,95,100})</f>
        <v>74</v>
      </c>
      <c r="I342" s="12">
        <v>14</v>
      </c>
      <c r="J342" s="11">
        <f>LOOKUP(I342,{0,3,4,5,6,7,8,9,10,11,12,13,14,15,16,17},{0,10,20,30,40,50,60,64,68,72,76,80,85,90,95,100})</f>
        <v>85</v>
      </c>
      <c r="K342" s="12"/>
      <c r="L342" s="12"/>
      <c r="M342" s="12">
        <f t="shared" si="158"/>
        <v>85</v>
      </c>
      <c r="N342" s="12">
        <v>7.5</v>
      </c>
      <c r="O342" s="12">
        <f t="shared" si="159"/>
        <v>4.5</v>
      </c>
      <c r="P342" s="11">
        <f>LOOKUP(O342,{0,1.6,1.8,2,2.2,2.4,2.6,2.8,3,3.2,3.4,3.6,3.8,4,4.2,4.4,4.6,4.7,4.8,4.9,5},{0,10,20,30,40,50,60,62,64,66,68,70,72,74,76,78,80,85,90,95,100})</f>
        <v>78</v>
      </c>
      <c r="Q342" s="12">
        <v>3.46</v>
      </c>
      <c r="R342" s="12">
        <f t="shared" si="160"/>
        <v>6.54</v>
      </c>
      <c r="S342" s="11">
        <f>LOOKUP(R342,{0,3.8,4,4.6,4.8,5,5.6,5.65,5.7,5.75,5.8,5.85,5.9,5.95,6,6.45,6.5,6.58,6.65,6.7,6.75},{0,10,20,30,40,50,60,62,64,66,68,70,72,74,76,78,80,85,90,95,100})</f>
        <v>80</v>
      </c>
      <c r="T342" s="12"/>
      <c r="U342" s="12"/>
      <c r="V342" s="12">
        <f t="shared" si="161"/>
        <v>80</v>
      </c>
      <c r="W342" s="12"/>
      <c r="X342" s="20">
        <f t="shared" si="157"/>
        <v>55.1</v>
      </c>
      <c r="Y342" s="20">
        <f t="shared" si="162"/>
        <v>78.7142857142857</v>
      </c>
    </row>
    <row r="343" customFormat="1" ht="15.6" hidden="1" outlineLevel="2" spans="1:25">
      <c r="A343" s="12">
        <v>208</v>
      </c>
      <c r="B343" s="12">
        <v>4</v>
      </c>
      <c r="C343" s="6" t="s">
        <v>383</v>
      </c>
      <c r="D343" s="6" t="s">
        <v>11</v>
      </c>
      <c r="E343" s="12">
        <v>13</v>
      </c>
      <c r="F343" s="11">
        <f>LOOKUP(E343,{0,-2.9,-1.9,-0.9,0.1,1.1,2.1,3.5,4.9,6.3,7.7,9.1,10.5,11.9,13.3,14.7,16.1,18.3,20.5,22.4,24.3},{0,10,20,30,40,50,60,62,64,66,68,70,72,74,76,78,80,85,90,95,100})</f>
        <v>74</v>
      </c>
      <c r="G343" s="12">
        <v>281</v>
      </c>
      <c r="H343" s="11">
        <f>LOOKUP(G343,{0,175,180,185,190,195,200,204,208,212,216,220,224,228,232,236,240,248,255,260,265},{0,10,20,30,40,50,60,62,64,66,68,70,72,74,76,78,80,85,90,95,100})</f>
        <v>100</v>
      </c>
      <c r="I343" s="12">
        <v>15</v>
      </c>
      <c r="J343" s="11">
        <f>LOOKUP(I343,{0,3,4,5,6,7,8,9,10,11,12,13,14,15,16,17},{0,10,20,30,40,50,60,64,68,72,76,80,85,90,95,100})</f>
        <v>90</v>
      </c>
      <c r="K343" s="12"/>
      <c r="L343" s="12"/>
      <c r="M343" s="12">
        <f t="shared" si="158"/>
        <v>90</v>
      </c>
      <c r="N343" s="12">
        <v>6.8</v>
      </c>
      <c r="O343" s="12">
        <f t="shared" si="159"/>
        <v>5.2</v>
      </c>
      <c r="P343" s="11">
        <f>LOOKUP(O343,{0,1.6,1.8,2,2.2,2.4,2.6,2.8,3,3.2,3.4,3.6,3.8,4,4.2,4.4,4.6,4.7,4.8,4.9,5},{0,10,20,30,40,50,60,62,64,66,68,70,72,74,76,78,80,85,90,95,100})</f>
        <v>100</v>
      </c>
      <c r="Q343" s="12">
        <v>3.48</v>
      </c>
      <c r="R343" s="12">
        <f t="shared" si="160"/>
        <v>6.52</v>
      </c>
      <c r="S343" s="11">
        <f>LOOKUP(R343,{0,3.8,4,4.6,4.8,5,5.6,5.65,5.7,5.75,5.8,5.85,5.9,5.95,6,6.45,6.5,6.58,6.65,6.7,6.75},{0,10,20,30,40,50,60,62,64,66,68,70,72,74,76,78,80,85,90,95,100})</f>
        <v>80</v>
      </c>
      <c r="T343" s="12"/>
      <c r="U343" s="12"/>
      <c r="V343" s="12">
        <f t="shared" si="161"/>
        <v>80</v>
      </c>
      <c r="W343" s="12"/>
      <c r="X343" s="20">
        <f t="shared" si="157"/>
        <v>62.4</v>
      </c>
      <c r="Y343" s="20">
        <f t="shared" si="162"/>
        <v>89.1428571428572</v>
      </c>
    </row>
    <row r="344" customFormat="1" ht="15.6" hidden="1" outlineLevel="2" spans="1:25">
      <c r="A344" s="12">
        <v>208</v>
      </c>
      <c r="B344" s="12">
        <v>5</v>
      </c>
      <c r="C344" s="6" t="s">
        <v>384</v>
      </c>
      <c r="D344" s="6" t="s">
        <v>11</v>
      </c>
      <c r="E344" s="12">
        <v>15</v>
      </c>
      <c r="F344" s="11">
        <f>LOOKUP(E344,{0,-2.9,-1.9,-0.9,0.1,1.1,2.1,3.5,4.9,6.3,7.7,9.1,10.5,11.9,13.3,14.7,16.1,18.3,20.5,22.4,24.3},{0,10,20,30,40,50,60,62,64,66,68,70,72,74,76,78,80,85,90,95,100})</f>
        <v>78</v>
      </c>
      <c r="G344" s="12">
        <v>240</v>
      </c>
      <c r="H344" s="11">
        <f>LOOKUP(G344,{0,175,180,185,190,195,200,204,208,212,216,220,224,228,232,236,240,248,255,260,265},{0,10,20,30,40,50,60,62,64,66,68,70,72,74,76,78,80,85,90,95,100})</f>
        <v>80</v>
      </c>
      <c r="I344" s="12">
        <v>0</v>
      </c>
      <c r="J344" s="11">
        <f>LOOKUP(I344,{0,3,4,5,6,7,8,9,10,11,12,13,14,15,16,17},{0,10,20,30,40,50,60,64,68,72,76,80,85,90,95,100})</f>
        <v>0</v>
      </c>
      <c r="K344" s="12"/>
      <c r="L344" s="15"/>
      <c r="M344" s="12">
        <f t="shared" si="158"/>
        <v>0</v>
      </c>
      <c r="N344" s="12">
        <v>7.2</v>
      </c>
      <c r="O344" s="12">
        <f t="shared" si="159"/>
        <v>4.8</v>
      </c>
      <c r="P344" s="11">
        <f>LOOKUP(O344,{0,1.6,1.8,2,2.2,2.4,2.6,2.8,3,3.2,3.4,3.6,3.8,4,4.2,4.4,4.6,4.7,4.8,4.9,5},{0,10,20,30,40,50,60,62,64,66,68,70,72,74,76,78,80,85,90,95,100})</f>
        <v>90</v>
      </c>
      <c r="Q344" s="12">
        <v>3.54</v>
      </c>
      <c r="R344" s="12">
        <f t="shared" si="160"/>
        <v>6.46</v>
      </c>
      <c r="S344" s="11">
        <f>LOOKUP(R344,{0,3.8,4,4.6,4.8,5,5.6,5.65,5.7,5.75,5.8,5.85,5.9,5.95,6,6.45,6.5,6.58,6.65,6.7,6.75},{0,10,20,30,40,50,60,62,64,66,68,70,72,74,76,78,80,85,90,95,100})</f>
        <v>78</v>
      </c>
      <c r="T344" s="12"/>
      <c r="U344" s="12"/>
      <c r="V344" s="12">
        <f t="shared" si="161"/>
        <v>78</v>
      </c>
      <c r="W344" s="12"/>
      <c r="X344" s="20">
        <f t="shared" si="157"/>
        <v>49.4</v>
      </c>
      <c r="Y344" s="20">
        <f t="shared" si="162"/>
        <v>70.5714285714286</v>
      </c>
    </row>
    <row r="345" s="1" customFormat="1" ht="15.6" hidden="1" outlineLevel="2" spans="1:25">
      <c r="A345" s="12">
        <v>208</v>
      </c>
      <c r="B345" s="12">
        <v>6</v>
      </c>
      <c r="C345" s="6" t="s">
        <v>385</v>
      </c>
      <c r="D345" s="6" t="s">
        <v>11</v>
      </c>
      <c r="E345" s="12"/>
      <c r="F345" s="11"/>
      <c r="G345" s="12"/>
      <c r="H345" s="11"/>
      <c r="I345" s="12"/>
      <c r="J345" s="11"/>
      <c r="K345" s="12"/>
      <c r="L345" s="15"/>
      <c r="M345" s="12"/>
      <c r="N345" s="12"/>
      <c r="O345" s="12"/>
      <c r="P345" s="11"/>
      <c r="Q345" s="12"/>
      <c r="R345" s="12"/>
      <c r="S345" s="11"/>
      <c r="T345" s="12"/>
      <c r="U345" s="11"/>
      <c r="V345" s="12"/>
      <c r="W345" s="12" t="s">
        <v>14</v>
      </c>
      <c r="X345" s="20">
        <f t="shared" si="157"/>
        <v>0</v>
      </c>
      <c r="Y345" s="20">
        <v>50</v>
      </c>
    </row>
    <row r="346" ht="15.6" hidden="1" outlineLevel="2" spans="1:25">
      <c r="A346" s="12">
        <v>208</v>
      </c>
      <c r="B346" s="12">
        <v>7</v>
      </c>
      <c r="C346" s="6" t="s">
        <v>386</v>
      </c>
      <c r="D346" s="6" t="s">
        <v>11</v>
      </c>
      <c r="E346" s="12">
        <v>26.5</v>
      </c>
      <c r="F346" s="11">
        <f>LOOKUP(E346,{0,-2.9,-1.9,-0.9,0.1,1.1,2.1,3.5,4.9,6.3,7.7,9.1,10.5,11.9,13.3,14.7,16.1,18.3,20.5,22.4,24.3},{0,10,20,30,40,50,60,62,64,66,68,70,72,74,76,78,80,85,90,95,100})</f>
        <v>100</v>
      </c>
      <c r="G346" s="12">
        <v>265</v>
      </c>
      <c r="H346" s="11">
        <f>LOOKUP(G346,{0,175,180,185,190,195,200,204,208,212,216,220,224,228,232,236,240,248,255,260,265},{0,10,20,30,40,50,60,62,64,66,68,70,72,74,76,78,80,85,90,95,100})</f>
        <v>100</v>
      </c>
      <c r="I346" s="12">
        <v>27</v>
      </c>
      <c r="J346" s="11">
        <f>LOOKUP(I346,{0,3,4,5,6,7,8,9,10,11,12,13,14,15,16,17},{0,10,20,30,40,50,60,64,68,72,76,80,85,90,95,100})</f>
        <v>100</v>
      </c>
      <c r="K346" s="12">
        <f>I346-17</f>
        <v>10</v>
      </c>
      <c r="L346" s="11">
        <f>LOOKUP(K346,{0,1,2,3,4,5,6,7,8,9,10},{0,1,2,3,4,5,6,7,8,9,10})</f>
        <v>10</v>
      </c>
      <c r="M346" s="12">
        <f t="shared" ref="M346:M353" si="163">J346+L346</f>
        <v>110</v>
      </c>
      <c r="N346" s="12">
        <v>7.3</v>
      </c>
      <c r="O346" s="12">
        <f t="shared" ref="O346:O351" si="164">12-N346</f>
        <v>4.7</v>
      </c>
      <c r="P346" s="11">
        <f>LOOKUP(O346,{0,1.6,1.8,2,2.2,2.4,2.6,2.8,3,3.2,3.4,3.6,3.8,4,4.2,4.4,4.6,4.7,4.8,4.9,5},{0,10,20,30,40,50,60,62,64,66,68,70,72,74,76,78,80,85,90,95,100})</f>
        <v>85</v>
      </c>
      <c r="Q346" s="12">
        <v>4.1</v>
      </c>
      <c r="R346" s="12">
        <f t="shared" ref="R346:R353" si="165">10-Q346</f>
        <v>5.9</v>
      </c>
      <c r="S346" s="11">
        <f>LOOKUP(R346,{0,3.8,4,4.6,4.8,5,5.6,5.65,5.7,5.75,5.8,5.85,5.9,5.95,6,6.45,6.5,6.58,6.65,6.7,6.75},{0,10,20,30,40,50,60,62,64,66,68,70,72,74,76,78,80,85,90,95,100})</f>
        <v>72</v>
      </c>
      <c r="T346" s="12"/>
      <c r="U346" s="12"/>
      <c r="V346" s="12">
        <f t="shared" ref="V346:V353" si="166">S346+U346</f>
        <v>72</v>
      </c>
      <c r="W346" s="12"/>
      <c r="X346" s="20">
        <f t="shared" si="157"/>
        <v>61.4</v>
      </c>
      <c r="Y346" s="20">
        <f t="shared" ref="Y346:Y351" si="167">X346/0.7+L346+U346</f>
        <v>97.7142857142857</v>
      </c>
    </row>
    <row r="347" ht="15.6" hidden="1" outlineLevel="2" spans="1:25">
      <c r="A347" s="12">
        <v>208</v>
      </c>
      <c r="B347" s="12">
        <v>8</v>
      </c>
      <c r="C347" s="6" t="s">
        <v>387</v>
      </c>
      <c r="D347" s="6" t="s">
        <v>11</v>
      </c>
      <c r="E347" s="12">
        <v>2</v>
      </c>
      <c r="F347" s="11">
        <f>LOOKUP(E347,{0,-2.9,-1.9,-0.9,0.1,1.1,2.1,3.5,4.9,6.3,7.7,9.1,10.5,11.9,13.3,14.7,16.1,18.3,20.5,22.4,24.3},{0,10,20,30,40,50,60,62,64,66,68,70,72,74,76,78,80,85,90,95,100})</f>
        <v>50</v>
      </c>
      <c r="G347" s="12">
        <v>235</v>
      </c>
      <c r="H347" s="11">
        <f>LOOKUP(G347,{0,175,180,185,190,195,200,204,208,212,216,220,224,228,232,236,240,248,255,260,265},{0,10,20,30,40,50,60,62,64,66,68,70,72,74,76,78,80,85,90,95,100})</f>
        <v>76</v>
      </c>
      <c r="I347" s="12">
        <v>4</v>
      </c>
      <c r="J347" s="11">
        <f>LOOKUP(I347,{0,3,4,5,6,7,8,9,10,11,12,13,14,15,16,17},{0,10,20,30,40,50,60,64,68,72,76,80,85,90,95,100})</f>
        <v>20</v>
      </c>
      <c r="K347" s="12"/>
      <c r="L347" s="12"/>
      <c r="M347" s="12">
        <f t="shared" si="163"/>
        <v>20</v>
      </c>
      <c r="N347" s="12">
        <v>8.3</v>
      </c>
      <c r="O347" s="12">
        <f t="shared" si="164"/>
        <v>3.7</v>
      </c>
      <c r="P347" s="11">
        <f>LOOKUP(O347,{0,1.6,1.8,2,2.2,2.4,2.6,2.8,3,3.2,3.4,3.6,3.8,4,4.2,4.4,4.6,4.7,4.8,4.9,5},{0,10,20,30,40,50,60,62,64,66,68,70,72,74,76,78,80,85,90,95,100})</f>
        <v>70</v>
      </c>
      <c r="Q347" s="12">
        <v>4.41</v>
      </c>
      <c r="R347" s="12">
        <f t="shared" si="165"/>
        <v>5.59</v>
      </c>
      <c r="S347" s="11">
        <f>LOOKUP(R347,{0,3.8,4,4.6,4.8,5,5.6,5.65,5.7,5.75,5.8,5.85,5.9,5.95,6,6.45,6.5,6.58,6.65,6.7,6.75},{0,10,20,30,40,50,60,62,64,66,68,70,72,74,76,78,80,85,90,95,100})</f>
        <v>50</v>
      </c>
      <c r="T347" s="12"/>
      <c r="U347" s="12"/>
      <c r="V347" s="12">
        <f t="shared" si="166"/>
        <v>50</v>
      </c>
      <c r="W347" s="12"/>
      <c r="X347" s="20">
        <f t="shared" si="157"/>
        <v>38.6</v>
      </c>
      <c r="Y347" s="20">
        <f t="shared" si="167"/>
        <v>55.1428571428571</v>
      </c>
    </row>
    <row r="348" ht="15.6" hidden="1" outlineLevel="2" spans="1:25">
      <c r="A348" s="12">
        <v>208</v>
      </c>
      <c r="B348" s="12">
        <v>9</v>
      </c>
      <c r="C348" s="6" t="s">
        <v>388</v>
      </c>
      <c r="D348" s="6" t="s">
        <v>11</v>
      </c>
      <c r="E348" s="12">
        <v>11</v>
      </c>
      <c r="F348" s="11">
        <f>LOOKUP(E348,{0,-2.9,-1.9,-0.9,0.1,1.1,2.1,3.5,4.9,6.3,7.7,9.1,10.5,11.9,13.3,14.7,16.1,18.3,20.5,22.4,24.3},{0,10,20,30,40,50,60,62,64,66,68,70,72,74,76,78,80,85,90,95,100})</f>
        <v>72</v>
      </c>
      <c r="G348" s="12">
        <v>213</v>
      </c>
      <c r="H348" s="11">
        <f>LOOKUP(G348,{0,175,180,185,190,195,200,204,208,212,216,220,224,228,232,236,240,248,255,260,265},{0,10,20,30,40,50,60,62,64,66,68,70,72,74,76,78,80,85,90,95,100})</f>
        <v>66</v>
      </c>
      <c r="I348" s="12">
        <v>9</v>
      </c>
      <c r="J348" s="11">
        <f>LOOKUP(I348,{0,3,4,5,6,7,8,9,10,11,12,13,14,15,16,17},{0,10,20,30,40,50,60,64,68,72,76,80,85,90,95,100})</f>
        <v>64</v>
      </c>
      <c r="K348" s="12"/>
      <c r="L348" s="15"/>
      <c r="M348" s="12">
        <f t="shared" si="163"/>
        <v>64</v>
      </c>
      <c r="N348" s="12">
        <v>7.8</v>
      </c>
      <c r="O348" s="12">
        <f t="shared" si="164"/>
        <v>4.2</v>
      </c>
      <c r="P348" s="11">
        <f>LOOKUP(O348,{0,1.6,1.8,2,2.2,2.4,2.6,2.8,3,3.2,3.4,3.6,3.8,4,4.2,4.4,4.6,4.7,4.8,4.9,5},{0,10,20,30,40,50,60,62,64,66,68,70,72,74,76,78,80,85,90,95,100})</f>
        <v>76</v>
      </c>
      <c r="Q348" s="12">
        <v>3.54</v>
      </c>
      <c r="R348" s="12">
        <f t="shared" si="165"/>
        <v>6.46</v>
      </c>
      <c r="S348" s="11">
        <f>LOOKUP(R348,{0,3.8,4,4.6,4.8,5,5.6,5.65,5.7,5.75,5.8,5.85,5.9,5.95,6,6.45,6.5,6.58,6.65,6.7,6.75},{0,10,20,30,40,50,60,62,64,66,68,70,72,74,76,78,80,85,90,95,100})</f>
        <v>78</v>
      </c>
      <c r="T348" s="12"/>
      <c r="U348" s="12"/>
      <c r="V348" s="12">
        <f t="shared" si="166"/>
        <v>78</v>
      </c>
      <c r="W348" s="12"/>
      <c r="X348" s="20">
        <f t="shared" si="157"/>
        <v>51</v>
      </c>
      <c r="Y348" s="20">
        <f t="shared" si="167"/>
        <v>72.8571428571429</v>
      </c>
    </row>
    <row r="349" ht="15.6" hidden="1" outlineLevel="2" spans="1:25">
      <c r="A349" s="12">
        <v>208</v>
      </c>
      <c r="B349" s="12">
        <v>10</v>
      </c>
      <c r="C349" s="6" t="s">
        <v>389</v>
      </c>
      <c r="D349" s="6" t="s">
        <v>11</v>
      </c>
      <c r="E349" s="12">
        <v>19.5</v>
      </c>
      <c r="F349" s="11">
        <f>LOOKUP(E349,{0,-2.9,-1.9,-0.9,0.1,1.1,2.1,3.5,4.9,6.3,7.7,9.1,10.5,11.9,13.3,14.7,16.1,18.3,20.5,22.4,24.3},{0,10,20,30,40,50,60,62,64,66,68,70,72,74,76,78,80,85,90,95,100})</f>
        <v>85</v>
      </c>
      <c r="G349" s="12">
        <v>228</v>
      </c>
      <c r="H349" s="11">
        <f>LOOKUP(G349,{0,175,180,185,190,195,200,204,208,212,216,220,224,228,232,236,240,248,255,260,265},{0,10,20,30,40,50,60,62,64,66,68,70,72,74,76,78,80,85,90,95,100})</f>
        <v>74</v>
      </c>
      <c r="I349" s="12">
        <v>13</v>
      </c>
      <c r="J349" s="11">
        <f>LOOKUP(I349,{0,3,4,5,6,7,8,9,10,11,12,13,14,15,16,17},{0,10,20,30,40,50,60,64,68,72,76,80,85,90,95,100})</f>
        <v>80</v>
      </c>
      <c r="K349" s="12"/>
      <c r="L349" s="12"/>
      <c r="M349" s="12">
        <f t="shared" si="163"/>
        <v>80</v>
      </c>
      <c r="N349" s="12">
        <v>7.2</v>
      </c>
      <c r="O349" s="12">
        <f t="shared" si="164"/>
        <v>4.8</v>
      </c>
      <c r="P349" s="11">
        <f>LOOKUP(O349,{0,1.6,1.8,2,2.2,2.4,2.6,2.8,3,3.2,3.4,3.6,3.8,4,4.2,4.4,4.6,4.7,4.8,4.9,5},{0,10,20,30,40,50,60,62,64,66,68,70,72,74,76,78,80,85,90,95,100})</f>
        <v>90</v>
      </c>
      <c r="Q349" s="12">
        <v>3.4</v>
      </c>
      <c r="R349" s="12">
        <f t="shared" si="165"/>
        <v>6.6</v>
      </c>
      <c r="S349" s="11">
        <f>LOOKUP(R349,{0,3.8,4,4.6,4.8,5,5.6,5.65,5.7,5.75,5.8,5.85,5.9,5.95,6,6.45,6.5,6.58,6.65,6.7,6.75},{0,10,20,30,40,50,60,62,64,66,68,70,72,74,76,78,80,85,90,95,100})</f>
        <v>85</v>
      </c>
      <c r="T349" s="12"/>
      <c r="U349" s="12"/>
      <c r="V349" s="12">
        <f t="shared" si="166"/>
        <v>85</v>
      </c>
      <c r="W349" s="12"/>
      <c r="X349" s="20">
        <f t="shared" si="157"/>
        <v>58.9</v>
      </c>
      <c r="Y349" s="20">
        <f t="shared" si="167"/>
        <v>84.1428571428572</v>
      </c>
    </row>
    <row r="350" ht="15.6" hidden="1" outlineLevel="2" spans="1:25">
      <c r="A350" s="12">
        <v>208</v>
      </c>
      <c r="B350" s="12">
        <v>11</v>
      </c>
      <c r="C350" s="6" t="s">
        <v>390</v>
      </c>
      <c r="D350" s="6" t="s">
        <v>11</v>
      </c>
      <c r="E350" s="12">
        <v>23</v>
      </c>
      <c r="F350" s="11">
        <f>LOOKUP(E350,{0,-2.9,-1.9,-0.9,0.1,1.1,2.1,3.5,4.9,6.3,7.7,9.1,10.5,11.9,13.3,14.7,16.1,18.3,20.5,22.4,24.3},{0,10,20,30,40,50,60,62,64,66,68,70,72,74,76,78,80,85,90,95,100})</f>
        <v>95</v>
      </c>
      <c r="G350" s="12">
        <v>241</v>
      </c>
      <c r="H350" s="11">
        <f>LOOKUP(G350,{0,175,180,185,190,195,200,204,208,212,216,220,224,228,232,236,240,248,255,260,265},{0,10,20,30,40,50,60,62,64,66,68,70,72,74,76,78,80,85,90,95,100})</f>
        <v>80</v>
      </c>
      <c r="I350" s="12">
        <v>12</v>
      </c>
      <c r="J350" s="11">
        <f>LOOKUP(I350,{0,3,4,5,6,7,8,9,10,11,12,13,14,15,16,17},{0,10,20,30,40,50,60,64,68,72,76,80,85,90,95,100})</f>
        <v>76</v>
      </c>
      <c r="K350" s="12"/>
      <c r="L350" s="15"/>
      <c r="M350" s="12">
        <f t="shared" si="163"/>
        <v>76</v>
      </c>
      <c r="N350" s="12">
        <v>7.5</v>
      </c>
      <c r="O350" s="12">
        <f t="shared" si="164"/>
        <v>4.5</v>
      </c>
      <c r="P350" s="11">
        <f>LOOKUP(O350,{0,1.6,1.8,2,2.2,2.4,2.6,2.8,3,3.2,3.4,3.6,3.8,4,4.2,4.4,4.6,4.7,4.8,4.9,5},{0,10,20,30,40,50,60,62,64,66,68,70,72,74,76,78,80,85,90,95,100})</f>
        <v>78</v>
      </c>
      <c r="Q350" s="12">
        <v>3.36</v>
      </c>
      <c r="R350" s="12">
        <f t="shared" si="165"/>
        <v>6.64</v>
      </c>
      <c r="S350" s="11">
        <f>LOOKUP(R350,{0,3.8,4,4.6,4.8,5,5.6,5.65,5.7,5.75,5.8,5.85,5.9,5.95,6,6.45,6.5,6.58,6.65,6.7,6.75},{0,10,20,30,40,50,60,62,64,66,68,70,72,74,76,78,80,85,90,95,100})</f>
        <v>85</v>
      </c>
      <c r="T350" s="12"/>
      <c r="U350" s="12"/>
      <c r="V350" s="12">
        <f t="shared" si="166"/>
        <v>85</v>
      </c>
      <c r="W350" s="12"/>
      <c r="X350" s="20">
        <f t="shared" si="157"/>
        <v>57.7</v>
      </c>
      <c r="Y350" s="20">
        <f t="shared" si="167"/>
        <v>82.4285714285714</v>
      </c>
    </row>
    <row r="351" ht="15.6" hidden="1" outlineLevel="2" spans="1:25">
      <c r="A351" s="12">
        <v>208</v>
      </c>
      <c r="B351" s="12">
        <v>12</v>
      </c>
      <c r="C351" s="6" t="s">
        <v>391</v>
      </c>
      <c r="D351" s="6" t="s">
        <v>11</v>
      </c>
      <c r="E351" s="12">
        <v>18</v>
      </c>
      <c r="F351" s="11">
        <f>LOOKUP(E351,{0,-2.9,-1.9,-0.9,0.1,1.1,2.1,3.5,4.9,6.3,7.7,9.1,10.5,11.9,13.3,14.7,16.1,18.3,20.5,22.4,24.3},{0,10,20,30,40,50,60,62,64,66,68,70,72,74,76,78,80,85,90,95,100})</f>
        <v>80</v>
      </c>
      <c r="G351" s="12">
        <v>235</v>
      </c>
      <c r="H351" s="11">
        <f>LOOKUP(G351,{0,175,180,185,190,195,200,204,208,212,216,220,224,228,232,236,240,248,255,260,265},{0,10,20,30,40,50,60,62,64,66,68,70,72,74,76,78,80,85,90,95,100})</f>
        <v>76</v>
      </c>
      <c r="I351" s="12">
        <v>16</v>
      </c>
      <c r="J351" s="11">
        <f>LOOKUP(I351,{0,3,4,5,6,7,8,9,10,11,12,13,14,15,16,17},{0,10,20,30,40,50,60,64,68,72,76,80,85,90,95,100})</f>
        <v>95</v>
      </c>
      <c r="K351" s="12"/>
      <c r="L351" s="12"/>
      <c r="M351" s="12">
        <f t="shared" si="163"/>
        <v>95</v>
      </c>
      <c r="N351" s="12">
        <v>7.5</v>
      </c>
      <c r="O351" s="12">
        <f t="shared" si="164"/>
        <v>4.5</v>
      </c>
      <c r="P351" s="11">
        <f>LOOKUP(O351,{0,1.6,1.8,2,2.2,2.4,2.6,2.8,3,3.2,3.4,3.6,3.8,4,4.2,4.4,4.6,4.7,4.8,4.9,5},{0,10,20,30,40,50,60,62,64,66,68,70,72,74,76,78,80,85,90,95,100})</f>
        <v>78</v>
      </c>
      <c r="Q351" s="12">
        <v>4.07</v>
      </c>
      <c r="R351" s="12">
        <f t="shared" si="165"/>
        <v>5.93</v>
      </c>
      <c r="S351" s="11">
        <f>LOOKUP(R351,{0,3.8,4,4.6,4.8,5,5.6,5.65,5.7,5.75,5.8,5.85,5.9,5.95,6,6.45,6.5,6.58,6.65,6.7,6.75},{0,10,20,30,40,50,60,62,64,66,68,70,72,74,76,78,80,85,90,95,100})</f>
        <v>72</v>
      </c>
      <c r="T351" s="12"/>
      <c r="U351" s="12"/>
      <c r="V351" s="12">
        <f t="shared" si="166"/>
        <v>72</v>
      </c>
      <c r="W351" s="12"/>
      <c r="X351" s="20">
        <f t="shared" si="157"/>
        <v>55.1</v>
      </c>
      <c r="Y351" s="20">
        <f t="shared" si="167"/>
        <v>78.7142857142857</v>
      </c>
    </row>
    <row r="352" ht="15.6" hidden="1" outlineLevel="2" spans="1:25">
      <c r="A352" s="12">
        <v>208</v>
      </c>
      <c r="B352" s="12">
        <v>13</v>
      </c>
      <c r="C352" s="13" t="s">
        <v>393</v>
      </c>
      <c r="D352" s="6" t="s">
        <v>11</v>
      </c>
      <c r="E352" s="12">
        <v>7.9</v>
      </c>
      <c r="F352" s="11">
        <f>LOOKUP(E352,{0,-2.9,-1.9,-0.9,0.1,1.1,2.1,3.5,4.9,6.3,7.7,9.1,10.5,11.9,13.3,14.7,16.1,18.3,20.5,22.4,24.3},{0,10,20,30,40,50,60,62,64,66,68,70,72,74,76,78,80,85,90,95,100})</f>
        <v>68</v>
      </c>
      <c r="G352" s="12">
        <v>201</v>
      </c>
      <c r="H352" s="11">
        <f>LOOKUP(G352,{0,175,180,185,190,195,200,204,208,212,216,220,224,228,232,236,240,248,255,260,265},{0,10,20,30,40,50,60,62,64,66,68,70,72,74,76,78,80,85,90,95,100})</f>
        <v>60</v>
      </c>
      <c r="I352" s="12">
        <v>1</v>
      </c>
      <c r="J352" s="11">
        <f>LOOKUP(I352,{0,3,4,5,6,7,8,9,10,11,12,13,14,15,16,17},{0,10,20,30,40,50,60,64,68,72,76,80,85,90,95,100})</f>
        <v>0</v>
      </c>
      <c r="K352" s="12"/>
      <c r="L352" s="12"/>
      <c r="M352" s="12">
        <f t="shared" si="163"/>
        <v>0</v>
      </c>
      <c r="N352" s="12"/>
      <c r="O352" s="12"/>
      <c r="P352" s="11"/>
      <c r="Q352" s="12">
        <v>4.13</v>
      </c>
      <c r="R352" s="12">
        <f t="shared" si="165"/>
        <v>5.87</v>
      </c>
      <c r="S352" s="11">
        <f>LOOKUP(R352,{0,3.8,4,4.6,4.8,5,5.6,5.65,5.7,5.75,5.8,5.85,5.9,5.95,6,6.45,6.5,6.58,6.65,6.7,6.75},{0,10,20,30,40,50,60,62,64,66,68,70,72,74,76,78,80,85,90,95,100})</f>
        <v>70</v>
      </c>
      <c r="T352" s="12"/>
      <c r="U352" s="12"/>
      <c r="V352" s="12">
        <f t="shared" si="166"/>
        <v>70</v>
      </c>
      <c r="W352" s="12"/>
      <c r="X352" s="20">
        <f t="shared" si="157"/>
        <v>26.8</v>
      </c>
      <c r="Y352" s="23">
        <v>50</v>
      </c>
    </row>
    <row r="353" ht="15.6" hidden="1" outlineLevel="2" spans="1:25">
      <c r="A353" s="12">
        <v>208</v>
      </c>
      <c r="B353" s="12">
        <v>14</v>
      </c>
      <c r="C353" s="6" t="s">
        <v>394</v>
      </c>
      <c r="D353" s="6" t="s">
        <v>11</v>
      </c>
      <c r="E353" s="12">
        <v>14.1</v>
      </c>
      <c r="F353" s="11">
        <f>LOOKUP(E353,{0,-2.9,-1.9,-0.9,0.1,1.1,2.1,3.5,4.9,6.3,7.7,9.1,10.5,11.9,13.3,14.7,16.1,18.3,20.5,22.4,24.3},{0,10,20,30,40,50,60,62,64,66,68,70,72,74,76,78,80,85,90,95,100})</f>
        <v>76</v>
      </c>
      <c r="G353" s="12">
        <v>292</v>
      </c>
      <c r="H353" s="11">
        <f>LOOKUP(G353,{0,175,180,185,190,195,200,204,208,212,216,220,224,228,232,236,240,248,255,260,265},{0,10,20,30,40,50,60,62,64,66,68,70,72,74,76,78,80,85,90,95,100})</f>
        <v>100</v>
      </c>
      <c r="I353" s="12">
        <v>27</v>
      </c>
      <c r="J353" s="11">
        <f>LOOKUP(I353,{0,3,4,5,6,7,8,9,10,11,12,13,14,15,16,17},{0,10,20,30,40,50,60,64,68,72,76,80,85,90,95,100})</f>
        <v>100</v>
      </c>
      <c r="K353" s="12">
        <f t="shared" ref="K353:K360" si="168">I353-17</f>
        <v>10</v>
      </c>
      <c r="L353" s="11">
        <f>LOOKUP(K353,{0,1,2,3,4,5,6,7,8,9,10},{0,1,2,3,4,5,6,7,8,9,10})</f>
        <v>10</v>
      </c>
      <c r="M353" s="12">
        <f t="shared" si="163"/>
        <v>110</v>
      </c>
      <c r="N353" s="12">
        <v>6.6</v>
      </c>
      <c r="O353" s="12">
        <f t="shared" ref="O353:O356" si="169">12-N353</f>
        <v>5.4</v>
      </c>
      <c r="P353" s="11">
        <f>LOOKUP(O353,{0,1.6,1.8,2,2.2,2.4,2.6,2.8,3,3.2,3.4,3.6,3.8,4,4.2,4.4,4.6,4.7,4.8,4.9,5},{0,10,20,30,40,50,60,62,64,66,68,70,72,74,76,78,80,85,90,95,100})</f>
        <v>100</v>
      </c>
      <c r="Q353" s="12">
        <v>3.19</v>
      </c>
      <c r="R353" s="12">
        <f t="shared" si="165"/>
        <v>6.81</v>
      </c>
      <c r="S353" s="11">
        <f>LOOKUP(R353,{0,3.8,4,4.6,4.8,5,5.6,5.65,5.7,5.75,5.8,5.85,5.9,5.95,6,6.45,6.5,6.58,6.65,6.7,6.75},{0,10,20,30,40,50,60,62,64,66,68,70,72,74,76,78,80,85,90,95,100})</f>
        <v>100</v>
      </c>
      <c r="T353" s="12">
        <f>3.25-Q353</f>
        <v>0.0600000000000001</v>
      </c>
      <c r="U353" s="11">
        <f>LOOKUP(T353,{0,0.04,0.08,0.12,0.16,0.2,0.23,0.26,0.29,0.32,0.35},{0,1,2,3,4,5,6,7,8,9,10})</f>
        <v>1</v>
      </c>
      <c r="V353" s="12">
        <f t="shared" si="166"/>
        <v>101</v>
      </c>
      <c r="W353" s="12"/>
      <c r="X353" s="20">
        <f t="shared" si="157"/>
        <v>67.6</v>
      </c>
      <c r="Y353" s="20">
        <f t="shared" ref="Y353:Y356" si="170">X353/0.7+L353+U353</f>
        <v>107.571428571429</v>
      </c>
    </row>
    <row r="354" ht="15.6" hidden="1" outlineLevel="2" spans="1:25">
      <c r="A354" s="12">
        <v>208</v>
      </c>
      <c r="B354" s="12">
        <v>15</v>
      </c>
      <c r="C354" s="6" t="s">
        <v>395</v>
      </c>
      <c r="D354" s="6" t="s">
        <v>11</v>
      </c>
      <c r="E354" s="12"/>
      <c r="F354" s="11"/>
      <c r="G354" s="12"/>
      <c r="H354" s="11"/>
      <c r="I354" s="12"/>
      <c r="J354" s="11"/>
      <c r="K354" s="12"/>
      <c r="L354" s="15"/>
      <c r="M354" s="12"/>
      <c r="N354" s="12"/>
      <c r="O354" s="12"/>
      <c r="P354" s="11"/>
      <c r="Q354" s="12"/>
      <c r="R354" s="12"/>
      <c r="S354" s="11"/>
      <c r="T354" s="12"/>
      <c r="U354" s="11"/>
      <c r="V354" s="12"/>
      <c r="W354" s="12" t="s">
        <v>14</v>
      </c>
      <c r="X354" s="20">
        <f t="shared" si="157"/>
        <v>0</v>
      </c>
      <c r="Y354" s="20">
        <v>50</v>
      </c>
    </row>
    <row r="355" ht="15.6" hidden="1" outlineLevel="2" spans="1:25">
      <c r="A355" s="12">
        <v>208</v>
      </c>
      <c r="B355" s="12">
        <v>16</v>
      </c>
      <c r="C355" s="6" t="s">
        <v>396</v>
      </c>
      <c r="D355" s="6" t="s">
        <v>11</v>
      </c>
      <c r="E355" s="12">
        <v>7.7</v>
      </c>
      <c r="F355" s="11">
        <f>LOOKUP(E355,{0,-2.9,-1.9,-0.9,0.1,1.1,2.1,3.5,4.9,6.3,7.7,9.1,10.5,11.9,13.3,14.7,16.1,18.3,20.5,22.4,24.3},{0,10,20,30,40,50,60,62,64,66,68,70,72,74,76,78,80,85,90,95,100})</f>
        <v>68</v>
      </c>
      <c r="G355" s="12">
        <v>223</v>
      </c>
      <c r="H355" s="11">
        <f>LOOKUP(G355,{0,175,180,185,190,195,200,204,208,212,216,220,224,228,232,236,240,248,255,260,265},{0,10,20,30,40,50,60,62,64,66,68,70,72,74,76,78,80,85,90,95,100})</f>
        <v>70</v>
      </c>
      <c r="I355" s="12">
        <v>3</v>
      </c>
      <c r="J355" s="11">
        <f>LOOKUP(I355,{0,3,4,5,6,7,8,9,10,11,12,13,14,15,16,17},{0,10,20,30,40,50,60,64,68,72,76,80,85,90,95,100})</f>
        <v>10</v>
      </c>
      <c r="K355" s="12"/>
      <c r="L355" s="12"/>
      <c r="M355" s="12">
        <f t="shared" ref="M355:M360" si="171">J355+L355</f>
        <v>10</v>
      </c>
      <c r="N355" s="12">
        <v>7.3</v>
      </c>
      <c r="O355" s="12">
        <f t="shared" si="169"/>
        <v>4.7</v>
      </c>
      <c r="P355" s="11">
        <f>LOOKUP(O355,{0,1.6,1.8,2,2.2,2.4,2.6,2.8,3,3.2,3.4,3.6,3.8,4,4.2,4.4,4.6,4.7,4.8,4.9,5},{0,10,20,30,40,50,60,62,64,66,68,70,72,74,76,78,80,85,90,95,100})</f>
        <v>85</v>
      </c>
      <c r="Q355" s="12">
        <v>3.48</v>
      </c>
      <c r="R355" s="12">
        <f t="shared" ref="R355:R360" si="172">10-Q355</f>
        <v>6.52</v>
      </c>
      <c r="S355" s="11">
        <f>LOOKUP(R355,{0,3.8,4,4.6,4.8,5,5.6,5.65,5.7,5.75,5.8,5.85,5.9,5.95,6,6.45,6.5,6.58,6.65,6.7,6.75},{0,10,20,30,40,50,60,62,64,66,68,70,72,74,76,78,80,85,90,95,100})</f>
        <v>80</v>
      </c>
      <c r="T355" s="12"/>
      <c r="U355" s="12"/>
      <c r="V355" s="12">
        <f t="shared" ref="V355:V360" si="173">S355+U355</f>
        <v>80</v>
      </c>
      <c r="W355" s="12"/>
      <c r="X355" s="20">
        <f t="shared" si="157"/>
        <v>47.8</v>
      </c>
      <c r="Y355" s="20">
        <f t="shared" si="170"/>
        <v>68.2857142857143</v>
      </c>
    </row>
    <row r="356" customFormat="1" ht="15.6" hidden="1" outlineLevel="2" spans="1:25">
      <c r="A356" s="12">
        <v>208</v>
      </c>
      <c r="B356" s="12">
        <v>17</v>
      </c>
      <c r="C356" s="6" t="s">
        <v>397</v>
      </c>
      <c r="D356" s="6" t="s">
        <v>11</v>
      </c>
      <c r="E356" s="12">
        <v>16.5</v>
      </c>
      <c r="F356" s="11">
        <f>LOOKUP(E356,{0,-2.9,-1.9,-0.9,0.1,1.1,2.1,3.5,4.9,6.3,7.7,9.1,10.5,11.9,13.3,14.7,16.1,18.3,20.5,22.4,24.3},{0,10,20,30,40,50,60,62,64,66,68,70,72,74,76,78,80,85,90,95,100})</f>
        <v>80</v>
      </c>
      <c r="G356" s="12">
        <v>271</v>
      </c>
      <c r="H356" s="11">
        <f>LOOKUP(G356,{0,175,180,185,190,195,200,204,208,212,216,220,224,228,232,236,240,248,255,260,265},{0,10,20,30,40,50,60,62,64,66,68,70,72,74,76,78,80,85,90,95,100})</f>
        <v>100</v>
      </c>
      <c r="I356" s="12">
        <v>30</v>
      </c>
      <c r="J356" s="11">
        <f>LOOKUP(I356,{0,3,4,5,6,7,8,9,10,11,12,13,14,15,16,17},{0,10,20,30,40,50,60,64,68,72,76,80,85,90,95,100})</f>
        <v>100</v>
      </c>
      <c r="K356" s="12">
        <f t="shared" si="168"/>
        <v>13</v>
      </c>
      <c r="L356" s="11">
        <f>LOOKUP(K356,{0,1,2,3,4,5,6,7,8,9,10},{0,1,2,3,4,5,6,7,8,9,10})</f>
        <v>10</v>
      </c>
      <c r="M356" s="12">
        <f t="shared" si="171"/>
        <v>110</v>
      </c>
      <c r="N356" s="12">
        <v>6.4</v>
      </c>
      <c r="O356" s="12">
        <f t="shared" si="169"/>
        <v>5.6</v>
      </c>
      <c r="P356" s="11">
        <f>LOOKUP(O356,{0,1.6,1.8,2,2.2,2.4,2.6,2.8,3,3.2,3.4,3.6,3.8,4,4.2,4.4,4.6,4.7,4.8,4.9,5},{0,10,20,30,40,50,60,62,64,66,68,70,72,74,76,78,80,85,90,95,100})</f>
        <v>100</v>
      </c>
      <c r="Q356" s="12">
        <v>3.18</v>
      </c>
      <c r="R356" s="12">
        <f t="shared" si="172"/>
        <v>6.82</v>
      </c>
      <c r="S356" s="11">
        <f>LOOKUP(R356,{0,3.8,4,4.6,4.8,5,5.6,5.65,5.7,5.75,5.8,5.85,5.9,5.95,6,6.45,6.5,6.58,6.65,6.7,6.75},{0,10,20,30,40,50,60,62,64,66,68,70,72,74,76,78,80,85,90,95,100})</f>
        <v>100</v>
      </c>
      <c r="T356" s="12">
        <f>3.25-Q356</f>
        <v>0.0699999999999998</v>
      </c>
      <c r="U356" s="11">
        <f>LOOKUP(T356,{0,0.04,0.08,0.12,0.16,0.2,0.23,0.26,0.29,0.32,0.35},{0,1,2,3,4,5,6,7,8,9,10})</f>
        <v>1</v>
      </c>
      <c r="V356" s="12">
        <f t="shared" si="173"/>
        <v>101</v>
      </c>
      <c r="W356" s="12"/>
      <c r="X356" s="20">
        <f t="shared" si="157"/>
        <v>68</v>
      </c>
      <c r="Y356" s="20">
        <f t="shared" si="170"/>
        <v>108.142857142857</v>
      </c>
    </row>
    <row r="357" customFormat="1" ht="15.6" hidden="1" outlineLevel="2" spans="1:25">
      <c r="A357" s="12">
        <v>208</v>
      </c>
      <c r="B357" s="12">
        <v>18</v>
      </c>
      <c r="C357" s="6" t="s">
        <v>398</v>
      </c>
      <c r="D357" s="6" t="s">
        <v>11</v>
      </c>
      <c r="E357" s="12"/>
      <c r="F357" s="11"/>
      <c r="G357" s="12"/>
      <c r="H357" s="11"/>
      <c r="I357" s="12"/>
      <c r="J357" s="11"/>
      <c r="K357" s="12"/>
      <c r="L357" s="15"/>
      <c r="M357" s="12"/>
      <c r="N357" s="12"/>
      <c r="O357" s="12"/>
      <c r="P357" s="11"/>
      <c r="Q357" s="12"/>
      <c r="R357" s="12"/>
      <c r="S357" s="11"/>
      <c r="T357" s="12"/>
      <c r="U357" s="11"/>
      <c r="V357" s="12"/>
      <c r="W357" s="12" t="s">
        <v>14</v>
      </c>
      <c r="X357" s="20">
        <f t="shared" si="157"/>
        <v>0</v>
      </c>
      <c r="Y357" s="20">
        <v>50</v>
      </c>
    </row>
    <row r="358" s="1" customFormat="1" ht="15.6" hidden="1" outlineLevel="2" spans="1:25">
      <c r="A358" s="12">
        <v>208</v>
      </c>
      <c r="B358" s="12">
        <v>19</v>
      </c>
      <c r="C358" s="6" t="s">
        <v>399</v>
      </c>
      <c r="D358" s="6" t="s">
        <v>11</v>
      </c>
      <c r="E358" s="12">
        <v>11</v>
      </c>
      <c r="F358" s="11">
        <f>LOOKUP(E358,{0,-2.9,-1.9,-0.9,0.1,1.1,2.1,3.5,4.9,6.3,7.7,9.1,10.5,11.9,13.3,14.7,16.1,18.3,20.5,22.4,24.3},{0,10,20,30,40,50,60,62,64,66,68,70,72,74,76,78,80,85,90,95,100})</f>
        <v>72</v>
      </c>
      <c r="G358" s="12">
        <v>240</v>
      </c>
      <c r="H358" s="11">
        <f>LOOKUP(G358,{0,175,180,185,190,195,200,204,208,212,216,220,224,228,232,236,240,248,255,260,265},{0,10,20,30,40,50,60,62,64,66,68,70,72,74,76,78,80,85,90,95,100})</f>
        <v>80</v>
      </c>
      <c r="I358" s="12">
        <v>25</v>
      </c>
      <c r="J358" s="11">
        <f>LOOKUP(I358,{0,3,4,5,6,7,8,9,10,11,12,13,14,15,16,17},{0,10,20,30,40,50,60,64,68,72,76,80,85,90,95,100})</f>
        <v>100</v>
      </c>
      <c r="K358" s="12">
        <f t="shared" si="168"/>
        <v>8</v>
      </c>
      <c r="L358" s="16">
        <f>LOOKUP(K358,{0,1,2,3,4,5,6,7,8,9,10},{0,1,2,3,4,5,6,7,8,9,10})</f>
        <v>8</v>
      </c>
      <c r="M358" s="12">
        <f t="shared" si="171"/>
        <v>108</v>
      </c>
      <c r="N358" s="12">
        <v>7.3</v>
      </c>
      <c r="O358" s="12">
        <f t="shared" ref="O358:O360" si="174">12-N358</f>
        <v>4.7</v>
      </c>
      <c r="P358" s="11">
        <f>LOOKUP(O358,{0,1.6,1.8,2,2.2,2.4,2.6,2.8,3,3.2,3.4,3.6,3.8,4,4.2,4.4,4.6,4.7,4.8,4.9,5},{0,10,20,30,40,50,60,62,64,66,68,70,72,74,76,78,80,85,90,95,100})</f>
        <v>85</v>
      </c>
      <c r="Q358" s="12">
        <v>4.04</v>
      </c>
      <c r="R358" s="12">
        <f t="shared" si="172"/>
        <v>5.96</v>
      </c>
      <c r="S358" s="11">
        <f>LOOKUP(R358,{0,3.8,4,4.6,4.8,5,5.6,5.65,5.7,5.75,5.8,5.85,5.9,5.95,6,6.45,6.5,6.58,6.65,6.7,6.75},{0,10,20,30,40,50,60,62,64,66,68,70,72,74,76,78,80,85,90,95,100})</f>
        <v>74</v>
      </c>
      <c r="T358" s="12"/>
      <c r="U358" s="12"/>
      <c r="V358" s="12">
        <f t="shared" si="173"/>
        <v>74</v>
      </c>
      <c r="W358" s="12"/>
      <c r="X358" s="20">
        <f t="shared" si="157"/>
        <v>57</v>
      </c>
      <c r="Y358" s="20">
        <f t="shared" ref="Y358:Y360" si="175">X358/0.7+L358+U358</f>
        <v>89.4285714285714</v>
      </c>
    </row>
    <row r="359" ht="15.6" hidden="1" outlineLevel="2" spans="1:25">
      <c r="A359" s="12">
        <v>208</v>
      </c>
      <c r="B359" s="12">
        <v>20</v>
      </c>
      <c r="C359" s="6" t="s">
        <v>400</v>
      </c>
      <c r="D359" s="6" t="s">
        <v>11</v>
      </c>
      <c r="E359" s="12">
        <v>21.3</v>
      </c>
      <c r="F359" s="11">
        <f>LOOKUP(E359,{0,-2.9,-1.9,-0.9,0.1,1.1,2.1,3.5,4.9,6.3,7.7,9.1,10.5,11.9,13.3,14.7,16.1,18.3,20.5,22.4,24.3},{0,10,20,30,40,50,60,62,64,66,68,70,72,74,76,78,80,85,90,95,100})</f>
        <v>90</v>
      </c>
      <c r="G359" s="12">
        <v>250</v>
      </c>
      <c r="H359" s="11">
        <f>LOOKUP(G359,{0,175,180,185,190,195,200,204,208,212,216,220,224,228,232,236,240,248,255,260,265},{0,10,20,30,40,50,60,62,64,66,68,70,72,74,76,78,80,85,90,95,100})</f>
        <v>85</v>
      </c>
      <c r="I359" s="12">
        <v>19</v>
      </c>
      <c r="J359" s="11">
        <f>LOOKUP(I359,{0,3,4,5,6,7,8,9,10,11,12,13,14,15,16,17},{0,10,20,30,40,50,60,64,68,72,76,80,85,90,95,100})</f>
        <v>100</v>
      </c>
      <c r="K359" s="12">
        <f t="shared" si="168"/>
        <v>2</v>
      </c>
      <c r="L359" s="11">
        <f>LOOKUP(K359,{0,1,2,3,4,5,6,7,8,9,10},{0,1,2,3,4,5,6,7,8,9,10})</f>
        <v>2</v>
      </c>
      <c r="M359" s="12">
        <f t="shared" si="171"/>
        <v>102</v>
      </c>
      <c r="N359" s="12">
        <v>7.2</v>
      </c>
      <c r="O359" s="12">
        <f t="shared" si="174"/>
        <v>4.8</v>
      </c>
      <c r="P359" s="11">
        <f>LOOKUP(O359,{0,1.6,1.8,2,2.2,2.4,2.6,2.8,3,3.2,3.4,3.6,3.8,4,4.2,4.4,4.6,4.7,4.8,4.9,5},{0,10,20,30,40,50,60,62,64,66,68,70,72,74,76,78,80,85,90,95,100})</f>
        <v>90</v>
      </c>
      <c r="Q359" s="12">
        <v>5.16</v>
      </c>
      <c r="R359" s="12">
        <f t="shared" si="172"/>
        <v>4.84</v>
      </c>
      <c r="S359" s="11">
        <f>LOOKUP(R359,{0,3.8,4,4.6,4.8,5,5.6,5.65,5.7,5.75,5.8,5.85,5.9,5.95,6,6.45,6.5,6.58,6.65,6.7,6.75},{0,10,20,30,40,50,60,62,64,66,68,70,72,74,76,78,80,85,90,95,100})</f>
        <v>40</v>
      </c>
      <c r="T359" s="12"/>
      <c r="U359" s="12"/>
      <c r="V359" s="12">
        <f t="shared" si="173"/>
        <v>40</v>
      </c>
      <c r="W359" s="12"/>
      <c r="X359" s="20">
        <f t="shared" si="157"/>
        <v>53.5</v>
      </c>
      <c r="Y359" s="20">
        <f t="shared" si="175"/>
        <v>78.4285714285714</v>
      </c>
    </row>
    <row r="360" ht="15.6" hidden="1" outlineLevel="2" spans="1:25">
      <c r="A360" s="12">
        <v>208</v>
      </c>
      <c r="B360" s="12">
        <v>21</v>
      </c>
      <c r="C360" s="6" t="s">
        <v>401</v>
      </c>
      <c r="D360" s="6" t="s">
        <v>11</v>
      </c>
      <c r="E360" s="12">
        <v>16</v>
      </c>
      <c r="F360" s="11">
        <f>LOOKUP(E360,{0,-2.9,-1.9,-0.9,0.1,1.1,2.1,3.5,4.9,6.3,7.7,9.1,10.5,11.9,13.3,14.7,16.1,18.3,20.5,22.4,24.3},{0,10,20,30,40,50,60,62,64,66,68,70,72,74,76,78,80,85,90,95,100})</f>
        <v>78</v>
      </c>
      <c r="G360" s="12">
        <v>261</v>
      </c>
      <c r="H360" s="11">
        <f>LOOKUP(G360,{0,175,180,185,190,195,200,204,208,212,216,220,224,228,232,236,240,248,255,260,265},{0,10,20,30,40,50,60,62,64,66,68,70,72,74,76,78,80,85,90,95,100})</f>
        <v>95</v>
      </c>
      <c r="I360" s="12">
        <v>27</v>
      </c>
      <c r="J360" s="11">
        <f>LOOKUP(I360,{0,3,4,5,6,7,8,9,10,11,12,13,14,15,16,17},{0,10,20,30,40,50,60,64,68,72,76,80,85,90,95,100})</f>
        <v>100</v>
      </c>
      <c r="K360" s="12">
        <f t="shared" si="168"/>
        <v>10</v>
      </c>
      <c r="L360" s="11">
        <f>LOOKUP(K360,{0,1,2,3,4,5,6,7,8,9,10},{0,1,2,3,4,5,6,7,8,9,10})</f>
        <v>10</v>
      </c>
      <c r="M360" s="12">
        <f t="shared" si="171"/>
        <v>110</v>
      </c>
      <c r="N360" s="12">
        <v>7</v>
      </c>
      <c r="O360" s="12">
        <f t="shared" si="174"/>
        <v>5</v>
      </c>
      <c r="P360" s="11">
        <f>LOOKUP(O360,{0,1.6,1.8,2,2.2,2.4,2.6,2.8,3,3.2,3.4,3.6,3.8,4,4.2,4.4,4.6,4.7,4.8,4.9,5},{0,10,20,30,40,50,60,62,64,66,68,70,72,74,76,78,80,85,90,95,100})</f>
        <v>100</v>
      </c>
      <c r="Q360" s="12">
        <v>3.19</v>
      </c>
      <c r="R360" s="12">
        <f t="shared" si="172"/>
        <v>6.81</v>
      </c>
      <c r="S360" s="11">
        <f>LOOKUP(R360,{0,3.8,4,4.6,4.8,5,5.6,5.65,5.7,5.75,5.8,5.85,5.9,5.95,6,6.45,6.5,6.58,6.65,6.7,6.75},{0,10,20,30,40,50,60,62,64,66,68,70,72,74,76,78,80,85,90,95,100})</f>
        <v>100</v>
      </c>
      <c r="T360" s="12">
        <f>3.25-Q360</f>
        <v>0.0600000000000001</v>
      </c>
      <c r="U360" s="11">
        <f>LOOKUP(T360,{0,0.04,0.08,0.12,0.16,0.2,0.23,0.26,0.29,0.32,0.35},{0,1,2,3,4,5,6,7,8,9,10})</f>
        <v>1</v>
      </c>
      <c r="V360" s="12">
        <f t="shared" si="173"/>
        <v>101</v>
      </c>
      <c r="W360" s="12"/>
      <c r="X360" s="20">
        <f t="shared" si="157"/>
        <v>67.3</v>
      </c>
      <c r="Y360" s="20">
        <f t="shared" si="175"/>
        <v>107.142857142857</v>
      </c>
    </row>
    <row r="361" ht="15.6" hidden="1" outlineLevel="2" spans="1:25">
      <c r="A361" s="12">
        <v>208</v>
      </c>
      <c r="B361" s="12">
        <v>22</v>
      </c>
      <c r="C361" s="6" t="s">
        <v>402</v>
      </c>
      <c r="D361" s="6" t="s">
        <v>11</v>
      </c>
      <c r="E361" s="12"/>
      <c r="F361" s="11"/>
      <c r="G361" s="12"/>
      <c r="H361" s="11"/>
      <c r="I361" s="12"/>
      <c r="J361" s="11"/>
      <c r="K361" s="12"/>
      <c r="L361" s="15"/>
      <c r="M361" s="12"/>
      <c r="N361" s="12"/>
      <c r="O361" s="12"/>
      <c r="P361" s="11"/>
      <c r="Q361" s="12"/>
      <c r="R361" s="12"/>
      <c r="S361" s="11"/>
      <c r="T361" s="12"/>
      <c r="U361" s="11"/>
      <c r="V361" s="12"/>
      <c r="W361" s="12" t="s">
        <v>14</v>
      </c>
      <c r="X361" s="20">
        <f t="shared" si="157"/>
        <v>0</v>
      </c>
      <c r="Y361" s="20">
        <v>50</v>
      </c>
    </row>
    <row r="362" ht="15.6" hidden="1" outlineLevel="2" spans="1:25">
      <c r="A362" s="12">
        <v>208</v>
      </c>
      <c r="B362" s="12">
        <v>23</v>
      </c>
      <c r="C362" s="6" t="s">
        <v>403</v>
      </c>
      <c r="D362" s="6" t="s">
        <v>11</v>
      </c>
      <c r="E362" s="12">
        <v>9</v>
      </c>
      <c r="F362" s="11">
        <f>LOOKUP(E362,{0,-2.9,-1.9,-0.9,0.1,1.1,2.1,3.5,4.9,6.3,7.7,9.1,10.5,11.9,13.3,14.7,16.1,18.3,20.5,22.4,24.3},{0,10,20,30,40,50,60,62,64,66,68,70,72,74,76,78,80,85,90,95,100})</f>
        <v>68</v>
      </c>
      <c r="G362" s="12">
        <v>241</v>
      </c>
      <c r="H362" s="11">
        <f>LOOKUP(G362,{0,175,180,185,190,195,200,204,208,212,216,220,224,228,232,236,240,248,255,260,265},{0,10,20,30,40,50,60,62,64,66,68,70,72,74,76,78,80,85,90,95,100})</f>
        <v>80</v>
      </c>
      <c r="I362" s="12">
        <v>17</v>
      </c>
      <c r="J362" s="11">
        <f>LOOKUP(I362,{0,3,4,5,6,7,8,9,10,11,12,13,14,15,16,17},{0,10,20,30,40,50,60,64,68,72,76,80,85,90,95,100})</f>
        <v>100</v>
      </c>
      <c r="K362" s="12">
        <f>I362-17</f>
        <v>0</v>
      </c>
      <c r="L362" s="16">
        <f>LOOKUP(K362,{0,1,2,3,4,5,6,7,8,9,10},{0,1,2,3,4,5,6,7,8,9,10})</f>
        <v>0</v>
      </c>
      <c r="M362" s="12">
        <f t="shared" ref="M362:M373" si="176">J362+L362</f>
        <v>100</v>
      </c>
      <c r="N362" s="12">
        <v>7.3</v>
      </c>
      <c r="O362" s="12">
        <f t="shared" ref="O362:O373" si="177">12-N362</f>
        <v>4.7</v>
      </c>
      <c r="P362" s="11">
        <f>LOOKUP(O362,{0,1.6,1.8,2,2.2,2.4,2.6,2.8,3,3.2,3.4,3.6,3.8,4,4.2,4.4,4.6,4.7,4.8,4.9,5},{0,10,20,30,40,50,60,62,64,66,68,70,72,74,76,78,80,85,90,95,100})</f>
        <v>85</v>
      </c>
      <c r="Q362" s="12">
        <v>3.43</v>
      </c>
      <c r="R362" s="12">
        <f t="shared" ref="R362:R373" si="178">10-Q362</f>
        <v>6.57</v>
      </c>
      <c r="S362" s="11">
        <f>LOOKUP(R362,{0,3.8,4,4.6,4.8,5,5.6,5.65,5.7,5.75,5.8,5.85,5.9,5.95,6,6.45,6.5,6.58,6.65,6.7,6.75},{0,10,20,30,40,50,60,62,64,66,68,70,72,74,76,78,80,85,90,95,100})</f>
        <v>80</v>
      </c>
      <c r="T362" s="12"/>
      <c r="U362" s="12"/>
      <c r="V362" s="12">
        <f t="shared" ref="V362:V373" si="179">S362+U362</f>
        <v>80</v>
      </c>
      <c r="W362" s="12"/>
      <c r="X362" s="20">
        <f t="shared" si="157"/>
        <v>57.8</v>
      </c>
      <c r="Y362" s="20">
        <f t="shared" ref="Y362:Y373" si="180">X362/0.7+L362+U362</f>
        <v>82.5714285714286</v>
      </c>
    </row>
    <row r="363" ht="15.6" hidden="1" outlineLevel="2" spans="1:25">
      <c r="A363" s="12">
        <v>208</v>
      </c>
      <c r="B363" s="12">
        <v>24</v>
      </c>
      <c r="C363" s="6" t="s">
        <v>404</v>
      </c>
      <c r="D363" s="6" t="s">
        <v>11</v>
      </c>
      <c r="E363" s="12">
        <v>30</v>
      </c>
      <c r="F363" s="11">
        <f>LOOKUP(E363,{0,-2.9,-1.9,-0.9,0.1,1.1,2.1,3.5,4.9,6.3,7.7,9.1,10.5,11.9,13.3,14.7,16.1,18.3,20.5,22.4,24.3},{0,10,20,30,40,50,60,62,64,66,68,70,72,74,76,78,80,85,90,95,100})</f>
        <v>100</v>
      </c>
      <c r="G363" s="12">
        <v>240</v>
      </c>
      <c r="H363" s="11">
        <f>LOOKUP(G363,{0,175,180,185,190,195,200,204,208,212,216,220,224,228,232,236,240,248,255,260,265},{0,10,20,30,40,50,60,62,64,66,68,70,72,74,76,78,80,85,90,95,100})</f>
        <v>80</v>
      </c>
      <c r="I363" s="12">
        <v>1</v>
      </c>
      <c r="J363" s="11">
        <f>LOOKUP(I363,{0,3,4,5,6,7,8,9,10,11,12,13,14,15,16,17},{0,10,20,30,40,50,60,64,68,72,76,80,85,90,95,100})</f>
        <v>0</v>
      </c>
      <c r="K363" s="12"/>
      <c r="L363" s="12"/>
      <c r="M363" s="12">
        <f t="shared" si="176"/>
        <v>0</v>
      </c>
      <c r="N363" s="12">
        <v>7.3</v>
      </c>
      <c r="O363" s="12">
        <f t="shared" si="177"/>
        <v>4.7</v>
      </c>
      <c r="P363" s="11">
        <f>LOOKUP(O363,{0,1.6,1.8,2,2.2,2.4,2.6,2.8,3,3.2,3.4,3.6,3.8,4,4.2,4.4,4.6,4.7,4.8,4.9,5},{0,10,20,30,40,50,60,62,64,66,68,70,72,74,76,78,80,85,90,95,100})</f>
        <v>85</v>
      </c>
      <c r="Q363" s="12">
        <v>3.47</v>
      </c>
      <c r="R363" s="12">
        <f t="shared" si="178"/>
        <v>6.53</v>
      </c>
      <c r="S363" s="11">
        <f>LOOKUP(R363,{0,3.8,4,4.6,4.8,5,5.6,5.65,5.7,5.75,5.8,5.85,5.9,5.95,6,6.45,6.5,6.58,6.65,6.7,6.75},{0,10,20,30,40,50,60,62,64,66,68,70,72,74,76,78,80,85,90,95,100})</f>
        <v>80</v>
      </c>
      <c r="T363" s="12"/>
      <c r="U363" s="12"/>
      <c r="V363" s="12">
        <f t="shared" si="179"/>
        <v>80</v>
      </c>
      <c r="W363" s="12"/>
      <c r="X363" s="20">
        <f t="shared" si="157"/>
        <v>51</v>
      </c>
      <c r="Y363" s="20">
        <f t="shared" si="180"/>
        <v>72.8571428571429</v>
      </c>
    </row>
    <row r="364" ht="15.6" hidden="1" outlineLevel="2" spans="1:25">
      <c r="A364" s="12">
        <v>208</v>
      </c>
      <c r="B364" s="12">
        <v>25</v>
      </c>
      <c r="C364" s="13" t="s">
        <v>406</v>
      </c>
      <c r="D364" s="6" t="s">
        <v>11</v>
      </c>
      <c r="E364" s="12">
        <v>15.5</v>
      </c>
      <c r="F364" s="11">
        <f>LOOKUP(E364,{0,-2.9,-1.9,-0.9,0.1,1.1,2.1,3.5,4.9,6.3,7.7,9.1,10.5,11.9,13.3,14.7,16.1,18.3,20.5,22.4,24.3},{0,10,20,30,40,50,60,62,64,66,68,70,72,74,76,78,80,85,90,95,100})</f>
        <v>78</v>
      </c>
      <c r="G364" s="12">
        <v>223</v>
      </c>
      <c r="H364" s="11">
        <f>LOOKUP(G364,{0,175,180,185,190,195,200,204,208,212,216,220,224,228,232,236,240,248,255,260,265},{0,10,20,30,40,50,60,62,64,66,68,70,72,74,76,78,80,85,90,95,100})</f>
        <v>70</v>
      </c>
      <c r="I364" s="12">
        <v>0</v>
      </c>
      <c r="J364" s="11">
        <f>LOOKUP(I364,{0,3,4,5,6,7,8,9,10,11,12,13,14,15,16,17},{0,10,20,30,40,50,60,64,68,72,76,80,85,90,95,100})</f>
        <v>0</v>
      </c>
      <c r="K364" s="12"/>
      <c r="L364" s="15"/>
      <c r="M364" s="12">
        <f t="shared" si="176"/>
        <v>0</v>
      </c>
      <c r="N364" s="12">
        <v>7.4</v>
      </c>
      <c r="O364" s="12">
        <f t="shared" si="177"/>
        <v>4.6</v>
      </c>
      <c r="P364" s="11">
        <f>LOOKUP(O364,{0,1.6,1.8,2,2.2,2.4,2.6,2.8,3,3.2,3.4,3.6,3.8,4,4.2,4.4,4.6,4.7,4.8,4.9,5},{0,10,20,30,40,50,60,62,64,66,68,70,72,74,76,78,80,85,90,95,100})</f>
        <v>80</v>
      </c>
      <c r="Q364" s="12">
        <v>3.54</v>
      </c>
      <c r="R364" s="12">
        <f t="shared" si="178"/>
        <v>6.46</v>
      </c>
      <c r="S364" s="11">
        <f>LOOKUP(R364,{0,3.8,4,4.6,4.8,5,5.6,5.65,5.7,5.75,5.8,5.85,5.9,5.95,6,6.45,6.5,6.58,6.65,6.7,6.75},{0,10,20,30,40,50,60,62,64,66,68,70,72,74,76,78,80,85,90,95,100})</f>
        <v>78</v>
      </c>
      <c r="T364" s="12"/>
      <c r="U364" s="12"/>
      <c r="V364" s="12">
        <f t="shared" si="179"/>
        <v>78</v>
      </c>
      <c r="W364" s="12"/>
      <c r="X364" s="20">
        <f t="shared" si="157"/>
        <v>46.4</v>
      </c>
      <c r="Y364" s="20">
        <f t="shared" si="180"/>
        <v>66.2857142857143</v>
      </c>
    </row>
    <row r="365" ht="15.6" hidden="1" outlineLevel="2" spans="1:25">
      <c r="A365" s="12">
        <v>208</v>
      </c>
      <c r="B365" s="12">
        <v>26</v>
      </c>
      <c r="C365" s="6" t="s">
        <v>407</v>
      </c>
      <c r="D365" s="6" t="s">
        <v>11</v>
      </c>
      <c r="E365" s="12">
        <v>27</v>
      </c>
      <c r="F365" s="11">
        <f>LOOKUP(E365,{0,-2.9,-1.9,-0.9,0.1,1.1,2.1,3.5,4.9,6.3,7.7,9.1,10.5,11.9,13.3,14.7,16.1,18.3,20.5,22.4,24.3},{0,10,20,30,40,50,60,62,64,66,68,70,72,74,76,78,80,85,90,95,100})</f>
        <v>100</v>
      </c>
      <c r="G365" s="12">
        <v>220</v>
      </c>
      <c r="H365" s="11">
        <f>LOOKUP(G365,{0,175,180,185,190,195,200,204,208,212,216,220,224,228,232,236,240,248,255,260,265},{0,10,20,30,40,50,60,62,64,66,68,70,72,74,76,78,80,85,90,95,100})</f>
        <v>70</v>
      </c>
      <c r="I365" s="12">
        <v>7</v>
      </c>
      <c r="J365" s="11">
        <f>LOOKUP(I365,{0,3,4,5,6,7,8,9,10,11,12,13,14,15,16,17},{0,10,20,30,40,50,60,64,68,72,76,80,85,90,95,100})</f>
        <v>50</v>
      </c>
      <c r="K365" s="12"/>
      <c r="L365" s="12"/>
      <c r="M365" s="12">
        <f t="shared" si="176"/>
        <v>50</v>
      </c>
      <c r="N365" s="12">
        <v>7.4</v>
      </c>
      <c r="O365" s="12">
        <f t="shared" si="177"/>
        <v>4.6</v>
      </c>
      <c r="P365" s="11">
        <f>LOOKUP(O365,{0,1.6,1.8,2,2.2,2.4,2.6,2.8,3,3.2,3.4,3.6,3.8,4,4.2,4.4,4.6,4.7,4.8,4.9,5},{0,10,20,30,40,50,60,62,64,66,68,70,72,74,76,78,80,85,90,95,100})</f>
        <v>80</v>
      </c>
      <c r="Q365" s="12">
        <v>3.39</v>
      </c>
      <c r="R365" s="12">
        <f t="shared" si="178"/>
        <v>6.61</v>
      </c>
      <c r="S365" s="11">
        <f>LOOKUP(R365,{0,3.8,4,4.6,4.8,5,5.6,5.65,5.7,5.75,5.8,5.85,5.9,5.95,6,6.45,6.5,6.58,6.65,6.7,6.75},{0,10,20,30,40,50,60,62,64,66,68,70,72,74,76,78,80,85,90,95,100})</f>
        <v>85</v>
      </c>
      <c r="T365" s="12"/>
      <c r="U365" s="12"/>
      <c r="V365" s="12">
        <f t="shared" si="179"/>
        <v>85</v>
      </c>
      <c r="W365" s="12"/>
      <c r="X365" s="20">
        <f t="shared" si="157"/>
        <v>55</v>
      </c>
      <c r="Y365" s="20">
        <f t="shared" si="180"/>
        <v>78.5714285714286</v>
      </c>
    </row>
    <row r="366" ht="15.6" hidden="1" outlineLevel="2" spans="1:25">
      <c r="A366" s="12">
        <v>208</v>
      </c>
      <c r="B366" s="12">
        <v>27</v>
      </c>
      <c r="C366" s="6" t="s">
        <v>408</v>
      </c>
      <c r="D366" s="6" t="s">
        <v>11</v>
      </c>
      <c r="E366" s="12">
        <v>21.9</v>
      </c>
      <c r="F366" s="11">
        <f>LOOKUP(E366,{0,-2.9,-1.9,-0.9,0.1,1.1,2.1,3.5,4.9,6.3,7.7,9.1,10.5,11.9,13.3,14.7,16.1,18.3,20.5,22.4,24.3},{0,10,20,30,40,50,60,62,64,66,68,70,72,74,76,78,80,85,90,95,100})</f>
        <v>90</v>
      </c>
      <c r="G366" s="12">
        <v>218</v>
      </c>
      <c r="H366" s="11">
        <f>LOOKUP(G366,{0,175,180,185,190,195,200,204,208,212,216,220,224,228,232,236,240,248,255,260,265},{0,10,20,30,40,50,60,62,64,66,68,70,72,74,76,78,80,85,90,95,100})</f>
        <v>68</v>
      </c>
      <c r="I366" s="12">
        <v>7</v>
      </c>
      <c r="J366" s="11">
        <f>LOOKUP(I366,{0,3,4,5,6,7,8,9,10,11,12,13,14,15,16,17},{0,10,20,30,40,50,60,64,68,72,76,80,85,90,95,100})</f>
        <v>50</v>
      </c>
      <c r="K366" s="12"/>
      <c r="L366" s="12"/>
      <c r="M366" s="12">
        <f t="shared" si="176"/>
        <v>50</v>
      </c>
      <c r="N366" s="12">
        <v>7</v>
      </c>
      <c r="O366" s="12">
        <f t="shared" si="177"/>
        <v>5</v>
      </c>
      <c r="P366" s="11">
        <f>LOOKUP(O366,{0,1.6,1.8,2,2.2,2.4,2.6,2.8,3,3.2,3.4,3.6,3.8,4,4.2,4.4,4.6,4.7,4.8,4.9,5},{0,10,20,30,40,50,60,62,64,66,68,70,72,74,76,78,80,85,90,95,100})</f>
        <v>100</v>
      </c>
      <c r="Q366" s="12">
        <v>3.37</v>
      </c>
      <c r="R366" s="12">
        <f t="shared" si="178"/>
        <v>6.63</v>
      </c>
      <c r="S366" s="11">
        <f>LOOKUP(R366,{0,3.8,4,4.6,4.8,5,5.6,5.65,5.7,5.75,5.8,5.85,5.9,5.95,6,6.45,6.5,6.58,6.65,6.7,6.75},{0,10,20,30,40,50,60,62,64,66,68,70,72,74,76,78,80,85,90,95,100})</f>
        <v>85</v>
      </c>
      <c r="T366" s="12"/>
      <c r="U366" s="12"/>
      <c r="V366" s="12">
        <f t="shared" si="179"/>
        <v>85</v>
      </c>
      <c r="W366" s="12"/>
      <c r="X366" s="20">
        <f t="shared" si="157"/>
        <v>57.8</v>
      </c>
      <c r="Y366" s="20">
        <f t="shared" si="180"/>
        <v>82.5714285714286</v>
      </c>
    </row>
    <row r="367" ht="15.6" hidden="1" outlineLevel="2" spans="1:25">
      <c r="A367" s="12">
        <v>208</v>
      </c>
      <c r="B367" s="12">
        <v>28</v>
      </c>
      <c r="C367" s="6" t="s">
        <v>409</v>
      </c>
      <c r="D367" s="6" t="s">
        <v>11</v>
      </c>
      <c r="E367" s="12">
        <v>14</v>
      </c>
      <c r="F367" s="11">
        <f>LOOKUP(E367,{0,-2.9,-1.9,-0.9,0.1,1.1,2.1,3.5,4.9,6.3,7.7,9.1,10.5,11.9,13.3,14.7,16.1,18.3,20.5,22.4,24.3},{0,10,20,30,40,50,60,62,64,66,68,70,72,74,76,78,80,85,90,95,100})</f>
        <v>76</v>
      </c>
      <c r="G367" s="12">
        <v>231</v>
      </c>
      <c r="H367" s="11">
        <f>LOOKUP(G367,{0,175,180,185,190,195,200,204,208,212,216,220,224,228,232,236,240,248,255,260,265},{0,10,20,30,40,50,60,62,64,66,68,70,72,74,76,78,80,85,90,95,100})</f>
        <v>74</v>
      </c>
      <c r="I367" s="12">
        <v>12</v>
      </c>
      <c r="J367" s="11">
        <f>LOOKUP(I367,{0,3,4,5,6,7,8,9,10,11,12,13,14,15,16,17},{0,10,20,30,40,50,60,64,68,72,76,80,85,90,95,100})</f>
        <v>76</v>
      </c>
      <c r="K367" s="12"/>
      <c r="L367" s="12"/>
      <c r="M367" s="12">
        <f t="shared" si="176"/>
        <v>76</v>
      </c>
      <c r="N367" s="12">
        <v>7.1</v>
      </c>
      <c r="O367" s="12">
        <f t="shared" si="177"/>
        <v>4.9</v>
      </c>
      <c r="P367" s="11">
        <f>LOOKUP(O367,{0,1.6,1.8,2,2.2,2.4,2.6,2.8,3,3.2,3.4,3.6,3.8,4,4.2,4.4,4.6,4.7,4.8,4.9,5},{0,10,20,30,40,50,60,62,64,66,68,70,72,74,76,78,80,85,90,95,100})</f>
        <v>95</v>
      </c>
      <c r="Q367" s="12">
        <v>3.44</v>
      </c>
      <c r="R367" s="12">
        <f t="shared" si="178"/>
        <v>6.56</v>
      </c>
      <c r="S367" s="11">
        <f>LOOKUP(R367,{0,3.8,4,4.6,4.8,5,5.6,5.65,5.7,5.75,5.8,5.85,5.9,5.95,6,6.45,6.5,6.58,6.65,6.7,6.75},{0,10,20,30,40,50,60,62,64,66,68,70,72,74,76,78,80,85,90,95,100})</f>
        <v>80</v>
      </c>
      <c r="T367" s="12"/>
      <c r="U367" s="12"/>
      <c r="V367" s="12">
        <f t="shared" si="179"/>
        <v>80</v>
      </c>
      <c r="W367" s="12"/>
      <c r="X367" s="20">
        <f t="shared" si="157"/>
        <v>57.6</v>
      </c>
      <c r="Y367" s="20">
        <f t="shared" si="180"/>
        <v>82.2857142857143</v>
      </c>
    </row>
    <row r="368" ht="15.6" hidden="1" outlineLevel="2" spans="1:25">
      <c r="A368" s="12">
        <v>208</v>
      </c>
      <c r="B368" s="12">
        <v>29</v>
      </c>
      <c r="C368" s="6" t="s">
        <v>410</v>
      </c>
      <c r="D368" s="6" t="s">
        <v>11</v>
      </c>
      <c r="E368" s="12">
        <v>6.4</v>
      </c>
      <c r="F368" s="11">
        <f>LOOKUP(E368,{0,-2.9,-1.9,-0.9,0.1,1.1,2.1,3.5,4.9,6.3,7.7,9.1,10.5,11.9,13.3,14.7,16.1,18.3,20.5,22.4,24.3},{0,10,20,30,40,50,60,62,64,66,68,70,72,74,76,78,80,85,90,95,100})</f>
        <v>66</v>
      </c>
      <c r="G368" s="12">
        <v>180</v>
      </c>
      <c r="H368" s="11">
        <f>LOOKUP(G368,{0,175,180,185,190,195,200,204,208,212,216,220,224,228,232,236,240,248,255,260,265},{0,10,20,30,40,50,60,62,64,66,68,70,72,74,76,78,80,85,90,95,100})</f>
        <v>20</v>
      </c>
      <c r="I368" s="12">
        <v>0</v>
      </c>
      <c r="J368" s="11">
        <f>LOOKUP(I368,{0,3,4,5,6,7,8,9,10,11,12,13,14,15,16,17},{0,10,20,30,40,50,60,64,68,72,76,80,85,90,95,100})</f>
        <v>0</v>
      </c>
      <c r="K368" s="12"/>
      <c r="L368" s="12"/>
      <c r="M368" s="12">
        <f t="shared" si="176"/>
        <v>0</v>
      </c>
      <c r="N368" s="12">
        <v>7.6</v>
      </c>
      <c r="O368" s="12">
        <f t="shared" si="177"/>
        <v>4.4</v>
      </c>
      <c r="P368" s="11">
        <f>LOOKUP(O368,{0,1.6,1.8,2,2.2,2.4,2.6,2.8,3,3.2,3.4,3.6,3.8,4,4.2,4.4,4.6,4.7,4.8,4.9,5},{0,10,20,30,40,50,60,62,64,66,68,70,72,74,76,78,80,85,90,95,100})</f>
        <v>78</v>
      </c>
      <c r="Q368" s="12">
        <v>4.09</v>
      </c>
      <c r="R368" s="12">
        <f t="shared" si="178"/>
        <v>5.91</v>
      </c>
      <c r="S368" s="11">
        <f>LOOKUP(R368,{0,3.8,4,4.6,4.8,5,5.6,5.65,5.7,5.75,5.8,5.85,5.9,5.95,6,6.45,6.5,6.58,6.65,6.7,6.75},{0,10,20,30,40,50,60,62,64,66,68,70,72,74,76,78,80,85,90,95,100})</f>
        <v>72</v>
      </c>
      <c r="T368" s="12"/>
      <c r="U368" s="12"/>
      <c r="V368" s="12">
        <f t="shared" si="179"/>
        <v>72</v>
      </c>
      <c r="W368" s="12"/>
      <c r="X368" s="20">
        <f t="shared" si="157"/>
        <v>38.6</v>
      </c>
      <c r="Y368" s="20">
        <f t="shared" si="180"/>
        <v>55.1428571428571</v>
      </c>
    </row>
    <row r="369" ht="15.6" hidden="1" outlineLevel="2" spans="1:25">
      <c r="A369" s="12">
        <v>208</v>
      </c>
      <c r="B369" s="12">
        <v>30</v>
      </c>
      <c r="C369" s="6" t="s">
        <v>411</v>
      </c>
      <c r="D369" s="6" t="s">
        <v>11</v>
      </c>
      <c r="E369" s="12">
        <v>15.9</v>
      </c>
      <c r="F369" s="11">
        <f>LOOKUP(E369,{0,-2.9,-1.9,-0.9,0.1,1.1,2.1,3.5,4.9,6.3,7.7,9.1,10.5,11.9,13.3,14.7,16.1,18.3,20.5,22.4,24.3},{0,10,20,30,40,50,60,62,64,66,68,70,72,74,76,78,80,85,90,95,100})</f>
        <v>78</v>
      </c>
      <c r="G369" s="12">
        <v>265</v>
      </c>
      <c r="H369" s="11">
        <f>LOOKUP(G369,{0,175,180,185,190,195,200,204,208,212,216,220,224,228,232,236,240,248,255,260,265},{0,10,20,30,40,50,60,62,64,66,68,70,72,74,76,78,80,85,90,95,100})</f>
        <v>100</v>
      </c>
      <c r="I369" s="12">
        <v>4</v>
      </c>
      <c r="J369" s="11">
        <f>LOOKUP(I369,{0,3,4,5,6,7,8,9,10,11,12,13,14,15,16,17},{0,10,20,30,40,50,60,64,68,72,76,80,85,90,95,100})</f>
        <v>20</v>
      </c>
      <c r="K369" s="12"/>
      <c r="L369" s="12"/>
      <c r="M369" s="12">
        <f t="shared" si="176"/>
        <v>20</v>
      </c>
      <c r="N369" s="12">
        <v>7</v>
      </c>
      <c r="O369" s="12">
        <f t="shared" si="177"/>
        <v>5</v>
      </c>
      <c r="P369" s="11">
        <f>LOOKUP(O369,{0,1.6,1.8,2,2.2,2.4,2.6,2.8,3,3.2,3.4,3.6,3.8,4,4.2,4.4,4.6,4.7,4.8,4.9,5},{0,10,20,30,40,50,60,62,64,66,68,70,72,74,76,78,80,85,90,95,100})</f>
        <v>100</v>
      </c>
      <c r="Q369" s="12">
        <v>3.45</v>
      </c>
      <c r="R369" s="12">
        <f t="shared" si="178"/>
        <v>6.55</v>
      </c>
      <c r="S369" s="11">
        <f>LOOKUP(R369,{0,3.8,4,4.6,4.8,5,5.6,5.65,5.7,5.75,5.8,5.85,5.9,5.95,6,6.45,6.5,6.58,6.65,6.7,6.75},{0,10,20,30,40,50,60,62,64,66,68,70,72,74,76,78,80,85,90,95,100})</f>
        <v>80</v>
      </c>
      <c r="T369" s="12"/>
      <c r="U369" s="12"/>
      <c r="V369" s="12">
        <f t="shared" si="179"/>
        <v>80</v>
      </c>
      <c r="W369" s="12"/>
      <c r="X369" s="20">
        <f t="shared" si="157"/>
        <v>55.8</v>
      </c>
      <c r="Y369" s="20">
        <f t="shared" si="180"/>
        <v>79.7142857142857</v>
      </c>
    </row>
    <row r="370" s="1" customFormat="1" ht="15.6" hidden="1" outlineLevel="2" spans="1:25">
      <c r="A370" s="12">
        <v>208</v>
      </c>
      <c r="B370" s="12">
        <v>31</v>
      </c>
      <c r="C370" s="6" t="s">
        <v>412</v>
      </c>
      <c r="D370" s="6" t="s">
        <v>11</v>
      </c>
      <c r="E370" s="12">
        <v>11.7</v>
      </c>
      <c r="F370" s="11">
        <f>LOOKUP(E370,{0,-2.9,-1.9,-0.9,0.1,1.1,2.1,3.5,4.9,6.3,7.7,9.1,10.5,11.9,13.3,14.7,16.1,18.3,20.5,22.4,24.3},{0,10,20,30,40,50,60,62,64,66,68,70,72,74,76,78,80,85,90,95,100})</f>
        <v>72</v>
      </c>
      <c r="G370" s="12">
        <v>246</v>
      </c>
      <c r="H370" s="11">
        <f>LOOKUP(G370,{0,175,180,185,190,195,200,204,208,212,216,220,224,228,232,236,240,248,255,260,265},{0,10,20,30,40,50,60,62,64,66,68,70,72,74,76,78,80,85,90,95,100})</f>
        <v>80</v>
      </c>
      <c r="I370" s="12">
        <v>13</v>
      </c>
      <c r="J370" s="11">
        <f>LOOKUP(I370,{0,3,4,5,6,7,8,9,10,11,12,13,14,15,16,17},{0,10,20,30,40,50,60,64,68,72,76,80,85,90,95,100})</f>
        <v>80</v>
      </c>
      <c r="K370" s="12"/>
      <c r="L370" s="15"/>
      <c r="M370" s="12">
        <f t="shared" si="176"/>
        <v>80</v>
      </c>
      <c r="N370" s="12">
        <v>7.5</v>
      </c>
      <c r="O370" s="12">
        <f t="shared" si="177"/>
        <v>4.5</v>
      </c>
      <c r="P370" s="11">
        <f>LOOKUP(O370,{0,1.6,1.8,2,2.2,2.4,2.6,2.8,3,3.2,3.4,3.6,3.8,4,4.2,4.4,4.6,4.7,4.8,4.9,5},{0,10,20,30,40,50,60,62,64,66,68,70,72,74,76,78,80,85,90,95,100})</f>
        <v>78</v>
      </c>
      <c r="Q370" s="12">
        <v>4.12</v>
      </c>
      <c r="R370" s="12">
        <f t="shared" si="178"/>
        <v>5.88</v>
      </c>
      <c r="S370" s="11">
        <f>LOOKUP(R370,{0,3.8,4,4.6,4.8,5,5.6,5.65,5.7,5.75,5.8,5.85,5.9,5.95,6,6.45,6.5,6.58,6.65,6.7,6.75},{0,10,20,30,40,50,60,62,64,66,68,70,72,74,76,78,80,85,90,95,100})</f>
        <v>70</v>
      </c>
      <c r="T370" s="12"/>
      <c r="U370" s="12"/>
      <c r="V370" s="12">
        <f t="shared" si="179"/>
        <v>70</v>
      </c>
      <c r="W370" s="12"/>
      <c r="X370" s="20">
        <f t="shared" si="157"/>
        <v>52.8</v>
      </c>
      <c r="Y370" s="20">
        <f t="shared" si="180"/>
        <v>75.4285714285714</v>
      </c>
    </row>
    <row r="371" ht="15.6" hidden="1" outlineLevel="2" spans="1:25">
      <c r="A371" s="12">
        <v>208</v>
      </c>
      <c r="B371" s="12">
        <v>32</v>
      </c>
      <c r="C371" s="6" t="s">
        <v>413</v>
      </c>
      <c r="D371" s="6" t="s">
        <v>11</v>
      </c>
      <c r="E371" s="12">
        <v>2.6</v>
      </c>
      <c r="F371" s="11">
        <f>LOOKUP(E371,{0,-2.9,-1.9,-0.9,0.1,1.1,2.1,3.5,4.9,6.3,7.7,9.1,10.5,11.9,13.3,14.7,16.1,18.3,20.5,22.4,24.3},{0,10,20,30,40,50,60,62,64,66,68,70,72,74,76,78,80,85,90,95,100})</f>
        <v>60</v>
      </c>
      <c r="G371" s="12">
        <v>267</v>
      </c>
      <c r="H371" s="11">
        <f>LOOKUP(G371,{0,175,180,185,190,195,200,204,208,212,216,220,224,228,232,236,240,248,255,260,265},{0,10,20,30,40,50,60,62,64,66,68,70,72,74,76,78,80,85,90,95,100})</f>
        <v>100</v>
      </c>
      <c r="I371" s="12">
        <v>17</v>
      </c>
      <c r="J371" s="11">
        <f>LOOKUP(I371,{0,3,4,5,6,7,8,9,10,11,12,13,14,15,16,17},{0,10,20,30,40,50,60,64,68,72,76,80,85,90,95,100})</f>
        <v>100</v>
      </c>
      <c r="K371" s="12">
        <f>I371-17</f>
        <v>0</v>
      </c>
      <c r="L371" s="11">
        <f>LOOKUP(K371,{0,1,2,3,4,5,6,7,8,9,10},{0,1,2,3,4,5,6,7,8,9,10})</f>
        <v>0</v>
      </c>
      <c r="M371" s="12">
        <f t="shared" si="176"/>
        <v>100</v>
      </c>
      <c r="N371" s="12">
        <v>6.8</v>
      </c>
      <c r="O371" s="12">
        <f t="shared" si="177"/>
        <v>5.2</v>
      </c>
      <c r="P371" s="11">
        <f>LOOKUP(O371,{0,1.6,1.8,2,2.2,2.4,2.6,2.8,3,3.2,3.4,3.6,3.8,4,4.2,4.4,4.6,4.7,4.8,4.9,5},{0,10,20,30,40,50,60,62,64,66,68,70,72,74,76,78,80,85,90,95,100})</f>
        <v>100</v>
      </c>
      <c r="Q371" s="12">
        <v>4.38</v>
      </c>
      <c r="R371" s="12">
        <f t="shared" si="178"/>
        <v>5.62</v>
      </c>
      <c r="S371" s="11">
        <f>LOOKUP(R371,{0,3.8,4,4.6,4.8,5,5.6,5.65,5.7,5.75,5.8,5.85,5.9,5.95,6,6.45,6.5,6.58,6.65,6.7,6.75},{0,10,20,30,40,50,60,62,64,66,68,70,72,74,76,78,80,85,90,95,100})</f>
        <v>60</v>
      </c>
      <c r="T371" s="12"/>
      <c r="U371" s="12"/>
      <c r="V371" s="12">
        <f t="shared" si="179"/>
        <v>60</v>
      </c>
      <c r="W371" s="12"/>
      <c r="X371" s="20">
        <f t="shared" si="157"/>
        <v>58</v>
      </c>
      <c r="Y371" s="20">
        <f t="shared" si="180"/>
        <v>82.8571428571429</v>
      </c>
    </row>
    <row r="372" ht="15.6" hidden="1" outlineLevel="2" spans="1:25">
      <c r="A372" s="12">
        <v>208</v>
      </c>
      <c r="B372" s="12">
        <v>33</v>
      </c>
      <c r="C372" s="6" t="s">
        <v>414</v>
      </c>
      <c r="D372" s="6" t="s">
        <v>11</v>
      </c>
      <c r="E372" s="12">
        <v>9</v>
      </c>
      <c r="F372" s="11">
        <f>LOOKUP(E372,{0,-2.9,-1.9,-0.9,0.1,1.1,2.1,3.5,4.9,6.3,7.7,9.1,10.5,11.9,13.3,14.7,16.1,18.3,20.5,22.4,24.3},{0,10,20,30,40,50,60,62,64,66,68,70,72,74,76,78,80,85,90,95,100})</f>
        <v>68</v>
      </c>
      <c r="G372" s="12">
        <v>246</v>
      </c>
      <c r="H372" s="11">
        <f>LOOKUP(G372,{0,175,180,185,190,195,200,204,208,212,216,220,224,228,232,236,240,248,255,260,265},{0,10,20,30,40,50,60,62,64,66,68,70,72,74,76,78,80,85,90,95,100})</f>
        <v>80</v>
      </c>
      <c r="I372" s="12">
        <v>15</v>
      </c>
      <c r="J372" s="11">
        <f>LOOKUP(I372,{0,3,4,5,6,7,8,9,10,11,12,13,14,15,16,17},{0,10,20,30,40,50,60,64,68,72,76,80,85,90,95,100})</f>
        <v>90</v>
      </c>
      <c r="K372" s="12"/>
      <c r="L372" s="12"/>
      <c r="M372" s="12">
        <f t="shared" si="176"/>
        <v>90</v>
      </c>
      <c r="N372" s="12">
        <v>8</v>
      </c>
      <c r="O372" s="12">
        <f t="shared" si="177"/>
        <v>4</v>
      </c>
      <c r="P372" s="11">
        <f>LOOKUP(O372,{0,1.6,1.8,2,2.2,2.4,2.6,2.8,3,3.2,3.4,3.6,3.8,4,4.2,4.4,4.6,4.7,4.8,4.9,5},{0,10,20,30,40,50,60,62,64,66,68,70,72,74,76,78,80,85,90,95,100})</f>
        <v>74</v>
      </c>
      <c r="Q372" s="12">
        <v>3.54</v>
      </c>
      <c r="R372" s="12">
        <f t="shared" si="178"/>
        <v>6.46</v>
      </c>
      <c r="S372" s="11">
        <f>LOOKUP(R372,{0,3.8,4,4.6,4.8,5,5.6,5.65,5.7,5.75,5.8,5.85,5.9,5.95,6,6.45,6.5,6.58,6.65,6.7,6.75},{0,10,20,30,40,50,60,62,64,66,68,70,72,74,76,78,80,85,90,95,100})</f>
        <v>78</v>
      </c>
      <c r="T372" s="12"/>
      <c r="U372" s="12"/>
      <c r="V372" s="12">
        <f t="shared" si="179"/>
        <v>78</v>
      </c>
      <c r="W372" s="12"/>
      <c r="X372" s="20">
        <f t="shared" si="157"/>
        <v>54.2</v>
      </c>
      <c r="Y372" s="20">
        <f t="shared" si="180"/>
        <v>77.4285714285714</v>
      </c>
    </row>
    <row r="373" ht="15.6" hidden="1" outlineLevel="2" spans="1:25">
      <c r="A373" s="12">
        <v>208</v>
      </c>
      <c r="B373" s="12">
        <v>34</v>
      </c>
      <c r="C373" s="6" t="s">
        <v>415</v>
      </c>
      <c r="D373" s="6" t="s">
        <v>11</v>
      </c>
      <c r="E373" s="12">
        <v>22.5</v>
      </c>
      <c r="F373" s="11">
        <f>LOOKUP(E373,{0,-2.9,-1.9,-0.9,0.1,1.1,2.1,3.5,4.9,6.3,7.7,9.1,10.5,11.9,13.3,14.7,16.1,18.3,20.5,22.4,24.3},{0,10,20,30,40,50,60,62,64,66,68,70,72,74,76,78,80,85,90,95,100})</f>
        <v>95</v>
      </c>
      <c r="G373" s="12">
        <v>248</v>
      </c>
      <c r="H373" s="11">
        <f>LOOKUP(G373,{0,175,180,185,190,195,200,204,208,212,216,220,224,228,232,236,240,248,255,260,265},{0,10,20,30,40,50,60,62,64,66,68,70,72,74,76,78,80,85,90,95,100})</f>
        <v>85</v>
      </c>
      <c r="I373" s="12">
        <v>10</v>
      </c>
      <c r="J373" s="11">
        <f>LOOKUP(I373,{0,3,4,5,6,7,8,9,10,11,12,13,14,15,16,17},{0,10,20,30,40,50,60,64,68,72,76,80,85,90,95,100})</f>
        <v>68</v>
      </c>
      <c r="K373" s="12"/>
      <c r="L373" s="12"/>
      <c r="M373" s="12">
        <f t="shared" si="176"/>
        <v>68</v>
      </c>
      <c r="N373" s="12">
        <v>7.4</v>
      </c>
      <c r="O373" s="12">
        <f t="shared" si="177"/>
        <v>4.6</v>
      </c>
      <c r="P373" s="11">
        <f>LOOKUP(O373,{0,1.6,1.8,2,2.2,2.4,2.6,2.8,3,3.2,3.4,3.6,3.8,4,4.2,4.4,4.6,4.7,4.8,4.9,5},{0,10,20,30,40,50,60,62,64,66,68,70,72,74,76,78,80,85,90,95,100})</f>
        <v>80</v>
      </c>
      <c r="Q373" s="12">
        <v>3.51</v>
      </c>
      <c r="R373" s="12">
        <f t="shared" si="178"/>
        <v>6.49</v>
      </c>
      <c r="S373" s="11">
        <f>LOOKUP(R373,{0,3.8,4,4.6,4.8,5,5.6,5.65,5.7,5.75,5.8,5.85,5.9,5.95,6,6.45,6.5,6.58,6.65,6.7,6.75},{0,10,20,30,40,50,60,62,64,66,68,70,72,74,76,78,80,85,90,95,100})</f>
        <v>78</v>
      </c>
      <c r="T373" s="12"/>
      <c r="U373" s="12"/>
      <c r="V373" s="12">
        <f t="shared" si="179"/>
        <v>78</v>
      </c>
      <c r="W373" s="12"/>
      <c r="X373" s="20">
        <f t="shared" si="157"/>
        <v>56.4</v>
      </c>
      <c r="Y373" s="20">
        <f t="shared" si="180"/>
        <v>80.5714285714286</v>
      </c>
    </row>
    <row r="374" ht="15.6" hidden="1" outlineLevel="2" spans="1:25">
      <c r="A374" s="12">
        <v>208</v>
      </c>
      <c r="B374" s="12">
        <v>35</v>
      </c>
      <c r="C374" s="6" t="s">
        <v>416</v>
      </c>
      <c r="D374" s="6" t="s">
        <v>11</v>
      </c>
      <c r="E374" s="12"/>
      <c r="F374" s="11"/>
      <c r="G374" s="12"/>
      <c r="H374" s="11"/>
      <c r="I374" s="12"/>
      <c r="J374" s="11"/>
      <c r="K374" s="12"/>
      <c r="L374" s="12"/>
      <c r="M374" s="12"/>
      <c r="N374" s="12"/>
      <c r="O374" s="12"/>
      <c r="P374" s="11"/>
      <c r="Q374" s="12"/>
      <c r="R374" s="12"/>
      <c r="S374" s="11"/>
      <c r="T374" s="12"/>
      <c r="U374" s="11"/>
      <c r="V374" s="12"/>
      <c r="W374" s="12" t="s">
        <v>14</v>
      </c>
      <c r="X374" s="20">
        <f t="shared" si="157"/>
        <v>0</v>
      </c>
      <c r="Y374" s="20">
        <v>50</v>
      </c>
    </row>
    <row r="375" ht="15.6" hidden="1" outlineLevel="2" spans="1:25">
      <c r="A375" s="12">
        <v>208</v>
      </c>
      <c r="B375" s="12">
        <v>36</v>
      </c>
      <c r="C375" s="6" t="s">
        <v>417</v>
      </c>
      <c r="D375" s="6" t="s">
        <v>11</v>
      </c>
      <c r="E375" s="12">
        <v>11.9</v>
      </c>
      <c r="F375" s="11">
        <f>LOOKUP(E375,{0,-2.9,-1.9,-0.9,0.1,1.1,2.1,3.5,4.9,6.3,7.7,9.1,10.5,11.9,13.3,14.7,16.1,18.3,20.5,22.4,24.3},{0,10,20,30,40,50,60,62,64,66,68,70,72,74,76,78,80,85,90,95,100})</f>
        <v>74</v>
      </c>
      <c r="G375" s="12">
        <v>251</v>
      </c>
      <c r="H375" s="11">
        <f>LOOKUP(G375,{0,175,180,185,190,195,200,204,208,212,216,220,224,228,232,236,240,248,255,260,265},{0,10,20,30,40,50,60,62,64,66,68,70,72,74,76,78,80,85,90,95,100})</f>
        <v>85</v>
      </c>
      <c r="I375" s="12">
        <v>5</v>
      </c>
      <c r="J375" s="11">
        <f>LOOKUP(I375,{0,3,4,5,6,7,8,9,10,11,12,13,14,15,16,17},{0,10,20,30,40,50,60,64,68,72,76,80,85,90,95,100})</f>
        <v>30</v>
      </c>
      <c r="K375" s="12"/>
      <c r="L375" s="15"/>
      <c r="M375" s="12">
        <f t="shared" ref="M375:M398" si="181">J375+L375</f>
        <v>30</v>
      </c>
      <c r="N375" s="12">
        <v>7.2</v>
      </c>
      <c r="O375" s="12">
        <f t="shared" ref="O375:O398" si="182">12-N375</f>
        <v>4.8</v>
      </c>
      <c r="P375" s="11">
        <f>LOOKUP(O375,{0,1.6,1.8,2,2.2,2.4,2.6,2.8,3,3.2,3.4,3.6,3.8,4,4.2,4.4,4.6,4.7,4.8,4.9,5},{0,10,20,30,40,50,60,62,64,66,68,70,72,74,76,78,80,85,90,95,100})</f>
        <v>90</v>
      </c>
      <c r="Q375" s="12">
        <v>3.5</v>
      </c>
      <c r="R375" s="12">
        <f t="shared" ref="R375:R382" si="183">10-Q375</f>
        <v>6.5</v>
      </c>
      <c r="S375" s="11">
        <f>LOOKUP(R375,{0,3.8,4,4.6,4.8,5,5.6,5.65,5.7,5.75,5.8,5.85,5.9,5.95,6,6.45,6.5,6.58,6.65,6.7,6.75},{0,10,20,30,40,50,60,62,64,66,68,70,72,74,76,78,80,85,90,95,100})</f>
        <v>80</v>
      </c>
      <c r="T375" s="12"/>
      <c r="U375" s="12"/>
      <c r="V375" s="12">
        <f t="shared" ref="V375:V382" si="184">S375+U375</f>
        <v>80</v>
      </c>
      <c r="W375" s="12"/>
      <c r="X375" s="20">
        <f t="shared" si="157"/>
        <v>52.9</v>
      </c>
      <c r="Y375" s="20">
        <f t="shared" ref="Y375:Y398" si="185">X375/0.7+L375+U375</f>
        <v>75.5714285714286</v>
      </c>
    </row>
    <row r="376" ht="15.6" hidden="1" outlineLevel="2" spans="1:25">
      <c r="A376" s="12">
        <v>208</v>
      </c>
      <c r="B376" s="12">
        <v>37</v>
      </c>
      <c r="C376" s="13" t="s">
        <v>419</v>
      </c>
      <c r="D376" s="6" t="s">
        <v>53</v>
      </c>
      <c r="E376" s="12">
        <v>12</v>
      </c>
      <c r="F376" s="11">
        <f>LOOKUP(E376,{0,1,1.8,2.6,3.4,4.2,5,6.3,7.6,8.9,10.2,11.5,12.8,14.1,15.4,16.7,18,19.7,21.4,23.1,24.8},{0,10,20,30,40,50,60,62,64,66,68,70,72,74,76,78,80,85,90,95,100})</f>
        <v>70</v>
      </c>
      <c r="G376" s="12">
        <v>186</v>
      </c>
      <c r="H376" s="11">
        <f>LOOKUP(G376,{0,124,129,134,139,144,149,152,155,158,161,164,167,170,173,176,179,186,193,199,205},{0,10,20,30,40,50,60,62,64,66,68,70,72,74,76,78,80,85,90,95,100})</f>
        <v>85</v>
      </c>
      <c r="I376" s="12">
        <v>39</v>
      </c>
      <c r="J376" s="11">
        <f>LOOKUP(I376,{0,14,16,18,20,22,24,26,28,30,32,34,36,38,40,42,44,47,50,52,54},{0,10,20,30,40,50,60,62,64,66,68,70,72,74,76,78,80,85,90,95,100})</f>
        <v>74</v>
      </c>
      <c r="K376" s="12"/>
      <c r="L376" s="12"/>
      <c r="M376" s="12">
        <f t="shared" si="181"/>
        <v>74</v>
      </c>
      <c r="N376" s="12">
        <v>8.3</v>
      </c>
      <c r="O376" s="12">
        <f t="shared" si="182"/>
        <v>3.7</v>
      </c>
      <c r="P376" s="11">
        <f>LOOKUP(O376,{0,0.5,0.7,0.9,1.1,1.3,1.5,1.7,1.9,2.1,2.3,2.5,2.7,2.9,3.1,3.3,3.5,3.8,4.1,4.2,4.3},{0,10,20,30,40,50,60,62,64,66,68,70,72,74,76,78,80,85,90,95,100})</f>
        <v>80</v>
      </c>
      <c r="Q376" s="12">
        <v>3.36</v>
      </c>
      <c r="R376" s="12">
        <f t="shared" si="183"/>
        <v>6.64</v>
      </c>
      <c r="S376" s="11">
        <f>LOOKUP(R376,{0,4.72,4.82,4.92,5.42,5.52,5.62,5.67,5.72,5.77,5.82,5.87,5.92,5.97,6.42,6.47,6.52,6.59,6.66,6.72,6.78},{0,10,20,30,40,50,60,62,64,66,68,70,72,74,76,78,80,85,90,95,100})</f>
        <v>85</v>
      </c>
      <c r="T376" s="12"/>
      <c r="U376" s="12"/>
      <c r="V376" s="12">
        <f t="shared" si="184"/>
        <v>85</v>
      </c>
      <c r="W376" s="12"/>
      <c r="X376" s="20">
        <f t="shared" si="157"/>
        <v>55.9</v>
      </c>
      <c r="Y376" s="20">
        <f t="shared" si="185"/>
        <v>79.8571428571429</v>
      </c>
    </row>
    <row r="377" ht="15.6" hidden="1" outlineLevel="2" spans="1:25">
      <c r="A377" s="12">
        <v>208</v>
      </c>
      <c r="B377" s="12">
        <v>38</v>
      </c>
      <c r="C377" s="6" t="s">
        <v>420</v>
      </c>
      <c r="D377" s="6" t="s">
        <v>53</v>
      </c>
      <c r="E377" s="12">
        <v>23.5</v>
      </c>
      <c r="F377" s="11">
        <f>LOOKUP(E377,{0,1,1.8,2.6,3.4,4.2,5,6.3,7.6,8.9,10.2,11.5,12.8,14.1,15.4,16.7,18,19.7,21.4,23.1,24.8},{0,10,20,30,40,50,60,62,64,66,68,70,72,74,76,78,80,85,90,95,100})</f>
        <v>95</v>
      </c>
      <c r="G377" s="12">
        <v>165</v>
      </c>
      <c r="H377" s="11">
        <f>LOOKUP(G377,{0,124,129,134,139,144,149,152,155,158,161,164,167,170,173,176,179,186,193,199,205},{0,10,20,30,40,50,60,62,64,66,68,70,72,74,76,78,80,85,90,95,100})</f>
        <v>70</v>
      </c>
      <c r="I377" s="12">
        <v>43</v>
      </c>
      <c r="J377" s="11">
        <f>LOOKUP(I377,{0,14,16,18,20,22,24,26,28,30,32,34,36,38,40,42,44,47,50,52,54},{0,10,20,30,40,50,60,62,64,66,68,70,72,74,76,78,80,85,90,95,100})</f>
        <v>78</v>
      </c>
      <c r="K377" s="12"/>
      <c r="L377" s="15"/>
      <c r="M377" s="12">
        <f t="shared" si="181"/>
        <v>78</v>
      </c>
      <c r="N377" s="12">
        <v>9.4</v>
      </c>
      <c r="O377" s="12">
        <f t="shared" si="182"/>
        <v>2.6</v>
      </c>
      <c r="P377" s="11">
        <f>LOOKUP(O377,{0,0.5,0.7,0.9,1.1,1.3,1.5,1.7,1.9,2.1,2.3,2.5,2.7,2.9,3.1,3.3,3.5,3.8,4.1,4.2,4.3},{0,10,20,30,40,50,60,62,64,66,68,70,72,74,76,78,80,85,90,95,100})</f>
        <v>70</v>
      </c>
      <c r="Q377" s="12">
        <v>3.5</v>
      </c>
      <c r="R377" s="12">
        <f t="shared" si="183"/>
        <v>6.5</v>
      </c>
      <c r="S377" s="11">
        <f>LOOKUP(R377,{0,4.72,4.82,4.92,5.42,5.52,5.62,5.67,5.72,5.77,5.82,5.87,5.92,5.97,6.42,6.47,6.52,6.59,6.66,6.72,6.78},{0,10,20,30,40,50,60,62,64,66,68,70,72,74,76,78,80,85,90,95,100})</f>
        <v>78</v>
      </c>
      <c r="T377" s="12"/>
      <c r="U377" s="12"/>
      <c r="V377" s="12">
        <f t="shared" si="184"/>
        <v>78</v>
      </c>
      <c r="W377" s="12"/>
      <c r="X377" s="20">
        <f t="shared" si="157"/>
        <v>53.9</v>
      </c>
      <c r="Y377" s="20">
        <f t="shared" si="185"/>
        <v>77</v>
      </c>
    </row>
    <row r="378" ht="15.6" hidden="1" outlineLevel="2" spans="1:25">
      <c r="A378" s="12">
        <v>208</v>
      </c>
      <c r="B378" s="12">
        <v>39</v>
      </c>
      <c r="C378" s="6" t="s">
        <v>421</v>
      </c>
      <c r="D378" s="6" t="s">
        <v>53</v>
      </c>
      <c r="E378" s="12">
        <v>30</v>
      </c>
      <c r="F378" s="11">
        <f>LOOKUP(E378,{0,1,1.8,2.6,3.4,4.2,5,6.3,7.6,8.9,10.2,11.5,12.8,14.1,15.4,16.7,18,19.7,21.4,23.1,24.8},{0,10,20,30,40,50,60,62,64,66,68,70,72,74,76,78,80,85,90,95,100})</f>
        <v>100</v>
      </c>
      <c r="G378" s="12">
        <v>198</v>
      </c>
      <c r="H378" s="11">
        <f>LOOKUP(G378,{0,124,129,134,139,144,149,152,155,158,161,164,167,170,173,176,179,186,193,199,205},{0,10,20,30,40,50,60,62,64,66,68,70,72,74,76,78,80,85,90,95,100})</f>
        <v>90</v>
      </c>
      <c r="I378" s="12">
        <v>59</v>
      </c>
      <c r="J378" s="11">
        <f>LOOKUP(I378,{0,14,16,18,20,22,24,26,28,30,32,34,36,38,40,42,44,47,50,52,54},{0,10,20,30,40,50,60,62,64,66,68,70,72,74,76,78,80,85,90,95,100})</f>
        <v>100</v>
      </c>
      <c r="K378" s="12">
        <f>I378-54</f>
        <v>5</v>
      </c>
      <c r="L378" s="11">
        <f>LOOKUP(K378,{0,2,4,6,7,8,9,10,11,12,13},{0,1,2,3,4,5,6,7,8,9,10})</f>
        <v>2</v>
      </c>
      <c r="M378" s="12">
        <f t="shared" si="181"/>
        <v>102</v>
      </c>
      <c r="N378" s="12">
        <v>8.3</v>
      </c>
      <c r="O378" s="12">
        <f t="shared" si="182"/>
        <v>3.7</v>
      </c>
      <c r="P378" s="11">
        <f>LOOKUP(O378,{0,0.5,0.7,0.9,1.1,1.3,1.5,1.7,1.9,2.1,2.3,2.5,2.7,2.9,3.1,3.3,3.5,3.8,4.1,4.2,4.3},{0,10,20,30,40,50,60,62,64,66,68,70,72,74,76,78,80,85,90,95,100})</f>
        <v>80</v>
      </c>
      <c r="Q378" s="12">
        <v>3.49</v>
      </c>
      <c r="R378" s="12">
        <f t="shared" si="183"/>
        <v>6.51</v>
      </c>
      <c r="S378" s="11">
        <f>LOOKUP(R378,{0,4.72,4.82,4.92,5.42,5.52,5.62,5.67,5.72,5.77,5.82,5.87,5.92,5.97,6.42,6.47,6.52,6.59,6.66,6.72,6.78},{0,10,20,30,40,50,60,62,64,66,68,70,72,74,76,78,80,85,90,95,100})</f>
        <v>78</v>
      </c>
      <c r="T378" s="12"/>
      <c r="U378" s="12"/>
      <c r="V378" s="12">
        <f t="shared" si="184"/>
        <v>78</v>
      </c>
      <c r="W378" s="12"/>
      <c r="X378" s="20">
        <f t="shared" si="157"/>
        <v>60.6</v>
      </c>
      <c r="Y378" s="20">
        <f t="shared" si="185"/>
        <v>88.5714285714286</v>
      </c>
    </row>
    <row r="379" ht="15.6" hidden="1" outlineLevel="2" spans="1:25">
      <c r="A379" s="12">
        <v>208</v>
      </c>
      <c r="B379" s="12">
        <v>40</v>
      </c>
      <c r="C379" s="6" t="s">
        <v>422</v>
      </c>
      <c r="D379" s="6" t="s">
        <v>53</v>
      </c>
      <c r="E379" s="12">
        <v>9</v>
      </c>
      <c r="F379" s="11">
        <f>LOOKUP(E379,{0,1,1.8,2.6,3.4,4.2,5,6.3,7.6,8.9,10.2,11.5,12.8,14.1,15.4,16.7,18,19.7,21.4,23.1,24.8},{0,10,20,30,40,50,60,62,64,66,68,70,72,74,76,78,80,85,90,95,100})</f>
        <v>66</v>
      </c>
      <c r="G379" s="12">
        <v>167</v>
      </c>
      <c r="H379" s="11">
        <f>LOOKUP(G379,{0,124,129,134,139,144,149,152,155,158,161,164,167,170,173,176,179,186,193,199,205},{0,10,20,30,40,50,60,62,64,66,68,70,72,74,76,78,80,85,90,95,100})</f>
        <v>72</v>
      </c>
      <c r="I379" s="12">
        <v>46</v>
      </c>
      <c r="J379" s="11">
        <f>LOOKUP(I379,{0,14,16,18,20,22,24,26,28,30,32,34,36,38,40,42,44,47,50,52,54},{0,10,20,30,40,50,60,62,64,66,68,70,72,74,76,78,80,85,90,95,100})</f>
        <v>80</v>
      </c>
      <c r="K379" s="12"/>
      <c r="L379" s="12"/>
      <c r="M379" s="12">
        <f t="shared" si="181"/>
        <v>80</v>
      </c>
      <c r="N379" s="12">
        <v>9.7</v>
      </c>
      <c r="O379" s="12">
        <f t="shared" si="182"/>
        <v>2.3</v>
      </c>
      <c r="P379" s="11">
        <f>LOOKUP(O379,{0,0.5,0.7,0.9,1.1,1.3,1.5,1.7,1.9,2.1,2.3,2.5,2.7,2.9,3.1,3.3,3.5,3.8,4.1,4.2,4.3},{0,10,20,30,40,50,60,62,64,66,68,70,72,74,76,78,80,85,90,95,100})</f>
        <v>68</v>
      </c>
      <c r="Q379" s="12">
        <v>3.47</v>
      </c>
      <c r="R379" s="12">
        <f t="shared" si="183"/>
        <v>6.53</v>
      </c>
      <c r="S379" s="11">
        <f>LOOKUP(R379,{0,4.72,4.82,4.92,5.42,5.52,5.62,5.67,5.72,5.77,5.82,5.87,5.92,5.97,6.42,6.47,6.52,6.59,6.66,6.72,6.78},{0,10,20,30,40,50,60,62,64,66,68,70,72,74,76,78,80,85,90,95,100})</f>
        <v>80</v>
      </c>
      <c r="T379" s="12"/>
      <c r="U379" s="12"/>
      <c r="V379" s="12">
        <f t="shared" si="184"/>
        <v>80</v>
      </c>
      <c r="W379" s="12"/>
      <c r="X379" s="20">
        <f t="shared" si="157"/>
        <v>51.4</v>
      </c>
      <c r="Y379" s="20">
        <f t="shared" si="185"/>
        <v>73.4285714285714</v>
      </c>
    </row>
    <row r="380" ht="15.6" hidden="1" outlineLevel="2" spans="1:25">
      <c r="A380" s="12">
        <v>208</v>
      </c>
      <c r="B380" s="12">
        <v>41</v>
      </c>
      <c r="C380" s="6" t="s">
        <v>423</v>
      </c>
      <c r="D380" s="6" t="s">
        <v>53</v>
      </c>
      <c r="E380" s="12">
        <v>24.2</v>
      </c>
      <c r="F380" s="11">
        <f>LOOKUP(E380,{0,1,1.8,2.6,3.4,4.2,5,6.3,7.6,8.9,10.2,11.5,12.8,14.1,15.4,16.7,18,19.7,21.4,23.1,24.8},{0,10,20,30,40,50,60,62,64,66,68,70,72,74,76,78,80,85,90,95,100})</f>
        <v>95</v>
      </c>
      <c r="G380" s="12">
        <v>220</v>
      </c>
      <c r="H380" s="11">
        <f>LOOKUP(G380,{0,124,129,134,139,144,149,152,155,158,161,164,167,170,173,176,179,186,193,199,205},{0,10,20,30,40,50,60,62,64,66,68,70,72,74,76,78,80,85,90,95,100})</f>
        <v>100</v>
      </c>
      <c r="I380" s="12">
        <v>37</v>
      </c>
      <c r="J380" s="11">
        <f>LOOKUP(I380,{0,14,16,18,20,22,24,26,28,30,32,34,36,38,40,42,44,47,50,52,54},{0,10,20,30,40,50,60,62,64,66,68,70,72,74,76,78,80,85,90,95,100})</f>
        <v>72</v>
      </c>
      <c r="K380" s="12"/>
      <c r="L380" s="12"/>
      <c r="M380" s="12">
        <f t="shared" si="181"/>
        <v>72</v>
      </c>
      <c r="N380" s="12">
        <v>8.3</v>
      </c>
      <c r="O380" s="12">
        <f t="shared" si="182"/>
        <v>3.7</v>
      </c>
      <c r="P380" s="11">
        <f>LOOKUP(O380,{0,0.5,0.7,0.9,1.1,1.3,1.5,1.7,1.9,2.1,2.3,2.5,2.7,2.9,3.1,3.3,3.5,3.8,4.1,4.2,4.3},{0,10,20,30,40,50,60,62,64,66,68,70,72,74,76,78,80,85,90,95,100})</f>
        <v>80</v>
      </c>
      <c r="Q380" s="12">
        <v>3.23</v>
      </c>
      <c r="R380" s="12">
        <f t="shared" si="183"/>
        <v>6.77</v>
      </c>
      <c r="S380" s="11">
        <f>LOOKUP(R380,{0,4.72,4.82,4.92,5.42,5.52,5.62,5.67,5.72,5.77,5.82,5.87,5.92,5.97,6.42,6.47,6.52,6.59,6.66,6.72,6.78},{0,10,20,30,40,50,60,62,64,66,68,70,72,74,76,78,80,85,90,95,100})</f>
        <v>95</v>
      </c>
      <c r="T380" s="12"/>
      <c r="U380" s="12"/>
      <c r="V380" s="12">
        <f t="shared" si="184"/>
        <v>95</v>
      </c>
      <c r="W380" s="12"/>
      <c r="X380" s="20">
        <f t="shared" si="157"/>
        <v>61.7</v>
      </c>
      <c r="Y380" s="20">
        <f t="shared" si="185"/>
        <v>88.1428571428572</v>
      </c>
    </row>
    <row r="381" ht="15.6" hidden="1" outlineLevel="2" spans="1:25">
      <c r="A381" s="12">
        <v>208</v>
      </c>
      <c r="B381" s="12">
        <v>42</v>
      </c>
      <c r="C381" s="6" t="s">
        <v>424</v>
      </c>
      <c r="D381" s="6" t="s">
        <v>53</v>
      </c>
      <c r="E381" s="12">
        <v>12.5</v>
      </c>
      <c r="F381" s="11">
        <f>LOOKUP(E381,{0,1,1.8,2.6,3.4,4.2,5,6.3,7.6,8.9,10.2,11.5,12.8,14.1,15.4,16.7,18,19.7,21.4,23.1,24.8},{0,10,20,30,40,50,60,62,64,66,68,70,72,74,76,78,80,85,90,95,100})</f>
        <v>70</v>
      </c>
      <c r="G381" s="12">
        <v>191</v>
      </c>
      <c r="H381" s="11">
        <f>LOOKUP(G381,{0,124,129,134,139,144,149,152,155,158,161,164,167,170,173,176,179,186,193,199,205},{0,10,20,30,40,50,60,62,64,66,68,70,72,74,76,78,80,85,90,95,100})</f>
        <v>85</v>
      </c>
      <c r="I381" s="12">
        <v>42</v>
      </c>
      <c r="J381" s="11">
        <f>LOOKUP(I381,{0,14,16,18,20,22,24,26,28,30,32,34,36,38,40,42,44,47,50,52,54},{0,10,20,30,40,50,60,62,64,66,68,70,72,74,76,78,80,85,90,95,100})</f>
        <v>78</v>
      </c>
      <c r="K381" s="12"/>
      <c r="L381" s="15"/>
      <c r="M381" s="12">
        <f t="shared" si="181"/>
        <v>78</v>
      </c>
      <c r="N381" s="12">
        <v>8.1</v>
      </c>
      <c r="O381" s="12">
        <f t="shared" si="182"/>
        <v>3.9</v>
      </c>
      <c r="P381" s="11">
        <f>LOOKUP(O381,{0,0.5,0.7,0.9,1.1,1.3,1.5,1.7,1.9,2.1,2.3,2.5,2.7,2.9,3.1,3.3,3.5,3.8,4.1,4.2,4.3},{0,10,20,30,40,50,60,62,64,66,68,70,72,74,76,78,80,85,90,95,100})</f>
        <v>85</v>
      </c>
      <c r="Q381" s="12">
        <v>3.27</v>
      </c>
      <c r="R381" s="12">
        <f t="shared" si="183"/>
        <v>6.73</v>
      </c>
      <c r="S381" s="11">
        <f>LOOKUP(R381,{0,4.72,4.82,4.92,5.42,5.52,5.62,5.67,5.72,5.77,5.82,5.87,5.92,5.97,6.42,6.47,6.52,6.59,6.66,6.72,6.78},{0,10,20,30,40,50,60,62,64,66,68,70,72,74,76,78,80,85,90,95,100})</f>
        <v>95</v>
      </c>
      <c r="T381" s="12"/>
      <c r="U381" s="12"/>
      <c r="V381" s="12">
        <f t="shared" si="184"/>
        <v>95</v>
      </c>
      <c r="W381" s="12"/>
      <c r="X381" s="20">
        <f t="shared" si="157"/>
        <v>59.3</v>
      </c>
      <c r="Y381" s="20">
        <f t="shared" si="185"/>
        <v>84.7142857142857</v>
      </c>
    </row>
    <row r="382" s="1" customFormat="1" ht="15.6" hidden="1" outlineLevel="2" spans="1:25">
      <c r="A382" s="12">
        <v>208</v>
      </c>
      <c r="B382" s="12">
        <v>43</v>
      </c>
      <c r="C382" s="6" t="s">
        <v>425</v>
      </c>
      <c r="D382" s="6" t="s">
        <v>53</v>
      </c>
      <c r="E382" s="12">
        <v>21</v>
      </c>
      <c r="F382" s="11">
        <f>LOOKUP(E382,{0,1,1.8,2.6,3.4,4.2,5,6.3,7.6,8.9,10.2,11.5,12.8,14.1,15.4,16.7,18,19.7,21.4,23.1,24.8},{0,10,20,30,40,50,60,62,64,66,68,70,72,74,76,78,80,85,90,95,100})</f>
        <v>85</v>
      </c>
      <c r="G382" s="12">
        <v>166</v>
      </c>
      <c r="H382" s="11">
        <f>LOOKUP(G382,{0,124,129,134,139,144,149,152,155,158,161,164,167,170,173,176,179,186,193,199,205},{0,10,20,30,40,50,60,62,64,66,68,70,72,74,76,78,80,85,90,95,100})</f>
        <v>70</v>
      </c>
      <c r="I382" s="12">
        <v>45</v>
      </c>
      <c r="J382" s="11">
        <f>LOOKUP(I382,{0,14,16,18,20,22,24,26,28,30,32,34,36,38,40,42,44,47,50,52,54},{0,10,20,30,40,50,60,62,64,66,68,70,72,74,76,78,80,85,90,95,100})</f>
        <v>80</v>
      </c>
      <c r="K382" s="12"/>
      <c r="L382" s="12"/>
      <c r="M382" s="12">
        <f t="shared" si="181"/>
        <v>80</v>
      </c>
      <c r="N382" s="12">
        <v>9.3</v>
      </c>
      <c r="O382" s="12">
        <f t="shared" si="182"/>
        <v>2.7</v>
      </c>
      <c r="P382" s="11">
        <f>LOOKUP(O382,{0,0.5,0.7,0.9,1.1,1.3,1.5,1.7,1.9,2.1,2.3,2.5,2.7,2.9,3.1,3.3,3.5,3.8,4.1,4.2,4.3},{0,10,20,30,40,50,60,62,64,66,68,70,72,74,76,78,80,85,90,95,100})</f>
        <v>72</v>
      </c>
      <c r="Q382" s="12">
        <v>4.2</v>
      </c>
      <c r="R382" s="12">
        <f t="shared" si="183"/>
        <v>5.8</v>
      </c>
      <c r="S382" s="11">
        <f>LOOKUP(R382,{0,4.72,4.82,4.92,5.42,5.52,5.62,5.67,5.72,5.77,5.82,5.87,5.92,5.97,6.42,6.47,6.52,6.59,6.66,6.72,6.78},{0,10,20,30,40,50,60,62,64,66,68,70,72,74,76,78,80,85,90,95,100})</f>
        <v>66</v>
      </c>
      <c r="T382" s="12"/>
      <c r="U382" s="12"/>
      <c r="V382" s="12">
        <f t="shared" si="184"/>
        <v>66</v>
      </c>
      <c r="W382" s="12"/>
      <c r="X382" s="20">
        <f t="shared" si="157"/>
        <v>51.1</v>
      </c>
      <c r="Y382" s="20">
        <f t="shared" si="185"/>
        <v>73</v>
      </c>
    </row>
    <row r="383" ht="15.6" hidden="1" outlineLevel="2" spans="1:25">
      <c r="A383" s="12">
        <v>208</v>
      </c>
      <c r="B383" s="12">
        <v>44</v>
      </c>
      <c r="C383" s="6" t="s">
        <v>426</v>
      </c>
      <c r="D383" s="6" t="s">
        <v>53</v>
      </c>
      <c r="E383" s="12">
        <v>16</v>
      </c>
      <c r="F383" s="11">
        <f>LOOKUP(E383,{0,1,1.8,2.6,3.4,4.2,5,6.3,7.6,8.9,10.2,11.5,12.8,14.1,15.4,16.7,18,19.7,21.4,23.1,24.8},{0,10,20,30,40,50,60,62,64,66,68,70,72,74,76,78,80,85,90,95,100})</f>
        <v>76</v>
      </c>
      <c r="G383" s="12">
        <v>168</v>
      </c>
      <c r="H383" s="11">
        <f>LOOKUP(G383,{0,124,129,134,139,144,149,152,155,158,161,164,167,170,173,176,179,186,193,199,205},{0,10,20,30,40,50,60,62,64,66,68,70,72,74,76,78,80,85,90,95,100})</f>
        <v>72</v>
      </c>
      <c r="I383" s="12">
        <v>44</v>
      </c>
      <c r="J383" s="11">
        <f>LOOKUP(I383,{0,14,16,18,20,22,24,26,28,30,32,34,36,38,40,42,44,47,50,52,54},{0,10,20,30,40,50,60,62,64,66,68,70,72,74,76,78,80,85,90,95,100})</f>
        <v>80</v>
      </c>
      <c r="K383" s="12"/>
      <c r="L383" s="12"/>
      <c r="M383" s="12">
        <f t="shared" si="181"/>
        <v>80</v>
      </c>
      <c r="N383" s="12">
        <v>8.7</v>
      </c>
      <c r="O383" s="12">
        <f t="shared" si="182"/>
        <v>3.3</v>
      </c>
      <c r="P383" s="11">
        <f>LOOKUP(O383,{0,0.5,0.7,0.9,1.1,1.3,1.5,1.7,1.9,2.1,2.3,2.5,2.7,2.9,3.1,3.3,3.5,3.8,4.1,4.2,4.3},{0,10,20,30,40,50,60,62,64,66,68,70,72,74,76,78,80,85,90,95,100})</f>
        <v>78</v>
      </c>
      <c r="Q383" s="12"/>
      <c r="R383" s="12"/>
      <c r="S383" s="11"/>
      <c r="T383" s="21"/>
      <c r="U383" s="11"/>
      <c r="V383" s="12"/>
      <c r="W383" s="12"/>
      <c r="X383" s="20">
        <f t="shared" si="157"/>
        <v>38.4</v>
      </c>
      <c r="Y383" s="20">
        <f t="shared" si="185"/>
        <v>54.8571428571429</v>
      </c>
    </row>
    <row r="384" ht="15.6" hidden="1" outlineLevel="2" spans="1:25">
      <c r="A384" s="12">
        <v>208</v>
      </c>
      <c r="B384" s="12">
        <v>45</v>
      </c>
      <c r="C384" s="13" t="s">
        <v>428</v>
      </c>
      <c r="D384" s="6" t="s">
        <v>53</v>
      </c>
      <c r="E384" s="12">
        <v>13.6</v>
      </c>
      <c r="F384" s="11">
        <f>LOOKUP(E384,{0,1,1.8,2.6,3.4,4.2,5,6.3,7.6,8.9,10.2,11.5,12.8,14.1,15.4,16.7,18,19.7,21.4,23.1,24.8},{0,10,20,30,40,50,60,62,64,66,68,70,72,74,76,78,80,85,90,95,100})</f>
        <v>72</v>
      </c>
      <c r="G384" s="12">
        <v>177</v>
      </c>
      <c r="H384" s="11">
        <f>LOOKUP(G384,{0,124,129,134,139,144,149,152,155,158,161,164,167,170,173,176,179,186,193,199,205},{0,10,20,30,40,50,60,62,64,66,68,70,72,74,76,78,80,85,90,95,100})</f>
        <v>78</v>
      </c>
      <c r="I384" s="12">
        <v>48</v>
      </c>
      <c r="J384" s="11">
        <f>LOOKUP(I384,{0,14,16,18,20,22,24,26,28,30,32,34,36,38,40,42,44,47,50,52,54},{0,10,20,30,40,50,60,62,64,66,68,70,72,74,76,78,80,85,90,95,100})</f>
        <v>85</v>
      </c>
      <c r="K384" s="12"/>
      <c r="L384" s="12"/>
      <c r="M384" s="12">
        <f t="shared" si="181"/>
        <v>85</v>
      </c>
      <c r="N384" s="12">
        <v>9.1</v>
      </c>
      <c r="O384" s="12">
        <f t="shared" si="182"/>
        <v>2.9</v>
      </c>
      <c r="P384" s="11">
        <f>LOOKUP(O384,{0,0.5,0.7,0.9,1.1,1.3,1.5,1.7,1.9,2.1,2.3,2.5,2.7,2.9,3.1,3.3,3.5,3.8,4.1,4.2,4.3},{0,10,20,30,40,50,60,62,64,66,68,70,72,74,76,78,80,85,90,95,100})</f>
        <v>74</v>
      </c>
      <c r="Q384" s="12">
        <v>3.35</v>
      </c>
      <c r="R384" s="12">
        <f>10-Q384</f>
        <v>6.65</v>
      </c>
      <c r="S384" s="11">
        <f>LOOKUP(R384,{0,4.72,4.82,4.92,5.42,5.52,5.62,5.67,5.72,5.77,5.82,5.87,5.92,5.97,6.42,6.47,6.52,6.59,6.66,6.72,6.78},{0,10,20,30,40,50,60,62,64,66,68,70,72,74,76,78,80,85,90,95,100})</f>
        <v>85</v>
      </c>
      <c r="T384" s="12"/>
      <c r="U384" s="12"/>
      <c r="V384" s="12">
        <f>S384+U384</f>
        <v>85</v>
      </c>
      <c r="W384" s="12"/>
      <c r="X384" s="20">
        <f t="shared" si="157"/>
        <v>55.3</v>
      </c>
      <c r="Y384" s="20">
        <f t="shared" si="185"/>
        <v>79</v>
      </c>
    </row>
    <row r="385" ht="15.6" hidden="1" outlineLevel="2" spans="1:25">
      <c r="A385" s="12">
        <v>208</v>
      </c>
      <c r="B385" s="12">
        <v>46</v>
      </c>
      <c r="C385" s="6" t="s">
        <v>429</v>
      </c>
      <c r="D385" s="6" t="s">
        <v>53</v>
      </c>
      <c r="E385" s="12">
        <v>20.7</v>
      </c>
      <c r="F385" s="11">
        <f>LOOKUP(E385,{0,1,1.8,2.6,3.4,4.2,5,6.3,7.6,8.9,10.2,11.5,12.8,14.1,15.4,16.7,18,19.7,21.4,23.1,24.8},{0,10,20,30,40,50,60,62,64,66,68,70,72,74,76,78,80,85,90,95,100})</f>
        <v>85</v>
      </c>
      <c r="G385" s="12">
        <v>180</v>
      </c>
      <c r="H385" s="11">
        <f>LOOKUP(G385,{0,124,129,134,139,144,149,152,155,158,161,164,167,170,173,176,179,186,193,199,205},{0,10,20,30,40,50,60,62,64,66,68,70,72,74,76,78,80,85,90,95,100})</f>
        <v>80</v>
      </c>
      <c r="I385" s="12">
        <v>58</v>
      </c>
      <c r="J385" s="11">
        <f>LOOKUP(I385,{0,14,16,18,20,22,24,26,28,30,32,34,36,38,40,42,44,47,50,52,54},{0,10,20,30,40,50,60,62,64,66,68,70,72,74,76,78,80,85,90,95,100})</f>
        <v>100</v>
      </c>
      <c r="K385" s="12">
        <f t="shared" ref="K385:K388" si="186">I385-54</f>
        <v>4</v>
      </c>
      <c r="L385" s="11">
        <f>LOOKUP(K385,{0,2,4,6,7,8,9,10,11,12,13},{0,1,2,3,4,5,6,7,8,9,10})</f>
        <v>2</v>
      </c>
      <c r="M385" s="12">
        <f t="shared" si="181"/>
        <v>102</v>
      </c>
      <c r="N385" s="12">
        <v>8.7</v>
      </c>
      <c r="O385" s="12">
        <f t="shared" si="182"/>
        <v>3.3</v>
      </c>
      <c r="P385" s="11">
        <f>LOOKUP(O385,{0,0.5,0.7,0.9,1.1,1.3,1.5,1.7,1.9,2.1,2.3,2.5,2.7,2.9,3.1,3.3,3.5,3.8,4.1,4.2,4.3},{0,10,20,30,40,50,60,62,64,66,68,70,72,74,76,78,80,85,90,95,100})</f>
        <v>78</v>
      </c>
      <c r="Q385" s="12"/>
      <c r="R385" s="12"/>
      <c r="S385" s="11"/>
      <c r="T385" s="21"/>
      <c r="U385" s="11"/>
      <c r="V385" s="12"/>
      <c r="W385" s="12"/>
      <c r="X385" s="20">
        <f t="shared" si="157"/>
        <v>42.1</v>
      </c>
      <c r="Y385" s="20">
        <f t="shared" si="185"/>
        <v>62.1428571428571</v>
      </c>
    </row>
    <row r="386" ht="15.6" hidden="1" outlineLevel="2" spans="1:25">
      <c r="A386" s="12">
        <v>208</v>
      </c>
      <c r="B386" s="12">
        <v>47</v>
      </c>
      <c r="C386" s="6" t="s">
        <v>430</v>
      </c>
      <c r="D386" s="6" t="s">
        <v>53</v>
      </c>
      <c r="E386" s="12">
        <v>17.6</v>
      </c>
      <c r="F386" s="11">
        <f>LOOKUP(E386,{0,1,1.8,2.6,3.4,4.2,5,6.3,7.6,8.9,10.2,11.5,12.8,14.1,15.4,16.7,18,19.7,21.4,23.1,24.8},{0,10,20,30,40,50,60,62,64,66,68,70,72,74,76,78,80,85,90,95,100})</f>
        <v>78</v>
      </c>
      <c r="G386" s="12">
        <v>165</v>
      </c>
      <c r="H386" s="11">
        <f>LOOKUP(G386,{0,124,129,134,139,144,149,152,155,158,161,164,167,170,173,176,179,186,193,199,205},{0,10,20,30,40,50,60,62,64,66,68,70,72,74,76,78,80,85,90,95,100})</f>
        <v>70</v>
      </c>
      <c r="I386" s="12">
        <v>54</v>
      </c>
      <c r="J386" s="11">
        <f>LOOKUP(I386,{0,14,16,18,20,22,24,26,28,30,32,34,36,38,40,42,44,47,50,52,54},{0,10,20,30,40,50,60,62,64,66,68,70,72,74,76,78,80,85,90,95,100})</f>
        <v>100</v>
      </c>
      <c r="K386" s="12">
        <f t="shared" si="186"/>
        <v>0</v>
      </c>
      <c r="L386" s="11">
        <f>LOOKUP(K386,{0,2,4,6,7,8,9,10,11,12,13},{0,1,2,3,4,5,6,7,8,9,10})</f>
        <v>0</v>
      </c>
      <c r="M386" s="12">
        <f t="shared" si="181"/>
        <v>100</v>
      </c>
      <c r="N386" s="12">
        <v>9.1</v>
      </c>
      <c r="O386" s="12">
        <f t="shared" si="182"/>
        <v>2.9</v>
      </c>
      <c r="P386" s="11">
        <f>LOOKUP(O386,{0,0.5,0.7,0.9,1.1,1.3,1.5,1.7,1.9,2.1,2.3,2.5,2.7,2.9,3.1,3.3,3.5,3.8,4.1,4.2,4.3},{0,10,20,30,40,50,60,62,64,66,68,70,72,74,76,78,80,85,90,95,100})</f>
        <v>74</v>
      </c>
      <c r="Q386" s="12">
        <v>3.25</v>
      </c>
      <c r="R386" s="12">
        <f>10-Q386</f>
        <v>6.75</v>
      </c>
      <c r="S386" s="11">
        <f>LOOKUP(R386,{0,4.72,4.82,4.92,5.42,5.52,5.62,5.67,5.72,5.77,5.82,5.87,5.92,5.97,6.42,6.47,6.52,6.59,6.66,6.72,6.78},{0,10,20,30,40,50,60,62,64,66,68,70,72,74,76,78,80,85,90,95,100})</f>
        <v>95</v>
      </c>
      <c r="T386" s="12"/>
      <c r="U386" s="12"/>
      <c r="V386" s="12">
        <f>S386+U386</f>
        <v>95</v>
      </c>
      <c r="W386" s="12"/>
      <c r="X386" s="20">
        <f t="shared" si="157"/>
        <v>58.6</v>
      </c>
      <c r="Y386" s="20">
        <f t="shared" si="185"/>
        <v>83.7142857142857</v>
      </c>
    </row>
    <row r="387" ht="15.6" hidden="1" outlineLevel="2" spans="1:25">
      <c r="A387" s="12">
        <v>208</v>
      </c>
      <c r="B387" s="12">
        <v>48</v>
      </c>
      <c r="C387" s="6" t="s">
        <v>431</v>
      </c>
      <c r="D387" s="6" t="s">
        <v>53</v>
      </c>
      <c r="E387" s="12">
        <v>13.7</v>
      </c>
      <c r="F387" s="11">
        <f>LOOKUP(E387,{0,1,1.8,2.6,3.4,4.2,5,6.3,7.6,8.9,10.2,11.5,12.8,14.1,15.4,16.7,18,19.7,21.4,23.1,24.8},{0,10,20,30,40,50,60,62,64,66,68,70,72,74,76,78,80,85,90,95,100})</f>
        <v>72</v>
      </c>
      <c r="G387" s="12">
        <v>153</v>
      </c>
      <c r="H387" s="11">
        <f>LOOKUP(G387,{0,124,129,134,139,144,149,152,155,158,161,164,167,170,173,176,179,186,193,199,205},{0,10,20,30,40,50,60,62,64,66,68,70,72,74,76,78,80,85,90,95,100})</f>
        <v>62</v>
      </c>
      <c r="I387" s="12">
        <v>47</v>
      </c>
      <c r="J387" s="11">
        <f>LOOKUP(I387,{0,14,16,18,20,22,24,26,28,30,32,34,36,38,40,42,44,47,50,52,54},{0,10,20,30,40,50,60,62,64,66,68,70,72,74,76,78,80,85,90,95,100})</f>
        <v>85</v>
      </c>
      <c r="K387" s="12"/>
      <c r="L387" s="12"/>
      <c r="M387" s="12">
        <f t="shared" si="181"/>
        <v>85</v>
      </c>
      <c r="N387" s="12">
        <v>9.1</v>
      </c>
      <c r="O387" s="12">
        <f t="shared" si="182"/>
        <v>2.9</v>
      </c>
      <c r="P387" s="11">
        <f>LOOKUP(O387,{0,0.5,0.7,0.9,1.1,1.3,1.5,1.7,1.9,2.1,2.3,2.5,2.7,2.9,3.1,3.3,3.5,3.8,4.1,4.2,4.3},{0,10,20,30,40,50,60,62,64,66,68,70,72,74,76,78,80,85,90,95,100})</f>
        <v>74</v>
      </c>
      <c r="Q387" s="12">
        <v>3.25</v>
      </c>
      <c r="R387" s="12">
        <f>10-Q387</f>
        <v>6.75</v>
      </c>
      <c r="S387" s="11">
        <f>LOOKUP(R387,{0,4.72,4.82,4.92,5.42,5.52,5.62,5.67,5.72,5.77,5.82,5.87,5.92,5.97,6.42,6.47,6.52,6.59,6.66,6.72,6.78},{0,10,20,30,40,50,60,62,64,66,68,70,72,74,76,78,80,85,90,95,100})</f>
        <v>95</v>
      </c>
      <c r="T387" s="12"/>
      <c r="U387" s="12"/>
      <c r="V387" s="12">
        <f>S387+U387</f>
        <v>95</v>
      </c>
      <c r="W387" s="12"/>
      <c r="X387" s="20">
        <f t="shared" si="157"/>
        <v>55.7</v>
      </c>
      <c r="Y387" s="20">
        <f t="shared" si="185"/>
        <v>79.5714285714286</v>
      </c>
    </row>
    <row r="388" ht="15.6" hidden="1" outlineLevel="2" spans="1:25">
      <c r="A388" s="12">
        <v>208</v>
      </c>
      <c r="B388" s="12">
        <v>49</v>
      </c>
      <c r="C388" s="6" t="s">
        <v>432</v>
      </c>
      <c r="D388" s="6" t="s">
        <v>53</v>
      </c>
      <c r="E388" s="12">
        <v>17.1</v>
      </c>
      <c r="F388" s="11">
        <f>LOOKUP(E388,{0,1,1.8,2.6,3.4,4.2,5,6.3,7.6,8.9,10.2,11.5,12.8,14.1,15.4,16.7,18,19.7,21.4,23.1,24.8},{0,10,20,30,40,50,60,62,64,66,68,70,72,74,76,78,80,85,90,95,100})</f>
        <v>78</v>
      </c>
      <c r="G388" s="12">
        <v>165</v>
      </c>
      <c r="H388" s="11">
        <f>LOOKUP(G388,{0,124,129,134,139,144,149,152,155,158,161,164,167,170,173,176,179,186,193,199,205},{0,10,20,30,40,50,60,62,64,66,68,70,72,74,76,78,80,85,90,95,100})</f>
        <v>70</v>
      </c>
      <c r="I388" s="12">
        <v>56</v>
      </c>
      <c r="J388" s="11">
        <f>LOOKUP(I388,{0,14,16,18,20,22,24,26,28,30,32,34,36,38,40,42,44,47,50,52,54},{0,10,20,30,40,50,60,62,64,66,68,70,72,74,76,78,80,85,90,95,100})</f>
        <v>100</v>
      </c>
      <c r="K388" s="12">
        <f t="shared" si="186"/>
        <v>2</v>
      </c>
      <c r="L388" s="11">
        <f>LOOKUP(K388,{0,2,4,6,7,8,9,10,11,12,13},{0,1,2,3,4,5,6,7,8,9,10})</f>
        <v>1</v>
      </c>
      <c r="M388" s="12">
        <f t="shared" si="181"/>
        <v>101</v>
      </c>
      <c r="N388" s="12">
        <v>8.1</v>
      </c>
      <c r="O388" s="12">
        <f t="shared" si="182"/>
        <v>3.9</v>
      </c>
      <c r="P388" s="11">
        <f>LOOKUP(O388,{0,0.5,0.7,0.9,1.1,1.3,1.5,1.7,1.9,2.1,2.3,2.5,2.7,2.9,3.1,3.3,3.5,3.8,4.1,4.2,4.3},{0,10,20,30,40,50,60,62,64,66,68,70,72,74,76,78,80,85,90,95,100})</f>
        <v>85</v>
      </c>
      <c r="Q388" s="12">
        <v>3.45</v>
      </c>
      <c r="R388" s="12">
        <f>10-Q388</f>
        <v>6.55</v>
      </c>
      <c r="S388" s="11">
        <f>LOOKUP(R388,{0,4.72,4.82,4.92,5.42,5.52,5.62,5.67,5.72,5.77,5.82,5.87,5.92,5.97,6.42,6.47,6.52,6.59,6.66,6.72,6.78},{0,10,20,30,40,50,60,62,64,66,68,70,72,74,76,78,80,85,90,95,100})</f>
        <v>80</v>
      </c>
      <c r="T388" s="12"/>
      <c r="U388" s="12"/>
      <c r="V388" s="12">
        <f>S388+U388</f>
        <v>80</v>
      </c>
      <c r="W388" s="12"/>
      <c r="X388" s="20">
        <f t="shared" si="157"/>
        <v>57.8</v>
      </c>
      <c r="Y388" s="20">
        <f t="shared" si="185"/>
        <v>83.5714285714286</v>
      </c>
    </row>
    <row r="389" ht="15.6" hidden="1" outlineLevel="2" spans="1:25">
      <c r="A389" s="12">
        <v>208</v>
      </c>
      <c r="B389" s="12">
        <v>50</v>
      </c>
      <c r="C389" s="6" t="s">
        <v>433</v>
      </c>
      <c r="D389" s="6" t="s">
        <v>53</v>
      </c>
      <c r="E389" s="12">
        <v>27</v>
      </c>
      <c r="F389" s="11">
        <f>LOOKUP(E389,{0,1,1.8,2.6,3.4,4.2,5,6.3,7.6,8.9,10.2,11.5,12.8,14.1,15.4,16.7,18,19.7,21.4,23.1,24.8},{0,10,20,30,40,50,60,62,64,66,68,70,72,74,76,78,80,85,90,95,100})</f>
        <v>100</v>
      </c>
      <c r="G389" s="12">
        <v>203</v>
      </c>
      <c r="H389" s="11">
        <f>LOOKUP(G389,{0,124,129,134,139,144,149,152,155,158,161,164,167,170,173,176,179,186,193,199,205},{0,10,20,30,40,50,60,62,64,66,68,70,72,74,76,78,80,85,90,95,100})</f>
        <v>95</v>
      </c>
      <c r="I389" s="12">
        <v>51</v>
      </c>
      <c r="J389" s="11">
        <f>LOOKUP(I389,{0,14,16,18,20,22,24,26,28,30,32,34,36,38,40,42,44,47,50,52,54},{0,10,20,30,40,50,60,62,64,66,68,70,72,74,76,78,80,85,90,95,100})</f>
        <v>90</v>
      </c>
      <c r="K389" s="12"/>
      <c r="L389" s="12"/>
      <c r="M389" s="12">
        <f t="shared" si="181"/>
        <v>90</v>
      </c>
      <c r="N389" s="12">
        <v>8.2</v>
      </c>
      <c r="O389" s="12">
        <f t="shared" si="182"/>
        <v>3.8</v>
      </c>
      <c r="P389" s="11">
        <f>LOOKUP(O389,{0,0.5,0.7,0.9,1.1,1.3,1.5,1.7,1.9,2.1,2.3,2.5,2.7,2.9,3.1,3.3,3.5,3.8,4.1,4.2,4.3},{0,10,20,30,40,50,60,62,64,66,68,70,72,74,76,78,80,85,90,95,100})</f>
        <v>85</v>
      </c>
      <c r="Q389" s="12">
        <v>3.46</v>
      </c>
      <c r="R389" s="12">
        <f>10-Q389</f>
        <v>6.54</v>
      </c>
      <c r="S389" s="11">
        <f>LOOKUP(R389,{0,4.72,4.82,4.92,5.42,5.52,5.62,5.67,5.72,5.77,5.82,5.87,5.92,5.97,6.42,6.47,6.52,6.59,6.66,6.72,6.78},{0,10,20,30,40,50,60,62,64,66,68,70,72,74,76,78,80,85,90,95,100})</f>
        <v>80</v>
      </c>
      <c r="T389" s="12"/>
      <c r="U389" s="12"/>
      <c r="V389" s="12">
        <f>S389+U389</f>
        <v>80</v>
      </c>
      <c r="W389" s="12"/>
      <c r="X389" s="20">
        <f t="shared" si="157"/>
        <v>61.5</v>
      </c>
      <c r="Y389" s="20">
        <f t="shared" si="185"/>
        <v>87.8571428571429</v>
      </c>
    </row>
    <row r="390" ht="15.6" hidden="1" outlineLevel="2" spans="1:25">
      <c r="A390" s="12">
        <v>208</v>
      </c>
      <c r="B390" s="12">
        <v>51</v>
      </c>
      <c r="C390" s="6" t="s">
        <v>434</v>
      </c>
      <c r="D390" s="6" t="s">
        <v>53</v>
      </c>
      <c r="E390" s="12">
        <v>22</v>
      </c>
      <c r="F390" s="11">
        <f>LOOKUP(E390,{0,1,1.8,2.6,3.4,4.2,5,6.3,7.6,8.9,10.2,11.5,12.8,14.1,15.4,16.7,18,19.7,21.4,23.1,24.8},{0,10,20,30,40,50,60,62,64,66,68,70,72,74,76,78,80,85,90,95,100})</f>
        <v>90</v>
      </c>
      <c r="G390" s="12">
        <v>140</v>
      </c>
      <c r="H390" s="11">
        <f>LOOKUP(G390,{0,124,129,134,139,144,149,152,155,158,161,164,167,170,173,176,179,186,193,199,205},{0,10,20,30,40,50,60,62,64,66,68,70,72,74,76,78,80,85,90,95,100})</f>
        <v>40</v>
      </c>
      <c r="I390" s="12">
        <v>38</v>
      </c>
      <c r="J390" s="11">
        <f>LOOKUP(I390,{0,14,16,18,20,22,24,26,28,30,32,34,36,38,40,42,44,47,50,52,54},{0,10,20,30,40,50,60,62,64,66,68,70,72,74,76,78,80,85,90,95,100})</f>
        <v>74</v>
      </c>
      <c r="K390" s="12"/>
      <c r="L390" s="12"/>
      <c r="M390" s="12">
        <f t="shared" si="181"/>
        <v>74</v>
      </c>
      <c r="N390" s="12">
        <v>9.2</v>
      </c>
      <c r="O390" s="12">
        <f t="shared" si="182"/>
        <v>2.8</v>
      </c>
      <c r="P390" s="11">
        <f>LOOKUP(O390,{0,0.5,0.7,0.9,1.1,1.3,1.5,1.7,1.9,2.1,2.3,2.5,2.7,2.9,3.1,3.3,3.5,3.8,4.1,4.2,4.3},{0,10,20,30,40,50,60,62,64,66,68,70,72,74,76,78,80,85,90,95,100})</f>
        <v>72</v>
      </c>
      <c r="Q390" s="12">
        <v>3.34</v>
      </c>
      <c r="R390" s="12">
        <f>10-Q390</f>
        <v>6.66</v>
      </c>
      <c r="S390" s="11">
        <f>LOOKUP(R390,{0,4.72,4.82,4.92,5.42,5.52,5.62,5.67,5.72,5.77,5.82,5.87,5.92,5.97,6.42,6.47,6.52,6.59,6.66,6.72,6.78},{0,10,20,30,40,50,60,62,64,66,68,70,72,74,76,78,80,85,90,95,100})</f>
        <v>90</v>
      </c>
      <c r="T390" s="12"/>
      <c r="U390" s="12"/>
      <c r="V390" s="12">
        <f>S390+U390</f>
        <v>90</v>
      </c>
      <c r="W390" s="12"/>
      <c r="X390" s="20">
        <f t="shared" si="157"/>
        <v>52.8</v>
      </c>
      <c r="Y390" s="20">
        <f t="shared" si="185"/>
        <v>75.4285714285714</v>
      </c>
    </row>
    <row r="391" ht="15.6" outlineLevel="1" collapsed="1" spans="1:25">
      <c r="A391" s="14" t="s">
        <v>862</v>
      </c>
      <c r="B391" s="12"/>
      <c r="C391" s="6"/>
      <c r="D391" s="6"/>
      <c r="E391" s="12"/>
      <c r="F391" s="11">
        <f>SUBTOTAL(1,F340:F390)</f>
        <v>79.8666666666667</v>
      </c>
      <c r="G391" s="12"/>
      <c r="H391" s="11">
        <f>SUBTOTAL(1,H340:H390)</f>
        <v>78.4888888888889</v>
      </c>
      <c r="I391" s="12"/>
      <c r="J391" s="11">
        <f>SUBTOTAL(1,J340:J390)</f>
        <v>69.6888888888889</v>
      </c>
      <c r="K391" s="12"/>
      <c r="L391" s="12"/>
      <c r="M391" s="12">
        <f>SUBTOTAL(1,M340:M390)</f>
        <v>70.9111111111111</v>
      </c>
      <c r="N391" s="12"/>
      <c r="O391" s="12"/>
      <c r="P391" s="11">
        <f>SUBTOTAL(1,P340:P390)</f>
        <v>83.6363636363636</v>
      </c>
      <c r="Q391" s="12"/>
      <c r="R391" s="12"/>
      <c r="S391" s="11">
        <f>SUBTOTAL(1,S340:S390)</f>
        <v>79.8139534883721</v>
      </c>
      <c r="T391" s="12"/>
      <c r="U391" s="12"/>
      <c r="V391" s="12">
        <f>SUBTOTAL(1,V340:V390)</f>
        <v>79.8837209302326</v>
      </c>
      <c r="W391" s="12"/>
      <c r="X391" s="20">
        <f>SUBTOTAL(1,X340:X390)</f>
        <v>48.0117647058823</v>
      </c>
      <c r="Y391" s="20">
        <f>SUBTOTAL(1,Y340:Y390)</f>
        <v>75.8375350140056</v>
      </c>
    </row>
    <row r="392" ht="15.6" hidden="1" outlineLevel="2" spans="1:25">
      <c r="A392" s="12">
        <v>209</v>
      </c>
      <c r="B392" s="12">
        <v>1</v>
      </c>
      <c r="C392" s="13" t="s">
        <v>436</v>
      </c>
      <c r="D392" s="6" t="s">
        <v>11</v>
      </c>
      <c r="E392" s="12">
        <v>0</v>
      </c>
      <c r="F392" s="11">
        <f>LOOKUP(E392,{0,-2.9,-1.9,-0.9,0.1,1.1,2.1,3.5,4.9,6.3,7.7,9.1,10.5,11.9,13.3,14.7,16.1,18.3,20.5,22.4,24.3},{0,10,20,30,40,50,60,62,64,66,68,70,72,74,76,78,80,85,90,95,100})</f>
        <v>30</v>
      </c>
      <c r="G392" s="12">
        <v>233</v>
      </c>
      <c r="H392" s="11">
        <f>LOOKUP(G392,{0,175,180,185,190,195,200,204,208,212,216,220,224,228,232,236,240,248,255,260,265},{0,10,20,30,40,50,60,62,64,66,68,70,72,74,76,78,80,85,90,95,100})</f>
        <v>76</v>
      </c>
      <c r="I392" s="12">
        <v>0</v>
      </c>
      <c r="J392" s="11">
        <f>LOOKUP(I392,{0,3,4,5,6,7,8,9,10,11,12,13,14,15,16,17},{0,10,20,30,40,50,60,64,68,72,76,80,85,90,95,100})</f>
        <v>0</v>
      </c>
      <c r="K392" s="12"/>
      <c r="L392" s="12"/>
      <c r="M392" s="12">
        <f t="shared" ref="M392:M399" si="187">J392+L392</f>
        <v>0</v>
      </c>
      <c r="N392" s="12">
        <v>7.6</v>
      </c>
      <c r="O392" s="12">
        <f t="shared" ref="O392:O399" si="188">12-N392</f>
        <v>4.4</v>
      </c>
      <c r="P392" s="11">
        <f>LOOKUP(O392,{0,1.6,1.8,2,2.2,2.4,2.6,2.8,3,3.2,3.4,3.6,3.8,4,4.2,4.4,4.6,4.7,4.8,4.9,5},{0,10,20,30,40,50,60,62,64,66,68,70,72,74,76,78,80,85,90,95,100})</f>
        <v>78</v>
      </c>
      <c r="Q392" s="12">
        <v>4.06</v>
      </c>
      <c r="R392" s="12">
        <f t="shared" ref="R392:R399" si="189">10-Q392</f>
        <v>5.94</v>
      </c>
      <c r="S392" s="11">
        <f>LOOKUP(R392,{0,3.8,4,4.6,4.8,5,5.6,5.65,5.7,5.75,5.8,5.85,5.9,5.95,6,6.45,6.5,6.58,6.65,6.7,6.75},{0,10,20,30,40,50,60,62,64,66,68,70,72,74,76,78,80,85,90,95,100})</f>
        <v>72</v>
      </c>
      <c r="T392" s="12"/>
      <c r="U392" s="12"/>
      <c r="V392" s="12">
        <f t="shared" ref="V392:V399" si="190">S392+U392</f>
        <v>72</v>
      </c>
      <c r="W392" s="12"/>
      <c r="X392" s="20">
        <f>F392*0.1+H392*0.1+J392*0.1+P392*0.2+S392*0.2</f>
        <v>40.6</v>
      </c>
      <c r="Y392" s="20">
        <f t="shared" ref="Y392:Y399" si="191">X392/0.7+L392+U392</f>
        <v>58</v>
      </c>
    </row>
    <row r="393" ht="15.6" hidden="1" outlineLevel="2" spans="1:25">
      <c r="A393" s="12">
        <v>209</v>
      </c>
      <c r="B393" s="12">
        <v>2</v>
      </c>
      <c r="C393" s="6" t="s">
        <v>437</v>
      </c>
      <c r="D393" s="6" t="s">
        <v>11</v>
      </c>
      <c r="E393" s="12">
        <v>21</v>
      </c>
      <c r="F393" s="11">
        <f>LOOKUP(E393,{0,-2.9,-1.9,-0.9,0.1,1.1,2.1,3.5,4.9,6.3,7.7,9.1,10.5,11.9,13.3,14.7,16.1,18.3,20.5,22.4,24.3},{0,10,20,30,40,50,60,62,64,66,68,70,72,74,76,78,80,85,90,95,100})</f>
        <v>90</v>
      </c>
      <c r="G393" s="12">
        <v>255</v>
      </c>
      <c r="H393" s="11">
        <f>LOOKUP(G393,{0,175,180,185,190,195,200,204,208,212,216,220,224,228,232,236,240,248,255,260,265},{0,10,20,30,40,50,60,62,64,66,68,70,72,74,76,78,80,85,90,95,100})</f>
        <v>90</v>
      </c>
      <c r="I393" s="12">
        <v>5</v>
      </c>
      <c r="J393" s="11">
        <f>LOOKUP(I393,{0,3,4,5,6,7,8,9,10,11,12,13,14,15,16,17},{0,10,20,30,40,50,60,64,68,72,76,80,85,90,95,100})</f>
        <v>30</v>
      </c>
      <c r="K393" s="12"/>
      <c r="L393" s="12"/>
      <c r="M393" s="12">
        <f t="shared" si="187"/>
        <v>30</v>
      </c>
      <c r="N393" s="12">
        <v>7</v>
      </c>
      <c r="O393" s="12">
        <f t="shared" si="188"/>
        <v>5</v>
      </c>
      <c r="P393" s="11">
        <f>LOOKUP(O393,{0,1.6,1.8,2,2.2,2.4,2.6,2.8,3,3.2,3.4,3.6,3.8,4,4.2,4.4,4.6,4.7,4.8,4.9,5},{0,10,20,30,40,50,60,62,64,66,68,70,72,74,76,78,80,85,90,95,100})</f>
        <v>100</v>
      </c>
      <c r="Q393" s="12">
        <v>3.21</v>
      </c>
      <c r="R393" s="12">
        <f t="shared" si="189"/>
        <v>6.79</v>
      </c>
      <c r="S393" s="11">
        <f>LOOKUP(R393,{0,3.8,4,4.6,4.8,5,5.6,5.65,5.7,5.75,5.8,5.85,5.9,5.95,6,6.45,6.5,6.58,6.65,6.7,6.75},{0,10,20,30,40,50,60,62,64,66,68,70,72,74,76,78,80,85,90,95,100})</f>
        <v>100</v>
      </c>
      <c r="T393" s="12">
        <f>3.25-Q393</f>
        <v>0.04</v>
      </c>
      <c r="U393" s="11">
        <f>LOOKUP(T393,{0,0.04,0.08,0.12,0.16,0.2,0.23,0.26,0.29,0.32,0.35},{0,1,2,3,4,5,6,7,8,9,10})</f>
        <v>1</v>
      </c>
      <c r="V393" s="12">
        <f t="shared" si="190"/>
        <v>101</v>
      </c>
      <c r="W393" s="12"/>
      <c r="X393" s="20">
        <f>F393*0.1+H393*0.1+J393*0.1+P393*0.2+S393*0.2</f>
        <v>61</v>
      </c>
      <c r="Y393" s="20">
        <f t="shared" si="191"/>
        <v>88.1428571428572</v>
      </c>
    </row>
    <row r="394" ht="15.6" hidden="1" outlineLevel="2" spans="1:25">
      <c r="A394" s="12">
        <v>209</v>
      </c>
      <c r="B394" s="12">
        <v>3</v>
      </c>
      <c r="C394" s="6" t="s">
        <v>438</v>
      </c>
      <c r="D394" s="6" t="s">
        <v>11</v>
      </c>
      <c r="E394" s="12">
        <v>2.8</v>
      </c>
      <c r="F394" s="11">
        <f>LOOKUP(E394,{0,-2.9,-1.9,-0.9,0.1,1.1,2.1,3.5,4.9,6.3,7.7,9.1,10.5,11.9,13.3,14.7,16.1,18.3,20.5,22.4,24.3},{0,10,20,30,40,50,60,62,64,66,68,70,72,74,76,78,80,85,90,95,100})</f>
        <v>60</v>
      </c>
      <c r="G394" s="12">
        <v>218</v>
      </c>
      <c r="H394" s="11">
        <f>LOOKUP(G394,{0,175,180,185,190,195,200,204,208,212,216,220,224,228,232,236,240,248,255,260,265},{0,10,20,30,40,50,60,62,64,66,68,70,72,74,76,78,80,85,90,95,100})</f>
        <v>68</v>
      </c>
      <c r="I394" s="12">
        <v>2</v>
      </c>
      <c r="J394" s="11">
        <f>LOOKUP(I394,{0,3,4,5,6,7,8,9,10,11,12,13,14,15,16,17},{0,10,20,30,40,50,60,64,68,72,76,80,85,90,95,100})</f>
        <v>0</v>
      </c>
      <c r="K394" s="12"/>
      <c r="L394" s="12"/>
      <c r="M394" s="12">
        <f t="shared" si="187"/>
        <v>0</v>
      </c>
      <c r="N394" s="12">
        <v>7.1</v>
      </c>
      <c r="O394" s="12">
        <f t="shared" si="188"/>
        <v>4.9</v>
      </c>
      <c r="P394" s="11">
        <f>LOOKUP(O394,{0,1.6,1.8,2,2.2,2.4,2.6,2.8,3,3.2,3.4,3.6,3.8,4,4.2,4.4,4.6,4.7,4.8,4.9,5},{0,10,20,30,40,50,60,62,64,66,68,70,72,74,76,78,80,85,90,95,100})</f>
        <v>95</v>
      </c>
      <c r="Q394" s="12">
        <v>3.35</v>
      </c>
      <c r="R394" s="12">
        <f t="shared" si="189"/>
        <v>6.65</v>
      </c>
      <c r="S394" s="11">
        <f>LOOKUP(R394,{0,3.8,4,4.6,4.8,5,5.6,5.65,5.7,5.75,5.8,5.85,5.9,5.95,6,6.45,6.5,6.58,6.65,6.7,6.75},{0,10,20,30,40,50,60,62,64,66,68,70,72,74,76,78,80,85,90,95,100})</f>
        <v>90</v>
      </c>
      <c r="T394" s="12"/>
      <c r="U394" s="12"/>
      <c r="V394" s="12">
        <f t="shared" si="190"/>
        <v>90</v>
      </c>
      <c r="W394" s="12"/>
      <c r="X394" s="20">
        <f t="shared" ref="X394:X457" si="192">F394*0.1+H394*0.1+J394*0.1+P394*0.2+S394*0.2</f>
        <v>49.8</v>
      </c>
      <c r="Y394" s="20">
        <f t="shared" si="191"/>
        <v>71.1428571428571</v>
      </c>
    </row>
    <row r="395" s="1" customFormat="1" ht="15.6" hidden="1" outlineLevel="2" spans="1:25">
      <c r="A395" s="12">
        <v>209</v>
      </c>
      <c r="B395" s="12">
        <v>4</v>
      </c>
      <c r="C395" s="6" t="s">
        <v>439</v>
      </c>
      <c r="D395" s="6" t="s">
        <v>11</v>
      </c>
      <c r="E395" s="12">
        <v>12</v>
      </c>
      <c r="F395" s="11">
        <f>LOOKUP(E395,{0,-2.9,-1.9,-0.9,0.1,1.1,2.1,3.5,4.9,6.3,7.7,9.1,10.5,11.9,13.3,14.7,16.1,18.3,20.5,22.4,24.3},{0,10,20,30,40,50,60,62,64,66,68,70,72,74,76,78,80,85,90,95,100})</f>
        <v>74</v>
      </c>
      <c r="G395" s="12">
        <v>270</v>
      </c>
      <c r="H395" s="11">
        <f>LOOKUP(G395,{0,175,180,185,190,195,200,204,208,212,216,220,224,228,232,236,240,248,255,260,265},{0,10,20,30,40,50,60,62,64,66,68,70,72,74,76,78,80,85,90,95,100})</f>
        <v>100</v>
      </c>
      <c r="I395" s="12">
        <v>21</v>
      </c>
      <c r="J395" s="11">
        <f>LOOKUP(I395,{0,3,4,5,6,7,8,9,10,11,12,13,14,15,16,17},{0,10,20,30,40,50,60,64,68,72,76,80,85,90,95,100})</f>
        <v>100</v>
      </c>
      <c r="K395" s="12">
        <f>I395-17</f>
        <v>4</v>
      </c>
      <c r="L395" s="16">
        <f>LOOKUP(K395,{0,1,2,3,4,5,6,7,8,9,10},{0,1,2,3,4,5,6,7,8,9,10})</f>
        <v>4</v>
      </c>
      <c r="M395" s="12">
        <f t="shared" si="187"/>
        <v>104</v>
      </c>
      <c r="N395" s="12">
        <v>7.3</v>
      </c>
      <c r="O395" s="12">
        <f t="shared" si="188"/>
        <v>4.7</v>
      </c>
      <c r="P395" s="11">
        <f>LOOKUP(O395,{0,1.6,1.8,2,2.2,2.4,2.6,2.8,3,3.2,3.4,3.6,3.8,4,4.2,4.4,4.6,4.7,4.8,4.9,5},{0,10,20,30,40,50,60,62,64,66,68,70,72,74,76,78,80,85,90,95,100})</f>
        <v>85</v>
      </c>
      <c r="Q395" s="12">
        <v>3.26</v>
      </c>
      <c r="R395" s="12">
        <f t="shared" si="189"/>
        <v>6.74</v>
      </c>
      <c r="S395" s="11">
        <f>LOOKUP(R395,{0,3.8,4,4.6,4.8,5,5.6,5.65,5.7,5.75,5.8,5.85,5.9,5.95,6,6.45,6.5,6.58,6.65,6.7,6.75},{0,10,20,30,40,50,60,62,64,66,68,70,72,74,76,78,80,85,90,95,100})</f>
        <v>95</v>
      </c>
      <c r="T395" s="12"/>
      <c r="U395" s="12"/>
      <c r="V395" s="12">
        <f t="shared" si="190"/>
        <v>95</v>
      </c>
      <c r="W395" s="12"/>
      <c r="X395" s="20">
        <f t="shared" si="192"/>
        <v>63.4</v>
      </c>
      <c r="Y395" s="20">
        <f t="shared" si="191"/>
        <v>94.5714285714286</v>
      </c>
    </row>
    <row r="396" ht="15.6" hidden="1" outlineLevel="2" spans="1:25">
      <c r="A396" s="12">
        <v>209</v>
      </c>
      <c r="B396" s="12">
        <v>5</v>
      </c>
      <c r="C396" s="6" t="s">
        <v>440</v>
      </c>
      <c r="D396" s="6" t="s">
        <v>11</v>
      </c>
      <c r="E396" s="12">
        <v>8.3</v>
      </c>
      <c r="F396" s="11">
        <f>LOOKUP(E396,{0,-2.9,-1.9,-0.9,0.1,1.1,2.1,3.5,4.9,6.3,7.7,9.1,10.5,11.9,13.3,14.7,16.1,18.3,20.5,22.4,24.3},{0,10,20,30,40,50,60,62,64,66,68,70,72,74,76,78,80,85,90,95,100})</f>
        <v>68</v>
      </c>
      <c r="G396" s="12">
        <v>238</v>
      </c>
      <c r="H396" s="11">
        <f>LOOKUP(G396,{0,175,180,185,190,195,200,204,208,212,216,220,224,228,232,236,240,248,255,260,265},{0,10,20,30,40,50,60,62,64,66,68,70,72,74,76,78,80,85,90,95,100})</f>
        <v>78</v>
      </c>
      <c r="I396" s="12">
        <v>18</v>
      </c>
      <c r="J396" s="11">
        <f>LOOKUP(I396,{0,3,4,5,6,7,8,9,10,11,12,13,14,15,16,17},{0,10,20,30,40,50,60,64,68,72,76,80,85,90,95,100})</f>
        <v>100</v>
      </c>
      <c r="K396" s="12">
        <f>I396-17</f>
        <v>1</v>
      </c>
      <c r="L396" s="16">
        <f>LOOKUP(K396,{0,1,2,3,4,5,6,7,8,9,10},{0,1,2,3,4,5,6,7,8,9,10})</f>
        <v>1</v>
      </c>
      <c r="M396" s="12">
        <f t="shared" si="187"/>
        <v>101</v>
      </c>
      <c r="N396" s="12">
        <v>7.2</v>
      </c>
      <c r="O396" s="12">
        <f t="shared" si="188"/>
        <v>4.8</v>
      </c>
      <c r="P396" s="11">
        <f>LOOKUP(O396,{0,1.6,1.8,2,2.2,2.4,2.6,2.8,3,3.2,3.4,3.6,3.8,4,4.2,4.4,4.6,4.7,4.8,4.9,5},{0,10,20,30,40,50,60,62,64,66,68,70,72,74,76,78,80,85,90,95,100})</f>
        <v>90</v>
      </c>
      <c r="Q396" s="12">
        <v>3.24</v>
      </c>
      <c r="R396" s="12">
        <f t="shared" si="189"/>
        <v>6.76</v>
      </c>
      <c r="S396" s="11">
        <f>LOOKUP(R396,{0,3.8,4,4.6,4.8,5,5.6,5.65,5.7,5.75,5.8,5.85,5.9,5.95,6,6.45,6.5,6.58,6.65,6.7,6.75},{0,10,20,30,40,50,60,62,64,66,68,70,72,74,76,78,80,85,90,95,100})</f>
        <v>100</v>
      </c>
      <c r="T396" s="12">
        <f>3.25-Q396</f>
        <v>0.00999999999999979</v>
      </c>
      <c r="U396" s="11">
        <f>LOOKUP(T396,{0,0.04,0.08,0.12,0.16,0.2,0.23,0.26,0.29,0.32,0.35},{0,1,2,3,4,5,6,7,8,9,10})</f>
        <v>0</v>
      </c>
      <c r="V396" s="12">
        <f t="shared" si="190"/>
        <v>100</v>
      </c>
      <c r="W396" s="12"/>
      <c r="X396" s="20">
        <f t="shared" si="192"/>
        <v>62.6</v>
      </c>
      <c r="Y396" s="20">
        <f t="shared" si="191"/>
        <v>90.4285714285714</v>
      </c>
    </row>
    <row r="397" ht="15.6" hidden="1" outlineLevel="2" spans="1:25">
      <c r="A397" s="12">
        <v>209</v>
      </c>
      <c r="B397" s="12">
        <v>6</v>
      </c>
      <c r="C397" s="6" t="s">
        <v>441</v>
      </c>
      <c r="D397" s="6" t="s">
        <v>11</v>
      </c>
      <c r="E397" s="12">
        <v>5.4</v>
      </c>
      <c r="F397" s="11">
        <f>LOOKUP(E397,{0,-2.9,-1.9,-0.9,0.1,1.1,2.1,3.5,4.9,6.3,7.7,9.1,10.5,11.9,13.3,14.7,16.1,18.3,20.5,22.4,24.3},{0,10,20,30,40,50,60,62,64,66,68,70,72,74,76,78,80,85,90,95,100})</f>
        <v>64</v>
      </c>
      <c r="G397" s="12">
        <v>253</v>
      </c>
      <c r="H397" s="11">
        <f>LOOKUP(G397,{0,175,180,185,190,195,200,204,208,212,216,220,224,228,232,236,240,248,255,260,265},{0,10,20,30,40,50,60,62,64,66,68,70,72,74,76,78,80,85,90,95,100})</f>
        <v>85</v>
      </c>
      <c r="I397" s="12">
        <v>15</v>
      </c>
      <c r="J397" s="11">
        <f>LOOKUP(I397,{0,3,4,5,6,7,8,9,10,11,12,13,14,15,16,17},{0,10,20,30,40,50,60,64,68,72,76,80,85,90,95,100})</f>
        <v>90</v>
      </c>
      <c r="K397" s="12"/>
      <c r="L397" s="12"/>
      <c r="M397" s="12">
        <f t="shared" si="187"/>
        <v>90</v>
      </c>
      <c r="N397" s="12">
        <v>7</v>
      </c>
      <c r="O397" s="12">
        <f t="shared" si="188"/>
        <v>5</v>
      </c>
      <c r="P397" s="11">
        <f>LOOKUP(O397,{0,1.6,1.8,2,2.2,2.4,2.6,2.8,3,3.2,3.4,3.6,3.8,4,4.2,4.4,4.6,4.7,4.8,4.9,5},{0,10,20,30,40,50,60,62,64,66,68,70,72,74,76,78,80,85,90,95,100})</f>
        <v>100</v>
      </c>
      <c r="Q397" s="12">
        <v>3.48</v>
      </c>
      <c r="R397" s="12">
        <f t="shared" si="189"/>
        <v>6.52</v>
      </c>
      <c r="S397" s="11">
        <f>LOOKUP(R397,{0,3.8,4,4.6,4.8,5,5.6,5.65,5.7,5.75,5.8,5.85,5.9,5.95,6,6.45,6.5,6.58,6.65,6.7,6.75},{0,10,20,30,40,50,60,62,64,66,68,70,72,74,76,78,80,85,90,95,100})</f>
        <v>80</v>
      </c>
      <c r="T397" s="12"/>
      <c r="U397" s="12"/>
      <c r="V397" s="12">
        <f t="shared" si="190"/>
        <v>80</v>
      </c>
      <c r="W397" s="12"/>
      <c r="X397" s="20">
        <f t="shared" si="192"/>
        <v>59.9</v>
      </c>
      <c r="Y397" s="20">
        <f t="shared" si="191"/>
        <v>85.5714285714286</v>
      </c>
    </row>
    <row r="398" ht="15.6" hidden="1" outlineLevel="2" spans="1:25">
      <c r="A398" s="12">
        <v>209</v>
      </c>
      <c r="B398" s="12">
        <v>7</v>
      </c>
      <c r="C398" s="6" t="s">
        <v>442</v>
      </c>
      <c r="D398" s="6" t="s">
        <v>11</v>
      </c>
      <c r="E398" s="12">
        <v>7.3</v>
      </c>
      <c r="F398" s="11">
        <f>LOOKUP(E398,{0,-2.9,-1.9,-0.9,0.1,1.1,2.1,3.5,4.9,6.3,7.7,9.1,10.5,11.9,13.3,14.7,16.1,18.3,20.5,22.4,24.3},{0,10,20,30,40,50,60,62,64,66,68,70,72,74,76,78,80,85,90,95,100})</f>
        <v>66</v>
      </c>
      <c r="G398" s="12">
        <v>219</v>
      </c>
      <c r="H398" s="11">
        <f>LOOKUP(G398,{0,175,180,185,190,195,200,204,208,212,216,220,224,228,232,236,240,248,255,260,265},{0,10,20,30,40,50,60,62,64,66,68,70,72,74,76,78,80,85,90,95,100})</f>
        <v>68</v>
      </c>
      <c r="I398" s="12">
        <v>8</v>
      </c>
      <c r="J398" s="11">
        <f>LOOKUP(I398,{0,3,4,5,6,7,8,9,10,11,12,13,14,15,16,17},{0,10,20,30,40,50,60,64,68,72,76,80,85,90,95,100})</f>
        <v>60</v>
      </c>
      <c r="K398" s="12"/>
      <c r="L398" s="12"/>
      <c r="M398" s="12">
        <f t="shared" si="187"/>
        <v>60</v>
      </c>
      <c r="N398" s="12">
        <v>7.7</v>
      </c>
      <c r="O398" s="12">
        <f t="shared" si="188"/>
        <v>4.3</v>
      </c>
      <c r="P398" s="11">
        <f>LOOKUP(O398,{0,1.6,1.8,2,2.2,2.4,2.6,2.8,3,3.2,3.4,3.6,3.8,4,4.2,4.4,4.6,4.7,4.8,4.9,5},{0,10,20,30,40,50,60,62,64,66,68,70,72,74,76,78,80,85,90,95,100})</f>
        <v>76</v>
      </c>
      <c r="Q398" s="12">
        <v>3.51</v>
      </c>
      <c r="R398" s="12">
        <f t="shared" si="189"/>
        <v>6.49</v>
      </c>
      <c r="S398" s="11">
        <f>LOOKUP(R398,{0,3.8,4,4.6,4.8,5,5.6,5.65,5.7,5.75,5.8,5.85,5.9,5.95,6,6.45,6.5,6.58,6.65,6.7,6.75},{0,10,20,30,40,50,60,62,64,66,68,70,72,74,76,78,80,85,90,95,100})</f>
        <v>78</v>
      </c>
      <c r="T398" s="12"/>
      <c r="U398" s="12"/>
      <c r="V398" s="12">
        <f t="shared" si="190"/>
        <v>78</v>
      </c>
      <c r="W398" s="12"/>
      <c r="X398" s="20">
        <f t="shared" si="192"/>
        <v>50.2</v>
      </c>
      <c r="Y398" s="20">
        <f t="shared" si="191"/>
        <v>71.7142857142857</v>
      </c>
    </row>
    <row r="399" ht="15.6" hidden="1" outlineLevel="2" spans="1:25">
      <c r="A399" s="12">
        <v>209</v>
      </c>
      <c r="B399" s="12">
        <v>8</v>
      </c>
      <c r="C399" s="6" t="s">
        <v>443</v>
      </c>
      <c r="D399" s="6" t="s">
        <v>11</v>
      </c>
      <c r="E399" s="12">
        <v>0.5</v>
      </c>
      <c r="F399" s="11">
        <f>LOOKUP(E399,{0,-2.9,-1.9,-0.9,0.1,1.1,2.1,3.5,4.9,6.3,7.7,9.1,10.5,11.9,13.3,14.7,16.1,18.3,20.5,22.4,24.3},{0,10,20,30,40,50,60,62,64,66,68,70,72,74,76,78,80,85,90,95,100})</f>
        <v>40</v>
      </c>
      <c r="G399" s="12">
        <v>214</v>
      </c>
      <c r="H399" s="11">
        <f>LOOKUP(G399,{0,175,180,185,190,195,200,204,208,212,216,220,224,228,232,236,240,248,255,260,265},{0,10,20,30,40,50,60,62,64,66,68,70,72,74,76,78,80,85,90,95,100})</f>
        <v>66</v>
      </c>
      <c r="I399" s="12">
        <v>5</v>
      </c>
      <c r="J399" s="11">
        <f>LOOKUP(I399,{0,3,4,5,6,7,8,9,10,11,12,13,14,15,16,17},{0,10,20,30,40,50,60,64,68,72,76,80,85,90,95,100})</f>
        <v>30</v>
      </c>
      <c r="K399" s="12"/>
      <c r="L399" s="12"/>
      <c r="M399" s="12">
        <f t="shared" si="187"/>
        <v>30</v>
      </c>
      <c r="N399" s="12">
        <v>7.5</v>
      </c>
      <c r="O399" s="12">
        <f t="shared" si="188"/>
        <v>4.5</v>
      </c>
      <c r="P399" s="11">
        <f>LOOKUP(O399,{0,1.6,1.8,2,2.2,2.4,2.6,2.8,3,3.2,3.4,3.6,3.8,4,4.2,4.4,4.6,4.7,4.8,4.9,5},{0,10,20,30,40,50,60,62,64,66,68,70,72,74,76,78,80,85,90,95,100})</f>
        <v>78</v>
      </c>
      <c r="Q399" s="12">
        <v>4.05</v>
      </c>
      <c r="R399" s="12">
        <f t="shared" si="189"/>
        <v>5.95</v>
      </c>
      <c r="S399" s="11">
        <f>LOOKUP(R399,{0,3.8,4,4.6,4.8,5,5.6,5.65,5.7,5.75,5.8,5.85,5.9,5.95,6,6.45,6.5,6.58,6.65,6.7,6.75},{0,10,20,30,40,50,60,62,64,66,68,70,72,74,76,78,80,85,90,95,100})</f>
        <v>74</v>
      </c>
      <c r="T399" s="12"/>
      <c r="U399" s="12"/>
      <c r="V399" s="12">
        <f t="shared" si="190"/>
        <v>74</v>
      </c>
      <c r="W399" s="12"/>
      <c r="X399" s="20">
        <f t="shared" si="192"/>
        <v>44</v>
      </c>
      <c r="Y399" s="20">
        <f t="shared" si="191"/>
        <v>62.8571428571429</v>
      </c>
    </row>
    <row r="400" ht="15.6" hidden="1" outlineLevel="2" spans="1:25">
      <c r="A400" s="12">
        <v>209</v>
      </c>
      <c r="B400" s="12">
        <v>9</v>
      </c>
      <c r="C400" s="6" t="s">
        <v>444</v>
      </c>
      <c r="D400" s="6" t="s">
        <v>11</v>
      </c>
      <c r="E400" s="12"/>
      <c r="F400" s="11"/>
      <c r="G400" s="12"/>
      <c r="H400" s="11"/>
      <c r="I400" s="12"/>
      <c r="J400" s="11"/>
      <c r="K400" s="12"/>
      <c r="L400" s="12"/>
      <c r="M400" s="12"/>
      <c r="N400" s="12"/>
      <c r="O400" s="12"/>
      <c r="P400" s="11"/>
      <c r="Q400" s="12"/>
      <c r="R400" s="12"/>
      <c r="S400" s="11"/>
      <c r="T400" s="12"/>
      <c r="U400" s="11"/>
      <c r="V400" s="12"/>
      <c r="W400" s="12" t="s">
        <v>14</v>
      </c>
      <c r="X400" s="20">
        <f t="shared" si="192"/>
        <v>0</v>
      </c>
      <c r="Y400" s="20">
        <v>50</v>
      </c>
    </row>
    <row r="401" ht="15.6" hidden="1" outlineLevel="2" spans="1:25">
      <c r="A401" s="12">
        <v>209</v>
      </c>
      <c r="B401" s="12">
        <v>10</v>
      </c>
      <c r="C401" s="6" t="s">
        <v>445</v>
      </c>
      <c r="D401" s="6" t="s">
        <v>11</v>
      </c>
      <c r="E401" s="12">
        <v>6.9</v>
      </c>
      <c r="F401" s="11">
        <f>LOOKUP(E401,{0,-2.9,-1.9,-0.9,0.1,1.1,2.1,3.5,4.9,6.3,7.7,9.1,10.5,11.9,13.3,14.7,16.1,18.3,20.5,22.4,24.3},{0,10,20,30,40,50,60,62,64,66,68,70,72,74,76,78,80,85,90,95,100})</f>
        <v>66</v>
      </c>
      <c r="G401" s="12">
        <v>247</v>
      </c>
      <c r="H401" s="11">
        <f>LOOKUP(G401,{0,175,180,185,190,195,200,204,208,212,216,220,224,228,232,236,240,248,255,260,265},{0,10,20,30,40,50,60,62,64,66,68,70,72,74,76,78,80,85,90,95,100})</f>
        <v>80</v>
      </c>
      <c r="I401" s="12">
        <v>6</v>
      </c>
      <c r="J401" s="11">
        <f>LOOKUP(I401,{0,3,4,5,6,7,8,9,10,11,12,13,14,15,16,17},{0,10,20,30,40,50,60,64,68,72,76,80,85,90,95,100})</f>
        <v>40</v>
      </c>
      <c r="K401" s="12"/>
      <c r="L401" s="15"/>
      <c r="M401" s="12">
        <f t="shared" ref="M401:M433" si="193">J401+L401</f>
        <v>40</v>
      </c>
      <c r="N401" s="12">
        <v>7.4</v>
      </c>
      <c r="O401" s="12">
        <f t="shared" ref="O401:O407" si="194">12-N401</f>
        <v>4.6</v>
      </c>
      <c r="P401" s="11">
        <f>LOOKUP(O401,{0,1.6,1.8,2,2.2,2.4,2.6,2.8,3,3.2,3.4,3.6,3.8,4,4.2,4.4,4.6,4.7,4.8,4.9,5},{0,10,20,30,40,50,60,62,64,66,68,70,72,74,76,78,80,85,90,95,100})</f>
        <v>80</v>
      </c>
      <c r="Q401" s="12">
        <v>4.07</v>
      </c>
      <c r="R401" s="12">
        <f t="shared" ref="R401:R407" si="195">10-Q401</f>
        <v>5.93</v>
      </c>
      <c r="S401" s="11">
        <f>LOOKUP(R401,{0,3.8,4,4.6,4.8,5,5.6,5.65,5.7,5.75,5.8,5.85,5.9,5.95,6,6.45,6.5,6.58,6.65,6.7,6.75},{0,10,20,30,40,50,60,62,64,66,68,70,72,74,76,78,80,85,90,95,100})</f>
        <v>72</v>
      </c>
      <c r="T401" s="12"/>
      <c r="U401" s="12"/>
      <c r="V401" s="12">
        <f t="shared" ref="V401:V407" si="196">S401+U401</f>
        <v>72</v>
      </c>
      <c r="W401" s="12"/>
      <c r="X401" s="20">
        <f t="shared" si="192"/>
        <v>49</v>
      </c>
      <c r="Y401" s="20">
        <f t="shared" ref="Y401:Y407" si="197">X401/0.7+L401+U401</f>
        <v>70</v>
      </c>
    </row>
    <row r="402" ht="15.6" hidden="1" outlineLevel="2" spans="1:25">
      <c r="A402" s="12">
        <v>209</v>
      </c>
      <c r="B402" s="12">
        <v>11</v>
      </c>
      <c r="C402" s="13" t="s">
        <v>447</v>
      </c>
      <c r="D402" s="6" t="s">
        <v>11</v>
      </c>
      <c r="E402" s="12">
        <v>8.8</v>
      </c>
      <c r="F402" s="11">
        <f>LOOKUP(E402,{0,-2.9,-1.9,-0.9,0.1,1.1,2.1,3.5,4.9,6.3,7.7,9.1,10.5,11.9,13.3,14.7,16.1,18.3,20.5,22.4,24.3},{0,10,20,30,40,50,60,62,64,66,68,70,72,74,76,78,80,85,90,95,100})</f>
        <v>68</v>
      </c>
      <c r="G402" s="12">
        <v>205</v>
      </c>
      <c r="H402" s="11">
        <f>LOOKUP(G402,{0,175,180,185,190,195,200,204,208,212,216,220,224,228,232,236,240,248,255,260,265},{0,10,20,30,40,50,60,62,64,66,68,70,72,74,76,78,80,85,90,95,100})</f>
        <v>62</v>
      </c>
      <c r="I402" s="12">
        <v>11</v>
      </c>
      <c r="J402" s="11">
        <f>LOOKUP(I402,{0,3,4,5,6,7,8,9,10,11,12,13,14,15,16,17},{0,10,20,30,40,50,60,64,68,72,76,80,85,90,95,100})</f>
        <v>72</v>
      </c>
      <c r="K402" s="12"/>
      <c r="L402" s="12"/>
      <c r="M402" s="12">
        <f t="shared" si="193"/>
        <v>72</v>
      </c>
      <c r="N402" s="12">
        <v>7.7</v>
      </c>
      <c r="O402" s="12">
        <f t="shared" si="194"/>
        <v>4.3</v>
      </c>
      <c r="P402" s="11">
        <f>LOOKUP(O402,{0,1.6,1.8,2,2.2,2.4,2.6,2.8,3,3.2,3.4,3.6,3.8,4,4.2,4.4,4.6,4.7,4.8,4.9,5},{0,10,20,30,40,50,60,62,64,66,68,70,72,74,76,78,80,85,90,95,100})</f>
        <v>76</v>
      </c>
      <c r="Q402" s="12">
        <v>4.17</v>
      </c>
      <c r="R402" s="12">
        <f t="shared" si="195"/>
        <v>5.83</v>
      </c>
      <c r="S402" s="11">
        <f>LOOKUP(R402,{0,3.8,4,4.6,4.8,5,5.6,5.65,5.7,5.75,5.8,5.85,5.9,5.95,6,6.45,6.5,6.58,6.65,6.7,6.75},{0,10,20,30,40,50,60,62,64,66,68,70,72,74,76,78,80,85,90,95,100})</f>
        <v>68</v>
      </c>
      <c r="T402" s="12"/>
      <c r="U402" s="12"/>
      <c r="V402" s="12">
        <f t="shared" si="196"/>
        <v>68</v>
      </c>
      <c r="W402" s="12"/>
      <c r="X402" s="20">
        <f t="shared" si="192"/>
        <v>49</v>
      </c>
      <c r="Y402" s="20">
        <f t="shared" si="197"/>
        <v>70</v>
      </c>
    </row>
    <row r="403" ht="15.6" hidden="1" outlineLevel="2" spans="1:25">
      <c r="A403" s="12">
        <v>209</v>
      </c>
      <c r="B403" s="12">
        <v>12</v>
      </c>
      <c r="C403" s="6" t="s">
        <v>448</v>
      </c>
      <c r="D403" s="6" t="s">
        <v>11</v>
      </c>
      <c r="E403" s="12">
        <v>8.5</v>
      </c>
      <c r="F403" s="11">
        <f>LOOKUP(E403,{0,-2.9,-1.9,-0.9,0.1,1.1,2.1,3.5,4.9,6.3,7.7,9.1,10.5,11.9,13.3,14.7,16.1,18.3,20.5,22.4,24.3},{0,10,20,30,40,50,60,62,64,66,68,70,72,74,76,78,80,85,90,95,100})</f>
        <v>68</v>
      </c>
      <c r="G403" s="12">
        <v>234</v>
      </c>
      <c r="H403" s="11">
        <f>LOOKUP(G403,{0,175,180,185,190,195,200,204,208,212,216,220,224,228,232,236,240,248,255,260,265},{0,10,20,30,40,50,60,62,64,66,68,70,72,74,76,78,80,85,90,95,100})</f>
        <v>76</v>
      </c>
      <c r="I403" s="12">
        <v>0</v>
      </c>
      <c r="J403" s="11">
        <f>LOOKUP(I403,{0,3,4,5,6,7,8,9,10,11,12,13,14,15,16,17},{0,10,20,30,40,50,60,64,68,72,76,80,85,90,95,100})</f>
        <v>0</v>
      </c>
      <c r="K403" s="12"/>
      <c r="L403" s="12"/>
      <c r="M403" s="12">
        <f t="shared" si="193"/>
        <v>0</v>
      </c>
      <c r="N403" s="12">
        <v>7.6</v>
      </c>
      <c r="O403" s="12">
        <f t="shared" si="194"/>
        <v>4.4</v>
      </c>
      <c r="P403" s="11">
        <f>LOOKUP(O403,{0,1.6,1.8,2,2.2,2.4,2.6,2.8,3,3.2,3.4,3.6,3.8,4,4.2,4.4,4.6,4.7,4.8,4.9,5},{0,10,20,30,40,50,60,62,64,66,68,70,72,74,76,78,80,85,90,95,100})</f>
        <v>78</v>
      </c>
      <c r="Q403" s="12">
        <v>3.5</v>
      </c>
      <c r="R403" s="12">
        <f t="shared" si="195"/>
        <v>6.5</v>
      </c>
      <c r="S403" s="11">
        <f>LOOKUP(R403,{0,3.8,4,4.6,4.8,5,5.6,5.65,5.7,5.75,5.8,5.85,5.9,5.95,6,6.45,6.5,6.58,6.65,6.7,6.75},{0,10,20,30,40,50,60,62,64,66,68,70,72,74,76,78,80,85,90,95,100})</f>
        <v>80</v>
      </c>
      <c r="T403" s="12"/>
      <c r="U403" s="12"/>
      <c r="V403" s="12">
        <f t="shared" si="196"/>
        <v>80</v>
      </c>
      <c r="W403" s="12"/>
      <c r="X403" s="20">
        <f t="shared" si="192"/>
        <v>46</v>
      </c>
      <c r="Y403" s="20">
        <f t="shared" si="197"/>
        <v>65.7142857142857</v>
      </c>
    </row>
    <row r="404" ht="15.6" hidden="1" outlineLevel="2" spans="1:25">
      <c r="A404" s="12">
        <v>209</v>
      </c>
      <c r="B404" s="12">
        <v>13</v>
      </c>
      <c r="C404" s="6" t="s">
        <v>449</v>
      </c>
      <c r="D404" s="6" t="s">
        <v>11</v>
      </c>
      <c r="E404" s="12">
        <v>25.5</v>
      </c>
      <c r="F404" s="11">
        <f>LOOKUP(E404,{0,-2.9,-1.9,-0.9,0.1,1.1,2.1,3.5,4.9,6.3,7.7,9.1,10.5,11.9,13.3,14.7,16.1,18.3,20.5,22.4,24.3},{0,10,20,30,40,50,60,62,64,66,68,70,72,74,76,78,80,85,90,95,100})</f>
        <v>100</v>
      </c>
      <c r="G404" s="12">
        <v>258</v>
      </c>
      <c r="H404" s="11">
        <f>LOOKUP(G404,{0,175,180,185,190,195,200,204,208,212,216,220,224,228,232,236,240,248,255,260,265},{0,10,20,30,40,50,60,62,64,66,68,70,72,74,76,78,80,85,90,95,100})</f>
        <v>90</v>
      </c>
      <c r="I404" s="12">
        <v>7</v>
      </c>
      <c r="J404" s="11">
        <f>LOOKUP(I404,{0,3,4,5,6,7,8,9,10,11,12,13,14,15,16,17},{0,10,20,30,40,50,60,64,68,72,76,80,85,90,95,100})</f>
        <v>50</v>
      </c>
      <c r="K404" s="12"/>
      <c r="L404" s="12"/>
      <c r="M404" s="12">
        <f t="shared" si="193"/>
        <v>50</v>
      </c>
      <c r="N404" s="12">
        <v>6.9</v>
      </c>
      <c r="O404" s="12">
        <f t="shared" si="194"/>
        <v>5.1</v>
      </c>
      <c r="P404" s="11">
        <f>LOOKUP(O404,{0,1.6,1.8,2,2.2,2.4,2.6,2.8,3,3.2,3.4,3.6,3.8,4,4.2,4.4,4.6,4.7,4.8,4.9,5},{0,10,20,30,40,50,60,62,64,66,68,70,72,74,76,78,80,85,90,95,100})</f>
        <v>100</v>
      </c>
      <c r="Q404" s="12">
        <v>3.28</v>
      </c>
      <c r="R404" s="12">
        <f t="shared" si="195"/>
        <v>6.72</v>
      </c>
      <c r="S404" s="11">
        <f>LOOKUP(R404,{0,3.8,4,4.6,4.8,5,5.6,5.65,5.7,5.75,5.8,5.85,5.9,5.95,6,6.45,6.5,6.58,6.65,6.7,6.75},{0,10,20,30,40,50,60,62,64,66,68,70,72,74,76,78,80,85,90,95,100})</f>
        <v>95</v>
      </c>
      <c r="T404" s="12"/>
      <c r="U404" s="12"/>
      <c r="V404" s="12">
        <f t="shared" si="196"/>
        <v>95</v>
      </c>
      <c r="W404" s="12"/>
      <c r="X404" s="20">
        <f t="shared" si="192"/>
        <v>63</v>
      </c>
      <c r="Y404" s="20">
        <f t="shared" si="197"/>
        <v>90</v>
      </c>
    </row>
    <row r="405" ht="15.6" hidden="1" outlineLevel="2" spans="1:25">
      <c r="A405" s="12">
        <v>209</v>
      </c>
      <c r="B405" s="12">
        <v>14</v>
      </c>
      <c r="C405" s="6" t="s">
        <v>450</v>
      </c>
      <c r="D405" s="6" t="s">
        <v>11</v>
      </c>
      <c r="E405" s="12">
        <v>0</v>
      </c>
      <c r="F405" s="11">
        <f>LOOKUP(E405,{0,-2.9,-1.9,-0.9,0.1,1.1,2.1,3.5,4.9,6.3,7.7,9.1,10.5,11.9,13.3,14.7,16.1,18.3,20.5,22.4,24.3},{0,10,20,30,40,50,60,62,64,66,68,70,72,74,76,78,80,85,90,95,100})</f>
        <v>30</v>
      </c>
      <c r="G405" s="12">
        <v>265</v>
      </c>
      <c r="H405" s="11">
        <f>LOOKUP(G405,{0,175,180,185,190,195,200,204,208,212,216,220,224,228,232,236,240,248,255,260,265},{0,10,20,30,40,50,60,62,64,66,68,70,72,74,76,78,80,85,90,95,100})</f>
        <v>100</v>
      </c>
      <c r="I405" s="12">
        <v>20</v>
      </c>
      <c r="J405" s="11">
        <f>LOOKUP(I405,{0,3,4,5,6,7,8,9,10,11,12,13,14,15,16,17},{0,10,20,30,40,50,60,64,68,72,76,80,85,90,95,100})</f>
        <v>100</v>
      </c>
      <c r="K405" s="12">
        <f>I405-17</f>
        <v>3</v>
      </c>
      <c r="L405" s="16">
        <f>LOOKUP(K405,{0,1,2,3,4,5,6,7,8,9,10},{0,1,2,3,4,5,6,7,8,9,10})</f>
        <v>3</v>
      </c>
      <c r="M405" s="12">
        <f t="shared" si="193"/>
        <v>103</v>
      </c>
      <c r="N405" s="12">
        <v>6.6</v>
      </c>
      <c r="O405" s="12">
        <f t="shared" si="194"/>
        <v>5.4</v>
      </c>
      <c r="P405" s="11">
        <f>LOOKUP(O405,{0,1.6,1.8,2,2.2,2.4,2.6,2.8,3,3.2,3.4,3.6,3.8,4,4.2,4.4,4.6,4.7,4.8,4.9,5},{0,10,20,30,40,50,60,62,64,66,68,70,72,74,76,78,80,85,90,95,100})</f>
        <v>100</v>
      </c>
      <c r="Q405" s="12">
        <v>4.13</v>
      </c>
      <c r="R405" s="12">
        <f t="shared" si="195"/>
        <v>5.87</v>
      </c>
      <c r="S405" s="11">
        <f>LOOKUP(R405,{0,3.8,4,4.6,4.8,5,5.6,5.65,5.7,5.75,5.8,5.85,5.9,5.95,6,6.45,6.5,6.58,6.65,6.7,6.75},{0,10,20,30,40,50,60,62,64,66,68,70,72,74,76,78,80,85,90,95,100})</f>
        <v>70</v>
      </c>
      <c r="T405" s="12"/>
      <c r="U405" s="12"/>
      <c r="V405" s="12">
        <f t="shared" si="196"/>
        <v>70</v>
      </c>
      <c r="W405" s="12"/>
      <c r="X405" s="20">
        <f t="shared" si="192"/>
        <v>57</v>
      </c>
      <c r="Y405" s="20">
        <f t="shared" si="197"/>
        <v>84.4285714285714</v>
      </c>
    </row>
    <row r="406" ht="15.6" hidden="1" outlineLevel="2" spans="1:25">
      <c r="A406" s="12">
        <v>209</v>
      </c>
      <c r="B406" s="12">
        <v>15</v>
      </c>
      <c r="C406" s="6" t="s">
        <v>451</v>
      </c>
      <c r="D406" s="6" t="s">
        <v>11</v>
      </c>
      <c r="E406" s="12">
        <v>1.2</v>
      </c>
      <c r="F406" s="11">
        <f>LOOKUP(E406,{0,-2.9,-1.9,-0.9,0.1,1.1,2.1,3.5,4.9,6.3,7.7,9.1,10.5,11.9,13.3,14.7,16.1,18.3,20.5,22.4,24.3},{0,10,20,30,40,50,60,62,64,66,68,70,72,74,76,78,80,85,90,95,100})</f>
        <v>50</v>
      </c>
      <c r="G406" s="12">
        <v>280</v>
      </c>
      <c r="H406" s="11">
        <f>LOOKUP(G406,{0,175,180,185,190,195,200,204,208,212,216,220,224,228,232,236,240,248,255,260,265},{0,10,20,30,40,50,60,62,64,66,68,70,72,74,76,78,80,85,90,95,100})</f>
        <v>100</v>
      </c>
      <c r="I406" s="12">
        <v>11</v>
      </c>
      <c r="J406" s="11">
        <f>LOOKUP(I406,{0,3,4,5,6,7,8,9,10,11,12,13,14,15,16,17},{0,10,20,30,40,50,60,64,68,72,76,80,85,90,95,100})</f>
        <v>72</v>
      </c>
      <c r="K406" s="12"/>
      <c r="L406" s="12"/>
      <c r="M406" s="12">
        <f t="shared" si="193"/>
        <v>72</v>
      </c>
      <c r="N406" s="12">
        <v>7.1</v>
      </c>
      <c r="O406" s="12">
        <f t="shared" si="194"/>
        <v>4.9</v>
      </c>
      <c r="P406" s="11">
        <f>LOOKUP(O406,{0,1.6,1.8,2,2.2,2.4,2.6,2.8,3,3.2,3.4,3.6,3.8,4,4.2,4.4,4.6,4.7,4.8,4.9,5},{0,10,20,30,40,50,60,62,64,66,68,70,72,74,76,78,80,85,90,95,100})</f>
        <v>95</v>
      </c>
      <c r="Q406" s="12">
        <v>3.54</v>
      </c>
      <c r="R406" s="12">
        <f t="shared" si="195"/>
        <v>6.46</v>
      </c>
      <c r="S406" s="11">
        <f>LOOKUP(R406,{0,3.8,4,4.6,4.8,5,5.6,5.65,5.7,5.75,5.8,5.85,5.9,5.95,6,6.45,6.5,6.58,6.65,6.7,6.75},{0,10,20,30,40,50,60,62,64,66,68,70,72,74,76,78,80,85,90,95,100})</f>
        <v>78</v>
      </c>
      <c r="T406" s="12"/>
      <c r="U406" s="12"/>
      <c r="V406" s="12">
        <f t="shared" si="196"/>
        <v>78</v>
      </c>
      <c r="W406" s="12"/>
      <c r="X406" s="20">
        <f t="shared" si="192"/>
        <v>56.8</v>
      </c>
      <c r="Y406" s="20">
        <f t="shared" si="197"/>
        <v>81.1428571428572</v>
      </c>
    </row>
    <row r="407" ht="15.6" hidden="1" outlineLevel="2" spans="1:25">
      <c r="A407" s="12">
        <v>209</v>
      </c>
      <c r="B407" s="12">
        <v>16</v>
      </c>
      <c r="C407" s="6" t="s">
        <v>452</v>
      </c>
      <c r="D407" s="6" t="s">
        <v>11</v>
      </c>
      <c r="E407" s="12">
        <v>8.1</v>
      </c>
      <c r="F407" s="11">
        <f>LOOKUP(E407,{0,-2.9,-1.9,-0.9,0.1,1.1,2.1,3.5,4.9,6.3,7.7,9.1,10.5,11.9,13.3,14.7,16.1,18.3,20.5,22.4,24.3},{0,10,20,30,40,50,60,62,64,66,68,70,72,74,76,78,80,85,90,95,100})</f>
        <v>68</v>
      </c>
      <c r="G407" s="12">
        <v>197</v>
      </c>
      <c r="H407" s="11">
        <f>LOOKUP(G407,{0,175,180,185,190,195,200,204,208,212,216,220,224,228,232,236,240,248,255,260,265},{0,10,20,30,40,50,60,62,64,66,68,70,72,74,76,78,80,85,90,95,100})</f>
        <v>50</v>
      </c>
      <c r="I407" s="12">
        <v>0</v>
      </c>
      <c r="J407" s="11">
        <f>LOOKUP(I407,{0,3,4,5,6,7,8,9,10,11,12,13,14,15,16,17},{0,10,20,30,40,50,60,64,68,72,76,80,85,90,95,100})</f>
        <v>0</v>
      </c>
      <c r="K407" s="12"/>
      <c r="L407" s="12"/>
      <c r="M407" s="12">
        <f t="shared" si="193"/>
        <v>0</v>
      </c>
      <c r="N407" s="12">
        <v>8.2</v>
      </c>
      <c r="O407" s="12">
        <f t="shared" si="194"/>
        <v>3.8</v>
      </c>
      <c r="P407" s="11">
        <f>LOOKUP(O407,{0,1.6,1.8,2,2.2,2.4,2.6,2.8,3,3.2,3.4,3.6,3.8,4,4.2,4.4,4.6,4.7,4.8,4.9,5},{0,10,20,30,40,50,60,62,64,66,68,70,72,74,76,78,80,85,90,95,100})</f>
        <v>72</v>
      </c>
      <c r="Q407" s="12">
        <v>4.26</v>
      </c>
      <c r="R407" s="12">
        <f t="shared" si="195"/>
        <v>5.74</v>
      </c>
      <c r="S407" s="11">
        <f>LOOKUP(R407,{0,3.8,4,4.6,4.8,5,5.6,5.65,5.7,5.75,5.8,5.85,5.9,5.95,6,6.45,6.5,6.58,6.65,6.7,6.75},{0,10,20,30,40,50,60,62,64,66,68,70,72,74,76,78,80,85,90,95,100})</f>
        <v>64</v>
      </c>
      <c r="T407" s="12"/>
      <c r="U407" s="12"/>
      <c r="V407" s="12">
        <f t="shared" si="196"/>
        <v>64</v>
      </c>
      <c r="W407" s="12"/>
      <c r="X407" s="20">
        <f t="shared" si="192"/>
        <v>39</v>
      </c>
      <c r="Y407" s="20">
        <f t="shared" si="197"/>
        <v>55.7142857142857</v>
      </c>
    </row>
    <row r="408" ht="15.6" hidden="1" outlineLevel="2" spans="1:25">
      <c r="A408" s="12">
        <v>209</v>
      </c>
      <c r="B408" s="12">
        <v>17</v>
      </c>
      <c r="C408" s="6" t="s">
        <v>453</v>
      </c>
      <c r="D408" s="6" t="s">
        <v>11</v>
      </c>
      <c r="E408" s="12">
        <v>8</v>
      </c>
      <c r="F408" s="11">
        <f>LOOKUP(E408,{0,-2.9,-1.9,-0.9,0.1,1.1,2.1,3.5,4.9,6.3,7.7,9.1,10.5,11.9,13.3,14.7,16.1,18.3,20.5,22.4,24.3},{0,10,20,30,40,50,60,62,64,66,68,70,72,74,76,78,80,85,90,95,100})</f>
        <v>68</v>
      </c>
      <c r="G408" s="12">
        <v>204</v>
      </c>
      <c r="H408" s="11">
        <f>LOOKUP(G408,{0,175,180,185,190,195,200,204,208,212,216,220,224,228,232,236,240,248,255,260,265},{0,10,20,30,40,50,60,62,64,66,68,70,72,74,76,78,80,85,90,95,100})</f>
        <v>62</v>
      </c>
      <c r="I408" s="12">
        <v>0</v>
      </c>
      <c r="J408" s="11">
        <f>LOOKUP(I408,{0,3,4,5,6,7,8,9,10,11,12,13,14,15,16,17},{0,10,20,30,40,50,60,64,68,72,76,80,85,90,95,100})</f>
        <v>0</v>
      </c>
      <c r="K408" s="12"/>
      <c r="L408" s="12"/>
      <c r="M408" s="12">
        <f t="shared" si="193"/>
        <v>0</v>
      </c>
      <c r="N408" s="12"/>
      <c r="O408" s="12"/>
      <c r="P408" s="11"/>
      <c r="Q408" s="12"/>
      <c r="R408" s="12"/>
      <c r="S408" s="11"/>
      <c r="T408" s="12"/>
      <c r="U408" s="11"/>
      <c r="V408" s="12"/>
      <c r="W408" s="12" t="s">
        <v>454</v>
      </c>
      <c r="X408" s="20">
        <f t="shared" si="192"/>
        <v>13</v>
      </c>
      <c r="Y408" s="20">
        <v>50</v>
      </c>
    </row>
    <row r="409" ht="15.6" hidden="1" outlineLevel="2" spans="1:25">
      <c r="A409" s="12">
        <v>209</v>
      </c>
      <c r="B409" s="12">
        <v>18</v>
      </c>
      <c r="C409" s="6" t="s">
        <v>455</v>
      </c>
      <c r="D409" s="6" t="s">
        <v>11</v>
      </c>
      <c r="E409" s="12">
        <v>20</v>
      </c>
      <c r="F409" s="11">
        <f>LOOKUP(E409,{0,-2.9,-1.9,-0.9,0.1,1.1,2.1,3.5,4.9,6.3,7.7,9.1,10.5,11.9,13.3,14.7,16.1,18.3,20.5,22.4,24.3},{0,10,20,30,40,50,60,62,64,66,68,70,72,74,76,78,80,85,90,95,100})</f>
        <v>85</v>
      </c>
      <c r="G409" s="12">
        <v>227</v>
      </c>
      <c r="H409" s="11">
        <f>LOOKUP(G409,{0,175,180,185,190,195,200,204,208,212,216,220,224,228,232,236,240,248,255,260,265},{0,10,20,30,40,50,60,62,64,66,68,70,72,74,76,78,80,85,90,95,100})</f>
        <v>72</v>
      </c>
      <c r="I409" s="12">
        <v>0</v>
      </c>
      <c r="J409" s="11">
        <f>LOOKUP(I409,{0,3,4,5,6,7,8,9,10,11,12,13,14,15,16,17},{0,10,20,30,40,50,60,64,68,72,76,80,85,90,95,100})</f>
        <v>0</v>
      </c>
      <c r="K409" s="12"/>
      <c r="L409" s="12"/>
      <c r="M409" s="12">
        <f t="shared" si="193"/>
        <v>0</v>
      </c>
      <c r="N409" s="12">
        <v>7.9</v>
      </c>
      <c r="O409" s="12">
        <f t="shared" ref="O409:O415" si="198">12-N409</f>
        <v>4.1</v>
      </c>
      <c r="P409" s="11">
        <f>LOOKUP(O409,{0,1.6,1.8,2,2.2,2.4,2.6,2.8,3,3.2,3.4,3.6,3.8,4,4.2,4.4,4.6,4.7,4.8,4.9,5},{0,10,20,30,40,50,60,62,64,66,68,70,72,74,76,78,80,85,90,95,100})</f>
        <v>74</v>
      </c>
      <c r="Q409" s="12">
        <v>3.52</v>
      </c>
      <c r="R409" s="12">
        <f t="shared" ref="R409:R411" si="199">10-Q409</f>
        <v>6.48</v>
      </c>
      <c r="S409" s="11">
        <f>LOOKUP(R409,{0,3.8,4,4.6,4.8,5,5.6,5.65,5.7,5.75,5.8,5.85,5.9,5.95,6,6.45,6.5,6.58,6.65,6.7,6.75},{0,10,20,30,40,50,60,62,64,66,68,70,72,74,76,78,80,85,90,95,100})</f>
        <v>78</v>
      </c>
      <c r="T409" s="12"/>
      <c r="U409" s="12"/>
      <c r="V409" s="12">
        <f t="shared" ref="V409:V411" si="200">S409+U409</f>
        <v>78</v>
      </c>
      <c r="W409" s="12"/>
      <c r="X409" s="20">
        <f t="shared" si="192"/>
        <v>46.1</v>
      </c>
      <c r="Y409" s="20">
        <f t="shared" ref="Y409:Y433" si="201">X409/0.7+L409+U409</f>
        <v>65.8571428571429</v>
      </c>
    </row>
    <row r="410" ht="15.6" hidden="1" outlineLevel="2" spans="1:25">
      <c r="A410" s="12">
        <v>209</v>
      </c>
      <c r="B410" s="12">
        <v>19</v>
      </c>
      <c r="C410" s="6" t="s">
        <v>456</v>
      </c>
      <c r="D410" s="6" t="s">
        <v>11</v>
      </c>
      <c r="E410" s="12">
        <v>5.5</v>
      </c>
      <c r="F410" s="11">
        <f>LOOKUP(E410,{0,-2.9,-1.9,-0.9,0.1,1.1,2.1,3.5,4.9,6.3,7.7,9.1,10.5,11.9,13.3,14.7,16.1,18.3,20.5,22.4,24.3},{0,10,20,30,40,50,60,62,64,66,68,70,72,74,76,78,80,85,90,95,100})</f>
        <v>64</v>
      </c>
      <c r="G410" s="12">
        <v>210</v>
      </c>
      <c r="H410" s="11">
        <f>LOOKUP(G410,{0,175,180,185,190,195,200,204,208,212,216,220,224,228,232,236,240,248,255,260,265},{0,10,20,30,40,50,60,62,64,66,68,70,72,74,76,78,80,85,90,95,100})</f>
        <v>64</v>
      </c>
      <c r="I410" s="12">
        <v>8</v>
      </c>
      <c r="J410" s="11">
        <f>LOOKUP(I410,{0,3,4,5,6,7,8,9,10,11,12,13,14,15,16,17},{0,10,20,30,40,50,60,64,68,72,76,80,85,90,95,100})</f>
        <v>60</v>
      </c>
      <c r="K410" s="12"/>
      <c r="L410" s="12"/>
      <c r="M410" s="12">
        <f t="shared" si="193"/>
        <v>60</v>
      </c>
      <c r="N410" s="12">
        <v>7.1</v>
      </c>
      <c r="O410" s="12">
        <f t="shared" si="198"/>
        <v>4.9</v>
      </c>
      <c r="P410" s="11">
        <f>LOOKUP(O410,{0,1.6,1.8,2,2.2,2.4,2.6,2.8,3,3.2,3.4,3.6,3.8,4,4.2,4.4,4.6,4.7,4.8,4.9,5},{0,10,20,30,40,50,60,62,64,66,68,70,72,74,76,78,80,85,90,95,100})</f>
        <v>95</v>
      </c>
      <c r="Q410" s="12">
        <v>3.51</v>
      </c>
      <c r="R410" s="12">
        <f t="shared" si="199"/>
        <v>6.49</v>
      </c>
      <c r="S410" s="11">
        <f>LOOKUP(R410,{0,3.8,4,4.6,4.8,5,5.6,5.65,5.7,5.75,5.8,5.85,5.9,5.95,6,6.45,6.5,6.58,6.65,6.7,6.75},{0,10,20,30,40,50,60,62,64,66,68,70,72,74,76,78,80,85,90,95,100})</f>
        <v>78</v>
      </c>
      <c r="T410" s="12"/>
      <c r="U410" s="12"/>
      <c r="V410" s="12">
        <f t="shared" si="200"/>
        <v>78</v>
      </c>
      <c r="W410" s="12"/>
      <c r="X410" s="20">
        <f t="shared" si="192"/>
        <v>53.4</v>
      </c>
      <c r="Y410" s="20">
        <f t="shared" si="201"/>
        <v>76.2857142857143</v>
      </c>
    </row>
    <row r="411" ht="15.6" hidden="1" outlineLevel="2" spans="1:25">
      <c r="A411" s="12">
        <v>209</v>
      </c>
      <c r="B411" s="12">
        <v>20</v>
      </c>
      <c r="C411" s="6" t="s">
        <v>457</v>
      </c>
      <c r="D411" s="6" t="s">
        <v>11</v>
      </c>
      <c r="E411" s="12">
        <v>8.2</v>
      </c>
      <c r="F411" s="11">
        <f>LOOKUP(E411,{0,-2.9,-1.9,-0.9,0.1,1.1,2.1,3.5,4.9,6.3,7.7,9.1,10.5,11.9,13.3,14.7,16.1,18.3,20.5,22.4,24.3},{0,10,20,30,40,50,60,62,64,66,68,70,72,74,76,78,80,85,90,95,100})</f>
        <v>68</v>
      </c>
      <c r="G411" s="12">
        <v>290</v>
      </c>
      <c r="H411" s="11">
        <f>LOOKUP(G411,{0,175,180,185,190,195,200,204,208,212,216,220,224,228,232,236,240,248,255,260,265},{0,10,20,30,40,50,60,62,64,66,68,70,72,74,76,78,80,85,90,95,100})</f>
        <v>100</v>
      </c>
      <c r="I411" s="12">
        <v>10</v>
      </c>
      <c r="J411" s="11">
        <f>LOOKUP(I411,{0,3,4,5,6,7,8,9,10,11,12,13,14,15,16,17},{0,10,20,30,40,50,60,64,68,72,76,80,85,90,95,100})</f>
        <v>68</v>
      </c>
      <c r="K411" s="12"/>
      <c r="L411" s="12"/>
      <c r="M411" s="12">
        <f t="shared" si="193"/>
        <v>68</v>
      </c>
      <c r="N411" s="12">
        <v>6.5</v>
      </c>
      <c r="O411" s="12">
        <f t="shared" si="198"/>
        <v>5.5</v>
      </c>
      <c r="P411" s="11">
        <f>LOOKUP(O411,{0,1.6,1.8,2,2.2,2.4,2.6,2.8,3,3.2,3.4,3.6,3.8,4,4.2,4.4,4.6,4.7,4.8,4.9,5},{0,10,20,30,40,50,60,62,64,66,68,70,72,74,76,78,80,85,90,95,100})</f>
        <v>100</v>
      </c>
      <c r="Q411" s="12">
        <v>3.12</v>
      </c>
      <c r="R411" s="12">
        <f t="shared" si="199"/>
        <v>6.88</v>
      </c>
      <c r="S411" s="11">
        <f>LOOKUP(R411,{0,3.8,4,4.6,4.8,5,5.6,5.65,5.7,5.75,5.8,5.85,5.9,5.95,6,6.45,6.5,6.58,6.65,6.7,6.75},{0,10,20,30,40,50,60,62,64,66,68,70,72,74,76,78,80,85,90,95,100})</f>
        <v>100</v>
      </c>
      <c r="T411" s="12">
        <f>3.25-Q411</f>
        <v>0.13</v>
      </c>
      <c r="U411" s="11">
        <f>LOOKUP(T411,{0,0.04,0.08,0.12,0.16,0.2,0.23,0.26,0.29,0.32,0.35},{0,1,2,3,4,5,6,7,8,9,10})</f>
        <v>3</v>
      </c>
      <c r="V411" s="12">
        <f t="shared" si="200"/>
        <v>103</v>
      </c>
      <c r="W411" s="12"/>
      <c r="X411" s="20">
        <f t="shared" si="192"/>
        <v>63.6</v>
      </c>
      <c r="Y411" s="20">
        <f t="shared" si="201"/>
        <v>93.8571428571429</v>
      </c>
    </row>
    <row r="412" ht="15.6" hidden="1" outlineLevel="2" spans="1:25">
      <c r="A412" s="12">
        <v>209</v>
      </c>
      <c r="B412" s="12">
        <v>21</v>
      </c>
      <c r="C412" s="13" t="s">
        <v>459</v>
      </c>
      <c r="D412" s="6" t="s">
        <v>11</v>
      </c>
      <c r="E412" s="12">
        <v>17.3</v>
      </c>
      <c r="F412" s="11">
        <f>LOOKUP(E412,{0,-2.9,-1.9,-0.9,0.1,1.1,2.1,3.5,4.9,6.3,7.7,9.1,10.5,11.9,13.3,14.7,16.1,18.3,20.5,22.4,24.3},{0,10,20,30,40,50,60,62,64,66,68,70,72,74,76,78,80,85,90,95,100})</f>
        <v>80</v>
      </c>
      <c r="G412" s="12">
        <v>240</v>
      </c>
      <c r="H412" s="11">
        <f>LOOKUP(G412,{0,175,180,185,190,195,200,204,208,212,216,220,224,228,232,236,240,248,255,260,265},{0,10,20,30,40,50,60,62,64,66,68,70,72,74,76,78,80,85,90,95,100})</f>
        <v>80</v>
      </c>
      <c r="I412" s="12">
        <v>22</v>
      </c>
      <c r="J412" s="11">
        <f>LOOKUP(I412,{0,3,4,5,6,7,8,9,10,11,12,13,14,15,16,17},{0,10,20,30,40,50,60,64,68,72,76,80,85,90,95,100})</f>
        <v>100</v>
      </c>
      <c r="K412" s="12">
        <f>I412-17</f>
        <v>5</v>
      </c>
      <c r="L412" s="16">
        <f>LOOKUP(K412,{0,1,2,3,4,5,6,7,8,9,10},{0,1,2,3,4,5,6,7,8,9,10})</f>
        <v>5</v>
      </c>
      <c r="M412" s="12">
        <f t="shared" si="193"/>
        <v>105</v>
      </c>
      <c r="N412" s="12">
        <v>6.9</v>
      </c>
      <c r="O412" s="12">
        <f t="shared" si="198"/>
        <v>5.1</v>
      </c>
      <c r="P412" s="11">
        <f>LOOKUP(O412,{0,1.6,1.8,2,2.2,2.4,2.6,2.8,3,3.2,3.4,3.6,3.8,4,4.2,4.4,4.6,4.7,4.8,4.9,5},{0,10,20,30,40,50,60,62,64,66,68,70,72,74,76,78,80,85,90,95,100})</f>
        <v>100</v>
      </c>
      <c r="Q412" s="12"/>
      <c r="R412" s="12"/>
      <c r="S412" s="11"/>
      <c r="T412" s="12"/>
      <c r="U412" s="11"/>
      <c r="V412" s="12"/>
      <c r="W412" s="12"/>
      <c r="X412" s="20">
        <f t="shared" si="192"/>
        <v>46</v>
      </c>
      <c r="Y412" s="20">
        <f t="shared" si="201"/>
        <v>70.7142857142857</v>
      </c>
    </row>
    <row r="413" ht="15.6" hidden="1" outlineLevel="2" spans="1:25">
      <c r="A413" s="12">
        <v>209</v>
      </c>
      <c r="B413" s="12">
        <v>22</v>
      </c>
      <c r="C413" s="6" t="s">
        <v>460</v>
      </c>
      <c r="D413" s="6" t="s">
        <v>11</v>
      </c>
      <c r="E413" s="12">
        <v>2.8</v>
      </c>
      <c r="F413" s="11">
        <f>LOOKUP(E413,{0,-2.9,-1.9,-0.9,0.1,1.1,2.1,3.5,4.9,6.3,7.7,9.1,10.5,11.9,13.3,14.7,16.1,18.3,20.5,22.4,24.3},{0,10,20,30,40,50,60,62,64,66,68,70,72,74,76,78,80,85,90,95,100})</f>
        <v>60</v>
      </c>
      <c r="G413" s="12">
        <v>210</v>
      </c>
      <c r="H413" s="11">
        <f>LOOKUP(G413,{0,175,180,185,190,195,200,204,208,212,216,220,224,228,232,236,240,248,255,260,265},{0,10,20,30,40,50,60,62,64,66,68,70,72,74,76,78,80,85,90,95,100})</f>
        <v>64</v>
      </c>
      <c r="I413" s="12">
        <v>8</v>
      </c>
      <c r="J413" s="11">
        <f>LOOKUP(I413,{0,3,4,5,6,7,8,9,10,11,12,13,14,15,16,17},{0,10,20,30,40,50,60,64,68,72,76,80,85,90,95,100})</f>
        <v>60</v>
      </c>
      <c r="K413" s="12"/>
      <c r="L413" s="12"/>
      <c r="M413" s="12">
        <f t="shared" si="193"/>
        <v>60</v>
      </c>
      <c r="N413" s="12">
        <v>6.9</v>
      </c>
      <c r="O413" s="12">
        <f t="shared" si="198"/>
        <v>5.1</v>
      </c>
      <c r="P413" s="11">
        <f>LOOKUP(O413,{0,1.6,1.8,2,2.2,2.4,2.6,2.8,3,3.2,3.4,3.6,3.8,4,4.2,4.4,4.6,4.7,4.8,4.9,5},{0,10,20,30,40,50,60,62,64,66,68,70,72,74,76,78,80,85,90,95,100})</f>
        <v>100</v>
      </c>
      <c r="Q413" s="12">
        <v>4.07</v>
      </c>
      <c r="R413" s="12">
        <f t="shared" ref="R413:R433" si="202">10-Q413</f>
        <v>5.93</v>
      </c>
      <c r="S413" s="11">
        <f>LOOKUP(R413,{0,3.8,4,4.6,4.8,5,5.6,5.65,5.7,5.75,5.8,5.85,5.9,5.95,6,6.45,6.5,6.58,6.65,6.7,6.75},{0,10,20,30,40,50,60,62,64,66,68,70,72,74,76,78,80,85,90,95,100})</f>
        <v>72</v>
      </c>
      <c r="T413" s="12"/>
      <c r="U413" s="12"/>
      <c r="V413" s="12">
        <f t="shared" ref="V413:V422" si="203">S413+U413</f>
        <v>72</v>
      </c>
      <c r="W413" s="12"/>
      <c r="X413" s="20">
        <f t="shared" si="192"/>
        <v>52.8</v>
      </c>
      <c r="Y413" s="20">
        <f t="shared" si="201"/>
        <v>75.4285714285714</v>
      </c>
    </row>
    <row r="414" ht="15.6" hidden="1" outlineLevel="2" spans="1:25">
      <c r="A414" s="12">
        <v>209</v>
      </c>
      <c r="B414" s="12">
        <v>23</v>
      </c>
      <c r="C414" s="6" t="s">
        <v>461</v>
      </c>
      <c r="D414" s="6" t="s">
        <v>11</v>
      </c>
      <c r="E414" s="12">
        <v>17</v>
      </c>
      <c r="F414" s="11">
        <f>LOOKUP(E414,{0,-2.9,-1.9,-0.9,0.1,1.1,2.1,3.5,4.9,6.3,7.7,9.1,10.5,11.9,13.3,14.7,16.1,18.3,20.5,22.4,24.3},{0,10,20,30,40,50,60,62,64,66,68,70,72,74,76,78,80,85,90,95,100})</f>
        <v>80</v>
      </c>
      <c r="G414" s="12">
        <v>205</v>
      </c>
      <c r="H414" s="11">
        <f>LOOKUP(G414,{0,175,180,185,190,195,200,204,208,212,216,220,224,228,232,236,240,248,255,260,265},{0,10,20,30,40,50,60,62,64,66,68,70,72,74,76,78,80,85,90,95,100})</f>
        <v>62</v>
      </c>
      <c r="I414" s="12">
        <v>3</v>
      </c>
      <c r="J414" s="11">
        <f>LOOKUP(I414,{0,3,4,5,6,7,8,9,10,11,12,13,14,15,16,17},{0,10,20,30,40,50,60,64,68,72,76,80,85,90,95,100})</f>
        <v>10</v>
      </c>
      <c r="K414" s="12"/>
      <c r="L414" s="12"/>
      <c r="M414" s="12">
        <f t="shared" si="193"/>
        <v>10</v>
      </c>
      <c r="N414" s="12">
        <v>7.7</v>
      </c>
      <c r="O414" s="12">
        <f t="shared" si="198"/>
        <v>4.3</v>
      </c>
      <c r="P414" s="11">
        <f>LOOKUP(O414,{0,1.6,1.8,2,2.2,2.4,2.6,2.8,3,3.2,3.4,3.6,3.8,4,4.2,4.4,4.6,4.7,4.8,4.9,5},{0,10,20,30,40,50,60,62,64,66,68,70,72,74,76,78,80,85,90,95,100})</f>
        <v>76</v>
      </c>
      <c r="Q414" s="12">
        <v>4.08</v>
      </c>
      <c r="R414" s="12">
        <f t="shared" si="202"/>
        <v>5.92</v>
      </c>
      <c r="S414" s="11">
        <f>LOOKUP(R414,{0,3.8,4,4.6,4.8,5,5.6,5.65,5.7,5.75,5.8,5.85,5.9,5.95,6,6.45,6.5,6.58,6.65,6.7,6.75},{0,10,20,30,40,50,60,62,64,66,68,70,72,74,76,78,80,85,90,95,100})</f>
        <v>72</v>
      </c>
      <c r="T414" s="12"/>
      <c r="U414" s="12"/>
      <c r="V414" s="12">
        <f t="shared" si="203"/>
        <v>72</v>
      </c>
      <c r="W414" s="12"/>
      <c r="X414" s="20">
        <f t="shared" si="192"/>
        <v>44.8</v>
      </c>
      <c r="Y414" s="20">
        <f t="shared" si="201"/>
        <v>64</v>
      </c>
    </row>
    <row r="415" s="1" customFormat="1" ht="15.6" hidden="1" outlineLevel="2" spans="1:25">
      <c r="A415" s="12">
        <v>209</v>
      </c>
      <c r="B415" s="12">
        <v>24</v>
      </c>
      <c r="C415" s="6" t="s">
        <v>462</v>
      </c>
      <c r="D415" s="6" t="s">
        <v>11</v>
      </c>
      <c r="E415" s="12">
        <v>22.2</v>
      </c>
      <c r="F415" s="11">
        <f>LOOKUP(E415,{0,-2.9,-1.9,-0.9,0.1,1.1,2.1,3.5,4.9,6.3,7.7,9.1,10.5,11.9,13.3,14.7,16.1,18.3,20.5,22.4,24.3},{0,10,20,30,40,50,60,62,64,66,68,70,72,74,76,78,80,85,90,95,100})</f>
        <v>90</v>
      </c>
      <c r="G415" s="12">
        <v>260</v>
      </c>
      <c r="H415" s="11">
        <f>LOOKUP(G415,{0,175,180,185,190,195,200,204,208,212,216,220,224,228,232,236,240,248,255,260,265},{0,10,20,30,40,50,60,62,64,66,68,70,72,74,76,78,80,85,90,95,100})</f>
        <v>95</v>
      </c>
      <c r="I415" s="12">
        <v>0</v>
      </c>
      <c r="J415" s="11">
        <f>LOOKUP(I415,{0,3,4,5,6,7,8,9,10,11,12,13,14,15,16,17},{0,10,20,30,40,50,60,64,68,72,76,80,85,90,95,100})</f>
        <v>0</v>
      </c>
      <c r="K415" s="12"/>
      <c r="L415" s="12"/>
      <c r="M415" s="12">
        <f t="shared" si="193"/>
        <v>0</v>
      </c>
      <c r="N415" s="12">
        <v>6.7</v>
      </c>
      <c r="O415" s="12">
        <f t="shared" si="198"/>
        <v>5.3</v>
      </c>
      <c r="P415" s="11">
        <f>LOOKUP(O415,{0,1.6,1.8,2,2.2,2.4,2.6,2.8,3,3.2,3.4,3.6,3.8,4,4.2,4.4,4.6,4.7,4.8,4.9,5},{0,10,20,30,40,50,60,62,64,66,68,70,72,74,76,78,80,85,90,95,100})</f>
        <v>100</v>
      </c>
      <c r="Q415" s="12">
        <v>3.44</v>
      </c>
      <c r="R415" s="12">
        <f t="shared" si="202"/>
        <v>6.56</v>
      </c>
      <c r="S415" s="11">
        <f>LOOKUP(R415,{0,3.8,4,4.6,4.8,5,5.6,5.65,5.7,5.75,5.8,5.85,5.9,5.95,6,6.45,6.5,6.58,6.65,6.7,6.75},{0,10,20,30,40,50,60,62,64,66,68,70,72,74,76,78,80,85,90,95,100})</f>
        <v>80</v>
      </c>
      <c r="T415" s="12"/>
      <c r="U415" s="12"/>
      <c r="V415" s="12">
        <f t="shared" si="203"/>
        <v>80</v>
      </c>
      <c r="W415" s="12"/>
      <c r="X415" s="20">
        <f t="shared" si="192"/>
        <v>54.5</v>
      </c>
      <c r="Y415" s="20">
        <f t="shared" si="201"/>
        <v>77.8571428571429</v>
      </c>
    </row>
    <row r="416" ht="15.6" hidden="1" outlineLevel="2" spans="1:25">
      <c r="A416" s="12">
        <v>209</v>
      </c>
      <c r="B416" s="12">
        <v>25</v>
      </c>
      <c r="C416" s="6" t="s">
        <v>463</v>
      </c>
      <c r="D416" s="6" t="s">
        <v>11</v>
      </c>
      <c r="E416" s="12">
        <v>18.4</v>
      </c>
      <c r="F416" s="11">
        <f>LOOKUP(E416,{0,-2.9,-1.9,-0.9,0.1,1.1,2.1,3.5,4.9,6.3,7.7,9.1,10.5,11.9,13.3,14.7,16.1,18.3,20.5,22.4,24.3},{0,10,20,30,40,50,60,62,64,66,68,70,72,74,76,78,80,85,90,95,100})</f>
        <v>85</v>
      </c>
      <c r="G416" s="12">
        <v>260</v>
      </c>
      <c r="H416" s="11">
        <f>LOOKUP(G416,{0,175,180,185,190,195,200,204,208,212,216,220,224,228,232,236,240,248,255,260,265},{0,10,20,30,40,50,60,62,64,66,68,70,72,74,76,78,80,85,90,95,100})</f>
        <v>95</v>
      </c>
      <c r="I416" s="12">
        <v>5</v>
      </c>
      <c r="J416" s="11">
        <f>LOOKUP(I416,{0,3,4,5,6,7,8,9,10,11,12,13,14,15,16,17},{0,10,20,30,40,50,60,64,68,72,76,80,85,90,95,100})</f>
        <v>30</v>
      </c>
      <c r="K416" s="12"/>
      <c r="L416" s="12"/>
      <c r="M416" s="12">
        <f t="shared" si="193"/>
        <v>30</v>
      </c>
      <c r="N416" s="12"/>
      <c r="O416" s="12"/>
      <c r="P416" s="11"/>
      <c r="Q416" s="12">
        <v>4.12</v>
      </c>
      <c r="R416" s="12">
        <f t="shared" si="202"/>
        <v>5.88</v>
      </c>
      <c r="S416" s="11">
        <f>LOOKUP(R416,{0,3.8,4,4.6,4.8,5,5.6,5.65,5.7,5.75,5.8,5.85,5.9,5.95,6,6.45,6.5,6.58,6.65,6.7,6.75},{0,10,20,30,40,50,60,62,64,66,68,70,72,74,76,78,80,85,90,95,100})</f>
        <v>70</v>
      </c>
      <c r="T416" s="12"/>
      <c r="U416" s="12"/>
      <c r="V416" s="12">
        <f t="shared" si="203"/>
        <v>70</v>
      </c>
      <c r="W416" s="12"/>
      <c r="X416" s="20">
        <f t="shared" si="192"/>
        <v>35</v>
      </c>
      <c r="Y416" s="20">
        <f t="shared" si="201"/>
        <v>50</v>
      </c>
    </row>
    <row r="417" ht="15.6" hidden="1" outlineLevel="2" spans="1:25">
      <c r="A417" s="12">
        <v>209</v>
      </c>
      <c r="B417" s="12">
        <v>26</v>
      </c>
      <c r="C417" s="6" t="s">
        <v>464</v>
      </c>
      <c r="D417" s="6" t="s">
        <v>11</v>
      </c>
      <c r="E417" s="12">
        <v>3.6</v>
      </c>
      <c r="F417" s="11">
        <f>LOOKUP(E417,{0,-2.9,-1.9,-0.9,0.1,1.1,2.1,3.5,4.9,6.3,7.7,9.1,10.5,11.9,13.3,14.7,16.1,18.3,20.5,22.4,24.3},{0,10,20,30,40,50,60,62,64,66,68,70,72,74,76,78,80,85,90,95,100})</f>
        <v>62</v>
      </c>
      <c r="G417" s="12">
        <v>230</v>
      </c>
      <c r="H417" s="11">
        <f>LOOKUP(G417,{0,175,180,185,190,195,200,204,208,212,216,220,224,228,232,236,240,248,255,260,265},{0,10,20,30,40,50,60,62,64,66,68,70,72,74,76,78,80,85,90,95,100})</f>
        <v>74</v>
      </c>
      <c r="I417" s="12">
        <v>16</v>
      </c>
      <c r="J417" s="11">
        <f>LOOKUP(I417,{0,3,4,5,6,7,8,9,10,11,12,13,14,15,16,17},{0,10,20,30,40,50,60,64,68,72,76,80,85,90,95,100})</f>
        <v>95</v>
      </c>
      <c r="K417" s="12"/>
      <c r="L417" s="12"/>
      <c r="M417" s="12">
        <f t="shared" si="193"/>
        <v>95</v>
      </c>
      <c r="N417" s="12">
        <v>7.1</v>
      </c>
      <c r="O417" s="12">
        <f t="shared" ref="O417:O438" si="204">12-N417</f>
        <v>4.9</v>
      </c>
      <c r="P417" s="11">
        <f>LOOKUP(O417,{0,1.6,1.8,2,2.2,2.4,2.6,2.8,3,3.2,3.4,3.6,3.8,4,4.2,4.4,4.6,4.7,4.8,4.9,5},{0,10,20,30,40,50,60,62,64,66,68,70,72,74,76,78,80,85,90,95,100})</f>
        <v>95</v>
      </c>
      <c r="Q417" s="12">
        <v>3.26</v>
      </c>
      <c r="R417" s="12">
        <f t="shared" si="202"/>
        <v>6.74</v>
      </c>
      <c r="S417" s="11">
        <f>LOOKUP(R417,{0,3.8,4,4.6,4.8,5,5.6,5.65,5.7,5.75,5.8,5.85,5.9,5.95,6,6.45,6.5,6.58,6.65,6.7,6.75},{0,10,20,30,40,50,60,62,64,66,68,70,72,74,76,78,80,85,90,95,100})</f>
        <v>95</v>
      </c>
      <c r="T417" s="12"/>
      <c r="U417" s="12"/>
      <c r="V417" s="12">
        <f t="shared" si="203"/>
        <v>95</v>
      </c>
      <c r="W417" s="12"/>
      <c r="X417" s="20">
        <f t="shared" si="192"/>
        <v>61.1</v>
      </c>
      <c r="Y417" s="20">
        <f t="shared" si="201"/>
        <v>87.2857142857143</v>
      </c>
    </row>
    <row r="418" ht="15.6" hidden="1" outlineLevel="2" spans="1:25">
      <c r="A418" s="12">
        <v>209</v>
      </c>
      <c r="B418" s="12">
        <v>27</v>
      </c>
      <c r="C418" s="6" t="s">
        <v>465</v>
      </c>
      <c r="D418" s="6" t="s">
        <v>11</v>
      </c>
      <c r="E418" s="12">
        <v>2.9</v>
      </c>
      <c r="F418" s="11">
        <f>LOOKUP(E418,{0,-2.9,-1.9,-0.9,0.1,1.1,2.1,3.5,4.9,6.3,7.7,9.1,10.5,11.9,13.3,14.7,16.1,18.3,20.5,22.4,24.3},{0,10,20,30,40,50,60,62,64,66,68,70,72,74,76,78,80,85,90,95,100})</f>
        <v>60</v>
      </c>
      <c r="G418" s="12">
        <v>265</v>
      </c>
      <c r="H418" s="11">
        <f>LOOKUP(G418,{0,175,180,185,190,195,200,204,208,212,216,220,224,228,232,236,240,248,255,260,265},{0,10,20,30,40,50,60,62,64,66,68,70,72,74,76,78,80,85,90,95,100})</f>
        <v>100</v>
      </c>
      <c r="I418" s="12">
        <v>14</v>
      </c>
      <c r="J418" s="11">
        <f>LOOKUP(I418,{0,3,4,5,6,7,8,9,10,11,12,13,14,15,16,17},{0,10,20,30,40,50,60,64,68,72,76,80,85,90,95,100})</f>
        <v>85</v>
      </c>
      <c r="K418" s="12"/>
      <c r="L418" s="12"/>
      <c r="M418" s="12">
        <f t="shared" si="193"/>
        <v>85</v>
      </c>
      <c r="N418" s="12">
        <v>7</v>
      </c>
      <c r="O418" s="12">
        <f t="shared" si="204"/>
        <v>5</v>
      </c>
      <c r="P418" s="11">
        <f>LOOKUP(O418,{0,1.6,1.8,2,2.2,2.4,2.6,2.8,3,3.2,3.4,3.6,3.8,4,4.2,4.4,4.6,4.7,4.8,4.9,5},{0,10,20,30,40,50,60,62,64,66,68,70,72,74,76,78,80,85,90,95,100})</f>
        <v>100</v>
      </c>
      <c r="Q418" s="12">
        <v>3.36</v>
      </c>
      <c r="R418" s="12">
        <f t="shared" si="202"/>
        <v>6.64</v>
      </c>
      <c r="S418" s="11">
        <f>LOOKUP(R418,{0,3.8,4,4.6,4.8,5,5.6,5.65,5.7,5.75,5.8,5.85,5.9,5.95,6,6.45,6.5,6.58,6.65,6.7,6.75},{0,10,20,30,40,50,60,62,64,66,68,70,72,74,76,78,80,85,90,95,100})</f>
        <v>85</v>
      </c>
      <c r="T418" s="12"/>
      <c r="U418" s="12"/>
      <c r="V418" s="12">
        <f t="shared" si="203"/>
        <v>85</v>
      </c>
      <c r="W418" s="12"/>
      <c r="X418" s="20">
        <f t="shared" si="192"/>
        <v>61.5</v>
      </c>
      <c r="Y418" s="20">
        <f t="shared" si="201"/>
        <v>87.8571428571429</v>
      </c>
    </row>
    <row r="419" ht="15.6" hidden="1" outlineLevel="2" spans="1:25">
      <c r="A419" s="12">
        <v>209</v>
      </c>
      <c r="B419" s="12">
        <v>28</v>
      </c>
      <c r="C419" s="6" t="s">
        <v>466</v>
      </c>
      <c r="D419" s="6" t="s">
        <v>11</v>
      </c>
      <c r="E419" s="12">
        <v>14.5</v>
      </c>
      <c r="F419" s="11">
        <f>LOOKUP(E419,{0,-2.9,-1.9,-0.9,0.1,1.1,2.1,3.5,4.9,6.3,7.7,9.1,10.5,11.9,13.3,14.7,16.1,18.3,20.5,22.4,24.3},{0,10,20,30,40,50,60,62,64,66,68,70,72,74,76,78,80,85,90,95,100})</f>
        <v>76</v>
      </c>
      <c r="G419" s="12">
        <v>223</v>
      </c>
      <c r="H419" s="11">
        <f>LOOKUP(G419,{0,175,180,185,190,195,200,204,208,212,216,220,224,228,232,236,240,248,255,260,265},{0,10,20,30,40,50,60,62,64,66,68,70,72,74,76,78,80,85,90,95,100})</f>
        <v>70</v>
      </c>
      <c r="I419" s="12">
        <v>22</v>
      </c>
      <c r="J419" s="11">
        <f>LOOKUP(I419,{0,3,4,5,6,7,8,9,10,11,12,13,14,15,16,17},{0,10,20,30,40,50,60,64,68,72,76,80,85,90,95,100})</f>
        <v>100</v>
      </c>
      <c r="K419" s="12">
        <f t="shared" ref="K419:K421" si="205">I419-17</f>
        <v>5</v>
      </c>
      <c r="L419" s="11">
        <f>LOOKUP(K419,{0,1,2,3,4,5,6,7,8,9,10},{0,1,2,3,4,5,6,7,8,9,10})</f>
        <v>5</v>
      </c>
      <c r="M419" s="12">
        <f t="shared" si="193"/>
        <v>105</v>
      </c>
      <c r="N419" s="12">
        <v>7.5</v>
      </c>
      <c r="O419" s="12">
        <f t="shared" si="204"/>
        <v>4.5</v>
      </c>
      <c r="P419" s="11">
        <f>LOOKUP(O419,{0,1.6,1.8,2,2.2,2.4,2.6,2.8,3,3.2,3.4,3.6,3.8,4,4.2,4.4,4.6,4.7,4.8,4.9,5},{0,10,20,30,40,50,60,62,64,66,68,70,72,74,76,78,80,85,90,95,100})</f>
        <v>78</v>
      </c>
      <c r="Q419" s="12">
        <v>4.08</v>
      </c>
      <c r="R419" s="12">
        <f t="shared" si="202"/>
        <v>5.92</v>
      </c>
      <c r="S419" s="11">
        <f>LOOKUP(R419,{0,3.8,4,4.6,4.8,5,5.6,5.65,5.7,5.75,5.8,5.85,5.9,5.95,6,6.45,6.5,6.58,6.65,6.7,6.75},{0,10,20,30,40,50,60,62,64,66,68,70,72,74,76,78,80,85,90,95,100})</f>
        <v>72</v>
      </c>
      <c r="T419" s="12"/>
      <c r="U419" s="12"/>
      <c r="V419" s="12">
        <f t="shared" si="203"/>
        <v>72</v>
      </c>
      <c r="W419" s="12"/>
      <c r="X419" s="20">
        <f t="shared" si="192"/>
        <v>54.6</v>
      </c>
      <c r="Y419" s="20">
        <f t="shared" si="201"/>
        <v>83</v>
      </c>
    </row>
    <row r="420" ht="15.6" hidden="1" outlineLevel="2" spans="1:25">
      <c r="A420" s="12">
        <v>209</v>
      </c>
      <c r="B420" s="12">
        <v>29</v>
      </c>
      <c r="C420" s="6" t="s">
        <v>467</v>
      </c>
      <c r="D420" s="6" t="s">
        <v>11</v>
      </c>
      <c r="E420" s="12">
        <v>20</v>
      </c>
      <c r="F420" s="11">
        <f>LOOKUP(E420,{0,-2.9,-1.9,-0.9,0.1,1.1,2.1,3.5,4.9,6.3,7.7,9.1,10.5,11.9,13.3,14.7,16.1,18.3,20.5,22.4,24.3},{0,10,20,30,40,50,60,62,64,66,68,70,72,74,76,78,80,85,90,95,100})</f>
        <v>85</v>
      </c>
      <c r="G420" s="12">
        <v>237</v>
      </c>
      <c r="H420" s="11">
        <f>LOOKUP(G420,{0,175,180,185,190,195,200,204,208,212,216,220,224,228,232,236,240,248,255,260,265},{0,10,20,30,40,50,60,62,64,66,68,70,72,74,76,78,80,85,90,95,100})</f>
        <v>78</v>
      </c>
      <c r="I420" s="12">
        <v>27</v>
      </c>
      <c r="J420" s="11">
        <f>LOOKUP(I420,{0,3,4,5,6,7,8,9,10,11,12,13,14,15,16,17},{0,10,20,30,40,50,60,64,68,72,76,80,85,90,95,100})</f>
        <v>100</v>
      </c>
      <c r="K420" s="12">
        <f t="shared" si="205"/>
        <v>10</v>
      </c>
      <c r="L420" s="11">
        <f>LOOKUP(K420,{0,1,2,3,4,5,6,7,8,9,10},{0,1,2,3,4,5,6,7,8,9,10})</f>
        <v>10</v>
      </c>
      <c r="M420" s="12">
        <f t="shared" si="193"/>
        <v>110</v>
      </c>
      <c r="N420" s="12">
        <v>6.8</v>
      </c>
      <c r="O420" s="12">
        <f t="shared" si="204"/>
        <v>5.2</v>
      </c>
      <c r="P420" s="11">
        <f>LOOKUP(O420,{0,1.6,1.8,2,2.2,2.4,2.6,2.8,3,3.2,3.4,3.6,3.8,4,4.2,4.4,4.6,4.7,4.8,4.9,5},{0,10,20,30,40,50,60,62,64,66,68,70,72,74,76,78,80,85,90,95,100})</f>
        <v>100</v>
      </c>
      <c r="Q420" s="12">
        <v>3.3</v>
      </c>
      <c r="R420" s="12">
        <f t="shared" si="202"/>
        <v>6.7</v>
      </c>
      <c r="S420" s="11">
        <f>LOOKUP(R420,{0,3.8,4,4.6,4.8,5,5.6,5.65,5.7,5.75,5.8,5.85,5.9,5.95,6,6.45,6.5,6.58,6.65,6.7,6.75},{0,10,20,30,40,50,60,62,64,66,68,70,72,74,76,78,80,85,90,95,100})</f>
        <v>95</v>
      </c>
      <c r="T420" s="12"/>
      <c r="U420" s="12"/>
      <c r="V420" s="12">
        <f t="shared" si="203"/>
        <v>95</v>
      </c>
      <c r="W420" s="12"/>
      <c r="X420" s="20">
        <f t="shared" si="192"/>
        <v>65.3</v>
      </c>
      <c r="Y420" s="20">
        <f t="shared" si="201"/>
        <v>103.285714285714</v>
      </c>
    </row>
    <row r="421" ht="15.6" hidden="1" outlineLevel="2" spans="1:25">
      <c r="A421" s="12">
        <v>209</v>
      </c>
      <c r="B421" s="12">
        <v>30</v>
      </c>
      <c r="C421" s="6" t="s">
        <v>468</v>
      </c>
      <c r="D421" s="6" t="s">
        <v>11</v>
      </c>
      <c r="E421" s="12">
        <v>18.9</v>
      </c>
      <c r="F421" s="11">
        <f>LOOKUP(E421,{0,-2.9,-1.9,-0.9,0.1,1.1,2.1,3.5,4.9,6.3,7.7,9.1,10.5,11.9,13.3,14.7,16.1,18.3,20.5,22.4,24.3},{0,10,20,30,40,50,60,62,64,66,68,70,72,74,76,78,80,85,90,95,100})</f>
        <v>85</v>
      </c>
      <c r="G421" s="12">
        <v>260</v>
      </c>
      <c r="H421" s="11">
        <f>LOOKUP(G421,{0,175,180,185,190,195,200,204,208,212,216,220,224,228,232,236,240,248,255,260,265},{0,10,20,30,40,50,60,62,64,66,68,70,72,74,76,78,80,85,90,95,100})</f>
        <v>95</v>
      </c>
      <c r="I421" s="12">
        <v>18</v>
      </c>
      <c r="J421" s="11">
        <f>LOOKUP(I421,{0,3,4,5,6,7,8,9,10,11,12,13,14,15,16,17},{0,10,20,30,40,50,60,64,68,72,76,80,85,90,95,100})</f>
        <v>100</v>
      </c>
      <c r="K421" s="12">
        <f t="shared" si="205"/>
        <v>1</v>
      </c>
      <c r="L421" s="11">
        <f>LOOKUP(K421,{0,1,2,3,4,5,6,7,8,9,10},{0,1,2,3,4,5,6,7,8,9,10})</f>
        <v>1</v>
      </c>
      <c r="M421" s="12">
        <f t="shared" si="193"/>
        <v>101</v>
      </c>
      <c r="N421" s="12">
        <v>7</v>
      </c>
      <c r="O421" s="12">
        <f t="shared" si="204"/>
        <v>5</v>
      </c>
      <c r="P421" s="11">
        <f>LOOKUP(O421,{0,1.6,1.8,2,2.2,2.4,2.6,2.8,3,3.2,3.4,3.6,3.8,4,4.2,4.4,4.6,4.7,4.8,4.9,5},{0,10,20,30,40,50,60,62,64,66,68,70,72,74,76,78,80,85,90,95,100})</f>
        <v>100</v>
      </c>
      <c r="Q421" s="12">
        <v>3.38</v>
      </c>
      <c r="R421" s="12">
        <f t="shared" si="202"/>
        <v>6.62</v>
      </c>
      <c r="S421" s="11">
        <f>LOOKUP(R421,{0,3.8,4,4.6,4.8,5,5.6,5.65,5.7,5.75,5.8,5.85,5.9,5.95,6,6.45,6.5,6.58,6.65,6.7,6.75},{0,10,20,30,40,50,60,62,64,66,68,70,72,74,76,78,80,85,90,95,100})</f>
        <v>85</v>
      </c>
      <c r="T421" s="12"/>
      <c r="U421" s="12"/>
      <c r="V421" s="12">
        <f t="shared" si="203"/>
        <v>85</v>
      </c>
      <c r="W421" s="12"/>
      <c r="X421" s="20">
        <f t="shared" si="192"/>
        <v>65</v>
      </c>
      <c r="Y421" s="20">
        <f t="shared" si="201"/>
        <v>93.8571428571429</v>
      </c>
    </row>
    <row r="422" ht="15.6" hidden="1" outlineLevel="2" spans="1:25">
      <c r="A422" s="12">
        <v>209</v>
      </c>
      <c r="B422" s="12">
        <v>31</v>
      </c>
      <c r="C422" s="13" t="s">
        <v>470</v>
      </c>
      <c r="D422" s="6" t="s">
        <v>11</v>
      </c>
      <c r="E422" s="12">
        <v>20.1</v>
      </c>
      <c r="F422" s="11">
        <f>LOOKUP(E422,{0,-2.9,-1.9,-0.9,0.1,1.1,2.1,3.5,4.9,6.3,7.7,9.1,10.5,11.9,13.3,14.7,16.1,18.3,20.5,22.4,24.3},{0,10,20,30,40,50,60,62,64,66,68,70,72,74,76,78,80,85,90,95,100})</f>
        <v>85</v>
      </c>
      <c r="G422" s="12">
        <v>214</v>
      </c>
      <c r="H422" s="11">
        <f>LOOKUP(G422,{0,175,180,185,190,195,200,204,208,212,216,220,224,228,232,236,240,248,255,260,265},{0,10,20,30,40,50,60,62,64,66,68,70,72,74,76,78,80,85,90,95,100})</f>
        <v>66</v>
      </c>
      <c r="I422" s="12">
        <v>4</v>
      </c>
      <c r="J422" s="11">
        <f>LOOKUP(I422,{0,3,4,5,6,7,8,9,10,11,12,13,14,15,16,17},{0,10,20,30,40,50,60,64,68,72,76,80,85,90,95,100})</f>
        <v>20</v>
      </c>
      <c r="K422" s="12"/>
      <c r="L422" s="12"/>
      <c r="M422" s="12">
        <f t="shared" si="193"/>
        <v>20</v>
      </c>
      <c r="N422" s="12">
        <v>7.6</v>
      </c>
      <c r="O422" s="12">
        <f t="shared" si="204"/>
        <v>4.4</v>
      </c>
      <c r="P422" s="11">
        <f>LOOKUP(O422,{0,1.6,1.8,2,2.2,2.4,2.6,2.8,3,3.2,3.4,3.6,3.8,4,4.2,4.4,4.6,4.7,4.8,4.9,5},{0,10,20,30,40,50,60,62,64,66,68,70,72,74,76,78,80,85,90,95,100})</f>
        <v>78</v>
      </c>
      <c r="Q422" s="12">
        <v>3.4</v>
      </c>
      <c r="R422" s="12">
        <f t="shared" si="202"/>
        <v>6.6</v>
      </c>
      <c r="S422" s="11">
        <f>LOOKUP(R422,{0,3.8,4,4.6,4.8,5,5.6,5.65,5.7,5.75,5.8,5.85,5.9,5.95,6,6.45,6.5,6.58,6.65,6.7,6.75},{0,10,20,30,40,50,60,62,64,66,68,70,72,74,76,78,80,85,90,95,100})</f>
        <v>85</v>
      </c>
      <c r="T422" s="12"/>
      <c r="U422" s="12"/>
      <c r="V422" s="12">
        <f t="shared" si="203"/>
        <v>85</v>
      </c>
      <c r="W422" s="12"/>
      <c r="X422" s="20">
        <f t="shared" si="192"/>
        <v>49.7</v>
      </c>
      <c r="Y422" s="20">
        <f t="shared" si="201"/>
        <v>71</v>
      </c>
    </row>
    <row r="423" ht="15.6" hidden="1" outlineLevel="2" spans="1:25">
      <c r="A423" s="12">
        <v>209</v>
      </c>
      <c r="B423" s="12">
        <v>32</v>
      </c>
      <c r="C423" s="6" t="s">
        <v>471</v>
      </c>
      <c r="D423" s="6" t="s">
        <v>11</v>
      </c>
      <c r="E423" s="12">
        <v>16.7</v>
      </c>
      <c r="F423" s="11">
        <f>LOOKUP(E423,{0,-2.9,-1.9,-0.9,0.1,1.1,2.1,3.5,4.9,6.3,7.7,9.1,10.5,11.9,13.3,14.7,16.1,18.3,20.5,22.4,24.3},{0,10,20,30,40,50,60,62,64,66,68,70,72,74,76,78,80,85,90,95,100})</f>
        <v>80</v>
      </c>
      <c r="G423" s="12">
        <v>218</v>
      </c>
      <c r="H423" s="11">
        <f>LOOKUP(G423,{0,175,180,185,190,195,200,204,208,212,216,220,224,228,232,236,240,248,255,260,265},{0,10,20,30,40,50,60,62,64,66,68,70,72,74,76,78,80,85,90,95,100})</f>
        <v>68</v>
      </c>
      <c r="I423" s="12">
        <v>7</v>
      </c>
      <c r="J423" s="11">
        <f>LOOKUP(I423,{0,3,4,5,6,7,8,9,10,11,12,13,14,15,16,17},{0,10,20,30,40,50,60,64,68,72,76,80,85,90,95,100})</f>
        <v>50</v>
      </c>
      <c r="K423" s="12"/>
      <c r="L423" s="12"/>
      <c r="M423" s="12">
        <f t="shared" si="193"/>
        <v>50</v>
      </c>
      <c r="N423" s="12">
        <v>7.4</v>
      </c>
      <c r="O423" s="12">
        <f t="shared" si="204"/>
        <v>4.6</v>
      </c>
      <c r="P423" s="11">
        <f>LOOKUP(O423,{0,1.6,1.8,2,2.2,2.4,2.6,2.8,3,3.2,3.4,3.6,3.8,4,4.2,4.4,4.6,4.7,4.8,4.9,5},{0,10,20,30,40,50,60,62,64,66,68,70,72,74,76,78,80,85,90,95,100})</f>
        <v>80</v>
      </c>
      <c r="Q423" s="12" t="s">
        <v>472</v>
      </c>
      <c r="R423" s="12" t="e">
        <f t="shared" si="202"/>
        <v>#VALUE!</v>
      </c>
      <c r="S423" s="11"/>
      <c r="T423" s="12"/>
      <c r="U423" s="12"/>
      <c r="V423" s="12"/>
      <c r="W423" s="12"/>
      <c r="X423" s="20">
        <f t="shared" si="192"/>
        <v>35.8</v>
      </c>
      <c r="Y423" s="20">
        <f t="shared" si="201"/>
        <v>51.1428571428571</v>
      </c>
    </row>
    <row r="424" ht="15.6" hidden="1" outlineLevel="2" spans="1:25">
      <c r="A424" s="12">
        <v>209</v>
      </c>
      <c r="B424" s="12">
        <v>33</v>
      </c>
      <c r="C424" s="6" t="s">
        <v>473</v>
      </c>
      <c r="D424" s="6" t="s">
        <v>11</v>
      </c>
      <c r="E424" s="12">
        <v>18.5</v>
      </c>
      <c r="F424" s="11">
        <f>LOOKUP(E424,{0,-2.9,-1.9,-0.9,0.1,1.1,2.1,3.5,4.9,6.3,7.7,9.1,10.5,11.9,13.3,14.7,16.1,18.3,20.5,22.4,24.3},{0,10,20,30,40,50,60,62,64,66,68,70,72,74,76,78,80,85,90,95,100})</f>
        <v>85</v>
      </c>
      <c r="G424" s="12">
        <v>240</v>
      </c>
      <c r="H424" s="11">
        <f>LOOKUP(G424,{0,175,180,185,190,195,200,204,208,212,216,220,224,228,232,236,240,248,255,260,265},{0,10,20,30,40,50,60,62,64,66,68,70,72,74,76,78,80,85,90,95,100})</f>
        <v>80</v>
      </c>
      <c r="I424" s="12">
        <v>0</v>
      </c>
      <c r="J424" s="11">
        <f>LOOKUP(I424,{0,3,4,5,6,7,8,9,10,11,12,13,14,15,16,17},{0,10,20,30,40,50,60,64,68,72,76,80,85,90,95,100})</f>
        <v>0</v>
      </c>
      <c r="K424" s="12"/>
      <c r="L424" s="12"/>
      <c r="M424" s="12">
        <f t="shared" si="193"/>
        <v>0</v>
      </c>
      <c r="N424" s="12">
        <v>7.2</v>
      </c>
      <c r="O424" s="12">
        <f t="shared" si="204"/>
        <v>4.8</v>
      </c>
      <c r="P424" s="11">
        <f>LOOKUP(O424,{0,1.6,1.8,2,2.2,2.4,2.6,2.8,3,3.2,3.4,3.6,3.8,4,4.2,4.4,4.6,4.7,4.8,4.9,5},{0,10,20,30,40,50,60,62,64,66,68,70,72,74,76,78,80,85,90,95,100})</f>
        <v>90</v>
      </c>
      <c r="Q424" s="12">
        <v>4.04</v>
      </c>
      <c r="R424" s="12">
        <f t="shared" si="202"/>
        <v>5.96</v>
      </c>
      <c r="S424" s="11">
        <f>LOOKUP(R424,{0,3.8,4,4.6,4.8,5,5.6,5.65,5.7,5.75,5.8,5.85,5.9,5.95,6,6.45,6.5,6.58,6.65,6.7,6.75},{0,10,20,30,40,50,60,62,64,66,68,70,72,74,76,78,80,85,90,95,100})</f>
        <v>74</v>
      </c>
      <c r="T424" s="12"/>
      <c r="U424" s="12"/>
      <c r="V424" s="12">
        <f t="shared" ref="V424:V433" si="206">S424+U424</f>
        <v>74</v>
      </c>
      <c r="W424" s="12"/>
      <c r="X424" s="20">
        <f t="shared" si="192"/>
        <v>49.3</v>
      </c>
      <c r="Y424" s="20">
        <f t="shared" si="201"/>
        <v>70.4285714285714</v>
      </c>
    </row>
    <row r="425" ht="15.6" hidden="1" outlineLevel="2" spans="1:25">
      <c r="A425" s="12">
        <v>209</v>
      </c>
      <c r="B425" s="12">
        <v>34</v>
      </c>
      <c r="C425" s="6" t="s">
        <v>474</v>
      </c>
      <c r="D425" s="6" t="s">
        <v>11</v>
      </c>
      <c r="E425" s="12">
        <v>12.3</v>
      </c>
      <c r="F425" s="11">
        <f>LOOKUP(E425,{0,-2.9,-1.9,-0.9,0.1,1.1,2.1,3.5,4.9,6.3,7.7,9.1,10.5,11.9,13.3,14.7,16.1,18.3,20.5,22.4,24.3},{0,10,20,30,40,50,60,62,64,66,68,70,72,74,76,78,80,85,90,95,100})</f>
        <v>74</v>
      </c>
      <c r="G425" s="12">
        <v>207</v>
      </c>
      <c r="H425" s="11">
        <f>LOOKUP(G425,{0,175,180,185,190,195,200,204,208,212,216,220,224,228,232,236,240,248,255,260,265},{0,10,20,30,40,50,60,62,64,66,68,70,72,74,76,78,80,85,90,95,100})</f>
        <v>62</v>
      </c>
      <c r="I425" s="12">
        <v>1</v>
      </c>
      <c r="J425" s="11">
        <f>LOOKUP(I425,{0,3,4,5,6,7,8,9,10,11,12,13,14,15,16,17},{0,10,20,30,40,50,60,64,68,72,76,80,85,90,95,100})</f>
        <v>0</v>
      </c>
      <c r="K425" s="12"/>
      <c r="L425" s="12"/>
      <c r="M425" s="12">
        <f t="shared" si="193"/>
        <v>0</v>
      </c>
      <c r="N425" s="12">
        <v>7.9</v>
      </c>
      <c r="O425" s="12">
        <f t="shared" si="204"/>
        <v>4.1</v>
      </c>
      <c r="P425" s="11">
        <f>LOOKUP(O425,{0,1.6,1.8,2,2.2,2.4,2.6,2.8,3,3.2,3.4,3.6,3.8,4,4.2,4.4,4.6,4.7,4.8,4.9,5},{0,10,20,30,40,50,60,62,64,66,68,70,72,74,76,78,80,85,90,95,100})</f>
        <v>74</v>
      </c>
      <c r="Q425" s="12">
        <v>4.03</v>
      </c>
      <c r="R425" s="12">
        <f t="shared" si="202"/>
        <v>5.97</v>
      </c>
      <c r="S425" s="11">
        <f>LOOKUP(R425,{0,3.8,4,4.6,4.8,5,5.6,5.65,5.7,5.75,5.8,5.85,5.9,5.95,6,6.45,6.5,6.58,6.65,6.7,6.75},{0,10,20,30,40,50,60,62,64,66,68,70,72,74,76,78,80,85,90,95,100})</f>
        <v>74</v>
      </c>
      <c r="T425" s="12"/>
      <c r="U425" s="12"/>
      <c r="V425" s="12">
        <f t="shared" si="206"/>
        <v>74</v>
      </c>
      <c r="W425" s="12"/>
      <c r="X425" s="20">
        <f t="shared" si="192"/>
        <v>43.2</v>
      </c>
      <c r="Y425" s="20">
        <f t="shared" si="201"/>
        <v>61.7142857142857</v>
      </c>
    </row>
    <row r="426" ht="15.6" hidden="1" outlineLevel="2" spans="1:25">
      <c r="A426" s="12">
        <v>209</v>
      </c>
      <c r="B426" s="12">
        <v>35</v>
      </c>
      <c r="C426" s="6" t="s">
        <v>475</v>
      </c>
      <c r="D426" s="6" t="s">
        <v>11</v>
      </c>
      <c r="E426" s="12">
        <v>16.3</v>
      </c>
      <c r="F426" s="11">
        <f>LOOKUP(E426,{0,-2.9,-1.9,-0.9,0.1,1.1,2.1,3.5,4.9,6.3,7.7,9.1,10.5,11.9,13.3,14.7,16.1,18.3,20.5,22.4,24.3},{0,10,20,30,40,50,60,62,64,66,68,70,72,74,76,78,80,85,90,95,100})</f>
        <v>80</v>
      </c>
      <c r="G426" s="12">
        <v>255</v>
      </c>
      <c r="H426" s="11">
        <f>LOOKUP(G426,{0,175,180,185,190,195,200,204,208,212,216,220,224,228,232,236,240,248,255,260,265},{0,10,20,30,40,50,60,62,64,66,68,70,72,74,76,78,80,85,90,95,100})</f>
        <v>90</v>
      </c>
      <c r="I426" s="12">
        <v>26</v>
      </c>
      <c r="J426" s="11">
        <f>LOOKUP(I426,{0,3,4,5,6,7,8,9,10,11,12,13,14,15,16,17},{0,10,20,30,40,50,60,64,68,72,76,80,85,90,95,100})</f>
        <v>100</v>
      </c>
      <c r="K426" s="12">
        <f>I426-17</f>
        <v>9</v>
      </c>
      <c r="L426" s="11">
        <f>LOOKUP(K426,{0,1,2,3,4,5,6,7,8,9,10},{0,1,2,3,4,5,6,7,8,9,10})</f>
        <v>9</v>
      </c>
      <c r="M426" s="12">
        <f t="shared" si="193"/>
        <v>109</v>
      </c>
      <c r="N426" s="12">
        <v>6.8</v>
      </c>
      <c r="O426" s="12">
        <f t="shared" si="204"/>
        <v>5.2</v>
      </c>
      <c r="P426" s="11">
        <f>LOOKUP(O426,{0,1.6,1.8,2,2.2,2.4,2.6,2.8,3,3.2,3.4,3.6,3.8,4,4.2,4.4,4.6,4.7,4.8,4.9,5},{0,10,20,30,40,50,60,62,64,66,68,70,72,74,76,78,80,85,90,95,100})</f>
        <v>100</v>
      </c>
      <c r="Q426" s="12">
        <v>3.07</v>
      </c>
      <c r="R426" s="12">
        <f t="shared" si="202"/>
        <v>6.93</v>
      </c>
      <c r="S426" s="11">
        <f>LOOKUP(R426,{0,3.8,4,4.6,4.8,5,5.6,5.65,5.7,5.75,5.8,5.85,5.9,5.95,6,6.45,6.5,6.58,6.65,6.7,6.75},{0,10,20,30,40,50,60,62,64,66,68,70,72,74,76,78,80,85,90,95,100})</f>
        <v>100</v>
      </c>
      <c r="T426" s="12">
        <f>3.25-Q426</f>
        <v>0.18</v>
      </c>
      <c r="U426" s="11">
        <f>LOOKUP(T426,{0,0.04,0.08,0.12,0.16,0.2,0.23,0.26,0.29,0.32,0.35},{0,1,2,3,4,5,6,7,8,9,10})</f>
        <v>4</v>
      </c>
      <c r="V426" s="12">
        <f t="shared" si="206"/>
        <v>104</v>
      </c>
      <c r="W426" s="12"/>
      <c r="X426" s="20">
        <f t="shared" si="192"/>
        <v>67</v>
      </c>
      <c r="Y426" s="20">
        <f t="shared" si="201"/>
        <v>108.714285714286</v>
      </c>
    </row>
    <row r="427" ht="15.6" hidden="1" outlineLevel="2" spans="1:25">
      <c r="A427" s="12">
        <v>209</v>
      </c>
      <c r="B427" s="12">
        <v>36</v>
      </c>
      <c r="C427" s="6" t="s">
        <v>476</v>
      </c>
      <c r="D427" s="6" t="s">
        <v>11</v>
      </c>
      <c r="E427" s="12">
        <v>12.9</v>
      </c>
      <c r="F427" s="11">
        <f>LOOKUP(E427,{0,-2.9,-1.9,-0.9,0.1,1.1,2.1,3.5,4.9,6.3,7.7,9.1,10.5,11.9,13.3,14.7,16.1,18.3,20.5,22.4,24.3},{0,10,20,30,40,50,60,62,64,66,68,70,72,74,76,78,80,85,90,95,100})</f>
        <v>74</v>
      </c>
      <c r="G427" s="12">
        <v>205</v>
      </c>
      <c r="H427" s="11">
        <f>LOOKUP(G427,{0,175,180,185,190,195,200,204,208,212,216,220,224,228,232,236,240,248,255,260,265},{0,10,20,30,40,50,60,62,64,66,68,70,72,74,76,78,80,85,90,95,100})</f>
        <v>62</v>
      </c>
      <c r="I427" s="12">
        <v>0</v>
      </c>
      <c r="J427" s="11">
        <f>LOOKUP(I427,{0,3,4,5,6,7,8,9,10,11,12,13,14,15,16,17},{0,10,20,30,40,50,60,64,68,72,76,80,85,90,95,100})</f>
        <v>0</v>
      </c>
      <c r="K427" s="12"/>
      <c r="L427" s="12"/>
      <c r="M427" s="12">
        <f t="shared" si="193"/>
        <v>0</v>
      </c>
      <c r="N427" s="12">
        <v>7.9</v>
      </c>
      <c r="O427" s="12">
        <f t="shared" si="204"/>
        <v>4.1</v>
      </c>
      <c r="P427" s="11">
        <f>LOOKUP(O427,{0,1.6,1.8,2,2.2,2.4,2.6,2.8,3,3.2,3.4,3.6,3.8,4,4.2,4.4,4.6,4.7,4.8,4.9,5},{0,10,20,30,40,50,60,62,64,66,68,70,72,74,76,78,80,85,90,95,100})</f>
        <v>74</v>
      </c>
      <c r="Q427" s="12">
        <v>4.32</v>
      </c>
      <c r="R427" s="12">
        <f t="shared" si="202"/>
        <v>5.68</v>
      </c>
      <c r="S427" s="11">
        <f>LOOKUP(R427,{0,3.8,4,4.6,4.8,5,5.6,5.65,5.7,5.75,5.8,5.85,5.9,5.95,6,6.45,6.5,6.58,6.65,6.7,6.75},{0,10,20,30,40,50,60,62,64,66,68,70,72,74,76,78,80,85,90,95,100})</f>
        <v>62</v>
      </c>
      <c r="T427" s="12"/>
      <c r="U427" s="12"/>
      <c r="V427" s="12">
        <f t="shared" si="206"/>
        <v>62</v>
      </c>
      <c r="W427" s="12"/>
      <c r="X427" s="20">
        <f t="shared" si="192"/>
        <v>40.8</v>
      </c>
      <c r="Y427" s="20">
        <f t="shared" si="201"/>
        <v>58.2857142857143</v>
      </c>
    </row>
    <row r="428" ht="15.6" hidden="1" outlineLevel="2" spans="1:25">
      <c r="A428" s="12">
        <v>209</v>
      </c>
      <c r="B428" s="12">
        <v>37</v>
      </c>
      <c r="C428" s="6" t="s">
        <v>477</v>
      </c>
      <c r="D428" s="6" t="s">
        <v>11</v>
      </c>
      <c r="E428" s="12">
        <v>20</v>
      </c>
      <c r="F428" s="11">
        <f>LOOKUP(E428,{0,-2.9,-1.9,-0.9,0.1,1.1,2.1,3.5,4.9,6.3,7.7,9.1,10.5,11.9,13.3,14.7,16.1,18.3,20.5,22.4,24.3},{0,10,20,30,40,50,60,62,64,66,68,70,72,74,76,78,80,85,90,95,100})</f>
        <v>85</v>
      </c>
      <c r="G428" s="12">
        <v>270</v>
      </c>
      <c r="H428" s="11">
        <f>LOOKUP(G428,{0,175,180,185,190,195,200,204,208,212,216,220,224,228,232,236,240,248,255,260,265},{0,10,20,30,40,50,60,62,64,66,68,70,72,74,76,78,80,85,90,95,100})</f>
        <v>100</v>
      </c>
      <c r="I428" s="12">
        <v>1</v>
      </c>
      <c r="J428" s="11">
        <f>LOOKUP(I428,{0,3,4,5,6,7,8,9,10,11,12,13,14,15,16,17},{0,10,20,30,40,50,60,64,68,72,76,80,85,90,95,100})</f>
        <v>0</v>
      </c>
      <c r="K428" s="12"/>
      <c r="L428" s="12"/>
      <c r="M428" s="12">
        <f t="shared" si="193"/>
        <v>0</v>
      </c>
      <c r="N428" s="12">
        <v>6.8</v>
      </c>
      <c r="O428" s="12">
        <f t="shared" si="204"/>
        <v>5.2</v>
      </c>
      <c r="P428" s="11">
        <f>LOOKUP(O428,{0,1.6,1.8,2,2.2,2.4,2.6,2.8,3,3.2,3.4,3.6,3.8,4,4.2,4.4,4.6,4.7,4.8,4.9,5},{0,10,20,30,40,50,60,62,64,66,68,70,72,74,76,78,80,85,90,95,100})</f>
        <v>100</v>
      </c>
      <c r="Q428" s="12">
        <v>3.59</v>
      </c>
      <c r="R428" s="12">
        <f t="shared" si="202"/>
        <v>6.41</v>
      </c>
      <c r="S428" s="11">
        <f>LOOKUP(R428,{0,3.8,4,4.6,4.8,5,5.6,5.65,5.7,5.75,5.8,5.85,5.9,5.95,6,6.45,6.5,6.58,6.65,6.7,6.75},{0,10,20,30,40,50,60,62,64,66,68,70,72,74,76,78,80,85,90,95,100})</f>
        <v>76</v>
      </c>
      <c r="T428" s="12"/>
      <c r="U428" s="12"/>
      <c r="V428" s="12">
        <f t="shared" si="206"/>
        <v>76</v>
      </c>
      <c r="W428" s="12"/>
      <c r="X428" s="20">
        <f t="shared" si="192"/>
        <v>53.7</v>
      </c>
      <c r="Y428" s="20">
        <f t="shared" si="201"/>
        <v>76.7142857142857</v>
      </c>
    </row>
    <row r="429" s="1" customFormat="1" ht="15.6" hidden="1" outlineLevel="2" spans="1:25">
      <c r="A429" s="12">
        <v>209</v>
      </c>
      <c r="B429" s="12">
        <v>38</v>
      </c>
      <c r="C429" s="6" t="s">
        <v>478</v>
      </c>
      <c r="D429" s="6" t="s">
        <v>11</v>
      </c>
      <c r="E429" s="12">
        <v>17.4</v>
      </c>
      <c r="F429" s="11">
        <f>LOOKUP(E429,{0,-2.9,-1.9,-0.9,0.1,1.1,2.1,3.5,4.9,6.3,7.7,9.1,10.5,11.9,13.3,14.7,16.1,18.3,20.5,22.4,24.3},{0,10,20,30,40,50,60,62,64,66,68,70,72,74,76,78,80,85,90,95,100})</f>
        <v>80</v>
      </c>
      <c r="G429" s="12">
        <v>230</v>
      </c>
      <c r="H429" s="11">
        <f>LOOKUP(G429,{0,175,180,185,190,195,200,204,208,212,216,220,224,228,232,236,240,248,255,260,265},{0,10,20,30,40,50,60,62,64,66,68,70,72,74,76,78,80,85,90,95,100})</f>
        <v>74</v>
      </c>
      <c r="I429" s="12">
        <v>10</v>
      </c>
      <c r="J429" s="11">
        <f>LOOKUP(I429,{0,3,4,5,6,7,8,9,10,11,12,13,14,15,16,17},{0,10,20,30,40,50,60,64,68,72,76,80,85,90,95,100})</f>
        <v>68</v>
      </c>
      <c r="K429" s="12"/>
      <c r="L429" s="12"/>
      <c r="M429" s="12">
        <f t="shared" si="193"/>
        <v>68</v>
      </c>
      <c r="N429" s="12">
        <v>7.3</v>
      </c>
      <c r="O429" s="12">
        <f t="shared" si="204"/>
        <v>4.7</v>
      </c>
      <c r="P429" s="11">
        <f>LOOKUP(O429,{0,1.6,1.8,2,2.2,2.4,2.6,2.8,3,3.2,3.4,3.6,3.8,4,4.2,4.4,4.6,4.7,4.8,4.9,5},{0,10,20,30,40,50,60,62,64,66,68,70,72,74,76,78,80,85,90,95,100})</f>
        <v>85</v>
      </c>
      <c r="Q429" s="12">
        <v>3.48</v>
      </c>
      <c r="R429" s="12">
        <f t="shared" si="202"/>
        <v>6.52</v>
      </c>
      <c r="S429" s="11">
        <f>LOOKUP(R429,{0,3.8,4,4.6,4.8,5,5.6,5.65,5.7,5.75,5.8,5.85,5.9,5.95,6,6.45,6.5,6.58,6.65,6.7,6.75},{0,10,20,30,40,50,60,62,64,66,68,70,72,74,76,78,80,85,90,95,100})</f>
        <v>80</v>
      </c>
      <c r="T429" s="12"/>
      <c r="U429" s="12"/>
      <c r="V429" s="12">
        <f t="shared" si="206"/>
        <v>80</v>
      </c>
      <c r="W429" s="12"/>
      <c r="X429" s="20">
        <f t="shared" si="192"/>
        <v>55.2</v>
      </c>
      <c r="Y429" s="20">
        <f t="shared" si="201"/>
        <v>78.8571428571429</v>
      </c>
    </row>
    <row r="430" ht="15.6" hidden="1" outlineLevel="2" spans="1:25">
      <c r="A430" s="12">
        <v>209</v>
      </c>
      <c r="B430" s="12">
        <v>39</v>
      </c>
      <c r="C430" s="6" t="s">
        <v>479</v>
      </c>
      <c r="D430" s="6" t="s">
        <v>11</v>
      </c>
      <c r="E430" s="12">
        <v>17.6</v>
      </c>
      <c r="F430" s="11">
        <f>LOOKUP(E430,{0,-2.9,-1.9,-0.9,0.1,1.1,2.1,3.5,4.9,6.3,7.7,9.1,10.5,11.9,13.3,14.7,16.1,18.3,20.5,22.4,24.3},{0,10,20,30,40,50,60,62,64,66,68,70,72,74,76,78,80,85,90,95,100})</f>
        <v>80</v>
      </c>
      <c r="G430" s="12">
        <v>215</v>
      </c>
      <c r="H430" s="11">
        <f>LOOKUP(G430,{0,175,180,185,190,195,200,204,208,212,216,220,224,228,232,236,240,248,255,260,265},{0,10,20,30,40,50,60,62,64,66,68,70,72,74,76,78,80,85,90,95,100})</f>
        <v>66</v>
      </c>
      <c r="I430" s="12">
        <v>13</v>
      </c>
      <c r="J430" s="11">
        <f>LOOKUP(I430,{0,3,4,5,6,7,8,9,10,11,12,13,14,15,16,17},{0,10,20,30,40,50,60,64,68,72,76,80,85,90,95,100})</f>
        <v>80</v>
      </c>
      <c r="K430" s="12"/>
      <c r="L430" s="12"/>
      <c r="M430" s="12">
        <f t="shared" si="193"/>
        <v>80</v>
      </c>
      <c r="N430" s="12">
        <v>6.8</v>
      </c>
      <c r="O430" s="12">
        <f t="shared" si="204"/>
        <v>5.2</v>
      </c>
      <c r="P430" s="11">
        <f>LOOKUP(O430,{0,1.6,1.8,2,2.2,2.4,2.6,2.8,3,3.2,3.4,3.6,3.8,4,4.2,4.4,4.6,4.7,4.8,4.9,5},{0,10,20,30,40,50,60,62,64,66,68,70,72,74,76,78,80,85,90,95,100})</f>
        <v>100</v>
      </c>
      <c r="Q430" s="12">
        <v>3.27</v>
      </c>
      <c r="R430" s="12">
        <f t="shared" si="202"/>
        <v>6.73</v>
      </c>
      <c r="S430" s="11">
        <f>LOOKUP(R430,{0,3.8,4,4.6,4.8,5,5.6,5.65,5.7,5.75,5.8,5.85,5.9,5.95,6,6.45,6.5,6.58,6.65,6.7,6.75},{0,10,20,30,40,50,60,62,64,66,68,70,72,74,76,78,80,85,90,95,100})</f>
        <v>95</v>
      </c>
      <c r="T430" s="12"/>
      <c r="U430" s="12"/>
      <c r="V430" s="12">
        <f t="shared" si="206"/>
        <v>95</v>
      </c>
      <c r="W430" s="12"/>
      <c r="X430" s="20">
        <f t="shared" si="192"/>
        <v>61.6</v>
      </c>
      <c r="Y430" s="20">
        <f t="shared" si="201"/>
        <v>88</v>
      </c>
    </row>
    <row r="431" ht="15.6" hidden="1" outlineLevel="2" spans="1:25">
      <c r="A431" s="12">
        <v>209</v>
      </c>
      <c r="B431" s="12">
        <v>40</v>
      </c>
      <c r="C431" s="6" t="s">
        <v>480</v>
      </c>
      <c r="D431" s="6" t="s">
        <v>11</v>
      </c>
      <c r="E431" s="12">
        <v>19.5</v>
      </c>
      <c r="F431" s="11">
        <f>LOOKUP(E431,{0,-2.9,-1.9,-0.9,0.1,1.1,2.1,3.5,4.9,6.3,7.7,9.1,10.5,11.9,13.3,14.7,16.1,18.3,20.5,22.4,24.3},{0,10,20,30,40,50,60,62,64,66,68,70,72,74,76,78,80,85,90,95,100})</f>
        <v>85</v>
      </c>
      <c r="G431" s="12">
        <v>270</v>
      </c>
      <c r="H431" s="11">
        <f>LOOKUP(G431,{0,175,180,185,190,195,200,204,208,212,216,220,224,228,232,236,240,248,255,260,265},{0,10,20,30,40,50,60,62,64,66,68,70,72,74,76,78,80,85,90,95,100})</f>
        <v>100</v>
      </c>
      <c r="I431" s="12">
        <v>27</v>
      </c>
      <c r="J431" s="11">
        <f>LOOKUP(I431,{0,3,4,5,6,7,8,9,10,11,12,13,14,15,16,17},{0,10,20,30,40,50,60,64,68,72,76,80,85,90,95,100})</f>
        <v>100</v>
      </c>
      <c r="K431" s="12">
        <f>I431-17</f>
        <v>10</v>
      </c>
      <c r="L431" s="11">
        <f>LOOKUP(K431,{0,1,2,3,4,5,6,7,8,9,10},{0,1,2,3,4,5,6,7,8,9,10})</f>
        <v>10</v>
      </c>
      <c r="M431" s="12">
        <f t="shared" si="193"/>
        <v>110</v>
      </c>
      <c r="N431" s="12">
        <v>6.2</v>
      </c>
      <c r="O431" s="12">
        <f t="shared" si="204"/>
        <v>5.8</v>
      </c>
      <c r="P431" s="11">
        <f>LOOKUP(O431,{0,1.6,1.8,2,2.2,2.4,2.6,2.8,3,3.2,3.4,3.6,3.8,4,4.2,4.4,4.6,4.7,4.8,4.9,5},{0,10,20,30,40,50,60,62,64,66,68,70,72,74,76,78,80,85,90,95,100})</f>
        <v>100</v>
      </c>
      <c r="Q431" s="12">
        <v>3.34</v>
      </c>
      <c r="R431" s="12">
        <f t="shared" si="202"/>
        <v>6.66</v>
      </c>
      <c r="S431" s="11">
        <f>LOOKUP(R431,{0,3.8,4,4.6,4.8,5,5.6,5.65,5.7,5.75,5.8,5.85,5.9,5.95,6,6.45,6.5,6.58,6.65,6.7,6.75},{0,10,20,30,40,50,60,62,64,66,68,70,72,74,76,78,80,85,90,95,100})</f>
        <v>90</v>
      </c>
      <c r="T431" s="12"/>
      <c r="U431" s="12"/>
      <c r="V431" s="12">
        <f t="shared" si="206"/>
        <v>90</v>
      </c>
      <c r="W431" s="12"/>
      <c r="X431" s="20">
        <f t="shared" si="192"/>
        <v>66.5</v>
      </c>
      <c r="Y431" s="20">
        <f t="shared" si="201"/>
        <v>105</v>
      </c>
    </row>
    <row r="432" ht="15.6" hidden="1" outlineLevel="2" spans="1:25">
      <c r="A432" s="12">
        <v>209</v>
      </c>
      <c r="B432" s="12">
        <v>41</v>
      </c>
      <c r="C432" s="13" t="s">
        <v>482</v>
      </c>
      <c r="D432" s="6" t="s">
        <v>53</v>
      </c>
      <c r="E432" s="12">
        <v>25.4</v>
      </c>
      <c r="F432" s="11">
        <f>LOOKUP(E432,{0,1,1.8,2.6,3.4,4.2,5,6.3,7.6,8.9,10.2,11.5,12.8,14.1,15.4,16.7,18,19.7,21.4,23.1,24.8},{0,10,20,30,40,50,60,62,64,66,68,70,72,74,76,78,80,85,90,95,100})</f>
        <v>100</v>
      </c>
      <c r="G432" s="12">
        <v>181</v>
      </c>
      <c r="H432" s="11">
        <f>LOOKUP(G432,{0,124,129,134,139,144,149,152,155,158,161,164,167,170,173,176,179,186,193,199,205},{0,10,20,30,40,50,60,62,64,66,68,70,72,74,76,78,80,85,90,95,100})</f>
        <v>80</v>
      </c>
      <c r="I432" s="12">
        <v>51</v>
      </c>
      <c r="J432" s="11">
        <f>LOOKUP(I432,{0,14,16,18,20,22,24,26,28,30,32,34,36,38,40,42,44,47,50,52,54},{0,10,20,30,40,50,60,62,64,66,68,70,72,74,76,78,80,85,90,95,100})</f>
        <v>90</v>
      </c>
      <c r="K432" s="12"/>
      <c r="L432" s="12"/>
      <c r="M432" s="12">
        <f t="shared" si="193"/>
        <v>90</v>
      </c>
      <c r="N432" s="12">
        <v>8.2</v>
      </c>
      <c r="O432" s="12">
        <f t="shared" si="204"/>
        <v>3.8</v>
      </c>
      <c r="P432" s="11">
        <f>LOOKUP(O432,{0,0.5,0.7,0.9,1.1,1.3,1.5,1.7,1.9,2.1,2.3,2.5,2.7,2.9,3.1,3.3,3.5,3.8,4.1,4.2,4.3},{0,10,20,30,40,50,60,62,64,66,68,70,72,74,76,78,80,85,90,95,100})</f>
        <v>85</v>
      </c>
      <c r="Q432" s="12">
        <v>3.18</v>
      </c>
      <c r="R432" s="12">
        <f t="shared" si="202"/>
        <v>6.82</v>
      </c>
      <c r="S432" s="11">
        <f>LOOKUP(R432,{0,4.72,4.82,4.92,5.42,5.52,5.62,5.67,5.72,5.77,5.82,5.87,5.92,5.97,6.42,6.47,6.52,6.59,6.66,6.72,6.78},{0,10,20,30,40,50,60,62,64,66,68,70,72,74,76,78,80,85,90,95,100})</f>
        <v>100</v>
      </c>
      <c r="T432" s="21">
        <f>3.22-Q432</f>
        <v>0.04</v>
      </c>
      <c r="U432" s="11">
        <f>LOOKUP(T432,{0,0.05,0.1,0.15,0.2,0.25,0.3,0.35,0.4,0.45,0.5},{0,1,2,3,4,5,6,7,8,9,10})</f>
        <v>0</v>
      </c>
      <c r="V432" s="12">
        <f t="shared" si="206"/>
        <v>100</v>
      </c>
      <c r="W432" s="12"/>
      <c r="X432" s="20">
        <f t="shared" si="192"/>
        <v>64</v>
      </c>
      <c r="Y432" s="20">
        <f t="shared" si="201"/>
        <v>91.4285714285714</v>
      </c>
    </row>
    <row r="433" ht="15.6" hidden="1" outlineLevel="2" spans="1:25">
      <c r="A433" s="12">
        <v>209</v>
      </c>
      <c r="B433" s="12">
        <v>42</v>
      </c>
      <c r="C433" s="6" t="s">
        <v>483</v>
      </c>
      <c r="D433" s="6" t="s">
        <v>53</v>
      </c>
      <c r="E433" s="12">
        <v>16.9</v>
      </c>
      <c r="F433" s="11">
        <f>LOOKUP(E433,{0,1,1.8,2.6,3.4,4.2,5,6.3,7.6,8.9,10.2,11.5,12.8,14.1,15.4,16.7,18,19.7,21.4,23.1,24.8},{0,10,20,30,40,50,60,62,64,66,68,70,72,74,76,78,80,85,90,95,100})</f>
        <v>78</v>
      </c>
      <c r="G433" s="12">
        <v>185</v>
      </c>
      <c r="H433" s="11">
        <f>LOOKUP(G433,{0,124,129,134,139,144,149,152,155,158,161,164,167,170,173,176,179,186,193,199,205},{0,10,20,30,40,50,60,62,64,66,68,70,72,74,76,78,80,85,90,95,100})</f>
        <v>80</v>
      </c>
      <c r="I433" s="12">
        <v>47</v>
      </c>
      <c r="J433" s="11">
        <f>LOOKUP(I433,{0,14,16,18,20,22,24,26,28,30,32,34,36,38,40,42,44,47,50,52,54},{0,10,20,30,40,50,60,62,64,66,68,70,72,74,76,78,80,85,90,95,100})</f>
        <v>85</v>
      </c>
      <c r="K433" s="12"/>
      <c r="L433" s="12"/>
      <c r="M433" s="12">
        <f t="shared" si="193"/>
        <v>85</v>
      </c>
      <c r="N433" s="12">
        <v>8.2</v>
      </c>
      <c r="O433" s="12">
        <f t="shared" si="204"/>
        <v>3.8</v>
      </c>
      <c r="P433" s="11">
        <f>LOOKUP(O433,{0,0.5,0.7,0.9,1.1,1.3,1.5,1.7,1.9,2.1,2.3,2.5,2.7,2.9,3.1,3.3,3.5,3.8,4.1,4.2,4.3},{0,10,20,30,40,50,60,62,64,66,68,70,72,74,76,78,80,85,90,95,100})</f>
        <v>85</v>
      </c>
      <c r="Q433" s="12">
        <v>3.43</v>
      </c>
      <c r="R433" s="12">
        <f t="shared" si="202"/>
        <v>6.57</v>
      </c>
      <c r="S433" s="11">
        <f>LOOKUP(R433,{0,4.72,4.82,4.92,5.42,5.52,5.62,5.67,5.72,5.77,5.82,5.87,5.92,5.97,6.42,6.47,6.52,6.59,6.66,6.72,6.78},{0,10,20,30,40,50,60,62,64,66,68,70,72,74,76,78,80,85,90,95,100})</f>
        <v>80</v>
      </c>
      <c r="T433" s="12"/>
      <c r="U433" s="12"/>
      <c r="V433" s="12">
        <f t="shared" si="206"/>
        <v>80</v>
      </c>
      <c r="W433" s="12"/>
      <c r="X433" s="20">
        <f t="shared" si="192"/>
        <v>57.3</v>
      </c>
      <c r="Y433" s="20">
        <f t="shared" si="201"/>
        <v>81.8571428571429</v>
      </c>
    </row>
    <row r="434" ht="15.6" hidden="1" outlineLevel="2" spans="1:25">
      <c r="A434" s="12">
        <v>209</v>
      </c>
      <c r="B434" s="12">
        <v>43</v>
      </c>
      <c r="C434" s="6" t="s">
        <v>484</v>
      </c>
      <c r="D434" s="6" t="s">
        <v>53</v>
      </c>
      <c r="E434" s="12"/>
      <c r="F434" s="11"/>
      <c r="G434" s="12"/>
      <c r="H434" s="11"/>
      <c r="I434" s="12"/>
      <c r="J434" s="11"/>
      <c r="K434" s="12"/>
      <c r="L434" s="12"/>
      <c r="M434" s="12"/>
      <c r="N434" s="12">
        <v>8.5</v>
      </c>
      <c r="O434" s="12">
        <f t="shared" si="204"/>
        <v>3.5</v>
      </c>
      <c r="P434" s="11">
        <f>LOOKUP(O434,{0,0.5,0.7,0.9,1.1,1.3,1.5,1.7,1.9,2.1,2.3,2.5,2.7,2.9,3.1,3.3,3.5,3.8,4.1,4.2,4.3},{0,10,20,30,40,50,60,62,64,66,68,70,72,74,76,78,80,85,90,95,100})</f>
        <v>80</v>
      </c>
      <c r="Q434" s="12"/>
      <c r="R434" s="12"/>
      <c r="S434" s="11"/>
      <c r="T434" s="21"/>
      <c r="U434" s="11"/>
      <c r="V434" s="12"/>
      <c r="W434" s="12" t="s">
        <v>16</v>
      </c>
      <c r="X434" s="20">
        <f t="shared" si="192"/>
        <v>16</v>
      </c>
      <c r="Y434" s="20">
        <v>50</v>
      </c>
    </row>
    <row r="435" ht="15.6" hidden="1" outlineLevel="2" spans="1:25">
      <c r="A435" s="12">
        <v>209</v>
      </c>
      <c r="B435" s="12">
        <v>44</v>
      </c>
      <c r="C435" s="6" t="s">
        <v>485</v>
      </c>
      <c r="D435" s="6" t="s">
        <v>53</v>
      </c>
      <c r="E435" s="12">
        <v>17.6</v>
      </c>
      <c r="F435" s="11">
        <f>LOOKUP(E435,{0,1,1.8,2.6,3.4,4.2,5,6.3,7.6,8.9,10.2,11.5,12.8,14.1,15.4,16.7,18,19.7,21.4,23.1,24.8},{0,10,20,30,40,50,60,62,64,66,68,70,72,74,76,78,80,85,90,95,100})</f>
        <v>78</v>
      </c>
      <c r="G435" s="12">
        <v>148</v>
      </c>
      <c r="H435" s="11">
        <f>LOOKUP(G435,{0,124,129,134,139,144,149,152,155,158,161,164,167,170,173,176,179,186,193,199,205},{0,10,20,30,40,50,60,62,64,66,68,70,72,74,76,78,80,85,90,95,100})</f>
        <v>50</v>
      </c>
      <c r="I435" s="12">
        <v>53</v>
      </c>
      <c r="J435" s="11">
        <f>LOOKUP(I435,{0,14,16,18,20,22,24,26,28,30,32,34,36,38,40,42,44,47,50,52,54},{0,10,20,30,40,50,60,62,64,66,68,70,72,74,76,78,80,85,90,95,100})</f>
        <v>95</v>
      </c>
      <c r="K435" s="12"/>
      <c r="L435" s="12"/>
      <c r="M435" s="12">
        <f t="shared" ref="M435:M440" si="207">J435+L435</f>
        <v>95</v>
      </c>
      <c r="N435" s="12">
        <v>8.7</v>
      </c>
      <c r="O435" s="12">
        <f t="shared" si="204"/>
        <v>3.3</v>
      </c>
      <c r="P435" s="11">
        <f>LOOKUP(O435,{0,0.5,0.7,0.9,1.1,1.3,1.5,1.7,1.9,2.1,2.3,2.5,2.7,2.9,3.1,3.3,3.5,3.8,4.1,4.2,4.3},{0,10,20,30,40,50,60,62,64,66,68,70,72,74,76,78,80,85,90,95,100})</f>
        <v>78</v>
      </c>
      <c r="Q435" s="12">
        <v>3.5</v>
      </c>
      <c r="R435" s="12">
        <f t="shared" ref="R435:R440" si="208">10-Q435</f>
        <v>6.5</v>
      </c>
      <c r="S435" s="11">
        <f>LOOKUP(R435,{0,4.72,4.82,4.92,5.42,5.52,5.62,5.67,5.72,5.77,5.82,5.87,5.92,5.97,6.42,6.47,6.52,6.59,6.66,6.72,6.78},{0,10,20,30,40,50,60,62,64,66,68,70,72,74,76,78,80,85,90,95,100})</f>
        <v>78</v>
      </c>
      <c r="T435" s="12"/>
      <c r="U435" s="12"/>
      <c r="V435" s="12">
        <f t="shared" ref="V435:V440" si="209">S435+U435</f>
        <v>78</v>
      </c>
      <c r="W435" s="12"/>
      <c r="X435" s="20">
        <f t="shared" si="192"/>
        <v>53.5</v>
      </c>
      <c r="Y435" s="20">
        <f t="shared" ref="Y435:Y440" si="210">X435/0.7+L435+U435</f>
        <v>76.4285714285714</v>
      </c>
    </row>
    <row r="436" ht="15.6" hidden="1" outlineLevel="2" spans="1:25">
      <c r="A436" s="12">
        <v>209</v>
      </c>
      <c r="B436" s="12">
        <v>45</v>
      </c>
      <c r="C436" s="6" t="s">
        <v>486</v>
      </c>
      <c r="D436" s="6" t="s">
        <v>53</v>
      </c>
      <c r="E436" s="12">
        <v>25.3</v>
      </c>
      <c r="F436" s="11">
        <f>LOOKUP(E436,{0,1,1.8,2.6,3.4,4.2,5,6.3,7.6,8.9,10.2,11.5,12.8,14.1,15.4,16.7,18,19.7,21.4,23.1,24.8},{0,10,20,30,40,50,60,62,64,66,68,70,72,74,76,78,80,85,90,95,100})</f>
        <v>100</v>
      </c>
      <c r="G436" s="12">
        <v>178</v>
      </c>
      <c r="H436" s="11">
        <f>LOOKUP(G436,{0,124,129,134,139,144,149,152,155,158,161,164,167,170,173,176,179,186,193,199,205},{0,10,20,30,40,50,60,62,64,66,68,70,72,74,76,78,80,85,90,95,100})</f>
        <v>78</v>
      </c>
      <c r="I436" s="12">
        <v>58</v>
      </c>
      <c r="J436" s="11">
        <f>LOOKUP(I436,{0,14,16,18,20,22,24,26,28,30,32,34,36,38,40,42,44,47,50,52,54},{0,10,20,30,40,50,60,62,64,66,68,70,72,74,76,78,80,85,90,95,100})</f>
        <v>100</v>
      </c>
      <c r="K436" s="12">
        <f t="shared" ref="K436:K440" si="211">I436-54</f>
        <v>4</v>
      </c>
      <c r="L436" s="16">
        <f>LOOKUP(K436,{0,2,4,6,7,8,9,10,11,12,13},{0,1,2,3,4,5,6,7,8,9,10})</f>
        <v>2</v>
      </c>
      <c r="M436" s="12">
        <f t="shared" si="207"/>
        <v>102</v>
      </c>
      <c r="N436" s="12">
        <v>8.2</v>
      </c>
      <c r="O436" s="12">
        <f t="shared" si="204"/>
        <v>3.8</v>
      </c>
      <c r="P436" s="11">
        <f>LOOKUP(O436,{0,0.5,0.7,0.9,1.1,1.3,1.5,1.7,1.9,2.1,2.3,2.5,2.7,2.9,3.1,3.3,3.5,3.8,4.1,4.2,4.3},{0,10,20,30,40,50,60,62,64,66,68,70,72,74,76,78,80,85,90,95,100})</f>
        <v>85</v>
      </c>
      <c r="Q436" s="12">
        <v>3.16</v>
      </c>
      <c r="R436" s="12">
        <f t="shared" si="208"/>
        <v>6.84</v>
      </c>
      <c r="S436" s="11">
        <f>LOOKUP(R436,{0,4.72,4.82,4.92,5.42,5.52,5.62,5.67,5.72,5.77,5.82,5.87,5.92,5.97,6.42,6.47,6.52,6.59,6.66,6.72,6.78},{0,10,20,30,40,50,60,62,64,66,68,70,72,74,76,78,80,85,90,95,100})</f>
        <v>100</v>
      </c>
      <c r="T436" s="21">
        <f t="shared" ref="T436:T440" si="212">3.22-Q436</f>
        <v>0.0600000000000001</v>
      </c>
      <c r="U436" s="11">
        <f>LOOKUP(T436,{0,0.05,0.1,0.15,0.2,0.25,0.3,0.35,0.4,0.45,0.5},{0,1,2,3,4,5,6,7,8,9,10})</f>
        <v>1</v>
      </c>
      <c r="V436" s="12">
        <f t="shared" si="209"/>
        <v>101</v>
      </c>
      <c r="W436" s="12"/>
      <c r="X436" s="20">
        <f t="shared" si="192"/>
        <v>64.8</v>
      </c>
      <c r="Y436" s="20">
        <f t="shared" si="210"/>
        <v>95.5714285714286</v>
      </c>
    </row>
    <row r="437" ht="15.6" hidden="1" outlineLevel="2" spans="1:25">
      <c r="A437" s="12">
        <v>209</v>
      </c>
      <c r="B437" s="12">
        <v>46</v>
      </c>
      <c r="C437" s="6" t="s">
        <v>487</v>
      </c>
      <c r="D437" s="6" t="s">
        <v>53</v>
      </c>
      <c r="E437" s="12">
        <v>18</v>
      </c>
      <c r="F437" s="11">
        <f>LOOKUP(E437,{0,1,1.8,2.6,3.4,4.2,5,6.3,7.6,8.9,10.2,11.5,12.8,14.1,15.4,16.7,18,19.7,21.4,23.1,24.8},{0,10,20,30,40,50,60,62,64,66,68,70,72,74,76,78,80,85,90,95,100})</f>
        <v>80</v>
      </c>
      <c r="G437" s="12">
        <v>188</v>
      </c>
      <c r="H437" s="11">
        <f>LOOKUP(G437,{0,124,129,134,139,144,149,152,155,158,161,164,167,170,173,176,179,186,193,199,205},{0,10,20,30,40,50,60,62,64,66,68,70,72,74,76,78,80,85,90,95,100})</f>
        <v>85</v>
      </c>
      <c r="I437" s="12">
        <v>61</v>
      </c>
      <c r="J437" s="11">
        <f>LOOKUP(I437,{0,14,16,18,20,22,24,26,28,30,32,34,36,38,40,42,44,47,50,52,54},{0,10,20,30,40,50,60,62,64,66,68,70,72,74,76,78,80,85,90,95,100})</f>
        <v>100</v>
      </c>
      <c r="K437" s="12">
        <f t="shared" si="211"/>
        <v>7</v>
      </c>
      <c r="L437" s="11">
        <f>LOOKUP(K437,{0,2,4,6,7,8,9,10,11,12,13},{0,1,2,3,4,5,6,7,8,9,10})</f>
        <v>4</v>
      </c>
      <c r="M437" s="12">
        <f t="shared" si="207"/>
        <v>104</v>
      </c>
      <c r="N437" s="12">
        <v>8.2</v>
      </c>
      <c r="O437" s="12">
        <f t="shared" si="204"/>
        <v>3.8</v>
      </c>
      <c r="P437" s="11">
        <f>LOOKUP(O437,{0,0.5,0.7,0.9,1.1,1.3,1.5,1.7,1.9,2.1,2.3,2.5,2.7,2.9,3.1,3.3,3.5,3.8,4.1,4.2,4.3},{0,10,20,30,40,50,60,62,64,66,68,70,72,74,76,78,80,85,90,95,100})</f>
        <v>85</v>
      </c>
      <c r="Q437" s="12">
        <v>3.34</v>
      </c>
      <c r="R437" s="12">
        <f t="shared" si="208"/>
        <v>6.66</v>
      </c>
      <c r="S437" s="11">
        <f>LOOKUP(R437,{0,4.72,4.82,4.92,5.42,5.52,5.62,5.67,5.72,5.77,5.82,5.87,5.92,5.97,6.42,6.47,6.52,6.59,6.66,6.72,6.78},{0,10,20,30,40,50,60,62,64,66,68,70,72,74,76,78,80,85,90,95,100})</f>
        <v>90</v>
      </c>
      <c r="T437" s="12"/>
      <c r="U437" s="12"/>
      <c r="V437" s="12">
        <f t="shared" si="209"/>
        <v>90</v>
      </c>
      <c r="W437" s="12"/>
      <c r="X437" s="20">
        <f t="shared" si="192"/>
        <v>61.5</v>
      </c>
      <c r="Y437" s="20">
        <f t="shared" si="210"/>
        <v>91.8571428571429</v>
      </c>
    </row>
    <row r="438" ht="15.6" hidden="1" outlineLevel="2" spans="1:25">
      <c r="A438" s="12">
        <v>209</v>
      </c>
      <c r="B438" s="12">
        <v>47</v>
      </c>
      <c r="C438" s="6" t="s">
        <v>488</v>
      </c>
      <c r="D438" s="6" t="s">
        <v>53</v>
      </c>
      <c r="E438" s="12">
        <v>24.5</v>
      </c>
      <c r="F438" s="11">
        <f>LOOKUP(E438,{0,1,1.8,2.6,3.4,4.2,5,6.3,7.6,8.9,10.2,11.5,12.8,14.1,15.4,16.7,18,19.7,21.4,23.1,24.8},{0,10,20,30,40,50,60,62,64,66,68,70,72,74,76,78,80,85,90,95,100})</f>
        <v>95</v>
      </c>
      <c r="G438" s="12">
        <v>177</v>
      </c>
      <c r="H438" s="11">
        <f>LOOKUP(G438,{0,124,129,134,139,144,149,152,155,158,161,164,167,170,173,176,179,186,193,199,205},{0,10,20,30,40,50,60,62,64,66,68,70,72,74,76,78,80,85,90,95,100})</f>
        <v>78</v>
      </c>
      <c r="I438" s="12">
        <v>50</v>
      </c>
      <c r="J438" s="11">
        <f>LOOKUP(I438,{0,14,16,18,20,22,24,26,28,30,32,34,36,38,40,42,44,47,50,52,54},{0,10,20,30,40,50,60,62,64,66,68,70,72,74,76,78,80,85,90,95,100})</f>
        <v>90</v>
      </c>
      <c r="K438" s="12"/>
      <c r="L438" s="15"/>
      <c r="M438" s="12">
        <f t="shared" si="207"/>
        <v>90</v>
      </c>
      <c r="N438" s="12">
        <v>8.4</v>
      </c>
      <c r="O438" s="12">
        <f t="shared" si="204"/>
        <v>3.6</v>
      </c>
      <c r="P438" s="11">
        <f>LOOKUP(O438,{0,0.5,0.7,0.9,1.1,1.3,1.5,1.7,1.9,2.1,2.3,2.5,2.7,2.9,3.1,3.3,3.5,3.8,4.1,4.2,4.3},{0,10,20,30,40,50,60,62,64,66,68,70,72,74,76,78,80,85,90,95,100})</f>
        <v>80</v>
      </c>
      <c r="Q438" s="12">
        <v>3.19</v>
      </c>
      <c r="R438" s="12">
        <f t="shared" si="208"/>
        <v>6.81</v>
      </c>
      <c r="S438" s="11">
        <f>LOOKUP(R438,{0,4.72,4.82,4.92,5.42,5.52,5.62,5.67,5.72,5.77,5.82,5.87,5.92,5.97,6.42,6.47,6.52,6.59,6.66,6.72,6.78},{0,10,20,30,40,50,60,62,64,66,68,70,72,74,76,78,80,85,90,95,100})</f>
        <v>100</v>
      </c>
      <c r="T438" s="21">
        <f t="shared" si="212"/>
        <v>0.0300000000000002</v>
      </c>
      <c r="U438" s="11">
        <f>LOOKUP(T438,{0,0.05,0.1,0.15,0.2,0.25,0.3,0.35,0.4,0.45,0.5},{0,1,2,3,4,5,6,7,8,9,10})</f>
        <v>0</v>
      </c>
      <c r="V438" s="12">
        <f t="shared" si="209"/>
        <v>100</v>
      </c>
      <c r="W438" s="12"/>
      <c r="X438" s="20">
        <f t="shared" si="192"/>
        <v>62.3</v>
      </c>
      <c r="Y438" s="20">
        <f t="shared" si="210"/>
        <v>89</v>
      </c>
    </row>
    <row r="439" s="3" customFormat="1" ht="15.6" hidden="1" outlineLevel="2" spans="1:25">
      <c r="A439" s="12">
        <v>209</v>
      </c>
      <c r="B439" s="12">
        <v>48</v>
      </c>
      <c r="C439" s="6" t="s">
        <v>489</v>
      </c>
      <c r="D439" s="6" t="s">
        <v>53</v>
      </c>
      <c r="E439" s="12">
        <v>24.5</v>
      </c>
      <c r="F439" s="11">
        <f>LOOKUP(E439,{0,1,1.8,2.6,3.4,4.2,5,6.3,7.6,8.9,10.2,11.5,12.8,14.1,15.4,16.7,18,19.7,21.4,23.1,24.8},{0,10,20,30,40,50,60,62,64,66,68,70,72,74,76,78,80,85,90,95,100})</f>
        <v>95</v>
      </c>
      <c r="G439" s="12">
        <v>190</v>
      </c>
      <c r="H439" s="11">
        <f>LOOKUP(G439,{0,124,129,134,139,144,149,152,155,158,161,164,167,170,173,176,179,186,193,199,205},{0,10,20,30,40,50,60,62,64,66,68,70,72,74,76,78,80,85,90,95,100})</f>
        <v>85</v>
      </c>
      <c r="I439" s="12">
        <v>40</v>
      </c>
      <c r="J439" s="11">
        <f>LOOKUP(I439,{0,14,16,18,20,22,24,26,28,30,32,34,36,38,40,42,44,47,50,52,54},{0,10,20,30,40,50,60,62,64,66,68,70,72,74,76,78,80,85,90,95,100})</f>
        <v>76</v>
      </c>
      <c r="K439" s="12"/>
      <c r="L439" s="12"/>
      <c r="M439" s="12">
        <f t="shared" si="207"/>
        <v>76</v>
      </c>
      <c r="N439" s="12"/>
      <c r="O439" s="12"/>
      <c r="P439" s="11"/>
      <c r="Q439" s="12">
        <v>4.45</v>
      </c>
      <c r="R439" s="12">
        <f t="shared" si="208"/>
        <v>5.55</v>
      </c>
      <c r="S439" s="11">
        <f>LOOKUP(R439,{0,4.72,4.82,4.92,5.42,5.52,5.62,5.67,5.72,5.77,5.82,5.87,5.92,5.97,6.42,6.47,6.52,6.59,6.66,6.72,6.78},{0,10,20,30,40,50,60,62,64,66,68,70,72,74,76,78,80,85,90,95,100})</f>
        <v>50</v>
      </c>
      <c r="T439" s="12"/>
      <c r="U439" s="12"/>
      <c r="V439" s="12">
        <f t="shared" si="209"/>
        <v>50</v>
      </c>
      <c r="W439" s="12"/>
      <c r="X439" s="20">
        <f t="shared" si="192"/>
        <v>35.6</v>
      </c>
      <c r="Y439" s="20">
        <f t="shared" si="210"/>
        <v>50.8571428571429</v>
      </c>
    </row>
    <row r="440" ht="15.6" hidden="1" outlineLevel="2" spans="1:25">
      <c r="A440" s="12">
        <v>209</v>
      </c>
      <c r="B440" s="12">
        <v>49</v>
      </c>
      <c r="C440" s="6" t="s">
        <v>490</v>
      </c>
      <c r="D440" s="6" t="s">
        <v>53</v>
      </c>
      <c r="E440" s="12">
        <v>25</v>
      </c>
      <c r="F440" s="11">
        <f>LOOKUP(E440,{0,1,1.8,2.6,3.4,4.2,5,6.3,7.6,8.9,10.2,11.5,12.8,14.1,15.4,16.7,18,19.7,21.4,23.1,24.8},{0,10,20,30,40,50,60,62,64,66,68,70,72,74,76,78,80,85,90,95,100})</f>
        <v>100</v>
      </c>
      <c r="G440" s="12">
        <v>180</v>
      </c>
      <c r="H440" s="11">
        <f>LOOKUP(G440,{0,124,129,134,139,144,149,152,155,158,161,164,167,170,173,176,179,186,193,199,205},{0,10,20,30,40,50,60,62,64,66,68,70,72,74,76,78,80,85,90,95,100})</f>
        <v>80</v>
      </c>
      <c r="I440" s="12">
        <v>54</v>
      </c>
      <c r="J440" s="11">
        <f>LOOKUP(I440,{0,14,16,18,20,22,24,26,28,30,32,34,36,38,40,42,44,47,50,52,54},{0,10,20,30,40,50,60,62,64,66,68,70,72,74,76,78,80,85,90,95,100})</f>
        <v>100</v>
      </c>
      <c r="K440" s="12">
        <f t="shared" si="211"/>
        <v>0</v>
      </c>
      <c r="L440" s="11">
        <f>LOOKUP(K440,{0,2,4,6,7,8,9,10,11,12,13},{0,1,2,3,4,5,6,7,8,9,10})</f>
        <v>0</v>
      </c>
      <c r="M440" s="12">
        <f t="shared" si="207"/>
        <v>100</v>
      </c>
      <c r="N440" s="12">
        <v>8.5</v>
      </c>
      <c r="O440" s="12">
        <f>12-N440</f>
        <v>3.5</v>
      </c>
      <c r="P440" s="11">
        <f>LOOKUP(O440,{0,0.5,0.7,0.9,1.1,1.3,1.5,1.7,1.9,2.1,2.3,2.5,2.7,2.9,3.1,3.3,3.5,3.8,4.1,4.2,4.3},{0,10,20,30,40,50,60,62,64,66,68,70,72,74,76,78,80,85,90,95,100})</f>
        <v>80</v>
      </c>
      <c r="Q440" s="12">
        <v>3.18</v>
      </c>
      <c r="R440" s="12">
        <f t="shared" si="208"/>
        <v>6.82</v>
      </c>
      <c r="S440" s="11">
        <f>LOOKUP(R440,{0,4.72,4.82,4.92,5.42,5.52,5.62,5.67,5.72,5.77,5.82,5.87,5.92,5.97,6.42,6.47,6.52,6.59,6.66,6.72,6.78},{0,10,20,30,40,50,60,62,64,66,68,70,72,74,76,78,80,85,90,95,100})</f>
        <v>100</v>
      </c>
      <c r="T440" s="21">
        <f t="shared" si="212"/>
        <v>0.04</v>
      </c>
      <c r="U440" s="11">
        <f>LOOKUP(T440,{0,0.05,0.1,0.15,0.2,0.25,0.3,0.35,0.4,0.45,0.5},{0,1,2,3,4,5,6,7,8,9,10})</f>
        <v>0</v>
      </c>
      <c r="V440" s="12">
        <f t="shared" si="209"/>
        <v>100</v>
      </c>
      <c r="W440" s="12"/>
      <c r="X440" s="20">
        <f t="shared" si="192"/>
        <v>64</v>
      </c>
      <c r="Y440" s="20">
        <f t="shared" si="210"/>
        <v>91.4285714285714</v>
      </c>
    </row>
    <row r="441" ht="15.6" hidden="1" outlineLevel="2" spans="1:25">
      <c r="A441" s="12">
        <v>209</v>
      </c>
      <c r="B441" s="12">
        <v>50</v>
      </c>
      <c r="C441" s="6" t="s">
        <v>491</v>
      </c>
      <c r="D441" s="6" t="s">
        <v>53</v>
      </c>
      <c r="E441" s="12"/>
      <c r="F441" s="11"/>
      <c r="G441" s="12"/>
      <c r="H441" s="11"/>
      <c r="I441" s="12"/>
      <c r="J441" s="11"/>
      <c r="K441" s="12"/>
      <c r="L441" s="12"/>
      <c r="M441" s="12"/>
      <c r="N441" s="12"/>
      <c r="O441" s="12"/>
      <c r="P441" s="11"/>
      <c r="Q441" s="12"/>
      <c r="R441" s="12"/>
      <c r="S441" s="11"/>
      <c r="T441" s="21"/>
      <c r="U441" s="11"/>
      <c r="V441" s="12"/>
      <c r="W441" s="12" t="s">
        <v>16</v>
      </c>
      <c r="X441" s="20">
        <f t="shared" si="192"/>
        <v>0</v>
      </c>
      <c r="Y441" s="20">
        <v>50</v>
      </c>
    </row>
    <row r="442" ht="15.6" hidden="1" outlineLevel="2" spans="1:25">
      <c r="A442" s="12">
        <v>209</v>
      </c>
      <c r="B442" s="12">
        <v>51</v>
      </c>
      <c r="C442" s="6" t="s">
        <v>492</v>
      </c>
      <c r="D442" s="6" t="s">
        <v>53</v>
      </c>
      <c r="E442" s="12">
        <v>28.9</v>
      </c>
      <c r="F442" s="11">
        <f>LOOKUP(E442,{0,1,1.8,2.6,3.4,4.2,5,6.3,7.6,8.9,10.2,11.5,12.8,14.1,15.4,16.7,18,19.7,21.4,23.1,24.8},{0,10,20,30,40,50,60,62,64,66,68,70,72,74,76,78,80,85,90,95,100})</f>
        <v>100</v>
      </c>
      <c r="G442" s="12">
        <v>205</v>
      </c>
      <c r="H442" s="11">
        <f>LOOKUP(G442,{0,124,129,134,139,144,149,152,155,158,161,164,167,170,173,176,179,186,193,199,205},{0,10,20,30,40,50,60,62,64,66,68,70,72,74,76,78,80,85,90,95,100})</f>
        <v>100</v>
      </c>
      <c r="I442" s="12">
        <v>56</v>
      </c>
      <c r="J442" s="11">
        <f>LOOKUP(I442,{0,14,16,18,20,22,24,26,28,30,32,34,36,38,40,42,44,47,50,52,54},{0,10,20,30,40,50,60,62,64,66,68,70,72,74,76,78,80,85,90,95,100})</f>
        <v>100</v>
      </c>
      <c r="K442" s="12">
        <f>I442-54</f>
        <v>2</v>
      </c>
      <c r="L442" s="11">
        <f>LOOKUP(K442,{0,2,4,6,7,8,9,10,11,12,13},{0,1,2,3,4,5,6,7,8,9,10})</f>
        <v>1</v>
      </c>
      <c r="M442" s="12">
        <f>J442+L442</f>
        <v>101</v>
      </c>
      <c r="N442" s="12">
        <v>8.6</v>
      </c>
      <c r="O442" s="12">
        <f>12-N442</f>
        <v>3.4</v>
      </c>
      <c r="P442" s="11">
        <f>LOOKUP(O442,{0,0.5,0.7,0.9,1.1,1.3,1.5,1.7,1.9,2.1,2.3,2.5,2.7,2.9,3.1,3.3,3.5,3.8,4.1,4.2,4.3},{0,10,20,30,40,50,60,62,64,66,68,70,72,74,76,78,80,85,90,95,100})</f>
        <v>78</v>
      </c>
      <c r="Q442" s="12">
        <v>3.28</v>
      </c>
      <c r="R442" s="12">
        <f>10-Q442</f>
        <v>6.72</v>
      </c>
      <c r="S442" s="11">
        <f>LOOKUP(R442,{0,4.72,4.82,4.92,5.42,5.52,5.62,5.67,5.72,5.77,5.82,5.87,5.92,5.97,6.42,6.47,6.52,6.59,6.66,6.72,6.78},{0,10,20,30,40,50,60,62,64,66,68,70,72,74,76,78,80,85,90,95,100})</f>
        <v>95</v>
      </c>
      <c r="T442" s="12"/>
      <c r="U442" s="12"/>
      <c r="V442" s="12">
        <f>S442+U442</f>
        <v>95</v>
      </c>
      <c r="W442" s="12"/>
      <c r="X442" s="20">
        <f t="shared" si="192"/>
        <v>64.6</v>
      </c>
      <c r="Y442" s="20">
        <f>X442/0.7+L442+U442</f>
        <v>93.2857142857143</v>
      </c>
    </row>
    <row r="443" ht="15.6" outlineLevel="1" collapsed="1" spans="1:25">
      <c r="A443" s="14" t="s">
        <v>863</v>
      </c>
      <c r="B443" s="12"/>
      <c r="C443" s="6"/>
      <c r="D443" s="6"/>
      <c r="E443" s="12"/>
      <c r="F443" s="11">
        <f>SUBTOTAL(1,F392:F442)</f>
        <v>75.5</v>
      </c>
      <c r="G443" s="12"/>
      <c r="H443" s="11">
        <f>SUBTOTAL(1,H392:H442)</f>
        <v>78.8333333333333</v>
      </c>
      <c r="I443" s="12"/>
      <c r="J443" s="11">
        <f>SUBTOTAL(1,J392:J442)</f>
        <v>58.4583333333333</v>
      </c>
      <c r="K443" s="12"/>
      <c r="L443" s="11"/>
      <c r="M443" s="12">
        <f>SUBTOTAL(1,M392:M442)</f>
        <v>59.6041666666667</v>
      </c>
      <c r="N443" s="12"/>
      <c r="O443" s="12"/>
      <c r="P443" s="11">
        <f>SUBTOTAL(1,P392:P442)</f>
        <v>87.7826086956522</v>
      </c>
      <c r="Q443" s="12"/>
      <c r="R443" s="12"/>
      <c r="S443" s="11">
        <f>SUBTOTAL(1,S392:S442)</f>
        <v>82.8222222222222</v>
      </c>
      <c r="T443" s="12"/>
      <c r="U443" s="12"/>
      <c r="V443" s="12">
        <f>SUBTOTAL(1,V392:V442)</f>
        <v>83.0222222222222</v>
      </c>
      <c r="W443" s="12"/>
      <c r="X443" s="20">
        <f>SUBTOTAL(1,X392:X442)</f>
        <v>50.478431372549</v>
      </c>
      <c r="Y443" s="20">
        <f>SUBTOTAL(1,Y392:Y442)</f>
        <v>76.4761904761905</v>
      </c>
    </row>
    <row r="444" ht="15.6" hidden="1" outlineLevel="2" spans="1:25">
      <c r="A444" s="12">
        <v>210</v>
      </c>
      <c r="B444" s="12">
        <v>1</v>
      </c>
      <c r="C444" s="13" t="s">
        <v>494</v>
      </c>
      <c r="D444" s="6" t="s">
        <v>11</v>
      </c>
      <c r="E444" s="12">
        <v>6.1</v>
      </c>
      <c r="F444" s="11">
        <f>LOOKUP(E444,{0,-2.9,-1.9,-0.9,0.1,1.1,2.1,3.5,4.9,6.3,7.7,9.1,10.5,11.9,13.3,14.7,16.1,18.3,20.5,22.4,24.3},{0,10,20,30,40,50,60,62,64,66,68,70,72,74,76,78,80,85,90,95,100})</f>
        <v>64</v>
      </c>
      <c r="G444" s="12">
        <v>243</v>
      </c>
      <c r="H444" s="11">
        <f>LOOKUP(G444,{0,175,180,185,190,195,200,204,208,212,216,220,224,228,232,236,240,248,255,260,265},{0,10,20,30,40,50,60,62,64,66,68,70,72,74,76,78,80,85,90,95,100})</f>
        <v>80</v>
      </c>
      <c r="I444" s="12">
        <v>17</v>
      </c>
      <c r="J444" s="11">
        <f>LOOKUP(I444,{0,3,4,5,6,7,8,9,10,11,12,13,14,15,16,17},{0,10,20,30,40,50,60,64,68,72,76,80,85,90,95,100})</f>
        <v>100</v>
      </c>
      <c r="K444" s="12">
        <f t="shared" ref="K444:K449" si="213">I444-17</f>
        <v>0</v>
      </c>
      <c r="L444" s="11">
        <f>LOOKUP(K444,{0,1,2,3,4,5,6,7,8,9,10},{0,1,2,3,4,5,6,7,8,9,10})</f>
        <v>0</v>
      </c>
      <c r="M444" s="12">
        <f>J444+L444</f>
        <v>100</v>
      </c>
      <c r="N444" s="12">
        <v>6.7</v>
      </c>
      <c r="O444" s="12">
        <f>12-N444</f>
        <v>5.3</v>
      </c>
      <c r="P444" s="11">
        <f>LOOKUP(O444,{0,1.6,1.8,2,2.2,2.4,2.6,2.8,3,3.2,3.4,3.6,3.8,4,4.2,4.4,4.6,4.7,4.8,4.9,5},{0,10,20,30,40,50,60,62,64,66,68,70,72,74,76,78,80,85,90,95,100})</f>
        <v>100</v>
      </c>
      <c r="Q444" s="12">
        <v>3.4</v>
      </c>
      <c r="R444" s="12">
        <f>10-Q444</f>
        <v>6.6</v>
      </c>
      <c r="S444" s="11">
        <f>LOOKUP(R444,{0,3.8,4,4.6,4.8,5,5.6,5.65,5.7,5.75,5.8,5.85,5.9,5.95,6,6.45,6.5,6.58,6.65,6.7,6.75},{0,10,20,30,40,50,60,62,64,66,68,70,72,74,76,78,80,85,90,95,100})</f>
        <v>85</v>
      </c>
      <c r="T444" s="12"/>
      <c r="U444" s="12"/>
      <c r="V444" s="12">
        <f>S444+U444</f>
        <v>85</v>
      </c>
      <c r="W444" s="12"/>
      <c r="X444" s="20">
        <f t="shared" ref="X444:X458" si="214">F444*0.1+H444*0.1+J444*0.1+P444*0.2+S444*0.2</f>
        <v>61.4</v>
      </c>
      <c r="Y444" s="20">
        <f>X444/0.7+L444+U444</f>
        <v>87.7142857142857</v>
      </c>
    </row>
    <row r="445" ht="15.6" hidden="1" outlineLevel="2" spans="1:25">
      <c r="A445" s="12">
        <v>210</v>
      </c>
      <c r="B445" s="12">
        <v>2</v>
      </c>
      <c r="C445" s="6" t="s">
        <v>495</v>
      </c>
      <c r="D445" s="6" t="s">
        <v>11</v>
      </c>
      <c r="E445" s="12">
        <v>37</v>
      </c>
      <c r="F445" s="11">
        <f>LOOKUP(E445,{0,-2.9,-1.9,-0.9,0.1,1.1,2.1,3.5,4.9,6.3,7.7,9.1,10.5,11.9,13.3,14.7,16.1,18.3,20.5,22.4,24.3},{0,10,20,30,40,50,60,62,64,66,68,70,72,74,76,78,80,85,90,95,100})</f>
        <v>100</v>
      </c>
      <c r="G445" s="12">
        <v>278</v>
      </c>
      <c r="H445" s="11">
        <f>LOOKUP(G445,{0,175,180,185,190,195,200,204,208,212,216,220,224,228,232,236,240,248,255,260,265},{0,10,20,30,40,50,60,62,64,66,68,70,72,74,76,78,80,85,90,95,100})</f>
        <v>100</v>
      </c>
      <c r="I445" s="12">
        <v>25</v>
      </c>
      <c r="J445" s="11">
        <f>LOOKUP(I445,{0,3,4,5,6,7,8,9,10,11,12,13,14,15,16,17},{0,10,20,30,40,50,60,64,68,72,76,80,85,90,95,100})</f>
        <v>100</v>
      </c>
      <c r="K445" s="12">
        <f t="shared" si="213"/>
        <v>8</v>
      </c>
      <c r="L445" s="11">
        <f>LOOKUP(K445,{0,1,2,3,4,5,6,7,8,9,10},{0,1,2,3,4,5,6,7,8,9,10})</f>
        <v>8</v>
      </c>
      <c r="M445" s="12">
        <f>J445+L445</f>
        <v>108</v>
      </c>
      <c r="N445" s="12">
        <v>6.9</v>
      </c>
      <c r="O445" s="12">
        <f>12-N445</f>
        <v>5.1</v>
      </c>
      <c r="P445" s="11">
        <f>LOOKUP(O445,{0,1.6,1.8,2,2.2,2.4,2.6,2.8,3,3.2,3.4,3.6,3.8,4,4.2,4.4,4.6,4.7,4.8,4.9,5},{0,10,20,30,40,50,60,62,64,66,68,70,72,74,76,78,80,85,90,95,100})</f>
        <v>100</v>
      </c>
      <c r="Q445" s="12">
        <v>3.34</v>
      </c>
      <c r="R445" s="12">
        <f>10-Q445</f>
        <v>6.66</v>
      </c>
      <c r="S445" s="11">
        <f>LOOKUP(R445,{0,3.8,4,4.6,4.8,5,5.6,5.65,5.7,5.75,5.8,5.85,5.9,5.95,6,6.45,6.5,6.58,6.65,6.7,6.75},{0,10,20,30,40,50,60,62,64,66,68,70,72,74,76,78,80,85,90,95,100})</f>
        <v>90</v>
      </c>
      <c r="T445" s="12"/>
      <c r="U445" s="12"/>
      <c r="V445" s="12">
        <f>S445+U445</f>
        <v>90</v>
      </c>
      <c r="W445" s="12"/>
      <c r="X445" s="20">
        <f t="shared" si="214"/>
        <v>68</v>
      </c>
      <c r="Y445" s="20">
        <f>X445/0.7+L445+U445</f>
        <v>105.142857142857</v>
      </c>
    </row>
    <row r="446" s="3" customFormat="1" ht="15.6" hidden="1" outlineLevel="2" spans="1:25">
      <c r="A446" s="12">
        <v>210</v>
      </c>
      <c r="B446" s="12">
        <v>3</v>
      </c>
      <c r="C446" s="6" t="s">
        <v>496</v>
      </c>
      <c r="D446" s="6" t="s">
        <v>11</v>
      </c>
      <c r="E446" s="12"/>
      <c r="F446" s="11"/>
      <c r="G446" s="12"/>
      <c r="H446" s="11"/>
      <c r="I446" s="12"/>
      <c r="J446" s="11"/>
      <c r="K446" s="12"/>
      <c r="L446" s="12"/>
      <c r="M446" s="12"/>
      <c r="N446" s="12"/>
      <c r="O446" s="12"/>
      <c r="P446" s="11"/>
      <c r="Q446" s="12"/>
      <c r="R446" s="12"/>
      <c r="S446" s="11"/>
      <c r="T446" s="12"/>
      <c r="U446" s="16"/>
      <c r="V446" s="12"/>
      <c r="W446" s="12"/>
      <c r="X446" s="20">
        <f t="shared" si="214"/>
        <v>0</v>
      </c>
      <c r="Y446" s="23">
        <v>50</v>
      </c>
    </row>
    <row r="447" ht="15.6" hidden="1" outlineLevel="2" spans="1:25">
      <c r="A447" s="12">
        <v>210</v>
      </c>
      <c r="B447" s="12">
        <v>4</v>
      </c>
      <c r="C447" s="6" t="s">
        <v>497</v>
      </c>
      <c r="D447" s="6" t="s">
        <v>11</v>
      </c>
      <c r="E447" s="12"/>
      <c r="F447" s="11"/>
      <c r="G447" s="12"/>
      <c r="H447" s="11"/>
      <c r="I447" s="12"/>
      <c r="J447" s="11"/>
      <c r="K447" s="12"/>
      <c r="L447" s="12"/>
      <c r="M447" s="12"/>
      <c r="N447" s="12"/>
      <c r="O447" s="12"/>
      <c r="P447" s="11"/>
      <c r="Q447" s="12"/>
      <c r="R447" s="12"/>
      <c r="S447" s="11"/>
      <c r="T447" s="12"/>
      <c r="U447" s="11"/>
      <c r="V447" s="12"/>
      <c r="W447" s="12"/>
      <c r="X447" s="20">
        <f t="shared" si="214"/>
        <v>0</v>
      </c>
      <c r="Y447" s="23">
        <v>50</v>
      </c>
    </row>
    <row r="448" ht="15.6" hidden="1" outlineLevel="2" spans="1:25">
      <c r="A448" s="12">
        <v>210</v>
      </c>
      <c r="B448" s="12">
        <v>5</v>
      </c>
      <c r="C448" s="6" t="s">
        <v>498</v>
      </c>
      <c r="D448" s="6" t="s">
        <v>11</v>
      </c>
      <c r="E448" s="12">
        <v>5.5</v>
      </c>
      <c r="F448" s="11">
        <f>LOOKUP(E448,{0,-2.9,-1.9,-0.9,0.1,1.1,2.1,3.5,4.9,6.3,7.7,9.1,10.5,11.9,13.3,14.7,16.1,18.3,20.5,22.4,24.3},{0,10,20,30,40,50,60,62,64,66,68,70,72,74,76,78,80,85,90,95,100})</f>
        <v>64</v>
      </c>
      <c r="G448" s="12">
        <v>245</v>
      </c>
      <c r="H448" s="11">
        <f>LOOKUP(G448,{0,175,180,185,190,195,200,204,208,212,216,220,224,228,232,236,240,248,255,260,265},{0,10,20,30,40,50,60,62,64,66,68,70,72,74,76,78,80,85,90,95,100})</f>
        <v>80</v>
      </c>
      <c r="I448" s="12">
        <v>2</v>
      </c>
      <c r="J448" s="11">
        <f>LOOKUP(I448,{0,3,4,5,6,7,8,9,10,11,12,13,14,15,16,17},{0,10,20,30,40,50,60,64,68,72,76,80,85,90,95,100})</f>
        <v>0</v>
      </c>
      <c r="K448" s="12"/>
      <c r="L448" s="12"/>
      <c r="M448" s="12">
        <f t="shared" ref="M448:M453" si="215">J448+L448</f>
        <v>0</v>
      </c>
      <c r="N448" s="12">
        <v>7.1</v>
      </c>
      <c r="O448" s="12">
        <f t="shared" ref="O448:O453" si="216">12-N448</f>
        <v>4.9</v>
      </c>
      <c r="P448" s="11">
        <f>LOOKUP(O448,{0,1.6,1.8,2,2.2,2.4,2.6,2.8,3,3.2,3.4,3.6,3.8,4,4.2,4.4,4.6,4.7,4.8,4.9,5},{0,10,20,30,40,50,60,62,64,66,68,70,72,74,76,78,80,85,90,95,100})</f>
        <v>95</v>
      </c>
      <c r="Q448" s="12">
        <v>3.25</v>
      </c>
      <c r="R448" s="12">
        <f t="shared" ref="R448:R453" si="217">10-Q448</f>
        <v>6.75</v>
      </c>
      <c r="S448" s="11">
        <f>LOOKUP(R448,{0,3.8,4,4.6,4.8,5,5.6,5.65,5.7,5.75,5.8,5.85,5.9,5.95,6,6.45,6.5,6.58,6.65,6.7,6.75},{0,10,20,30,40,50,60,62,64,66,68,70,72,74,76,78,80,85,90,95,100})</f>
        <v>100</v>
      </c>
      <c r="T448" s="12">
        <f>3.25-Q448</f>
        <v>0</v>
      </c>
      <c r="U448" s="16">
        <f>LOOKUP(T448,{0,0.04,0.08,0.12,0.16,0.2,0.23,0.26,0.29,0.32,0.35},{0,1,2,3,4,5,6,7,8,9,10})</f>
        <v>0</v>
      </c>
      <c r="V448" s="12">
        <f t="shared" ref="V448:V453" si="218">S448+U448</f>
        <v>100</v>
      </c>
      <c r="W448" s="12"/>
      <c r="X448" s="20">
        <f t="shared" si="214"/>
        <v>53.4</v>
      </c>
      <c r="Y448" s="20">
        <f t="shared" ref="Y448:Y453" si="219">X448/0.7+L448+U448</f>
        <v>76.2857142857143</v>
      </c>
    </row>
    <row r="449" ht="15.6" hidden="1" outlineLevel="2" spans="1:25">
      <c r="A449" s="12">
        <v>210</v>
      </c>
      <c r="B449" s="12">
        <v>6</v>
      </c>
      <c r="C449" s="6" t="s">
        <v>499</v>
      </c>
      <c r="D449" s="6" t="s">
        <v>11</v>
      </c>
      <c r="E449" s="12">
        <v>21</v>
      </c>
      <c r="F449" s="11">
        <f>LOOKUP(E449,{0,-2.9,-1.9,-0.9,0.1,1.1,2.1,3.5,4.9,6.3,7.7,9.1,10.5,11.9,13.3,14.7,16.1,18.3,20.5,22.4,24.3},{0,10,20,30,40,50,60,62,64,66,68,70,72,74,76,78,80,85,90,95,100})</f>
        <v>90</v>
      </c>
      <c r="G449" s="12">
        <v>246</v>
      </c>
      <c r="H449" s="11">
        <f>LOOKUP(G449,{0,175,180,185,190,195,200,204,208,212,216,220,224,228,232,236,240,248,255,260,265},{0,10,20,30,40,50,60,62,64,66,68,70,72,74,76,78,80,85,90,95,100})</f>
        <v>80</v>
      </c>
      <c r="I449" s="12">
        <v>20</v>
      </c>
      <c r="J449" s="11">
        <f>LOOKUP(I449,{0,3,4,5,6,7,8,9,10,11,12,13,14,15,16,17},{0,10,20,30,40,50,60,64,68,72,76,80,85,90,95,100})</f>
        <v>100</v>
      </c>
      <c r="K449" s="12">
        <f t="shared" si="213"/>
        <v>3</v>
      </c>
      <c r="L449" s="11">
        <f>LOOKUP(K449,{0,1,2,3,4,5,6,7,8,9,10},{0,1,2,3,4,5,6,7,8,9,10})</f>
        <v>3</v>
      </c>
      <c r="M449" s="12">
        <f t="shared" si="215"/>
        <v>103</v>
      </c>
      <c r="N449" s="12">
        <v>7.5</v>
      </c>
      <c r="O449" s="12">
        <f t="shared" si="216"/>
        <v>4.5</v>
      </c>
      <c r="P449" s="11">
        <f>LOOKUP(O449,{0,1.6,1.8,2,2.2,2.4,2.6,2.8,3,3.2,3.4,3.6,3.8,4,4.2,4.4,4.6,4.7,4.8,4.9,5},{0,10,20,30,40,50,60,62,64,66,68,70,72,74,76,78,80,85,90,95,100})</f>
        <v>78</v>
      </c>
      <c r="Q449" s="12">
        <v>3.58</v>
      </c>
      <c r="R449" s="12">
        <f t="shared" si="217"/>
        <v>6.42</v>
      </c>
      <c r="S449" s="11">
        <f>LOOKUP(R449,{0,3.8,4,4.6,4.8,5,5.6,5.65,5.7,5.75,5.8,5.85,5.9,5.95,6,6.45,6.5,6.58,6.65,6.7,6.75},{0,10,20,30,40,50,60,62,64,66,68,70,72,74,76,78,80,85,90,95,100})</f>
        <v>76</v>
      </c>
      <c r="T449" s="12"/>
      <c r="U449" s="12"/>
      <c r="V449" s="12">
        <f t="shared" si="218"/>
        <v>76</v>
      </c>
      <c r="W449" s="12"/>
      <c r="X449" s="20">
        <f t="shared" si="214"/>
        <v>57.8</v>
      </c>
      <c r="Y449" s="20">
        <f t="shared" si="219"/>
        <v>85.5714285714286</v>
      </c>
    </row>
    <row r="450" ht="15.6" hidden="1" outlineLevel="2" spans="1:25">
      <c r="A450" s="12">
        <v>210</v>
      </c>
      <c r="B450" s="12">
        <v>7</v>
      </c>
      <c r="C450" s="6" t="s">
        <v>500</v>
      </c>
      <c r="D450" s="6" t="s">
        <v>11</v>
      </c>
      <c r="E450" s="12"/>
      <c r="F450" s="11"/>
      <c r="G450" s="12"/>
      <c r="H450" s="11"/>
      <c r="I450" s="12"/>
      <c r="J450" s="11"/>
      <c r="K450" s="12"/>
      <c r="L450" s="12"/>
      <c r="M450" s="12"/>
      <c r="N450" s="12"/>
      <c r="O450" s="12"/>
      <c r="P450" s="11"/>
      <c r="Q450" s="12"/>
      <c r="R450" s="12"/>
      <c r="S450" s="11"/>
      <c r="T450" s="12"/>
      <c r="U450" s="11"/>
      <c r="V450" s="12"/>
      <c r="W450" s="12"/>
      <c r="X450" s="20">
        <f t="shared" si="214"/>
        <v>0</v>
      </c>
      <c r="Y450" s="23">
        <v>50</v>
      </c>
    </row>
    <row r="451" s="1" customFormat="1" ht="15.6" hidden="1" outlineLevel="2" spans="1:25">
      <c r="A451" s="12">
        <v>210</v>
      </c>
      <c r="B451" s="12">
        <v>8</v>
      </c>
      <c r="C451" s="6" t="s">
        <v>501</v>
      </c>
      <c r="D451" s="6" t="s">
        <v>11</v>
      </c>
      <c r="E451" s="12">
        <v>11.1</v>
      </c>
      <c r="F451" s="11">
        <f>LOOKUP(E451,{0,-2.9,-1.9,-0.9,0.1,1.1,2.1,3.5,4.9,6.3,7.7,9.1,10.5,11.9,13.3,14.7,16.1,18.3,20.5,22.4,24.3},{0,10,20,30,40,50,60,62,64,66,68,70,72,74,76,78,80,85,90,95,100})</f>
        <v>72</v>
      </c>
      <c r="G451" s="12">
        <v>225</v>
      </c>
      <c r="H451" s="11">
        <f>LOOKUP(G451,{0,175,180,185,190,195,200,204,208,212,216,220,224,228,232,236,240,248,255,260,265},{0,10,20,30,40,50,60,62,64,66,68,70,72,74,76,78,80,85,90,95,100})</f>
        <v>72</v>
      </c>
      <c r="I451" s="12">
        <v>22</v>
      </c>
      <c r="J451" s="11">
        <f>LOOKUP(I451,{0,3,4,5,6,7,8,9,10,11,12,13,14,15,16,17},{0,10,20,30,40,50,60,64,68,72,76,80,85,90,95,100})</f>
        <v>100</v>
      </c>
      <c r="K451" s="12">
        <f>I451-17</f>
        <v>5</v>
      </c>
      <c r="L451" s="11">
        <f>LOOKUP(K451,{0,1,2,3,4,5,6,7,8,9,10},{0,1,2,3,4,5,6,7,8,9,10})</f>
        <v>5</v>
      </c>
      <c r="M451" s="12">
        <f t="shared" si="215"/>
        <v>105</v>
      </c>
      <c r="N451" s="12">
        <v>7.4</v>
      </c>
      <c r="O451" s="12">
        <f t="shared" si="216"/>
        <v>4.6</v>
      </c>
      <c r="P451" s="11">
        <f>LOOKUP(O451,{0,1.6,1.8,2,2.2,2.4,2.6,2.8,3,3.2,3.4,3.6,3.8,4,4.2,4.4,4.6,4.7,4.8,4.9,5},{0,10,20,30,40,50,60,62,64,66,68,70,72,74,76,78,80,85,90,95,100})</f>
        <v>80</v>
      </c>
      <c r="Q451" s="12">
        <v>3.5</v>
      </c>
      <c r="R451" s="12">
        <f t="shared" si="217"/>
        <v>6.5</v>
      </c>
      <c r="S451" s="11">
        <f>LOOKUP(R451,{0,3.8,4,4.6,4.8,5,5.6,5.65,5.7,5.75,5.8,5.85,5.9,5.95,6,6.45,6.5,6.58,6.65,6.7,6.75},{0,10,20,30,40,50,60,62,64,66,68,70,72,74,76,78,80,85,90,95,100})</f>
        <v>80</v>
      </c>
      <c r="T451" s="12"/>
      <c r="U451" s="12"/>
      <c r="V451" s="12">
        <f t="shared" si="218"/>
        <v>80</v>
      </c>
      <c r="W451" s="12"/>
      <c r="X451" s="20">
        <f t="shared" si="214"/>
        <v>56.4</v>
      </c>
      <c r="Y451" s="20">
        <f t="shared" si="219"/>
        <v>85.5714285714286</v>
      </c>
    </row>
    <row r="452" ht="15.6" hidden="1" outlineLevel="2" spans="1:25">
      <c r="A452" s="12">
        <v>210</v>
      </c>
      <c r="B452" s="12">
        <v>9</v>
      </c>
      <c r="C452" s="6" t="s">
        <v>502</v>
      </c>
      <c r="D452" s="6" t="s">
        <v>11</v>
      </c>
      <c r="E452" s="12">
        <v>21.7</v>
      </c>
      <c r="F452" s="11">
        <f>LOOKUP(E452,{0,-2.9,-1.9,-0.9,0.1,1.1,2.1,3.5,4.9,6.3,7.7,9.1,10.5,11.9,13.3,14.7,16.1,18.3,20.5,22.4,24.3},{0,10,20,30,40,50,60,62,64,66,68,70,72,74,76,78,80,85,90,95,100})</f>
        <v>90</v>
      </c>
      <c r="G452" s="12">
        <v>229</v>
      </c>
      <c r="H452" s="11">
        <f>LOOKUP(G452,{0,175,180,185,190,195,200,204,208,212,216,220,224,228,232,236,240,248,255,260,265},{0,10,20,30,40,50,60,62,64,66,68,70,72,74,76,78,80,85,90,95,100})</f>
        <v>74</v>
      </c>
      <c r="I452" s="12">
        <v>7</v>
      </c>
      <c r="J452" s="11">
        <f>LOOKUP(I452,{0,3,4,5,6,7,8,9,10,11,12,13,14,15,16,17},{0,10,20,30,40,50,60,64,68,72,76,80,85,90,95,100})</f>
        <v>50</v>
      </c>
      <c r="K452" s="12"/>
      <c r="L452" s="12"/>
      <c r="M452" s="12">
        <f t="shared" si="215"/>
        <v>50</v>
      </c>
      <c r="N452" s="12">
        <v>8.4</v>
      </c>
      <c r="O452" s="12">
        <f t="shared" si="216"/>
        <v>3.6</v>
      </c>
      <c r="P452" s="11">
        <f>LOOKUP(O452,{0,1.6,1.8,2,2.2,2.4,2.6,2.8,3,3.2,3.4,3.6,3.8,4,4.2,4.4,4.6,4.7,4.8,4.9,5},{0,10,20,30,40,50,60,62,64,66,68,70,72,74,76,78,80,85,90,95,100})</f>
        <v>70</v>
      </c>
      <c r="Q452" s="12">
        <v>4.11</v>
      </c>
      <c r="R452" s="12">
        <f t="shared" si="217"/>
        <v>5.89</v>
      </c>
      <c r="S452" s="11">
        <f>LOOKUP(R452,{0,3.8,4,4.6,4.8,5,5.6,5.65,5.7,5.75,5.8,5.85,5.9,5.95,6,6.45,6.5,6.58,6.65,6.7,6.75},{0,10,20,30,40,50,60,62,64,66,68,70,72,74,76,78,80,85,90,95,100})</f>
        <v>70</v>
      </c>
      <c r="T452" s="12"/>
      <c r="U452" s="12"/>
      <c r="V452" s="12">
        <f t="shared" si="218"/>
        <v>70</v>
      </c>
      <c r="W452" s="12"/>
      <c r="X452" s="20">
        <f t="shared" si="214"/>
        <v>49.4</v>
      </c>
      <c r="Y452" s="20">
        <f t="shared" si="219"/>
        <v>70.5714285714286</v>
      </c>
    </row>
    <row r="453" ht="15.6" hidden="1" outlineLevel="2" spans="1:25">
      <c r="A453" s="12">
        <v>210</v>
      </c>
      <c r="B453" s="12">
        <v>10</v>
      </c>
      <c r="C453" s="6" t="s">
        <v>503</v>
      </c>
      <c r="D453" s="6" t="s">
        <v>11</v>
      </c>
      <c r="E453" s="12">
        <v>23.2</v>
      </c>
      <c r="F453" s="11">
        <f>LOOKUP(E453,{0,-2.9,-1.9,-0.9,0.1,1.1,2.1,3.5,4.9,6.3,7.7,9.1,10.5,11.9,13.3,14.7,16.1,18.3,20.5,22.4,24.3},{0,10,20,30,40,50,60,62,64,66,68,70,72,74,76,78,80,85,90,95,100})</f>
        <v>95</v>
      </c>
      <c r="G453" s="12">
        <v>205</v>
      </c>
      <c r="H453" s="11">
        <f>LOOKUP(G453,{0,175,180,185,190,195,200,204,208,212,216,220,224,228,232,236,240,248,255,260,265},{0,10,20,30,40,50,60,62,64,66,68,70,72,74,76,78,80,85,90,95,100})</f>
        <v>62</v>
      </c>
      <c r="I453" s="12">
        <v>0</v>
      </c>
      <c r="J453" s="11">
        <f>LOOKUP(I453,{0,3,4,5,6,7,8,9,10,11,12,13,14,15,16,17},{0,10,20,30,40,50,60,64,68,72,76,80,85,90,95,100})</f>
        <v>0</v>
      </c>
      <c r="K453" s="12"/>
      <c r="L453" s="12"/>
      <c r="M453" s="12">
        <f t="shared" si="215"/>
        <v>0</v>
      </c>
      <c r="N453" s="12">
        <v>7.8</v>
      </c>
      <c r="O453" s="12">
        <f t="shared" si="216"/>
        <v>4.2</v>
      </c>
      <c r="P453" s="11">
        <f>LOOKUP(O453,{0,1.6,1.8,2,2.2,2.4,2.6,2.8,3,3.2,3.4,3.6,3.8,4,4.2,4.4,4.6,4.7,4.8,4.9,5},{0,10,20,30,40,50,60,62,64,66,68,70,72,74,76,78,80,85,90,95,100})</f>
        <v>76</v>
      </c>
      <c r="Q453" s="12">
        <v>4.57</v>
      </c>
      <c r="R453" s="12">
        <f t="shared" si="217"/>
        <v>5.43</v>
      </c>
      <c r="S453" s="11">
        <f>LOOKUP(R453,{0,3.8,4,4.6,4.8,5,5.6,5.65,5.7,5.75,5.8,5.85,5.9,5.95,6,6.45,6.5,6.58,6.65,6.7,6.75},{0,10,20,30,40,50,60,62,64,66,68,70,72,74,76,78,80,85,90,95,100})</f>
        <v>50</v>
      </c>
      <c r="T453" s="12"/>
      <c r="U453" s="15"/>
      <c r="V453" s="12">
        <f t="shared" si="218"/>
        <v>50</v>
      </c>
      <c r="W453" s="12"/>
      <c r="X453" s="20">
        <f t="shared" si="214"/>
        <v>40.9</v>
      </c>
      <c r="Y453" s="20">
        <f t="shared" si="219"/>
        <v>58.4285714285714</v>
      </c>
    </row>
    <row r="454" ht="15.6" hidden="1" outlineLevel="2" spans="1:25">
      <c r="A454" s="12">
        <v>210</v>
      </c>
      <c r="B454" s="12">
        <v>11</v>
      </c>
      <c r="C454" s="6" t="s">
        <v>504</v>
      </c>
      <c r="D454" s="6" t="s">
        <v>11</v>
      </c>
      <c r="E454" s="12"/>
      <c r="F454" s="11"/>
      <c r="G454" s="12"/>
      <c r="H454" s="11"/>
      <c r="I454" s="12"/>
      <c r="J454" s="11"/>
      <c r="K454" s="12"/>
      <c r="L454" s="12"/>
      <c r="M454" s="12"/>
      <c r="N454" s="12"/>
      <c r="O454" s="12"/>
      <c r="P454" s="11"/>
      <c r="Q454" s="12"/>
      <c r="R454" s="12"/>
      <c r="S454" s="11"/>
      <c r="T454" s="12"/>
      <c r="U454" s="16"/>
      <c r="V454" s="12"/>
      <c r="W454" s="12"/>
      <c r="X454" s="20">
        <f t="shared" si="214"/>
        <v>0</v>
      </c>
      <c r="Y454" s="23">
        <v>50</v>
      </c>
    </row>
    <row r="455" ht="15.6" hidden="1" outlineLevel="2" spans="1:25">
      <c r="A455" s="12">
        <v>210</v>
      </c>
      <c r="B455" s="12">
        <v>12</v>
      </c>
      <c r="C455" s="6" t="s">
        <v>505</v>
      </c>
      <c r="D455" s="6" t="s">
        <v>11</v>
      </c>
      <c r="E455" s="12">
        <v>25</v>
      </c>
      <c r="F455" s="11">
        <f>LOOKUP(E455,{0,-2.9,-1.9,-0.9,0.1,1.1,2.1,3.5,4.9,6.3,7.7,9.1,10.5,11.9,13.3,14.7,16.1,18.3,20.5,22.4,24.3},{0,10,20,30,40,50,60,62,64,66,68,70,72,74,76,78,80,85,90,95,100})</f>
        <v>100</v>
      </c>
      <c r="G455" s="12">
        <v>215</v>
      </c>
      <c r="H455" s="11">
        <f>LOOKUP(G455,{0,175,180,185,190,195,200,204,208,212,216,220,224,228,232,236,240,248,255,260,265},{0,10,20,30,40,50,60,62,64,66,68,70,72,74,76,78,80,85,90,95,100})</f>
        <v>66</v>
      </c>
      <c r="I455" s="12">
        <v>2</v>
      </c>
      <c r="J455" s="11">
        <f>LOOKUP(I455,{0,3,4,5,6,7,8,9,10,11,12,13,14,15,16,17},{0,10,20,30,40,50,60,64,68,72,76,80,85,90,95,100})</f>
        <v>0</v>
      </c>
      <c r="K455" s="12"/>
      <c r="L455" s="12"/>
      <c r="M455" s="12">
        <f t="shared" ref="M455:M470" si="220">J455+L455</f>
        <v>0</v>
      </c>
      <c r="N455" s="12">
        <v>7.8</v>
      </c>
      <c r="O455" s="12">
        <f t="shared" ref="O455:O470" si="221">12-N455</f>
        <v>4.2</v>
      </c>
      <c r="P455" s="11">
        <f>LOOKUP(O455,{0,1.6,1.8,2,2.2,2.4,2.6,2.8,3,3.2,3.4,3.6,3.8,4,4.2,4.4,4.6,4.7,4.8,4.9,5},{0,10,20,30,40,50,60,62,64,66,68,70,72,74,76,78,80,85,90,95,100})</f>
        <v>76</v>
      </c>
      <c r="Q455" s="12">
        <v>3.57</v>
      </c>
      <c r="R455" s="12">
        <f t="shared" ref="R455:R470" si="222">10-Q455</f>
        <v>6.43</v>
      </c>
      <c r="S455" s="11">
        <f>LOOKUP(R455,{0,3.8,4,4.6,4.8,5,5.6,5.65,5.7,5.75,5.8,5.85,5.9,5.95,6,6.45,6.5,6.58,6.65,6.7,6.75},{0,10,20,30,40,50,60,62,64,66,68,70,72,74,76,78,80,85,90,95,100})</f>
        <v>76</v>
      </c>
      <c r="T455" s="12"/>
      <c r="U455" s="12"/>
      <c r="V455" s="12">
        <f t="shared" ref="V455:V470" si="223">S455+U455</f>
        <v>76</v>
      </c>
      <c r="W455" s="12"/>
      <c r="X455" s="20">
        <f t="shared" si="214"/>
        <v>47</v>
      </c>
      <c r="Y455" s="20">
        <f t="shared" ref="Y455:Y470" si="224">X455/0.7+L455+U455</f>
        <v>67.1428571428572</v>
      </c>
    </row>
    <row r="456" ht="15.6" hidden="1" outlineLevel="2" spans="1:25">
      <c r="A456" s="12">
        <v>210</v>
      </c>
      <c r="B456" s="12">
        <v>13</v>
      </c>
      <c r="C456" s="13" t="s">
        <v>507</v>
      </c>
      <c r="D456" s="6" t="s">
        <v>11</v>
      </c>
      <c r="E456" s="12">
        <v>16</v>
      </c>
      <c r="F456" s="11">
        <f>LOOKUP(E456,{0,-2.9,-1.9,-0.9,0.1,1.1,2.1,3.5,4.9,6.3,7.7,9.1,10.5,11.9,13.3,14.7,16.1,18.3,20.5,22.4,24.3},{0,10,20,30,40,50,60,62,64,66,68,70,72,74,76,78,80,85,90,95,100})</f>
        <v>78</v>
      </c>
      <c r="G456" s="12">
        <v>275</v>
      </c>
      <c r="H456" s="11">
        <f>LOOKUP(G456,{0,175,180,185,190,195,200,204,208,212,216,220,224,228,232,236,240,248,255,260,265},{0,10,20,30,40,50,60,62,64,66,68,70,72,74,76,78,80,85,90,95,100})</f>
        <v>100</v>
      </c>
      <c r="I456" s="12">
        <v>16</v>
      </c>
      <c r="J456" s="11">
        <f>LOOKUP(I456,{0,3,4,5,6,7,8,9,10,11,12,13,14,15,16,17},{0,10,20,30,40,50,60,64,68,72,76,80,85,90,95,100})</f>
        <v>95</v>
      </c>
      <c r="K456" s="12"/>
      <c r="L456" s="12"/>
      <c r="M456" s="12">
        <f t="shared" si="220"/>
        <v>95</v>
      </c>
      <c r="N456" s="12">
        <v>7.1</v>
      </c>
      <c r="O456" s="12">
        <f t="shared" si="221"/>
        <v>4.9</v>
      </c>
      <c r="P456" s="11">
        <f>LOOKUP(O456,{0,1.6,1.8,2,2.2,2.4,2.6,2.8,3,3.2,3.4,3.6,3.8,4,4.2,4.4,4.6,4.7,4.8,4.9,5},{0,10,20,30,40,50,60,62,64,66,68,70,72,74,76,78,80,85,90,95,100})</f>
        <v>95</v>
      </c>
      <c r="Q456" s="12">
        <v>3.19</v>
      </c>
      <c r="R456" s="12">
        <f t="shared" si="222"/>
        <v>6.81</v>
      </c>
      <c r="S456" s="11">
        <f>LOOKUP(R456,{0,3.8,4,4.6,4.8,5,5.6,5.65,5.7,5.75,5.8,5.85,5.9,5.95,6,6.45,6.5,6.58,6.65,6.7,6.75},{0,10,20,30,40,50,60,62,64,66,68,70,72,74,76,78,80,85,90,95,100})</f>
        <v>100</v>
      </c>
      <c r="T456" s="12">
        <f>3.25-Q456</f>
        <v>0.0600000000000001</v>
      </c>
      <c r="U456" s="11">
        <f>LOOKUP(T456,{0,0.04,0.08,0.12,0.16,0.2,0.23,0.26,0.29,0.32,0.35},{0,1,2,3,4,5,6,7,8,9,10})</f>
        <v>1</v>
      </c>
      <c r="V456" s="12">
        <f t="shared" si="223"/>
        <v>101</v>
      </c>
      <c r="W456" s="12"/>
      <c r="X456" s="20">
        <f t="shared" si="214"/>
        <v>66.3</v>
      </c>
      <c r="Y456" s="20">
        <f t="shared" si="224"/>
        <v>95.7142857142857</v>
      </c>
    </row>
    <row r="457" ht="15.6" hidden="1" outlineLevel="2" spans="1:25">
      <c r="A457" s="12">
        <v>210</v>
      </c>
      <c r="B457" s="12">
        <v>14</v>
      </c>
      <c r="C457" s="6" t="s">
        <v>508</v>
      </c>
      <c r="D457" s="6" t="s">
        <v>11</v>
      </c>
      <c r="E457" s="12">
        <v>12.7</v>
      </c>
      <c r="F457" s="11">
        <f>LOOKUP(E457,{0,-2.9,-1.9,-0.9,0.1,1.1,2.1,3.5,4.9,6.3,7.7,9.1,10.5,11.9,13.3,14.7,16.1,18.3,20.5,22.4,24.3},{0,10,20,30,40,50,60,62,64,66,68,70,72,74,76,78,80,85,90,95,100})</f>
        <v>74</v>
      </c>
      <c r="G457" s="12">
        <v>221</v>
      </c>
      <c r="H457" s="11">
        <f>LOOKUP(G457,{0,175,180,185,190,195,200,204,208,212,216,220,224,228,232,236,240,248,255,260,265},{0,10,20,30,40,50,60,62,64,66,68,70,72,74,76,78,80,85,90,95,100})</f>
        <v>70</v>
      </c>
      <c r="I457" s="12">
        <v>2</v>
      </c>
      <c r="J457" s="11">
        <f>LOOKUP(I457,{0,3,4,5,6,7,8,9,10,11,12,13,14,15,16,17},{0,10,20,30,40,50,60,64,68,72,76,80,85,90,95,100})</f>
        <v>0</v>
      </c>
      <c r="K457" s="12"/>
      <c r="L457" s="12"/>
      <c r="M457" s="12">
        <f t="shared" si="220"/>
        <v>0</v>
      </c>
      <c r="N457" s="12">
        <v>7</v>
      </c>
      <c r="O457" s="12">
        <f t="shared" si="221"/>
        <v>5</v>
      </c>
      <c r="P457" s="11">
        <f>LOOKUP(O457,{0,1.6,1.8,2,2.2,2.4,2.6,2.8,3,3.2,3.4,3.6,3.8,4,4.2,4.4,4.6,4.7,4.8,4.9,5},{0,10,20,30,40,50,60,62,64,66,68,70,72,74,76,78,80,85,90,95,100})</f>
        <v>100</v>
      </c>
      <c r="Q457" s="12">
        <v>3.51</v>
      </c>
      <c r="R457" s="12">
        <f t="shared" si="222"/>
        <v>6.49</v>
      </c>
      <c r="S457" s="11">
        <f>LOOKUP(R457,{0,3.8,4,4.6,4.8,5,5.6,5.65,5.7,5.75,5.8,5.85,5.9,5.95,6,6.45,6.5,6.58,6.65,6.7,6.75},{0,10,20,30,40,50,60,62,64,66,68,70,72,74,76,78,80,85,90,95,100})</f>
        <v>78</v>
      </c>
      <c r="T457" s="12"/>
      <c r="U457" s="12"/>
      <c r="V457" s="12">
        <f t="shared" si="223"/>
        <v>78</v>
      </c>
      <c r="W457" s="12"/>
      <c r="X457" s="20">
        <f t="shared" si="214"/>
        <v>50</v>
      </c>
      <c r="Y457" s="20">
        <f t="shared" si="224"/>
        <v>71.4285714285714</v>
      </c>
    </row>
    <row r="458" ht="15.6" hidden="1" outlineLevel="2" spans="1:25">
      <c r="A458" s="12">
        <v>210</v>
      </c>
      <c r="B458" s="12">
        <v>15</v>
      </c>
      <c r="C458" s="6" t="s">
        <v>509</v>
      </c>
      <c r="D458" s="6" t="s">
        <v>11</v>
      </c>
      <c r="E458" s="12">
        <v>15.5</v>
      </c>
      <c r="F458" s="11">
        <f>LOOKUP(E458,{0,-2.9,-1.9,-0.9,0.1,1.1,2.1,3.5,4.9,6.3,7.7,9.1,10.5,11.9,13.3,14.7,16.1,18.3,20.5,22.4,24.3},{0,10,20,30,40,50,60,62,64,66,68,70,72,74,76,78,80,85,90,95,100})</f>
        <v>78</v>
      </c>
      <c r="G458" s="12">
        <v>245</v>
      </c>
      <c r="H458" s="11">
        <f>LOOKUP(G458,{0,175,180,185,190,195,200,204,208,212,216,220,224,228,232,236,240,248,255,260,265},{0,10,20,30,40,50,60,62,64,66,68,70,72,74,76,78,80,85,90,95,100})</f>
        <v>80</v>
      </c>
      <c r="I458" s="12">
        <v>1</v>
      </c>
      <c r="J458" s="11">
        <f>LOOKUP(I458,{0,3,4,5,6,7,8,9,10,11,12,13,14,15,16,17},{0,10,20,30,40,50,60,64,68,72,76,80,85,90,95,100})</f>
        <v>0</v>
      </c>
      <c r="K458" s="12"/>
      <c r="L458" s="12"/>
      <c r="M458" s="12">
        <f t="shared" si="220"/>
        <v>0</v>
      </c>
      <c r="N458" s="12">
        <v>7.4</v>
      </c>
      <c r="O458" s="12">
        <f t="shared" si="221"/>
        <v>4.6</v>
      </c>
      <c r="P458" s="11">
        <f>LOOKUP(O458,{0,1.6,1.8,2,2.2,2.4,2.6,2.8,3,3.2,3.4,3.6,3.8,4,4.2,4.4,4.6,4.7,4.8,4.9,5},{0,10,20,30,40,50,60,62,64,66,68,70,72,74,76,78,80,85,90,95,100})</f>
        <v>80</v>
      </c>
      <c r="Q458" s="12">
        <v>3.47</v>
      </c>
      <c r="R458" s="12">
        <f t="shared" si="222"/>
        <v>6.53</v>
      </c>
      <c r="S458" s="11">
        <f>LOOKUP(R458,{0,3.8,4,4.6,4.8,5,5.6,5.65,5.7,5.75,5.8,5.85,5.9,5.95,6,6.45,6.5,6.58,6.65,6.7,6.75},{0,10,20,30,40,50,60,62,64,66,68,70,72,74,76,78,80,85,90,95,100})</f>
        <v>80</v>
      </c>
      <c r="T458" s="12"/>
      <c r="U458" s="12"/>
      <c r="V458" s="12">
        <f t="shared" si="223"/>
        <v>80</v>
      </c>
      <c r="W458" s="12"/>
      <c r="X458" s="20">
        <f t="shared" si="214"/>
        <v>47.8</v>
      </c>
      <c r="Y458" s="20">
        <f t="shared" si="224"/>
        <v>68.2857142857143</v>
      </c>
    </row>
    <row r="459" ht="15.6" hidden="1" outlineLevel="2" spans="1:25">
      <c r="A459" s="12">
        <v>210</v>
      </c>
      <c r="B459" s="12">
        <v>16</v>
      </c>
      <c r="C459" s="6" t="s">
        <v>510</v>
      </c>
      <c r="D459" s="6" t="s">
        <v>11</v>
      </c>
      <c r="E459" s="12">
        <v>13.2</v>
      </c>
      <c r="F459" s="11">
        <f>LOOKUP(E459,{0,-2.9,-1.9,-0.9,0.1,1.1,2.1,3.5,4.9,6.3,7.7,9.1,10.5,11.9,13.3,14.7,16.1,18.3,20.5,22.4,24.3},{0,10,20,30,40,50,60,62,64,66,68,70,72,74,76,78,80,85,90,95,100})</f>
        <v>74</v>
      </c>
      <c r="G459" s="12">
        <v>273</v>
      </c>
      <c r="H459" s="11">
        <f>LOOKUP(G459,{0,175,180,185,190,195,200,204,208,212,216,220,224,228,232,236,240,248,255,260,265},{0,10,20,30,40,50,60,62,64,66,68,70,72,74,76,78,80,85,90,95,100})</f>
        <v>100</v>
      </c>
      <c r="I459" s="12">
        <v>2</v>
      </c>
      <c r="J459" s="11">
        <f>LOOKUP(I459,{0,3,4,5,6,7,8,9,10,11,12,13,14,15,16,17},{0,10,20,30,40,50,60,64,68,72,76,80,85,90,95,100})</f>
        <v>0</v>
      </c>
      <c r="K459" s="12"/>
      <c r="L459" s="12"/>
      <c r="M459" s="12">
        <f t="shared" si="220"/>
        <v>0</v>
      </c>
      <c r="N459" s="12">
        <v>7.4</v>
      </c>
      <c r="O459" s="12">
        <f t="shared" si="221"/>
        <v>4.6</v>
      </c>
      <c r="P459" s="11">
        <f>LOOKUP(O459,{0,1.6,1.8,2,2.2,2.4,2.6,2.8,3,3.2,3.4,3.6,3.8,4,4.2,4.4,4.6,4.7,4.8,4.9,5},{0,10,20,30,40,50,60,62,64,66,68,70,72,74,76,78,80,85,90,95,100})</f>
        <v>80</v>
      </c>
      <c r="Q459" s="12">
        <v>3.39</v>
      </c>
      <c r="R459" s="12">
        <f t="shared" si="222"/>
        <v>6.61</v>
      </c>
      <c r="S459" s="11">
        <f>LOOKUP(R459,{0,3.8,4,4.6,4.8,5,5.6,5.65,5.7,5.75,5.8,5.85,5.9,5.95,6,6.45,6.5,6.58,6.65,6.7,6.75},{0,10,20,30,40,50,60,62,64,66,68,70,72,74,76,78,80,85,90,95,100})</f>
        <v>85</v>
      </c>
      <c r="T459" s="12"/>
      <c r="U459" s="12"/>
      <c r="V459" s="12">
        <f t="shared" si="223"/>
        <v>85</v>
      </c>
      <c r="W459" s="12"/>
      <c r="X459" s="20">
        <f t="shared" ref="X459:X522" si="225">F459*0.1+H459*0.1+J459*0.1+P459*0.2+S459*0.2</f>
        <v>50.4</v>
      </c>
      <c r="Y459" s="20">
        <f t="shared" si="224"/>
        <v>72</v>
      </c>
    </row>
    <row r="460" ht="15.6" hidden="1" outlineLevel="2" spans="1:25">
      <c r="A460" s="12">
        <v>210</v>
      </c>
      <c r="B460" s="12">
        <v>17</v>
      </c>
      <c r="C460" s="6" t="s">
        <v>511</v>
      </c>
      <c r="D460" s="6" t="s">
        <v>11</v>
      </c>
      <c r="E460" s="12">
        <v>13.4</v>
      </c>
      <c r="F460" s="11">
        <f>LOOKUP(E460,{0,-2.9,-1.9,-0.9,0.1,1.1,2.1,3.5,4.9,6.3,7.7,9.1,10.5,11.9,13.3,14.7,16.1,18.3,20.5,22.4,24.3},{0,10,20,30,40,50,60,62,64,66,68,70,72,74,76,78,80,85,90,95,100})</f>
        <v>76</v>
      </c>
      <c r="G460" s="12">
        <v>232</v>
      </c>
      <c r="H460" s="11">
        <f>LOOKUP(G460,{0,175,180,185,190,195,200,204,208,212,216,220,224,228,232,236,240,248,255,260,265},{0,10,20,30,40,50,60,62,64,66,68,70,72,74,76,78,80,85,90,95,100})</f>
        <v>76</v>
      </c>
      <c r="I460" s="12">
        <v>3</v>
      </c>
      <c r="J460" s="11">
        <f>LOOKUP(I460,{0,3,4,5,6,7,8,9,10,11,12,13,14,15,16,17},{0,10,20,30,40,50,60,64,68,72,76,80,85,90,95,100})</f>
        <v>10</v>
      </c>
      <c r="K460" s="12"/>
      <c r="L460" s="12"/>
      <c r="M460" s="12">
        <f t="shared" si="220"/>
        <v>10</v>
      </c>
      <c r="N460" s="12">
        <v>7.2</v>
      </c>
      <c r="O460" s="12">
        <f t="shared" si="221"/>
        <v>4.8</v>
      </c>
      <c r="P460" s="11">
        <f>LOOKUP(O460,{0,1.6,1.8,2,2.2,2.4,2.6,2.8,3,3.2,3.4,3.6,3.8,4,4.2,4.4,4.6,4.7,4.8,4.9,5},{0,10,20,30,40,50,60,62,64,66,68,70,72,74,76,78,80,85,90,95,100})</f>
        <v>90</v>
      </c>
      <c r="Q460" s="12">
        <v>3.34</v>
      </c>
      <c r="R460" s="12">
        <f t="shared" si="222"/>
        <v>6.66</v>
      </c>
      <c r="S460" s="11">
        <f>LOOKUP(R460,{0,3.8,4,4.6,4.8,5,5.6,5.65,5.7,5.75,5.8,5.85,5.9,5.95,6,6.45,6.5,6.58,6.65,6.7,6.75},{0,10,20,30,40,50,60,62,64,66,68,70,72,74,76,78,80,85,90,95,100})</f>
        <v>90</v>
      </c>
      <c r="T460" s="12"/>
      <c r="U460" s="12"/>
      <c r="V460" s="12">
        <f t="shared" si="223"/>
        <v>90</v>
      </c>
      <c r="W460" s="12"/>
      <c r="X460" s="20">
        <f t="shared" si="225"/>
        <v>52.2</v>
      </c>
      <c r="Y460" s="20">
        <f t="shared" si="224"/>
        <v>74.5714285714286</v>
      </c>
    </row>
    <row r="461" ht="15.6" hidden="1" outlineLevel="2" spans="1:25">
      <c r="A461" s="12">
        <v>210</v>
      </c>
      <c r="B461" s="12">
        <v>18</v>
      </c>
      <c r="C461" s="6" t="s">
        <v>512</v>
      </c>
      <c r="D461" s="6" t="s">
        <v>11</v>
      </c>
      <c r="E461" s="12">
        <v>18.4</v>
      </c>
      <c r="F461" s="11">
        <f>LOOKUP(E461,{0,-2.9,-1.9,-0.9,0.1,1.1,2.1,3.5,4.9,6.3,7.7,9.1,10.5,11.9,13.3,14.7,16.1,18.3,20.5,22.4,24.3},{0,10,20,30,40,50,60,62,64,66,68,70,72,74,76,78,80,85,90,95,100})</f>
        <v>85</v>
      </c>
      <c r="G461" s="12">
        <v>278</v>
      </c>
      <c r="H461" s="11">
        <f>LOOKUP(G461,{0,175,180,185,190,195,200,204,208,212,216,220,224,228,232,236,240,248,255,260,265},{0,10,20,30,40,50,60,62,64,66,68,70,72,74,76,78,80,85,90,95,100})</f>
        <v>100</v>
      </c>
      <c r="I461" s="12">
        <v>13</v>
      </c>
      <c r="J461" s="11">
        <f>LOOKUP(I461,{0,3,4,5,6,7,8,9,10,11,12,13,14,15,16,17},{0,10,20,30,40,50,60,64,68,72,76,80,85,90,95,100})</f>
        <v>80</v>
      </c>
      <c r="K461" s="12"/>
      <c r="L461" s="12"/>
      <c r="M461" s="12">
        <f t="shared" si="220"/>
        <v>80</v>
      </c>
      <c r="N461" s="12">
        <v>7</v>
      </c>
      <c r="O461" s="12">
        <f t="shared" si="221"/>
        <v>5</v>
      </c>
      <c r="P461" s="11">
        <f>LOOKUP(O461,{0,1.6,1.8,2,2.2,2.4,2.6,2.8,3,3.2,3.4,3.6,3.8,4,4.2,4.4,4.6,4.7,4.8,4.9,5},{0,10,20,30,40,50,60,62,64,66,68,70,72,74,76,78,80,85,90,95,100})</f>
        <v>100</v>
      </c>
      <c r="Q461" s="12">
        <v>3.5</v>
      </c>
      <c r="R461" s="12">
        <f t="shared" si="222"/>
        <v>6.5</v>
      </c>
      <c r="S461" s="11">
        <f>LOOKUP(R461,{0,3.8,4,4.6,4.8,5,5.6,5.65,5.7,5.75,5.8,5.85,5.9,5.95,6,6.45,6.5,6.58,6.65,6.7,6.75},{0,10,20,30,40,50,60,62,64,66,68,70,72,74,76,78,80,85,90,95,100})</f>
        <v>80</v>
      </c>
      <c r="T461" s="12"/>
      <c r="U461" s="15"/>
      <c r="V461" s="12">
        <f t="shared" si="223"/>
        <v>80</v>
      </c>
      <c r="W461" s="12"/>
      <c r="X461" s="20">
        <f t="shared" si="225"/>
        <v>62.5</v>
      </c>
      <c r="Y461" s="20">
        <f t="shared" si="224"/>
        <v>89.2857142857143</v>
      </c>
    </row>
    <row r="462" ht="15.6" hidden="1" outlineLevel="2" spans="1:25">
      <c r="A462" s="12">
        <v>210</v>
      </c>
      <c r="B462" s="12">
        <v>19</v>
      </c>
      <c r="C462" s="6" t="s">
        <v>513</v>
      </c>
      <c r="D462" s="6" t="s">
        <v>11</v>
      </c>
      <c r="E462" s="12">
        <v>15.4</v>
      </c>
      <c r="F462" s="11">
        <f>LOOKUP(E462,{0,-2.9,-1.9,-0.9,0.1,1.1,2.1,3.5,4.9,6.3,7.7,9.1,10.5,11.9,13.3,14.7,16.1,18.3,20.5,22.4,24.3},{0,10,20,30,40,50,60,62,64,66,68,70,72,74,76,78,80,85,90,95,100})</f>
        <v>78</v>
      </c>
      <c r="G462" s="12">
        <v>195</v>
      </c>
      <c r="H462" s="11">
        <f>LOOKUP(G462,{0,175,180,185,190,195,200,204,208,212,216,220,224,228,232,236,240,248,255,260,265},{0,10,20,30,40,50,60,62,64,66,68,70,72,74,76,78,80,85,90,95,100})</f>
        <v>50</v>
      </c>
      <c r="I462" s="12">
        <v>1</v>
      </c>
      <c r="J462" s="11">
        <f>LOOKUP(I462,{0,3,4,5,6,7,8,9,10,11,12,13,14,15,16,17},{0,10,20,30,40,50,60,64,68,72,76,80,85,90,95,100})</f>
        <v>0</v>
      </c>
      <c r="K462" s="12"/>
      <c r="L462" s="12"/>
      <c r="M462" s="12">
        <f t="shared" si="220"/>
        <v>0</v>
      </c>
      <c r="N462" s="12">
        <v>7.8</v>
      </c>
      <c r="O462" s="12">
        <f t="shared" si="221"/>
        <v>4.2</v>
      </c>
      <c r="P462" s="11">
        <f>LOOKUP(O462,{0,1.6,1.8,2,2.2,2.4,2.6,2.8,3,3.2,3.4,3.6,3.8,4,4.2,4.4,4.6,4.7,4.8,4.9,5},{0,10,20,30,40,50,60,62,64,66,68,70,72,74,76,78,80,85,90,95,100})</f>
        <v>76</v>
      </c>
      <c r="Q462" s="12">
        <v>4.35</v>
      </c>
      <c r="R462" s="12">
        <f t="shared" si="222"/>
        <v>5.65</v>
      </c>
      <c r="S462" s="11">
        <f>LOOKUP(R462,{0,3.8,4,4.6,4.8,5,5.6,5.65,5.7,5.75,5.8,5.85,5.9,5.95,6,6.45,6.5,6.58,6.65,6.7,6.75},{0,10,20,30,40,50,60,62,64,66,68,70,72,74,76,78,80,85,90,95,100})</f>
        <v>62</v>
      </c>
      <c r="T462" s="12"/>
      <c r="U462" s="15"/>
      <c r="V462" s="12">
        <f t="shared" si="223"/>
        <v>62</v>
      </c>
      <c r="W462" s="12"/>
      <c r="X462" s="20">
        <f t="shared" si="225"/>
        <v>40.4</v>
      </c>
      <c r="Y462" s="20">
        <f t="shared" si="224"/>
        <v>57.7142857142857</v>
      </c>
    </row>
    <row r="463" ht="15.6" hidden="1" outlineLevel="2" spans="1:25">
      <c r="A463" s="12">
        <v>210</v>
      </c>
      <c r="B463" s="12">
        <v>20</v>
      </c>
      <c r="C463" s="6" t="s">
        <v>514</v>
      </c>
      <c r="D463" s="6" t="s">
        <v>11</v>
      </c>
      <c r="E463" s="12">
        <v>3</v>
      </c>
      <c r="F463" s="11">
        <f>LOOKUP(E463,{0,-2.9,-1.9,-0.9,0.1,1.1,2.1,3.5,4.9,6.3,7.7,9.1,10.5,11.9,13.3,14.7,16.1,18.3,20.5,22.4,24.3},{0,10,20,30,40,50,60,62,64,66,68,70,72,74,76,78,80,85,90,95,100})</f>
        <v>60</v>
      </c>
      <c r="G463" s="12">
        <v>261</v>
      </c>
      <c r="H463" s="11">
        <f>LOOKUP(G463,{0,175,180,185,190,195,200,204,208,212,216,220,224,228,232,236,240,248,255,260,265},{0,10,20,30,40,50,60,62,64,66,68,70,72,74,76,78,80,85,90,95,100})</f>
        <v>95</v>
      </c>
      <c r="I463" s="12">
        <v>20</v>
      </c>
      <c r="J463" s="11">
        <f>LOOKUP(I463,{0,3,4,5,6,7,8,9,10,11,12,13,14,15,16,17},{0,10,20,30,40,50,60,64,68,72,76,80,85,90,95,100})</f>
        <v>100</v>
      </c>
      <c r="K463" s="12">
        <f t="shared" ref="K463:K467" si="226">I463-17</f>
        <v>3</v>
      </c>
      <c r="L463" s="11">
        <f>LOOKUP(K463,{0,1,2,3,4,5,6,7,8,9,10},{0,1,2,3,4,5,6,7,8,9,10})</f>
        <v>3</v>
      </c>
      <c r="M463" s="12">
        <f t="shared" si="220"/>
        <v>103</v>
      </c>
      <c r="N463" s="12">
        <v>7.2</v>
      </c>
      <c r="O463" s="12">
        <f t="shared" si="221"/>
        <v>4.8</v>
      </c>
      <c r="P463" s="11">
        <f>LOOKUP(O463,{0,1.6,1.8,2,2.2,2.4,2.6,2.8,3,3.2,3.4,3.6,3.8,4,4.2,4.4,4.6,4.7,4.8,4.9,5},{0,10,20,30,40,50,60,62,64,66,68,70,72,74,76,78,80,85,90,95,100})</f>
        <v>90</v>
      </c>
      <c r="Q463" s="12">
        <v>4</v>
      </c>
      <c r="R463" s="12">
        <f t="shared" si="222"/>
        <v>6</v>
      </c>
      <c r="S463" s="11">
        <f>LOOKUP(R463,{0,3.8,4,4.6,4.8,5,5.6,5.65,5.7,5.75,5.8,5.85,5.9,5.95,6,6.45,6.5,6.58,6.65,6.7,6.75},{0,10,20,30,40,50,60,62,64,66,68,70,72,74,76,78,80,85,90,95,100})</f>
        <v>76</v>
      </c>
      <c r="T463" s="12"/>
      <c r="U463" s="12"/>
      <c r="V463" s="12">
        <f t="shared" si="223"/>
        <v>76</v>
      </c>
      <c r="W463" s="12"/>
      <c r="X463" s="20">
        <f t="shared" si="225"/>
        <v>58.7</v>
      </c>
      <c r="Y463" s="20">
        <f t="shared" si="224"/>
        <v>86.8571428571429</v>
      </c>
    </row>
    <row r="464" ht="15.6" hidden="1" outlineLevel="2" spans="1:25">
      <c r="A464" s="12">
        <v>210</v>
      </c>
      <c r="B464" s="12">
        <v>21</v>
      </c>
      <c r="C464" s="6" t="s">
        <v>515</v>
      </c>
      <c r="D464" s="6" t="s">
        <v>11</v>
      </c>
      <c r="E464" s="12">
        <v>4.6</v>
      </c>
      <c r="F464" s="11">
        <f>LOOKUP(E464,{0,-2.9,-1.9,-0.9,0.1,1.1,2.1,3.5,4.9,6.3,7.7,9.1,10.5,11.9,13.3,14.7,16.1,18.3,20.5,22.4,24.3},{0,10,20,30,40,50,60,62,64,66,68,70,72,74,76,78,80,85,90,95,100})</f>
        <v>62</v>
      </c>
      <c r="G464" s="12">
        <v>251</v>
      </c>
      <c r="H464" s="11">
        <f>LOOKUP(G464,{0,175,180,185,190,195,200,204,208,212,216,220,224,228,232,236,240,248,255,260,265},{0,10,20,30,40,50,60,62,64,66,68,70,72,74,76,78,80,85,90,95,100})</f>
        <v>85</v>
      </c>
      <c r="I464" s="12">
        <v>20</v>
      </c>
      <c r="J464" s="11">
        <f>LOOKUP(I464,{0,3,4,5,6,7,8,9,10,11,12,13,14,15,16,17},{0,10,20,30,40,50,60,64,68,72,76,80,85,90,95,100})</f>
        <v>100</v>
      </c>
      <c r="K464" s="12">
        <f t="shared" si="226"/>
        <v>3</v>
      </c>
      <c r="L464" s="11">
        <f>LOOKUP(K464,{0,1,2,3,4,5,6,7,8,9,10},{0,1,2,3,4,5,6,7,8,9,10})</f>
        <v>3</v>
      </c>
      <c r="M464" s="12">
        <f t="shared" si="220"/>
        <v>103</v>
      </c>
      <c r="N464" s="12">
        <v>7.7</v>
      </c>
      <c r="O464" s="12">
        <f t="shared" si="221"/>
        <v>4.3</v>
      </c>
      <c r="P464" s="11">
        <f>LOOKUP(O464,{0,1.6,1.8,2,2.2,2.4,2.6,2.8,3,3.2,3.4,3.6,3.8,4,4.2,4.4,4.6,4.7,4.8,4.9,5},{0,10,20,30,40,50,60,62,64,66,68,70,72,74,76,78,80,85,90,95,100})</f>
        <v>76</v>
      </c>
      <c r="Q464" s="12">
        <v>4</v>
      </c>
      <c r="R464" s="12">
        <f t="shared" si="222"/>
        <v>6</v>
      </c>
      <c r="S464" s="11">
        <f>LOOKUP(R464,{0,3.8,4,4.6,4.8,5,5.6,5.65,5.7,5.75,5.8,5.85,5.9,5.95,6,6.45,6.5,6.58,6.65,6.7,6.75},{0,10,20,30,40,50,60,62,64,66,68,70,72,74,76,78,80,85,90,95,100})</f>
        <v>76</v>
      </c>
      <c r="T464" s="12"/>
      <c r="U464" s="15"/>
      <c r="V464" s="12">
        <f t="shared" si="223"/>
        <v>76</v>
      </c>
      <c r="W464" s="12"/>
      <c r="X464" s="20">
        <f t="shared" si="225"/>
        <v>55.1</v>
      </c>
      <c r="Y464" s="20">
        <f t="shared" si="224"/>
        <v>81.7142857142857</v>
      </c>
    </row>
    <row r="465" s="1" customFormat="1" ht="15.6" hidden="1" outlineLevel="2" spans="1:25">
      <c r="A465" s="12">
        <v>210</v>
      </c>
      <c r="B465" s="12">
        <v>22</v>
      </c>
      <c r="C465" s="6" t="s">
        <v>516</v>
      </c>
      <c r="D465" s="6" t="s">
        <v>11</v>
      </c>
      <c r="E465" s="12">
        <v>20.8</v>
      </c>
      <c r="F465" s="11">
        <f>LOOKUP(E465,{0,-2.9,-1.9,-0.9,0.1,1.1,2.1,3.5,4.9,6.3,7.7,9.1,10.5,11.9,13.3,14.7,16.1,18.3,20.5,22.4,24.3},{0,10,20,30,40,50,60,62,64,66,68,70,72,74,76,78,80,85,90,95,100})</f>
        <v>90</v>
      </c>
      <c r="G465" s="12">
        <v>235</v>
      </c>
      <c r="H465" s="11">
        <f>LOOKUP(G465,{0,175,180,185,190,195,200,204,208,212,216,220,224,228,232,236,240,248,255,260,265},{0,10,20,30,40,50,60,62,64,66,68,70,72,74,76,78,80,85,90,95,100})</f>
        <v>76</v>
      </c>
      <c r="I465" s="12">
        <v>8</v>
      </c>
      <c r="J465" s="11">
        <f>LOOKUP(I465,{0,3,4,5,6,7,8,9,10,11,12,13,14,15,16,17},{0,10,20,30,40,50,60,64,68,72,76,80,85,90,95,100})</f>
        <v>60</v>
      </c>
      <c r="K465" s="12"/>
      <c r="L465" s="12"/>
      <c r="M465" s="12">
        <f t="shared" si="220"/>
        <v>60</v>
      </c>
      <c r="N465" s="12">
        <v>7.7</v>
      </c>
      <c r="O465" s="12">
        <f t="shared" si="221"/>
        <v>4.3</v>
      </c>
      <c r="P465" s="11">
        <f>LOOKUP(O465,{0,1.6,1.8,2,2.2,2.4,2.6,2.8,3,3.2,3.4,3.6,3.8,4,4.2,4.4,4.6,4.7,4.8,4.9,5},{0,10,20,30,40,50,60,62,64,66,68,70,72,74,76,78,80,85,90,95,100})</f>
        <v>76</v>
      </c>
      <c r="Q465" s="12">
        <v>3.24</v>
      </c>
      <c r="R465" s="12">
        <f t="shared" si="222"/>
        <v>6.76</v>
      </c>
      <c r="S465" s="11">
        <f>LOOKUP(R465,{0,3.8,4,4.6,4.8,5,5.6,5.65,5.7,5.75,5.8,5.85,5.9,5.95,6,6.45,6.5,6.58,6.65,6.7,6.75},{0,10,20,30,40,50,60,62,64,66,68,70,72,74,76,78,80,85,90,95,100})</f>
        <v>100</v>
      </c>
      <c r="T465" s="12">
        <f>3.25-Q465</f>
        <v>0.00999999999999979</v>
      </c>
      <c r="U465" s="16">
        <f>LOOKUP(T465,{0,0.04,0.08,0.12,0.16,0.2,0.23,0.26,0.29,0.32,0.35},{0,1,2,3,4,5,6,7,8,9,10})</f>
        <v>0</v>
      </c>
      <c r="V465" s="12">
        <f t="shared" si="223"/>
        <v>100</v>
      </c>
      <c r="W465" s="12"/>
      <c r="X465" s="20">
        <f t="shared" si="225"/>
        <v>57.8</v>
      </c>
      <c r="Y465" s="20">
        <f t="shared" si="224"/>
        <v>82.5714285714286</v>
      </c>
    </row>
    <row r="466" ht="15.6" hidden="1" outlineLevel="2" spans="1:25">
      <c r="A466" s="12">
        <v>210</v>
      </c>
      <c r="B466" s="12">
        <v>23</v>
      </c>
      <c r="C466" s="6" t="s">
        <v>517</v>
      </c>
      <c r="D466" s="6" t="s">
        <v>11</v>
      </c>
      <c r="E466" s="12">
        <v>15.3</v>
      </c>
      <c r="F466" s="11">
        <f>LOOKUP(E466,{0,-2.9,-1.9,-0.9,0.1,1.1,2.1,3.5,4.9,6.3,7.7,9.1,10.5,11.9,13.3,14.7,16.1,18.3,20.5,22.4,24.3},{0,10,20,30,40,50,60,62,64,66,68,70,72,74,76,78,80,85,90,95,100})</f>
        <v>78</v>
      </c>
      <c r="G466" s="12">
        <v>256</v>
      </c>
      <c r="H466" s="11">
        <f>LOOKUP(G466,{0,175,180,185,190,195,200,204,208,212,216,220,224,228,232,236,240,248,255,260,265},{0,10,20,30,40,50,60,62,64,66,68,70,72,74,76,78,80,85,90,95,100})</f>
        <v>90</v>
      </c>
      <c r="I466" s="12">
        <v>9</v>
      </c>
      <c r="J466" s="11">
        <f>LOOKUP(I466,{0,3,4,5,6,7,8,9,10,11,12,13,14,15,16,17},{0,10,20,30,40,50,60,64,68,72,76,80,85,90,95,100})</f>
        <v>64</v>
      </c>
      <c r="K466" s="12"/>
      <c r="L466" s="12"/>
      <c r="M466" s="12">
        <f t="shared" si="220"/>
        <v>64</v>
      </c>
      <c r="N466" s="12">
        <v>7</v>
      </c>
      <c r="O466" s="12">
        <f t="shared" si="221"/>
        <v>5</v>
      </c>
      <c r="P466" s="11">
        <f>LOOKUP(O466,{0,1.6,1.8,2,2.2,2.4,2.6,2.8,3,3.2,3.4,3.6,3.8,4,4.2,4.4,4.6,4.7,4.8,4.9,5},{0,10,20,30,40,50,60,62,64,66,68,70,72,74,76,78,80,85,90,95,100})</f>
        <v>100</v>
      </c>
      <c r="Q466" s="12">
        <v>3.51</v>
      </c>
      <c r="R466" s="12">
        <f t="shared" si="222"/>
        <v>6.49</v>
      </c>
      <c r="S466" s="11">
        <f>LOOKUP(R466,{0,3.8,4,4.6,4.8,5,5.6,5.65,5.7,5.75,5.8,5.85,5.9,5.95,6,6.45,6.5,6.58,6.65,6.7,6.75},{0,10,20,30,40,50,60,62,64,66,68,70,72,74,76,78,80,85,90,95,100})</f>
        <v>78</v>
      </c>
      <c r="T466" s="12"/>
      <c r="U466" s="12"/>
      <c r="V466" s="12">
        <f t="shared" si="223"/>
        <v>78</v>
      </c>
      <c r="W466" s="12"/>
      <c r="X466" s="20">
        <f t="shared" si="225"/>
        <v>58.8</v>
      </c>
      <c r="Y466" s="20">
        <f t="shared" si="224"/>
        <v>84</v>
      </c>
    </row>
    <row r="467" ht="15.6" hidden="1" outlineLevel="2" spans="1:25">
      <c r="A467" s="12">
        <v>210</v>
      </c>
      <c r="B467" s="12">
        <v>24</v>
      </c>
      <c r="C467" s="6" t="s">
        <v>518</v>
      </c>
      <c r="D467" s="6" t="s">
        <v>11</v>
      </c>
      <c r="E467" s="12">
        <v>25.5</v>
      </c>
      <c r="F467" s="11">
        <f>LOOKUP(E467,{0,-2.9,-1.9,-0.9,0.1,1.1,2.1,3.5,4.9,6.3,7.7,9.1,10.5,11.9,13.3,14.7,16.1,18.3,20.5,22.4,24.3},{0,10,20,30,40,50,60,62,64,66,68,70,72,74,76,78,80,85,90,95,100})</f>
        <v>100</v>
      </c>
      <c r="G467" s="12">
        <v>276</v>
      </c>
      <c r="H467" s="11">
        <f>LOOKUP(G467,{0,175,180,185,190,195,200,204,208,212,216,220,224,228,232,236,240,248,255,260,265},{0,10,20,30,40,50,60,62,64,66,68,70,72,74,76,78,80,85,90,95,100})</f>
        <v>100</v>
      </c>
      <c r="I467" s="12">
        <v>24</v>
      </c>
      <c r="J467" s="11">
        <f>LOOKUP(I467,{0,3,4,5,6,7,8,9,10,11,12,13,14,15,16,17},{0,10,20,30,40,50,60,64,68,72,76,80,85,90,95,100})</f>
        <v>100</v>
      </c>
      <c r="K467" s="12">
        <f t="shared" si="226"/>
        <v>7</v>
      </c>
      <c r="L467" s="11">
        <f>LOOKUP(K467,{0,1,2,3,4,5,6,7,8,9,10},{0,1,2,3,4,5,6,7,8,9,10})</f>
        <v>7</v>
      </c>
      <c r="M467" s="12">
        <f t="shared" si="220"/>
        <v>107</v>
      </c>
      <c r="N467" s="12">
        <v>6.5</v>
      </c>
      <c r="O467" s="12">
        <f t="shared" si="221"/>
        <v>5.5</v>
      </c>
      <c r="P467" s="11">
        <f>LOOKUP(O467,{0,1.6,1.8,2,2.2,2.4,2.6,2.8,3,3.2,3.4,3.6,3.8,4,4.2,4.4,4.6,4.7,4.8,4.9,5},{0,10,20,30,40,50,60,62,64,66,68,70,72,74,76,78,80,85,90,95,100})</f>
        <v>100</v>
      </c>
      <c r="Q467" s="12">
        <v>3.23</v>
      </c>
      <c r="R467" s="12">
        <f t="shared" si="222"/>
        <v>6.77</v>
      </c>
      <c r="S467" s="11">
        <f>LOOKUP(R467,{0,3.8,4,4.6,4.8,5,5.6,5.65,5.7,5.75,5.8,5.85,5.9,5.95,6,6.45,6.5,6.58,6.65,6.7,6.75},{0,10,20,30,40,50,60,62,64,66,68,70,72,74,76,78,80,85,90,95,100})</f>
        <v>100</v>
      </c>
      <c r="T467" s="12">
        <f>3.25-Q467</f>
        <v>0.02</v>
      </c>
      <c r="U467" s="11">
        <f>LOOKUP(T467,{0,0.04,0.08,0.12,0.16,0.2,0.23,0.26,0.29,0.32,0.35},{0,1,2,3,4,5,6,7,8,9,10})</f>
        <v>0</v>
      </c>
      <c r="V467" s="12">
        <f t="shared" si="223"/>
        <v>100</v>
      </c>
      <c r="W467" s="12"/>
      <c r="X467" s="20">
        <f t="shared" si="225"/>
        <v>70</v>
      </c>
      <c r="Y467" s="20">
        <f t="shared" si="224"/>
        <v>107</v>
      </c>
    </row>
    <row r="468" ht="15.6" hidden="1" outlineLevel="2" spans="1:25">
      <c r="A468" s="12">
        <v>210</v>
      </c>
      <c r="B468" s="12">
        <v>25</v>
      </c>
      <c r="C468" s="13" t="s">
        <v>520</v>
      </c>
      <c r="D468" s="6" t="s">
        <v>11</v>
      </c>
      <c r="E468" s="12">
        <v>7.9</v>
      </c>
      <c r="F468" s="11">
        <f>LOOKUP(E468,{0,-2.9,-1.9,-0.9,0.1,1.1,2.1,3.5,4.9,6.3,7.7,9.1,10.5,11.9,13.3,14.7,16.1,18.3,20.5,22.4,24.3},{0,10,20,30,40,50,60,62,64,66,68,70,72,74,76,78,80,85,90,95,100})</f>
        <v>68</v>
      </c>
      <c r="G468" s="12">
        <v>235</v>
      </c>
      <c r="H468" s="11">
        <f>LOOKUP(G468,{0,175,180,185,190,195,200,204,208,212,216,220,224,228,232,236,240,248,255,260,265},{0,10,20,30,40,50,60,62,64,66,68,70,72,74,76,78,80,85,90,95,100})</f>
        <v>76</v>
      </c>
      <c r="I468" s="12">
        <v>2</v>
      </c>
      <c r="J468" s="11">
        <f>LOOKUP(I468,{0,3,4,5,6,7,8,9,10,11,12,13,14,15,16,17},{0,10,20,30,40,50,60,64,68,72,76,80,85,90,95,100})</f>
        <v>0</v>
      </c>
      <c r="K468" s="12"/>
      <c r="L468" s="12"/>
      <c r="M468" s="12">
        <f t="shared" si="220"/>
        <v>0</v>
      </c>
      <c r="N468" s="12">
        <v>7.7</v>
      </c>
      <c r="O468" s="12">
        <f t="shared" si="221"/>
        <v>4.3</v>
      </c>
      <c r="P468" s="11">
        <f>LOOKUP(O468,{0,1.6,1.8,2,2.2,2.4,2.6,2.8,3,3.2,3.4,3.6,3.8,4,4.2,4.4,4.6,4.7,4.8,4.9,5},{0,10,20,30,40,50,60,62,64,66,68,70,72,74,76,78,80,85,90,95,100})</f>
        <v>76</v>
      </c>
      <c r="Q468" s="12">
        <v>3.32</v>
      </c>
      <c r="R468" s="12">
        <f t="shared" si="222"/>
        <v>6.68</v>
      </c>
      <c r="S468" s="11">
        <f>LOOKUP(R468,{0,3.8,4,4.6,4.8,5,5.6,5.65,5.7,5.75,5.8,5.85,5.9,5.95,6,6.45,6.5,6.58,6.65,6.7,6.75},{0,10,20,30,40,50,60,62,64,66,68,70,72,74,76,78,80,85,90,95,100})</f>
        <v>90</v>
      </c>
      <c r="T468" s="12"/>
      <c r="U468" s="15"/>
      <c r="V468" s="12">
        <f t="shared" si="223"/>
        <v>90</v>
      </c>
      <c r="W468" s="12"/>
      <c r="X468" s="20">
        <f t="shared" si="225"/>
        <v>47.6</v>
      </c>
      <c r="Y468" s="20">
        <f t="shared" si="224"/>
        <v>68</v>
      </c>
    </row>
    <row r="469" ht="15.6" hidden="1" outlineLevel="2" spans="1:25">
      <c r="A469" s="12">
        <v>210</v>
      </c>
      <c r="B469" s="12">
        <v>26</v>
      </c>
      <c r="C469" s="6" t="s">
        <v>521</v>
      </c>
      <c r="D469" s="6" t="s">
        <v>11</v>
      </c>
      <c r="E469" s="12">
        <v>16</v>
      </c>
      <c r="F469" s="11">
        <f>LOOKUP(E469,{0,-2.9,-1.9,-0.9,0.1,1.1,2.1,3.5,4.9,6.3,7.7,9.1,10.5,11.9,13.3,14.7,16.1,18.3,20.5,22.4,24.3},{0,10,20,30,40,50,60,62,64,66,68,70,72,74,76,78,80,85,90,95,100})</f>
        <v>78</v>
      </c>
      <c r="G469" s="12">
        <v>236</v>
      </c>
      <c r="H469" s="11">
        <f>LOOKUP(G469,{0,175,180,185,190,195,200,204,208,212,216,220,224,228,232,236,240,248,255,260,265},{0,10,20,30,40,50,60,62,64,66,68,70,72,74,76,78,80,85,90,95,100})</f>
        <v>78</v>
      </c>
      <c r="I469" s="12">
        <v>4</v>
      </c>
      <c r="J469" s="11">
        <f>LOOKUP(I469,{0,3,4,5,6,7,8,9,10,11,12,13,14,15,16,17},{0,10,20,30,40,50,60,64,68,72,76,80,85,90,95,100})</f>
        <v>20</v>
      </c>
      <c r="K469" s="12"/>
      <c r="L469" s="12"/>
      <c r="M469" s="12">
        <f t="shared" si="220"/>
        <v>20</v>
      </c>
      <c r="N469" s="12">
        <v>7.3</v>
      </c>
      <c r="O469" s="12">
        <f t="shared" si="221"/>
        <v>4.7</v>
      </c>
      <c r="P469" s="11">
        <f>LOOKUP(O469,{0,1.6,1.8,2,2.2,2.4,2.6,2.8,3,3.2,3.4,3.6,3.8,4,4.2,4.4,4.6,4.7,4.8,4.9,5},{0,10,20,30,40,50,60,62,64,66,68,70,72,74,76,78,80,85,90,95,100})</f>
        <v>85</v>
      </c>
      <c r="Q469" s="12">
        <v>3.32</v>
      </c>
      <c r="R469" s="12">
        <f t="shared" si="222"/>
        <v>6.68</v>
      </c>
      <c r="S469" s="11">
        <f>LOOKUP(R469,{0,3.8,4,4.6,4.8,5,5.6,5.65,5.7,5.75,5.8,5.85,5.9,5.95,6,6.45,6.5,6.58,6.65,6.7,6.75},{0,10,20,30,40,50,60,62,64,66,68,70,72,74,76,78,80,85,90,95,100})</f>
        <v>90</v>
      </c>
      <c r="T469" s="12"/>
      <c r="U469" s="15"/>
      <c r="V469" s="12">
        <f t="shared" si="223"/>
        <v>90</v>
      </c>
      <c r="W469" s="12"/>
      <c r="X469" s="20">
        <f t="shared" si="225"/>
        <v>52.6</v>
      </c>
      <c r="Y469" s="20">
        <f t="shared" si="224"/>
        <v>75.1428571428572</v>
      </c>
    </row>
    <row r="470" ht="15.6" hidden="1" outlineLevel="2" spans="1:25">
      <c r="A470" s="12">
        <v>210</v>
      </c>
      <c r="B470" s="12">
        <v>27</v>
      </c>
      <c r="C470" s="6" t="s">
        <v>522</v>
      </c>
      <c r="D470" s="6" t="s">
        <v>11</v>
      </c>
      <c r="E470" s="12">
        <v>22</v>
      </c>
      <c r="F470" s="11">
        <f>LOOKUP(E470,{0,-2.9,-1.9,-0.9,0.1,1.1,2.1,3.5,4.9,6.3,7.7,9.1,10.5,11.9,13.3,14.7,16.1,18.3,20.5,22.4,24.3},{0,10,20,30,40,50,60,62,64,66,68,70,72,74,76,78,80,85,90,95,100})</f>
        <v>90</v>
      </c>
      <c r="G470" s="12">
        <v>251</v>
      </c>
      <c r="H470" s="11">
        <f>LOOKUP(G470,{0,175,180,185,190,195,200,204,208,212,216,220,224,228,232,236,240,248,255,260,265},{0,10,20,30,40,50,60,62,64,66,68,70,72,74,76,78,80,85,90,95,100})</f>
        <v>85</v>
      </c>
      <c r="I470" s="12">
        <v>18</v>
      </c>
      <c r="J470" s="11">
        <f>LOOKUP(I470,{0,3,4,5,6,7,8,9,10,11,12,13,14,15,16,17},{0,10,20,30,40,50,60,64,68,72,76,80,85,90,95,100})</f>
        <v>100</v>
      </c>
      <c r="K470" s="12">
        <f t="shared" ref="K470:K474" si="227">I470-17</f>
        <v>1</v>
      </c>
      <c r="L470" s="11">
        <f>LOOKUP(K470,{0,1,2,3,4,5,6,7,8,9,10},{0,1,2,3,4,5,6,7,8,9,10})</f>
        <v>1</v>
      </c>
      <c r="M470" s="12">
        <f t="shared" si="220"/>
        <v>101</v>
      </c>
      <c r="N470" s="12">
        <v>7.5</v>
      </c>
      <c r="O470" s="12">
        <f t="shared" si="221"/>
        <v>4.5</v>
      </c>
      <c r="P470" s="11">
        <f>LOOKUP(O470,{0,1.6,1.8,2,2.2,2.4,2.6,2.8,3,3.2,3.4,3.6,3.8,4,4.2,4.4,4.6,4.7,4.8,4.9,5},{0,10,20,30,40,50,60,62,64,66,68,70,72,74,76,78,80,85,90,95,100})</f>
        <v>78</v>
      </c>
      <c r="Q470" s="12">
        <v>3.45</v>
      </c>
      <c r="R470" s="12">
        <f t="shared" si="222"/>
        <v>6.55</v>
      </c>
      <c r="S470" s="11">
        <f>LOOKUP(R470,{0,3.8,4,4.6,4.8,5,5.6,5.65,5.7,5.75,5.8,5.85,5.9,5.95,6,6.45,6.5,6.58,6.65,6.7,6.75},{0,10,20,30,40,50,60,62,64,66,68,70,72,74,76,78,80,85,90,95,100})</f>
        <v>80</v>
      </c>
      <c r="T470" s="12"/>
      <c r="U470" s="12"/>
      <c r="V470" s="12">
        <f t="shared" si="223"/>
        <v>80</v>
      </c>
      <c r="W470" s="12"/>
      <c r="X470" s="20">
        <f t="shared" si="225"/>
        <v>59.1</v>
      </c>
      <c r="Y470" s="20">
        <f t="shared" si="224"/>
        <v>85.4285714285714</v>
      </c>
    </row>
    <row r="471" ht="15.6" hidden="1" outlineLevel="2" spans="1:25">
      <c r="A471" s="12">
        <v>210</v>
      </c>
      <c r="B471" s="12">
        <v>28</v>
      </c>
      <c r="C471" s="6" t="s">
        <v>523</v>
      </c>
      <c r="D471" s="6" t="s">
        <v>11</v>
      </c>
      <c r="E471" s="12"/>
      <c r="F471" s="11"/>
      <c r="G471" s="12"/>
      <c r="H471" s="11"/>
      <c r="I471" s="12"/>
      <c r="J471" s="11"/>
      <c r="K471" s="12"/>
      <c r="L471" s="12"/>
      <c r="M471" s="12"/>
      <c r="N471" s="12"/>
      <c r="O471" s="12"/>
      <c r="P471" s="11"/>
      <c r="Q471" s="12"/>
      <c r="R471" s="12"/>
      <c r="S471" s="11"/>
      <c r="T471" s="12"/>
      <c r="U471" s="11"/>
      <c r="V471" s="12"/>
      <c r="W471" s="12"/>
      <c r="X471" s="20">
        <f t="shared" si="225"/>
        <v>0</v>
      </c>
      <c r="Y471" s="23">
        <v>50</v>
      </c>
    </row>
    <row r="472" ht="15.6" hidden="1" outlineLevel="2" spans="1:25">
      <c r="A472" s="12">
        <v>210</v>
      </c>
      <c r="B472" s="12">
        <v>29</v>
      </c>
      <c r="C472" s="6" t="s">
        <v>524</v>
      </c>
      <c r="D472" s="6" t="s">
        <v>11</v>
      </c>
      <c r="E472" s="12">
        <v>25.5</v>
      </c>
      <c r="F472" s="11">
        <f>LOOKUP(E472,{0,-2.9,-1.9,-0.9,0.1,1.1,2.1,3.5,4.9,6.3,7.7,9.1,10.5,11.9,13.3,14.7,16.1,18.3,20.5,22.4,24.3},{0,10,20,30,40,50,60,62,64,66,68,70,72,74,76,78,80,85,90,95,100})</f>
        <v>100</v>
      </c>
      <c r="G472" s="12">
        <v>271</v>
      </c>
      <c r="H472" s="11">
        <f>LOOKUP(G472,{0,175,180,185,190,195,200,204,208,212,216,220,224,228,232,236,240,248,255,260,265},{0,10,20,30,40,50,60,62,64,66,68,70,72,74,76,78,80,85,90,95,100})</f>
        <v>100</v>
      </c>
      <c r="I472" s="12">
        <v>21</v>
      </c>
      <c r="J472" s="11">
        <f>LOOKUP(I472,{0,3,4,5,6,7,8,9,10,11,12,13,14,15,16,17},{0,10,20,30,40,50,60,64,68,72,76,80,85,90,95,100})</f>
        <v>100</v>
      </c>
      <c r="K472" s="12">
        <f t="shared" si="227"/>
        <v>4</v>
      </c>
      <c r="L472" s="11">
        <f>LOOKUP(K472,{0,1,2,3,4,5,6,7,8,9,10},{0,1,2,3,4,5,6,7,8,9,10})</f>
        <v>4</v>
      </c>
      <c r="M472" s="12">
        <f t="shared" ref="M472:M492" si="228">J472+L472</f>
        <v>104</v>
      </c>
      <c r="N472" s="12">
        <v>6.5</v>
      </c>
      <c r="O472" s="12">
        <f t="shared" ref="O472:O492" si="229">12-N472</f>
        <v>5.5</v>
      </c>
      <c r="P472" s="11">
        <f>LOOKUP(O472,{0,1.6,1.8,2,2.2,2.4,2.6,2.8,3,3.2,3.4,3.6,3.8,4,4.2,4.4,4.6,4.7,4.8,4.9,5},{0,10,20,30,40,50,60,62,64,66,68,70,72,74,76,78,80,85,90,95,100})</f>
        <v>100</v>
      </c>
      <c r="Q472" s="12">
        <v>3.17</v>
      </c>
      <c r="R472" s="12">
        <f t="shared" ref="R472:R492" si="230">10-Q472</f>
        <v>6.83</v>
      </c>
      <c r="S472" s="11">
        <f>LOOKUP(R472,{0,3.8,4,4.6,4.8,5,5.6,5.65,5.7,5.75,5.8,5.85,5.9,5.95,6,6.45,6.5,6.58,6.65,6.7,6.75},{0,10,20,30,40,50,60,62,64,66,68,70,72,74,76,78,80,85,90,95,100})</f>
        <v>100</v>
      </c>
      <c r="T472" s="12">
        <f>3.25-Q472</f>
        <v>0.0800000000000001</v>
      </c>
      <c r="U472" s="16">
        <f>LOOKUP(T472,{0,0.04,0.08,0.12,0.16,0.2,0.23,0.26,0.29,0.32,0.35},{0,1,2,3,4,5,6,7,8,9,10})</f>
        <v>2</v>
      </c>
      <c r="V472" s="12">
        <f t="shared" ref="V472:V492" si="231">S472+U472</f>
        <v>102</v>
      </c>
      <c r="W472" s="12"/>
      <c r="X472" s="20">
        <f t="shared" si="225"/>
        <v>70</v>
      </c>
      <c r="Y472" s="20">
        <f t="shared" ref="Y472:Y492" si="232">X472/0.7+L472+U472</f>
        <v>106</v>
      </c>
    </row>
    <row r="473" ht="15.6" hidden="1" outlineLevel="2" spans="1:25">
      <c r="A473" s="12">
        <v>210</v>
      </c>
      <c r="B473" s="12">
        <v>30</v>
      </c>
      <c r="C473" s="6" t="s">
        <v>525</v>
      </c>
      <c r="D473" s="6" t="s">
        <v>11</v>
      </c>
      <c r="E473" s="12">
        <v>19.7</v>
      </c>
      <c r="F473" s="11">
        <f>LOOKUP(E473,{0,-2.9,-1.9,-0.9,0.1,1.1,2.1,3.5,4.9,6.3,7.7,9.1,10.5,11.9,13.3,14.7,16.1,18.3,20.5,22.4,24.3},{0,10,20,30,40,50,60,62,64,66,68,70,72,74,76,78,80,85,90,95,100})</f>
        <v>85</v>
      </c>
      <c r="G473" s="12">
        <v>210</v>
      </c>
      <c r="H473" s="11">
        <f>LOOKUP(G473,{0,175,180,185,190,195,200,204,208,212,216,220,224,228,232,236,240,248,255,260,265},{0,10,20,30,40,50,60,62,64,66,68,70,72,74,76,78,80,85,90,95,100})</f>
        <v>64</v>
      </c>
      <c r="I473" s="12">
        <v>10</v>
      </c>
      <c r="J473" s="11">
        <f>LOOKUP(I473,{0,3,4,5,6,7,8,9,10,11,12,13,14,15,16,17},{0,10,20,30,40,50,60,64,68,72,76,80,85,90,95,100})</f>
        <v>68</v>
      </c>
      <c r="K473" s="12"/>
      <c r="L473" s="12"/>
      <c r="M473" s="12">
        <f t="shared" si="228"/>
        <v>68</v>
      </c>
      <c r="N473" s="12">
        <v>8</v>
      </c>
      <c r="O473" s="12">
        <f t="shared" si="229"/>
        <v>4</v>
      </c>
      <c r="P473" s="11">
        <f>LOOKUP(O473,{0,1.6,1.8,2,2.2,2.4,2.6,2.8,3,3.2,3.4,3.6,3.8,4,4.2,4.4,4.6,4.7,4.8,4.9,5},{0,10,20,30,40,50,60,62,64,66,68,70,72,74,76,78,80,85,90,95,100})</f>
        <v>74</v>
      </c>
      <c r="Q473" s="12">
        <v>4.01</v>
      </c>
      <c r="R473" s="12">
        <f t="shared" si="230"/>
        <v>5.99</v>
      </c>
      <c r="S473" s="11">
        <f>LOOKUP(R473,{0,3.8,4,4.6,4.8,5,5.6,5.65,5.7,5.75,5.8,5.85,5.9,5.95,6,6.45,6.5,6.58,6.65,6.7,6.75},{0,10,20,30,40,50,60,62,64,66,68,70,72,74,76,78,80,85,90,95,100})</f>
        <v>74</v>
      </c>
      <c r="T473" s="12"/>
      <c r="U473" s="12"/>
      <c r="V473" s="12">
        <f t="shared" si="231"/>
        <v>74</v>
      </c>
      <c r="W473" s="12"/>
      <c r="X473" s="20">
        <f t="shared" si="225"/>
        <v>51.3</v>
      </c>
      <c r="Y473" s="20">
        <f t="shared" si="232"/>
        <v>73.2857142857143</v>
      </c>
    </row>
    <row r="474" ht="15.6" hidden="1" outlineLevel="2" spans="1:25">
      <c r="A474" s="12">
        <v>210</v>
      </c>
      <c r="B474" s="12">
        <v>31</v>
      </c>
      <c r="C474" s="6" t="s">
        <v>526</v>
      </c>
      <c r="D474" s="6" t="s">
        <v>11</v>
      </c>
      <c r="E474" s="12">
        <v>8.8</v>
      </c>
      <c r="F474" s="11">
        <f>LOOKUP(E474,{0,-2.9,-1.9,-0.9,0.1,1.1,2.1,3.5,4.9,6.3,7.7,9.1,10.5,11.9,13.3,14.7,16.1,18.3,20.5,22.4,24.3},{0,10,20,30,40,50,60,62,64,66,68,70,72,74,76,78,80,85,90,95,100})</f>
        <v>68</v>
      </c>
      <c r="G474" s="12">
        <v>272</v>
      </c>
      <c r="H474" s="11">
        <f>LOOKUP(G474,{0,175,180,185,190,195,200,204,208,212,216,220,224,228,232,236,240,248,255,260,265},{0,10,20,30,40,50,60,62,64,66,68,70,72,74,76,78,80,85,90,95,100})</f>
        <v>100</v>
      </c>
      <c r="I474" s="12">
        <v>23</v>
      </c>
      <c r="J474" s="11">
        <f>LOOKUP(I474,{0,3,4,5,6,7,8,9,10,11,12,13,14,15,16,17},{0,10,20,30,40,50,60,64,68,72,76,80,85,90,95,100})</f>
        <v>100</v>
      </c>
      <c r="K474" s="12">
        <f t="shared" si="227"/>
        <v>6</v>
      </c>
      <c r="L474" s="11">
        <f>LOOKUP(K474,{0,1,2,3,4,5,6,7,8,9,10},{0,1,2,3,4,5,6,7,8,9,10})</f>
        <v>6</v>
      </c>
      <c r="M474" s="12">
        <f t="shared" si="228"/>
        <v>106</v>
      </c>
      <c r="N474" s="12">
        <v>6.4</v>
      </c>
      <c r="O474" s="12">
        <f t="shared" si="229"/>
        <v>5.6</v>
      </c>
      <c r="P474" s="11">
        <f>LOOKUP(O474,{0,1.6,1.8,2,2.2,2.4,2.6,2.8,3,3.2,3.4,3.6,3.8,4,4.2,4.4,4.6,4.7,4.8,4.9,5},{0,10,20,30,40,50,60,62,64,66,68,70,72,74,76,78,80,85,90,95,100})</f>
        <v>100</v>
      </c>
      <c r="Q474" s="12">
        <v>3.36</v>
      </c>
      <c r="R474" s="12">
        <f t="shared" si="230"/>
        <v>6.64</v>
      </c>
      <c r="S474" s="11">
        <f>LOOKUP(R474,{0,3.8,4,4.6,4.8,5,5.6,5.65,5.7,5.75,5.8,5.85,5.9,5.95,6,6.45,6.5,6.58,6.65,6.7,6.75},{0,10,20,30,40,50,60,62,64,66,68,70,72,74,76,78,80,85,90,95,100})</f>
        <v>85</v>
      </c>
      <c r="T474" s="12"/>
      <c r="U474" s="12"/>
      <c r="V474" s="12">
        <f t="shared" si="231"/>
        <v>85</v>
      </c>
      <c r="W474" s="12"/>
      <c r="X474" s="20">
        <f t="shared" si="225"/>
        <v>63.8</v>
      </c>
      <c r="Y474" s="20">
        <f t="shared" si="232"/>
        <v>97.1428571428571</v>
      </c>
    </row>
    <row r="475" ht="15.6" hidden="1" outlineLevel="2" spans="1:25">
      <c r="A475" s="12">
        <v>210</v>
      </c>
      <c r="B475" s="12">
        <v>32</v>
      </c>
      <c r="C475" s="6" t="s">
        <v>527</v>
      </c>
      <c r="D475" s="6" t="s">
        <v>11</v>
      </c>
      <c r="E475" s="12">
        <v>16.5</v>
      </c>
      <c r="F475" s="11">
        <f>LOOKUP(E475,{0,-2.9,-1.9,-0.9,0.1,1.1,2.1,3.5,4.9,6.3,7.7,9.1,10.5,11.9,13.3,14.7,16.1,18.3,20.5,22.4,24.3},{0,10,20,30,40,50,60,62,64,66,68,70,72,74,76,78,80,85,90,95,100})</f>
        <v>80</v>
      </c>
      <c r="G475" s="12">
        <v>215</v>
      </c>
      <c r="H475" s="11">
        <f>LOOKUP(G475,{0,175,180,185,190,195,200,204,208,212,216,220,224,228,232,236,240,248,255,260,265},{0,10,20,30,40,50,60,62,64,66,68,70,72,74,76,78,80,85,90,95,100})</f>
        <v>66</v>
      </c>
      <c r="I475" s="12">
        <v>0</v>
      </c>
      <c r="J475" s="11">
        <f>LOOKUP(I475,{0,3,4,5,6,7,8,9,10,11,12,13,14,15,16,17},{0,10,20,30,40,50,60,64,68,72,76,80,85,90,95,100})</f>
        <v>0</v>
      </c>
      <c r="K475" s="12"/>
      <c r="L475" s="12"/>
      <c r="M475" s="12">
        <f t="shared" si="228"/>
        <v>0</v>
      </c>
      <c r="N475" s="12">
        <v>7.9</v>
      </c>
      <c r="O475" s="12">
        <f t="shared" si="229"/>
        <v>4.1</v>
      </c>
      <c r="P475" s="11">
        <f>LOOKUP(O475,{0,1.6,1.8,2,2.2,2.4,2.6,2.8,3,3.2,3.4,3.6,3.8,4,4.2,4.4,4.6,4.7,4.8,4.9,5},{0,10,20,30,40,50,60,62,64,66,68,70,72,74,76,78,80,85,90,95,100})</f>
        <v>74</v>
      </c>
      <c r="Q475" s="12">
        <v>4.02</v>
      </c>
      <c r="R475" s="12">
        <f t="shared" si="230"/>
        <v>5.98</v>
      </c>
      <c r="S475" s="11">
        <f>LOOKUP(R475,{0,3.8,4,4.6,4.8,5,5.6,5.65,5.7,5.75,5.8,5.85,5.9,5.95,6,6.45,6.5,6.58,6.65,6.7,6.75},{0,10,20,30,40,50,60,62,64,66,68,70,72,74,76,78,80,85,90,95,100})</f>
        <v>74</v>
      </c>
      <c r="T475" s="12"/>
      <c r="U475" s="12"/>
      <c r="V475" s="12">
        <f t="shared" si="231"/>
        <v>74</v>
      </c>
      <c r="W475" s="12"/>
      <c r="X475" s="20">
        <f t="shared" si="225"/>
        <v>44.2</v>
      </c>
      <c r="Y475" s="20">
        <f t="shared" si="232"/>
        <v>63.1428571428572</v>
      </c>
    </row>
    <row r="476" ht="15.6" hidden="1" outlineLevel="2" spans="1:25">
      <c r="A476" s="12">
        <v>210</v>
      </c>
      <c r="B476" s="12">
        <v>33</v>
      </c>
      <c r="C476" s="6" t="s">
        <v>528</v>
      </c>
      <c r="D476" s="6" t="s">
        <v>11</v>
      </c>
      <c r="E476" s="12">
        <v>25</v>
      </c>
      <c r="F476" s="11">
        <f>LOOKUP(E476,{0,-2.9,-1.9,-0.9,0.1,1.1,2.1,3.5,4.9,6.3,7.7,9.1,10.5,11.9,13.3,14.7,16.1,18.3,20.5,22.4,24.3},{0,10,20,30,40,50,60,62,64,66,68,70,72,74,76,78,80,85,90,95,100})</f>
        <v>100</v>
      </c>
      <c r="G476" s="12">
        <v>216</v>
      </c>
      <c r="H476" s="11">
        <f>LOOKUP(G476,{0,175,180,185,190,195,200,204,208,212,216,220,224,228,232,236,240,248,255,260,265},{0,10,20,30,40,50,60,62,64,66,68,70,72,74,76,78,80,85,90,95,100})</f>
        <v>68</v>
      </c>
      <c r="I476" s="12">
        <v>1</v>
      </c>
      <c r="J476" s="11">
        <f>LOOKUP(I476,{0,3,4,5,6,7,8,9,10,11,12,13,14,15,16,17},{0,10,20,30,40,50,60,64,68,72,76,80,85,90,95,100})</f>
        <v>0</v>
      </c>
      <c r="K476" s="12"/>
      <c r="L476" s="12"/>
      <c r="M476" s="12">
        <f t="shared" si="228"/>
        <v>0</v>
      </c>
      <c r="N476" s="12">
        <v>6.8</v>
      </c>
      <c r="O476" s="12">
        <f t="shared" si="229"/>
        <v>5.2</v>
      </c>
      <c r="P476" s="11">
        <f>LOOKUP(O476,{0,1.6,1.8,2,2.2,2.4,2.6,2.8,3,3.2,3.4,3.6,3.8,4,4.2,4.4,4.6,4.7,4.8,4.9,5},{0,10,20,30,40,50,60,62,64,66,68,70,72,74,76,78,80,85,90,95,100})</f>
        <v>100</v>
      </c>
      <c r="Q476" s="12">
        <v>3.11</v>
      </c>
      <c r="R476" s="12">
        <f t="shared" si="230"/>
        <v>6.89</v>
      </c>
      <c r="S476" s="11">
        <f>LOOKUP(R476,{0,3.8,4,4.6,4.8,5,5.6,5.65,5.7,5.75,5.8,5.85,5.9,5.95,6,6.45,6.5,6.58,6.65,6.7,6.75},{0,10,20,30,40,50,60,62,64,66,68,70,72,74,76,78,80,85,90,95,100})</f>
        <v>100</v>
      </c>
      <c r="T476" s="12">
        <f>3.25-Q476</f>
        <v>0.14</v>
      </c>
      <c r="U476" s="11">
        <f>LOOKUP(T476,{0,0.04,0.08,0.12,0.16,0.2,0.23,0.26,0.29,0.32,0.35},{0,1,2,3,4,5,6,7,8,9,10})</f>
        <v>3</v>
      </c>
      <c r="V476" s="12">
        <f t="shared" si="231"/>
        <v>103</v>
      </c>
      <c r="W476" s="12"/>
      <c r="X476" s="20">
        <f t="shared" si="225"/>
        <v>56.8</v>
      </c>
      <c r="Y476" s="20">
        <f t="shared" si="232"/>
        <v>84.1428571428571</v>
      </c>
    </row>
    <row r="477" ht="15.6" hidden="1" outlineLevel="2" spans="1:25">
      <c r="A477" s="12">
        <v>210</v>
      </c>
      <c r="B477" s="12">
        <v>34</v>
      </c>
      <c r="C477" s="6" t="s">
        <v>529</v>
      </c>
      <c r="D477" s="6" t="s">
        <v>11</v>
      </c>
      <c r="E477" s="12">
        <v>7.58</v>
      </c>
      <c r="F477" s="11">
        <f>LOOKUP(E477,{0,-2.9,-1.9,-0.9,0.1,1.1,2.1,3.5,4.9,6.3,7.7,9.1,10.5,11.9,13.3,14.7,16.1,18.3,20.5,22.4,24.3},{0,10,20,30,40,50,60,62,64,66,68,70,72,74,76,78,80,85,90,95,100})</f>
        <v>66</v>
      </c>
      <c r="G477" s="12">
        <v>225</v>
      </c>
      <c r="H477" s="11">
        <f>LOOKUP(G477,{0,175,180,185,190,195,200,204,208,212,216,220,224,228,232,236,240,248,255,260,265},{0,10,20,30,40,50,60,62,64,66,68,70,72,74,76,78,80,85,90,95,100})</f>
        <v>72</v>
      </c>
      <c r="I477" s="12">
        <v>12</v>
      </c>
      <c r="J477" s="11">
        <f>LOOKUP(I477,{0,3,4,5,6,7,8,9,10,11,12,13,14,15,16,17},{0,10,20,30,40,50,60,64,68,72,76,80,85,90,95,100})</f>
        <v>76</v>
      </c>
      <c r="K477" s="12"/>
      <c r="L477" s="12"/>
      <c r="M477" s="12">
        <f t="shared" si="228"/>
        <v>76</v>
      </c>
      <c r="N477" s="12">
        <v>7.8</v>
      </c>
      <c r="O477" s="12">
        <f t="shared" si="229"/>
        <v>4.2</v>
      </c>
      <c r="P477" s="11">
        <f>LOOKUP(O477,{0,1.6,1.8,2,2.2,2.4,2.6,2.8,3,3.2,3.4,3.6,3.8,4,4.2,4.4,4.6,4.7,4.8,4.9,5},{0,10,20,30,40,50,60,62,64,66,68,70,72,74,76,78,80,85,90,95,100})</f>
        <v>76</v>
      </c>
      <c r="Q477" s="12">
        <v>4.06</v>
      </c>
      <c r="R477" s="12">
        <f t="shared" si="230"/>
        <v>5.94</v>
      </c>
      <c r="S477" s="11">
        <f>LOOKUP(R477,{0,3.8,4,4.6,4.8,5,5.6,5.65,5.7,5.75,5.8,5.85,5.9,5.95,6,6.45,6.5,6.58,6.65,6.7,6.75},{0,10,20,30,40,50,60,62,64,66,68,70,72,74,76,78,80,85,90,95,100})</f>
        <v>72</v>
      </c>
      <c r="T477" s="12"/>
      <c r="U477" s="15"/>
      <c r="V477" s="12">
        <f t="shared" si="231"/>
        <v>72</v>
      </c>
      <c r="W477" s="12"/>
      <c r="X477" s="20">
        <f t="shared" si="225"/>
        <v>51</v>
      </c>
      <c r="Y477" s="20">
        <f t="shared" si="232"/>
        <v>72.8571428571429</v>
      </c>
    </row>
    <row r="478" ht="15.6" hidden="1" outlineLevel="2" spans="1:25">
      <c r="A478" s="12">
        <v>210</v>
      </c>
      <c r="B478" s="12">
        <v>35</v>
      </c>
      <c r="C478" s="6" t="s">
        <v>530</v>
      </c>
      <c r="D478" s="6" t="s">
        <v>11</v>
      </c>
      <c r="E478" s="12">
        <v>15.3</v>
      </c>
      <c r="F478" s="11">
        <f>LOOKUP(E478,{0,-2.9,-1.9,-0.9,0.1,1.1,2.1,3.5,4.9,6.3,7.7,9.1,10.5,11.9,13.3,14.7,16.1,18.3,20.5,22.4,24.3},{0,10,20,30,40,50,60,62,64,66,68,70,72,74,76,78,80,85,90,95,100})</f>
        <v>78</v>
      </c>
      <c r="G478" s="12">
        <v>274</v>
      </c>
      <c r="H478" s="11">
        <f>LOOKUP(G478,{0,175,180,185,190,195,200,204,208,212,216,220,224,228,232,236,240,248,255,260,265},{0,10,20,30,40,50,60,62,64,66,68,70,72,74,76,78,80,85,90,95,100})</f>
        <v>100</v>
      </c>
      <c r="I478" s="12">
        <v>12</v>
      </c>
      <c r="J478" s="11">
        <f>LOOKUP(I478,{0,3,4,5,6,7,8,9,10,11,12,13,14,15,16,17},{0,10,20,30,40,50,60,64,68,72,76,80,85,90,95,100})</f>
        <v>76</v>
      </c>
      <c r="K478" s="12"/>
      <c r="L478" s="12"/>
      <c r="M478" s="12">
        <f t="shared" si="228"/>
        <v>76</v>
      </c>
      <c r="N478" s="12">
        <v>6.8</v>
      </c>
      <c r="O478" s="12">
        <f t="shared" si="229"/>
        <v>5.2</v>
      </c>
      <c r="P478" s="11">
        <f>LOOKUP(O478,{0,1.6,1.8,2,2.2,2.4,2.6,2.8,3,3.2,3.4,3.6,3.8,4,4.2,4.4,4.6,4.7,4.8,4.9,5},{0,10,20,30,40,50,60,62,64,66,68,70,72,74,76,78,80,85,90,95,100})</f>
        <v>100</v>
      </c>
      <c r="Q478" s="12">
        <v>3.29</v>
      </c>
      <c r="R478" s="12">
        <f t="shared" si="230"/>
        <v>6.71</v>
      </c>
      <c r="S478" s="11">
        <f>LOOKUP(R478,{0,3.8,4,4.6,4.8,5,5.6,5.65,5.7,5.75,5.8,5.85,5.9,5.95,6,6.45,6.5,6.58,6.65,6.7,6.75},{0,10,20,30,40,50,60,62,64,66,68,70,72,74,76,78,80,85,90,95,100})</f>
        <v>95</v>
      </c>
      <c r="T478" s="12"/>
      <c r="U478" s="15"/>
      <c r="V478" s="12">
        <f t="shared" si="231"/>
        <v>95</v>
      </c>
      <c r="W478" s="12"/>
      <c r="X478" s="20">
        <f t="shared" si="225"/>
        <v>64.4</v>
      </c>
      <c r="Y478" s="20">
        <f t="shared" si="232"/>
        <v>92</v>
      </c>
    </row>
    <row r="479" ht="15.6" hidden="1" outlineLevel="2" spans="1:25">
      <c r="A479" s="12">
        <v>210</v>
      </c>
      <c r="B479" s="12">
        <v>36</v>
      </c>
      <c r="C479" s="13" t="s">
        <v>532</v>
      </c>
      <c r="D479" s="6" t="s">
        <v>53</v>
      </c>
      <c r="E479" s="12">
        <v>21</v>
      </c>
      <c r="F479" s="11">
        <f>LOOKUP(E479,{0,1,1.8,2.6,3.4,4.2,5,6.3,7.6,8.9,10.2,11.5,12.8,14.1,15.4,16.7,18,19.7,21.4,23.1,24.8},{0,10,20,30,40,50,60,62,64,66,68,70,72,74,76,78,80,85,90,95,100})</f>
        <v>85</v>
      </c>
      <c r="G479" s="12">
        <v>166</v>
      </c>
      <c r="H479" s="11">
        <f>LOOKUP(G479,{0,124,129,134,139,144,149,152,155,158,161,164,167,170,173,176,179,186,193,199,205},{0,10,20,30,40,50,60,62,64,66,68,70,72,74,76,78,80,85,90,95,100})</f>
        <v>70</v>
      </c>
      <c r="I479" s="12">
        <v>54</v>
      </c>
      <c r="J479" s="11">
        <f>LOOKUP(I479,{0,14,16,18,20,22,24,26,28,30,32,34,36,38,40,42,44,47,50,52,54},{0,10,20,30,40,50,60,62,64,66,68,70,72,74,76,78,80,85,90,95,100})</f>
        <v>100</v>
      </c>
      <c r="K479" s="12">
        <f t="shared" ref="K479:K484" si="233">I479-54</f>
        <v>0</v>
      </c>
      <c r="L479" s="11">
        <f>LOOKUP(K479,{0,2,4,6,7,8,9,10,11,12,13},{0,1,2,3,4,5,6,7,8,9,10})</f>
        <v>0</v>
      </c>
      <c r="M479" s="12">
        <f t="shared" si="228"/>
        <v>100</v>
      </c>
      <c r="N479" s="12">
        <v>9.5</v>
      </c>
      <c r="O479" s="12">
        <f t="shared" si="229"/>
        <v>2.5</v>
      </c>
      <c r="P479" s="11">
        <f>LOOKUP(O479,{0,0.5,0.7,0.9,1.1,1.3,1.5,1.7,1.9,2.1,2.3,2.5,2.7,2.9,3.1,3.3,3.5,3.8,4.1,4.2,4.3},{0,10,20,30,40,50,60,62,64,66,68,70,72,74,76,78,80,85,90,95,100})</f>
        <v>70</v>
      </c>
      <c r="Q479" s="12">
        <v>4.06</v>
      </c>
      <c r="R479" s="12">
        <f t="shared" si="230"/>
        <v>5.94</v>
      </c>
      <c r="S479" s="11">
        <f>LOOKUP(R479,{0,4.72,4.82,4.92,5.42,5.52,5.62,5.67,5.72,5.77,5.82,5.87,5.92,5.97,6.42,6.47,6.52,6.59,6.66,6.72,6.78},{0,10,20,30,40,50,60,62,64,66,68,70,72,74,76,78,80,85,90,95,100})</f>
        <v>72</v>
      </c>
      <c r="T479" s="12"/>
      <c r="U479" s="12"/>
      <c r="V479" s="12">
        <f t="shared" si="231"/>
        <v>72</v>
      </c>
      <c r="W479" s="12"/>
      <c r="X479" s="20">
        <f t="shared" si="225"/>
        <v>53.9</v>
      </c>
      <c r="Y479" s="20">
        <f t="shared" si="232"/>
        <v>77</v>
      </c>
    </row>
    <row r="480" ht="15.6" hidden="1" outlineLevel="2" spans="1:25">
      <c r="A480" s="12">
        <v>210</v>
      </c>
      <c r="B480" s="12">
        <v>37</v>
      </c>
      <c r="C480" s="6" t="s">
        <v>533</v>
      </c>
      <c r="D480" s="6" t="s">
        <v>53</v>
      </c>
      <c r="E480" s="12">
        <v>22.5</v>
      </c>
      <c r="F480" s="11">
        <f>LOOKUP(E480,{0,1,1.8,2.6,3.4,4.2,5,6.3,7.6,8.9,10.2,11.5,12.8,14.1,15.4,16.7,18,19.7,21.4,23.1,24.8},{0,10,20,30,40,50,60,62,64,66,68,70,72,74,76,78,80,85,90,95,100})</f>
        <v>90</v>
      </c>
      <c r="G480" s="12">
        <v>177</v>
      </c>
      <c r="H480" s="11">
        <f>LOOKUP(G480,{0,124,129,134,139,144,149,152,155,158,161,164,167,170,173,176,179,186,193,199,205},{0,10,20,30,40,50,60,62,64,66,68,70,72,74,76,78,80,85,90,95,100})</f>
        <v>78</v>
      </c>
      <c r="I480" s="12">
        <v>43</v>
      </c>
      <c r="J480" s="11">
        <f>LOOKUP(I480,{0,14,16,18,20,22,24,26,28,30,32,34,36,38,40,42,44,47,50,52,54},{0,10,20,30,40,50,60,62,64,66,68,70,72,74,76,78,80,85,90,95,100})</f>
        <v>78</v>
      </c>
      <c r="K480" s="12"/>
      <c r="L480" s="12"/>
      <c r="M480" s="12">
        <f t="shared" si="228"/>
        <v>78</v>
      </c>
      <c r="N480" s="12">
        <v>8.6</v>
      </c>
      <c r="O480" s="12">
        <f t="shared" si="229"/>
        <v>3.4</v>
      </c>
      <c r="P480" s="11">
        <f>LOOKUP(O480,{0,0.5,0.7,0.9,1.1,1.3,1.5,1.7,1.9,2.1,2.3,2.5,2.7,2.9,3.1,3.3,3.5,3.8,4.1,4.2,4.3},{0,10,20,30,40,50,60,62,64,66,68,70,72,74,76,78,80,85,90,95,100})</f>
        <v>78</v>
      </c>
      <c r="Q480" s="12">
        <v>3.32</v>
      </c>
      <c r="R480" s="12">
        <f t="shared" si="230"/>
        <v>6.68</v>
      </c>
      <c r="S480" s="11">
        <f>LOOKUP(R480,{0,4.72,4.82,4.92,5.42,5.52,5.62,5.67,5.72,5.77,5.82,5.87,5.92,5.97,6.42,6.47,6.52,6.59,6.66,6.72,6.78},{0,10,20,30,40,50,60,62,64,66,68,70,72,74,76,78,80,85,90,95,100})</f>
        <v>90</v>
      </c>
      <c r="T480" s="12"/>
      <c r="U480" s="12"/>
      <c r="V480" s="12">
        <f t="shared" si="231"/>
        <v>90</v>
      </c>
      <c r="W480" s="12"/>
      <c r="X480" s="20">
        <f t="shared" si="225"/>
        <v>58.2</v>
      </c>
      <c r="Y480" s="20">
        <f t="shared" si="232"/>
        <v>83.1428571428572</v>
      </c>
    </row>
    <row r="481" ht="15.6" hidden="1" outlineLevel="2" spans="1:25">
      <c r="A481" s="12">
        <v>210</v>
      </c>
      <c r="B481" s="12">
        <v>38</v>
      </c>
      <c r="C481" s="6" t="s">
        <v>534</v>
      </c>
      <c r="D481" s="6" t="s">
        <v>53</v>
      </c>
      <c r="E481" s="12">
        <v>22.5</v>
      </c>
      <c r="F481" s="11">
        <f>LOOKUP(E481,{0,1,1.8,2.6,3.4,4.2,5,6.3,7.6,8.9,10.2,11.5,12.8,14.1,15.4,16.7,18,19.7,21.4,23.1,24.8},{0,10,20,30,40,50,60,62,64,66,68,70,72,74,76,78,80,85,90,95,100})</f>
        <v>90</v>
      </c>
      <c r="G481" s="12">
        <v>182</v>
      </c>
      <c r="H481" s="11">
        <f>LOOKUP(G481,{0,124,129,134,139,144,149,152,155,158,161,164,167,170,173,176,179,186,193,199,205},{0,10,20,30,40,50,60,62,64,66,68,70,72,74,76,78,80,85,90,95,100})</f>
        <v>80</v>
      </c>
      <c r="I481" s="12">
        <v>58</v>
      </c>
      <c r="J481" s="11">
        <f>LOOKUP(I481,{0,14,16,18,20,22,24,26,28,30,32,34,36,38,40,42,44,47,50,52,54},{0,10,20,30,40,50,60,62,64,66,68,70,72,74,76,78,80,85,90,95,100})</f>
        <v>100</v>
      </c>
      <c r="K481" s="12">
        <f t="shared" si="233"/>
        <v>4</v>
      </c>
      <c r="L481" s="11">
        <f>LOOKUP(K481,{0,2,4,6,7,8,9,10,11,12,13},{0,1,2,3,4,5,6,7,8,9,10})</f>
        <v>2</v>
      </c>
      <c r="M481" s="12">
        <f t="shared" si="228"/>
        <v>102</v>
      </c>
      <c r="N481" s="12">
        <v>8.9</v>
      </c>
      <c r="O481" s="12">
        <f t="shared" si="229"/>
        <v>3.1</v>
      </c>
      <c r="P481" s="11">
        <f>LOOKUP(O481,{0,0.5,0.7,0.9,1.1,1.3,1.5,1.7,1.9,2.1,2.3,2.5,2.7,2.9,3.1,3.3,3.5,3.8,4.1,4.2,4.3},{0,10,20,30,40,50,60,62,64,66,68,70,72,74,76,78,80,85,90,95,100})</f>
        <v>76</v>
      </c>
      <c r="Q481" s="12">
        <v>3.31</v>
      </c>
      <c r="R481" s="12">
        <f t="shared" si="230"/>
        <v>6.69</v>
      </c>
      <c r="S481" s="11">
        <f>LOOKUP(R481,{0,4.72,4.82,4.92,5.42,5.52,5.62,5.67,5.72,5.77,5.82,5.87,5.92,5.97,6.42,6.47,6.52,6.59,6.66,6.72,6.78},{0,10,20,30,40,50,60,62,64,66,68,70,72,74,76,78,80,85,90,95,100})</f>
        <v>90</v>
      </c>
      <c r="T481" s="12"/>
      <c r="U481" s="15"/>
      <c r="V481" s="12">
        <f t="shared" si="231"/>
        <v>90</v>
      </c>
      <c r="W481" s="12"/>
      <c r="X481" s="20">
        <f t="shared" si="225"/>
        <v>60.2</v>
      </c>
      <c r="Y481" s="20">
        <f t="shared" si="232"/>
        <v>88</v>
      </c>
    </row>
    <row r="482" ht="15.6" hidden="1" outlineLevel="2" spans="1:25">
      <c r="A482" s="12">
        <v>210</v>
      </c>
      <c r="B482" s="12">
        <v>39</v>
      </c>
      <c r="C482" s="6" t="s">
        <v>535</v>
      </c>
      <c r="D482" s="6" t="s">
        <v>53</v>
      </c>
      <c r="E482" s="12">
        <v>22</v>
      </c>
      <c r="F482" s="11">
        <f>LOOKUP(E482,{0,1,1.8,2.6,3.4,4.2,5,6.3,7.6,8.9,10.2,11.5,12.8,14.1,15.4,16.7,18,19.7,21.4,23.1,24.8},{0,10,20,30,40,50,60,62,64,66,68,70,72,74,76,78,80,85,90,95,100})</f>
        <v>90</v>
      </c>
      <c r="G482" s="12">
        <v>187</v>
      </c>
      <c r="H482" s="11">
        <f>LOOKUP(G482,{0,124,129,134,139,144,149,152,155,158,161,164,167,170,173,176,179,186,193,199,205},{0,10,20,30,40,50,60,62,64,66,68,70,72,74,76,78,80,85,90,95,100})</f>
        <v>85</v>
      </c>
      <c r="I482" s="12">
        <v>49</v>
      </c>
      <c r="J482" s="11">
        <f>LOOKUP(I482,{0,14,16,18,20,22,24,26,28,30,32,34,36,38,40,42,44,47,50,52,54},{0,10,20,30,40,50,60,62,64,66,68,70,72,74,76,78,80,85,90,95,100})</f>
        <v>85</v>
      </c>
      <c r="K482" s="12"/>
      <c r="L482" s="12"/>
      <c r="M482" s="12">
        <f t="shared" si="228"/>
        <v>85</v>
      </c>
      <c r="N482" s="12">
        <v>8.6</v>
      </c>
      <c r="O482" s="12">
        <f t="shared" si="229"/>
        <v>3.4</v>
      </c>
      <c r="P482" s="11">
        <f>LOOKUP(O482,{0,0.5,0.7,0.9,1.1,1.3,1.5,1.7,1.9,2.1,2.3,2.5,2.7,2.9,3.1,3.3,3.5,3.8,4.1,4.2,4.3},{0,10,20,30,40,50,60,62,64,66,68,70,72,74,76,78,80,85,90,95,100})</f>
        <v>78</v>
      </c>
      <c r="Q482" s="12">
        <v>3.53</v>
      </c>
      <c r="R482" s="12">
        <f t="shared" si="230"/>
        <v>6.47</v>
      </c>
      <c r="S482" s="11">
        <f>LOOKUP(R482,{0,4.72,4.82,4.92,5.42,5.52,5.62,5.67,5.72,5.77,5.82,5.87,5.92,5.97,6.42,6.47,6.52,6.59,6.66,6.72,6.78},{0,10,20,30,40,50,60,62,64,66,68,70,72,74,76,78,80,85,90,95,100})</f>
        <v>78</v>
      </c>
      <c r="T482" s="12"/>
      <c r="U482" s="12"/>
      <c r="V482" s="12">
        <f t="shared" si="231"/>
        <v>78</v>
      </c>
      <c r="W482" s="12"/>
      <c r="X482" s="20">
        <f t="shared" si="225"/>
        <v>57.2</v>
      </c>
      <c r="Y482" s="20">
        <f t="shared" si="232"/>
        <v>81.7142857142857</v>
      </c>
    </row>
    <row r="483" ht="15.6" hidden="1" outlineLevel="2" spans="1:25">
      <c r="A483" s="12">
        <v>210</v>
      </c>
      <c r="B483" s="12">
        <v>40</v>
      </c>
      <c r="C483" s="6" t="s">
        <v>536</v>
      </c>
      <c r="D483" s="6" t="s">
        <v>53</v>
      </c>
      <c r="E483" s="12">
        <v>23.5</v>
      </c>
      <c r="F483" s="11">
        <f>LOOKUP(E483,{0,1,1.8,2.6,3.4,4.2,5,6.3,7.6,8.9,10.2,11.5,12.8,14.1,15.4,16.7,18,19.7,21.4,23.1,24.8},{0,10,20,30,40,50,60,62,64,66,68,70,72,74,76,78,80,85,90,95,100})</f>
        <v>95</v>
      </c>
      <c r="G483" s="12">
        <v>175</v>
      </c>
      <c r="H483" s="11">
        <f>LOOKUP(G483,{0,124,129,134,139,144,149,152,155,158,161,164,167,170,173,176,179,186,193,199,205},{0,10,20,30,40,50,60,62,64,66,68,70,72,74,76,78,80,85,90,95,100})</f>
        <v>76</v>
      </c>
      <c r="I483" s="12">
        <v>51</v>
      </c>
      <c r="J483" s="11">
        <f>LOOKUP(I483,{0,14,16,18,20,22,24,26,28,30,32,34,36,38,40,42,44,47,50,52,54},{0,10,20,30,40,50,60,62,64,66,68,70,72,74,76,78,80,85,90,95,100})</f>
        <v>90</v>
      </c>
      <c r="K483" s="12"/>
      <c r="L483" s="12"/>
      <c r="M483" s="12">
        <f t="shared" si="228"/>
        <v>90</v>
      </c>
      <c r="N483" s="12">
        <v>8.6</v>
      </c>
      <c r="O483" s="12">
        <f t="shared" si="229"/>
        <v>3.4</v>
      </c>
      <c r="P483" s="11">
        <f>LOOKUP(O483,{0,0.5,0.7,0.9,1.1,1.3,1.5,1.7,1.9,2.1,2.3,2.5,2.7,2.9,3.1,3.3,3.5,3.8,4.1,4.2,4.3},{0,10,20,30,40,50,60,62,64,66,68,70,72,74,76,78,80,85,90,95,100})</f>
        <v>78</v>
      </c>
      <c r="Q483" s="12">
        <v>3.5</v>
      </c>
      <c r="R483" s="12">
        <f t="shared" si="230"/>
        <v>6.5</v>
      </c>
      <c r="S483" s="11">
        <f>LOOKUP(R483,{0,4.72,4.82,4.92,5.42,5.52,5.62,5.67,5.72,5.77,5.82,5.87,5.92,5.97,6.42,6.47,6.52,6.59,6.66,6.72,6.78},{0,10,20,30,40,50,60,62,64,66,68,70,72,74,76,78,80,85,90,95,100})</f>
        <v>78</v>
      </c>
      <c r="T483" s="12"/>
      <c r="U483" s="12"/>
      <c r="V483" s="12">
        <f t="shared" si="231"/>
        <v>78</v>
      </c>
      <c r="W483" s="12"/>
      <c r="X483" s="20">
        <f t="shared" si="225"/>
        <v>57.3</v>
      </c>
      <c r="Y483" s="20">
        <f t="shared" si="232"/>
        <v>81.8571428571429</v>
      </c>
    </row>
    <row r="484" ht="15.6" hidden="1" outlineLevel="2" spans="1:25">
      <c r="A484" s="12">
        <v>210</v>
      </c>
      <c r="B484" s="12">
        <v>41</v>
      </c>
      <c r="C484" s="6" t="s">
        <v>537</v>
      </c>
      <c r="D484" s="6" t="s">
        <v>53</v>
      </c>
      <c r="E484" s="12">
        <v>26</v>
      </c>
      <c r="F484" s="11">
        <f>LOOKUP(E484,{0,1,1.8,2.6,3.4,4.2,5,6.3,7.6,8.9,10.2,11.5,12.8,14.1,15.4,16.7,18,19.7,21.4,23.1,24.8},{0,10,20,30,40,50,60,62,64,66,68,70,72,74,76,78,80,85,90,95,100})</f>
        <v>100</v>
      </c>
      <c r="G484" s="12">
        <v>170</v>
      </c>
      <c r="H484" s="11">
        <f>LOOKUP(G484,{0,124,129,134,139,144,149,152,155,158,161,164,167,170,173,176,179,186,193,199,205},{0,10,20,30,40,50,60,62,64,66,68,70,72,74,76,78,80,85,90,95,100})</f>
        <v>74</v>
      </c>
      <c r="I484" s="12">
        <v>54</v>
      </c>
      <c r="J484" s="11">
        <f>LOOKUP(I484,{0,14,16,18,20,22,24,26,28,30,32,34,36,38,40,42,44,47,50,52,54},{0,10,20,30,40,50,60,62,64,66,68,70,72,74,76,78,80,85,90,95,100})</f>
        <v>100</v>
      </c>
      <c r="K484" s="12">
        <f t="shared" si="233"/>
        <v>0</v>
      </c>
      <c r="L484" s="11">
        <f>LOOKUP(K484,{0,2,4,6,7,8,9,10,11,12,13},{0,1,2,3,4,5,6,7,8,9,10})</f>
        <v>0</v>
      </c>
      <c r="M484" s="12">
        <f t="shared" si="228"/>
        <v>100</v>
      </c>
      <c r="N484" s="12">
        <v>9</v>
      </c>
      <c r="O484" s="12">
        <f t="shared" si="229"/>
        <v>3</v>
      </c>
      <c r="P484" s="11">
        <f>LOOKUP(O484,{0,0.5,0.7,0.9,1.1,1.3,1.5,1.7,1.9,2.1,2.3,2.5,2.7,2.9,3.1,3.3,3.5,3.8,4.1,4.2,4.3},{0,10,20,30,40,50,60,62,64,66,68,70,72,74,76,78,80,85,90,95,100})</f>
        <v>74</v>
      </c>
      <c r="Q484" s="12">
        <v>3.37</v>
      </c>
      <c r="R484" s="12">
        <f t="shared" si="230"/>
        <v>6.63</v>
      </c>
      <c r="S484" s="11">
        <f>LOOKUP(R484,{0,4.72,4.82,4.92,5.42,5.52,5.62,5.67,5.72,5.77,5.82,5.87,5.92,5.97,6.42,6.47,6.52,6.59,6.66,6.72,6.78},{0,10,20,30,40,50,60,62,64,66,68,70,72,74,76,78,80,85,90,95,100})</f>
        <v>85</v>
      </c>
      <c r="T484" s="12"/>
      <c r="U484" s="12"/>
      <c r="V484" s="12">
        <f t="shared" si="231"/>
        <v>85</v>
      </c>
      <c r="W484" s="12"/>
      <c r="X484" s="20">
        <f t="shared" si="225"/>
        <v>59.2</v>
      </c>
      <c r="Y484" s="20">
        <f t="shared" si="232"/>
        <v>84.5714285714286</v>
      </c>
    </row>
    <row r="485" ht="15.6" hidden="1" outlineLevel="2" spans="1:25">
      <c r="A485" s="12">
        <v>210</v>
      </c>
      <c r="B485" s="12">
        <v>42</v>
      </c>
      <c r="C485" s="6" t="s">
        <v>538</v>
      </c>
      <c r="D485" s="6" t="s">
        <v>53</v>
      </c>
      <c r="E485" s="12">
        <v>17</v>
      </c>
      <c r="F485" s="11">
        <f>LOOKUP(E485,{0,1,1.8,2.6,3.4,4.2,5,6.3,7.6,8.9,10.2,11.5,12.8,14.1,15.4,16.7,18,19.7,21.4,23.1,24.8},{0,10,20,30,40,50,60,62,64,66,68,70,72,74,76,78,80,85,90,95,100})</f>
        <v>78</v>
      </c>
      <c r="G485" s="12">
        <v>153</v>
      </c>
      <c r="H485" s="11">
        <f>LOOKUP(G485,{0,124,129,134,139,144,149,152,155,158,161,164,167,170,173,176,179,186,193,199,205},{0,10,20,30,40,50,60,62,64,66,68,70,72,74,76,78,80,85,90,95,100})</f>
        <v>62</v>
      </c>
      <c r="I485" s="12">
        <v>43</v>
      </c>
      <c r="J485" s="11">
        <f>LOOKUP(I485,{0,14,16,18,20,22,24,26,28,30,32,34,36,38,40,42,44,47,50,52,54},{0,10,20,30,40,50,60,62,64,66,68,70,72,74,76,78,80,85,90,95,100})</f>
        <v>78</v>
      </c>
      <c r="K485" s="12"/>
      <c r="L485" s="12"/>
      <c r="M485" s="12">
        <f t="shared" si="228"/>
        <v>78</v>
      </c>
      <c r="N485" s="12">
        <v>8</v>
      </c>
      <c r="O485" s="12">
        <f t="shared" si="229"/>
        <v>4</v>
      </c>
      <c r="P485" s="11">
        <f>LOOKUP(O485,{0,0.5,0.7,0.9,1.1,1.3,1.5,1.7,1.9,2.1,2.3,2.5,2.7,2.9,3.1,3.3,3.5,3.8,4.1,4.2,4.3},{0,10,20,30,40,50,60,62,64,66,68,70,72,74,76,78,80,85,90,95,100})</f>
        <v>85</v>
      </c>
      <c r="Q485" s="12">
        <v>3.56</v>
      </c>
      <c r="R485" s="12">
        <f t="shared" si="230"/>
        <v>6.44</v>
      </c>
      <c r="S485" s="11">
        <f>LOOKUP(R485,{0,4.72,4.82,4.92,5.42,5.52,5.62,5.67,5.72,5.77,5.82,5.87,5.92,5.97,6.42,6.47,6.52,6.59,6.66,6.72,6.78},{0,10,20,30,40,50,60,62,64,66,68,70,72,74,76,78,80,85,90,95,100})</f>
        <v>76</v>
      </c>
      <c r="T485" s="12"/>
      <c r="U485" s="12"/>
      <c r="V485" s="12">
        <f t="shared" si="231"/>
        <v>76</v>
      </c>
      <c r="W485" s="12"/>
      <c r="X485" s="20">
        <f t="shared" si="225"/>
        <v>54</v>
      </c>
      <c r="Y485" s="20">
        <f t="shared" si="232"/>
        <v>77.1428571428572</v>
      </c>
    </row>
    <row r="486" s="1" customFormat="1" ht="15.6" hidden="1" outlineLevel="2" spans="1:25">
      <c r="A486" s="12">
        <v>210</v>
      </c>
      <c r="B486" s="12">
        <v>43</v>
      </c>
      <c r="C486" s="6" t="s">
        <v>539</v>
      </c>
      <c r="D486" s="6" t="s">
        <v>53</v>
      </c>
      <c r="E486" s="12">
        <v>22</v>
      </c>
      <c r="F486" s="11">
        <f>LOOKUP(E486,{0,1,1.8,2.6,3.4,4.2,5,6.3,7.6,8.9,10.2,11.5,12.8,14.1,15.4,16.7,18,19.7,21.4,23.1,24.8},{0,10,20,30,40,50,60,62,64,66,68,70,72,74,76,78,80,85,90,95,100})</f>
        <v>90</v>
      </c>
      <c r="G486" s="12">
        <v>208</v>
      </c>
      <c r="H486" s="11">
        <f>LOOKUP(G486,{0,124,129,134,139,144,149,152,155,158,161,164,167,170,173,176,179,186,193,199,205},{0,10,20,30,40,50,60,62,64,66,68,70,72,74,76,78,80,85,90,95,100})</f>
        <v>100</v>
      </c>
      <c r="I486" s="12">
        <v>60</v>
      </c>
      <c r="J486" s="11">
        <f>LOOKUP(I486,{0,14,16,18,20,22,24,26,28,30,32,34,36,38,40,42,44,47,50,52,54},{0,10,20,30,40,50,60,62,64,66,68,70,72,74,76,78,80,85,90,95,100})</f>
        <v>100</v>
      </c>
      <c r="K486" s="12">
        <f t="shared" ref="K486:K492" si="234">I486-54</f>
        <v>6</v>
      </c>
      <c r="L486" s="11">
        <f>LOOKUP(K486,{0,2,4,6,7,8,9,10,11,12,13},{0,1,2,3,4,5,6,7,8,9,10})</f>
        <v>3</v>
      </c>
      <c r="M486" s="12">
        <f t="shared" si="228"/>
        <v>103</v>
      </c>
      <c r="N486" s="12">
        <v>7.7</v>
      </c>
      <c r="O486" s="12">
        <f t="shared" si="229"/>
        <v>4.3</v>
      </c>
      <c r="P486" s="11">
        <f>LOOKUP(O486,{0,0.5,0.7,0.9,1.1,1.3,1.5,1.7,1.9,2.1,2.3,2.5,2.7,2.9,3.1,3.3,3.5,3.8,4.1,4.2,4.3},{0,10,20,30,40,50,60,62,64,66,68,70,72,74,76,78,80,85,90,95,100})</f>
        <v>100</v>
      </c>
      <c r="Q486" s="12">
        <v>3.22</v>
      </c>
      <c r="R486" s="12">
        <f t="shared" si="230"/>
        <v>6.78</v>
      </c>
      <c r="S486" s="11">
        <f>LOOKUP(R486,{0,4.72,4.82,4.92,5.42,5.52,5.62,5.67,5.72,5.77,5.82,5.87,5.92,5.97,6.42,6.47,6.52,6.59,6.66,6.72,6.78},{0,10,20,30,40,50,60,62,64,66,68,70,72,74,76,78,80,85,90,95,100})</f>
        <v>100</v>
      </c>
      <c r="T486" s="21">
        <f>3.22-Q486</f>
        <v>0</v>
      </c>
      <c r="U486" s="16">
        <f>LOOKUP(T486,{0,0.05,0.1,0.15,0.2,0.25,0.3,0.35,0.4,0.45,0.5},{0,1,2,3,4,5,6,7,8,9,10})</f>
        <v>0</v>
      </c>
      <c r="V486" s="12">
        <f t="shared" si="231"/>
        <v>100</v>
      </c>
      <c r="W486" s="12"/>
      <c r="X486" s="20">
        <f t="shared" si="225"/>
        <v>69</v>
      </c>
      <c r="Y486" s="20">
        <f t="shared" si="232"/>
        <v>101.571428571429</v>
      </c>
    </row>
    <row r="487" ht="15.6" hidden="1" outlineLevel="2" spans="1:25">
      <c r="A487" s="12">
        <v>210</v>
      </c>
      <c r="B487" s="12">
        <v>44</v>
      </c>
      <c r="C487" s="13" t="s">
        <v>541</v>
      </c>
      <c r="D487" s="6" t="s">
        <v>53</v>
      </c>
      <c r="E487" s="12">
        <v>25.6</v>
      </c>
      <c r="F487" s="11">
        <f>LOOKUP(E487,{0,1,1.8,2.6,3.4,4.2,5,6.3,7.6,8.9,10.2,11.5,12.8,14.1,15.4,16.7,18,19.7,21.4,23.1,24.8},{0,10,20,30,40,50,60,62,64,66,68,70,72,74,76,78,80,85,90,95,100})</f>
        <v>100</v>
      </c>
      <c r="G487" s="12">
        <v>156</v>
      </c>
      <c r="H487" s="11">
        <f>LOOKUP(G487,{0,124,129,134,139,144,149,152,155,158,161,164,167,170,173,176,179,186,193,199,205},{0,10,20,30,40,50,60,62,64,66,68,70,72,74,76,78,80,85,90,95,100})</f>
        <v>64</v>
      </c>
      <c r="I487" s="12">
        <v>37</v>
      </c>
      <c r="J487" s="11">
        <f>LOOKUP(I487,{0,14,16,18,20,22,24,26,28,30,32,34,36,38,40,42,44,47,50,52,54},{0,10,20,30,40,50,60,62,64,66,68,70,72,74,76,78,80,85,90,95,100})</f>
        <v>72</v>
      </c>
      <c r="K487" s="12"/>
      <c r="L487" s="12"/>
      <c r="M487" s="12">
        <f t="shared" si="228"/>
        <v>72</v>
      </c>
      <c r="N487" s="12">
        <v>9.9</v>
      </c>
      <c r="O487" s="12">
        <f t="shared" si="229"/>
        <v>2.1</v>
      </c>
      <c r="P487" s="11">
        <f>LOOKUP(O487,{0,0.5,0.7,0.9,1.1,1.3,1.5,1.7,1.9,2.1,2.3,2.5,2.7,2.9,3.1,3.3,3.5,3.8,4.1,4.2,4.3},{0,10,20,30,40,50,60,62,64,66,68,70,72,74,76,78,80,85,90,95,100})</f>
        <v>66</v>
      </c>
      <c r="Q487" s="12">
        <v>4.11</v>
      </c>
      <c r="R487" s="12">
        <f t="shared" si="230"/>
        <v>5.89</v>
      </c>
      <c r="S487" s="11">
        <f>LOOKUP(R487,{0,4.72,4.82,4.92,5.42,5.52,5.62,5.67,5.72,5.77,5.82,5.87,5.92,5.97,6.42,6.47,6.52,6.59,6.66,6.72,6.78},{0,10,20,30,40,50,60,62,64,66,68,70,72,74,76,78,80,85,90,95,100})</f>
        <v>70</v>
      </c>
      <c r="T487" s="12"/>
      <c r="U487" s="15"/>
      <c r="V487" s="12">
        <f t="shared" si="231"/>
        <v>70</v>
      </c>
      <c r="W487" s="12"/>
      <c r="X487" s="20">
        <f t="shared" si="225"/>
        <v>50.8</v>
      </c>
      <c r="Y487" s="20">
        <f t="shared" si="232"/>
        <v>72.5714285714286</v>
      </c>
    </row>
    <row r="488" ht="15.6" hidden="1" outlineLevel="2" spans="1:25">
      <c r="A488" s="12">
        <v>210</v>
      </c>
      <c r="B488" s="12">
        <v>45</v>
      </c>
      <c r="C488" s="6" t="s">
        <v>542</v>
      </c>
      <c r="D488" s="6" t="s">
        <v>53</v>
      </c>
      <c r="E488" s="12">
        <v>23</v>
      </c>
      <c r="F488" s="11">
        <f>LOOKUP(E488,{0,1,1.8,2.6,3.4,4.2,5,6.3,7.6,8.9,10.2,11.5,12.8,14.1,15.4,16.7,18,19.7,21.4,23.1,24.8},{0,10,20,30,40,50,60,62,64,66,68,70,72,74,76,78,80,85,90,95,100})</f>
        <v>90</v>
      </c>
      <c r="G488" s="12">
        <v>190</v>
      </c>
      <c r="H488" s="11">
        <f>LOOKUP(G488,{0,124,129,134,139,144,149,152,155,158,161,164,167,170,173,176,179,186,193,199,205},{0,10,20,30,40,50,60,62,64,66,68,70,72,74,76,78,80,85,90,95,100})</f>
        <v>85</v>
      </c>
      <c r="I488" s="12">
        <v>50</v>
      </c>
      <c r="J488" s="11">
        <f>LOOKUP(I488,{0,14,16,18,20,22,24,26,28,30,32,34,36,38,40,42,44,47,50,52,54},{0,10,20,30,40,50,60,62,64,66,68,70,72,74,76,78,80,85,90,95,100})</f>
        <v>90</v>
      </c>
      <c r="K488" s="12"/>
      <c r="L488" s="12"/>
      <c r="M488" s="12">
        <f t="shared" si="228"/>
        <v>90</v>
      </c>
      <c r="N488" s="12">
        <v>8.3</v>
      </c>
      <c r="O488" s="12">
        <f t="shared" si="229"/>
        <v>3.7</v>
      </c>
      <c r="P488" s="11">
        <f>LOOKUP(O488,{0,0.5,0.7,0.9,1.1,1.3,1.5,1.7,1.9,2.1,2.3,2.5,2.7,2.9,3.1,3.3,3.5,3.8,4.1,4.2,4.3},{0,10,20,30,40,50,60,62,64,66,68,70,72,74,76,78,80,85,90,95,100})</f>
        <v>80</v>
      </c>
      <c r="Q488" s="12">
        <v>3.47</v>
      </c>
      <c r="R488" s="12">
        <f t="shared" si="230"/>
        <v>6.53</v>
      </c>
      <c r="S488" s="11">
        <f>LOOKUP(R488,{0,4.72,4.82,4.92,5.42,5.52,5.62,5.67,5.72,5.77,5.82,5.87,5.92,5.97,6.42,6.47,6.52,6.59,6.66,6.72,6.78},{0,10,20,30,40,50,60,62,64,66,68,70,72,74,76,78,80,85,90,95,100})</f>
        <v>80</v>
      </c>
      <c r="T488" s="12"/>
      <c r="U488" s="12"/>
      <c r="V488" s="12">
        <f t="shared" si="231"/>
        <v>80</v>
      </c>
      <c r="W488" s="12"/>
      <c r="X488" s="20">
        <f t="shared" si="225"/>
        <v>58.5</v>
      </c>
      <c r="Y488" s="20">
        <f t="shared" si="232"/>
        <v>83.5714285714286</v>
      </c>
    </row>
    <row r="489" ht="15.6" hidden="1" outlineLevel="2" spans="1:25">
      <c r="A489" s="12">
        <v>210</v>
      </c>
      <c r="B489" s="12">
        <v>46</v>
      </c>
      <c r="C489" s="6" t="s">
        <v>543</v>
      </c>
      <c r="D489" s="6" t="s">
        <v>53</v>
      </c>
      <c r="E489" s="12">
        <v>13</v>
      </c>
      <c r="F489" s="11">
        <f>LOOKUP(E489,{0,1,1.8,2.6,3.4,4.2,5,6.3,7.6,8.9,10.2,11.5,12.8,14.1,15.4,16.7,18,19.7,21.4,23.1,24.8},{0,10,20,30,40,50,60,62,64,66,68,70,72,74,76,78,80,85,90,95,100})</f>
        <v>72</v>
      </c>
      <c r="G489" s="12">
        <v>187</v>
      </c>
      <c r="H489" s="11">
        <f>LOOKUP(G489,{0,124,129,134,139,144,149,152,155,158,161,164,167,170,173,176,179,186,193,199,205},{0,10,20,30,40,50,60,62,64,66,68,70,72,74,76,78,80,85,90,95,100})</f>
        <v>85</v>
      </c>
      <c r="I489" s="12">
        <v>49</v>
      </c>
      <c r="J489" s="11">
        <f>LOOKUP(I489,{0,14,16,18,20,22,24,26,28,30,32,34,36,38,40,42,44,47,50,52,54},{0,10,20,30,40,50,60,62,64,66,68,70,72,74,76,78,80,85,90,95,100})</f>
        <v>85</v>
      </c>
      <c r="K489" s="12"/>
      <c r="L489" s="12"/>
      <c r="M489" s="12">
        <f t="shared" si="228"/>
        <v>85</v>
      </c>
      <c r="N489" s="12">
        <v>8.5</v>
      </c>
      <c r="O489" s="12">
        <f t="shared" si="229"/>
        <v>3.5</v>
      </c>
      <c r="P489" s="11">
        <f>LOOKUP(O489,{0,0.5,0.7,0.9,1.1,1.3,1.5,1.7,1.9,2.1,2.3,2.5,2.7,2.9,3.1,3.3,3.5,3.8,4.1,4.2,4.3},{0,10,20,30,40,50,60,62,64,66,68,70,72,74,76,78,80,85,90,95,100})</f>
        <v>80</v>
      </c>
      <c r="Q489" s="12">
        <v>3.36</v>
      </c>
      <c r="R489" s="12">
        <f t="shared" si="230"/>
        <v>6.64</v>
      </c>
      <c r="S489" s="11">
        <f>LOOKUP(R489,{0,4.72,4.82,4.92,5.42,5.52,5.62,5.67,5.72,5.77,5.82,5.87,5.92,5.97,6.42,6.47,6.52,6.59,6.66,6.72,6.78},{0,10,20,30,40,50,60,62,64,66,68,70,72,74,76,78,80,85,90,95,100})</f>
        <v>85</v>
      </c>
      <c r="T489" s="12"/>
      <c r="U489" s="12"/>
      <c r="V489" s="12">
        <f t="shared" si="231"/>
        <v>85</v>
      </c>
      <c r="W489" s="12"/>
      <c r="X489" s="20">
        <f t="shared" si="225"/>
        <v>57.2</v>
      </c>
      <c r="Y489" s="20">
        <f t="shared" si="232"/>
        <v>81.7142857142857</v>
      </c>
    </row>
    <row r="490" ht="15.6" hidden="1" outlineLevel="2" spans="1:25">
      <c r="A490" s="12">
        <v>210</v>
      </c>
      <c r="B490" s="12">
        <v>47</v>
      </c>
      <c r="C490" s="6" t="s">
        <v>544</v>
      </c>
      <c r="D490" s="6" t="s">
        <v>53</v>
      </c>
      <c r="E490" s="12">
        <v>19</v>
      </c>
      <c r="F490" s="11">
        <f>LOOKUP(E490,{0,1,1.8,2.6,3.4,4.2,5,6.3,7.6,8.9,10.2,11.5,12.8,14.1,15.4,16.7,18,19.7,21.4,23.1,24.8},{0,10,20,30,40,50,60,62,64,66,68,70,72,74,76,78,80,85,90,95,100})</f>
        <v>80</v>
      </c>
      <c r="G490" s="12">
        <v>191</v>
      </c>
      <c r="H490" s="11">
        <f>LOOKUP(G490,{0,124,129,134,139,144,149,152,155,158,161,164,167,170,173,176,179,186,193,199,205},{0,10,20,30,40,50,60,62,64,66,68,70,72,74,76,78,80,85,90,95,100})</f>
        <v>85</v>
      </c>
      <c r="I490" s="12">
        <v>58</v>
      </c>
      <c r="J490" s="11">
        <f>LOOKUP(I490,{0,14,16,18,20,22,24,26,28,30,32,34,36,38,40,42,44,47,50,52,54},{0,10,20,30,40,50,60,62,64,66,68,70,72,74,76,78,80,85,90,95,100})</f>
        <v>100</v>
      </c>
      <c r="K490" s="12">
        <f t="shared" si="234"/>
        <v>4</v>
      </c>
      <c r="L490" s="11">
        <f>LOOKUP(K490,{0,2,4,6,7,8,9,10,11,12,13},{0,1,2,3,4,5,6,7,8,9,10})</f>
        <v>2</v>
      </c>
      <c r="M490" s="12">
        <f t="shared" si="228"/>
        <v>102</v>
      </c>
      <c r="N490" s="12">
        <v>7.9</v>
      </c>
      <c r="O490" s="12">
        <f t="shared" si="229"/>
        <v>4.1</v>
      </c>
      <c r="P490" s="11">
        <f>LOOKUP(O490,{0,0.5,0.7,0.9,1.1,1.3,1.5,1.7,1.9,2.1,2.3,2.5,2.7,2.9,3.1,3.3,3.5,3.8,4.1,4.2,4.3},{0,10,20,30,40,50,60,62,64,66,68,70,72,74,76,78,80,85,90,95,100})</f>
        <v>90</v>
      </c>
      <c r="Q490" s="12">
        <v>3.12</v>
      </c>
      <c r="R490" s="12">
        <f t="shared" si="230"/>
        <v>6.88</v>
      </c>
      <c r="S490" s="11">
        <f>LOOKUP(R490,{0,4.72,4.82,4.92,5.42,5.52,5.62,5.67,5.72,5.77,5.82,5.87,5.92,5.97,6.42,6.47,6.52,6.59,6.66,6.72,6.78},{0,10,20,30,40,50,60,62,64,66,68,70,72,74,76,78,80,85,90,95,100})</f>
        <v>100</v>
      </c>
      <c r="T490" s="21">
        <f t="shared" ref="T490:T494" si="235">3.22-Q490</f>
        <v>0.1</v>
      </c>
      <c r="U490" s="11">
        <f>LOOKUP(T490,{0,0.05,0.1,0.15,0.2,0.25,0.3,0.35,0.4,0.45,0.5},{0,1,2,3,4,5,6,7,8,9,10})</f>
        <v>2</v>
      </c>
      <c r="V490" s="12">
        <f t="shared" si="231"/>
        <v>102</v>
      </c>
      <c r="W490" s="12"/>
      <c r="X490" s="20">
        <f t="shared" si="225"/>
        <v>64.5</v>
      </c>
      <c r="Y490" s="20">
        <f t="shared" si="232"/>
        <v>96.1428571428572</v>
      </c>
    </row>
    <row r="491" ht="15.6" hidden="1" outlineLevel="2" spans="1:25">
      <c r="A491" s="12">
        <v>210</v>
      </c>
      <c r="B491" s="12">
        <v>48</v>
      </c>
      <c r="C491" s="6" t="s">
        <v>545</v>
      </c>
      <c r="D491" s="6" t="s">
        <v>53</v>
      </c>
      <c r="E491" s="12">
        <v>15</v>
      </c>
      <c r="F491" s="11">
        <f>LOOKUP(E491,{0,1,1.8,2.6,3.4,4.2,5,6.3,7.6,8.9,10.2,11.5,12.8,14.1,15.4,16.7,18,19.7,21.4,23.1,24.8},{0,10,20,30,40,50,60,62,64,66,68,70,72,74,76,78,80,85,90,95,100})</f>
        <v>74</v>
      </c>
      <c r="G491" s="12">
        <v>210</v>
      </c>
      <c r="H491" s="11">
        <f>LOOKUP(G491,{0,124,129,134,139,144,149,152,155,158,161,164,167,170,173,176,179,186,193,199,205},{0,10,20,30,40,50,60,62,64,66,68,70,72,74,76,78,80,85,90,95,100})</f>
        <v>100</v>
      </c>
      <c r="I491" s="12">
        <v>55</v>
      </c>
      <c r="J491" s="11">
        <f>LOOKUP(I491,{0,14,16,18,20,22,24,26,28,30,32,34,36,38,40,42,44,47,50,52,54},{0,10,20,30,40,50,60,62,64,66,68,70,72,74,76,78,80,85,90,95,100})</f>
        <v>100</v>
      </c>
      <c r="K491" s="12">
        <f t="shared" si="234"/>
        <v>1</v>
      </c>
      <c r="L491" s="11">
        <f>LOOKUP(K491,{0,2,4,6,7,8,9,10,11,12,13},{0,1,2,3,4,5,6,7,8,9,10})</f>
        <v>0</v>
      </c>
      <c r="M491" s="12">
        <f t="shared" si="228"/>
        <v>100</v>
      </c>
      <c r="N491" s="12">
        <v>8.3</v>
      </c>
      <c r="O491" s="12">
        <f t="shared" si="229"/>
        <v>3.7</v>
      </c>
      <c r="P491" s="11">
        <f>LOOKUP(O491,{0,0.5,0.7,0.9,1.1,1.3,1.5,1.7,1.9,2.1,2.3,2.5,2.7,2.9,3.1,3.3,3.5,3.8,4.1,4.2,4.3},{0,10,20,30,40,50,60,62,64,66,68,70,72,74,76,78,80,85,90,95,100})</f>
        <v>80</v>
      </c>
      <c r="Q491" s="12">
        <v>3.35</v>
      </c>
      <c r="R491" s="12">
        <f t="shared" si="230"/>
        <v>6.65</v>
      </c>
      <c r="S491" s="11">
        <f>LOOKUP(R491,{0,4.72,4.82,4.92,5.42,5.52,5.62,5.67,5.72,5.77,5.82,5.87,5.92,5.97,6.42,6.47,6.52,6.59,6.66,6.72,6.78},{0,10,20,30,40,50,60,62,64,66,68,70,72,74,76,78,80,85,90,95,100})</f>
        <v>85</v>
      </c>
      <c r="T491" s="12"/>
      <c r="U491" s="12"/>
      <c r="V491" s="12">
        <f t="shared" si="231"/>
        <v>85</v>
      </c>
      <c r="W491" s="12"/>
      <c r="X491" s="20">
        <f t="shared" si="225"/>
        <v>60.4</v>
      </c>
      <c r="Y491" s="20">
        <f t="shared" si="232"/>
        <v>86.2857142857143</v>
      </c>
    </row>
    <row r="492" ht="15.6" hidden="1" outlineLevel="2" spans="1:25">
      <c r="A492" s="12">
        <v>210</v>
      </c>
      <c r="B492" s="12">
        <v>49</v>
      </c>
      <c r="C492" s="6" t="s">
        <v>546</v>
      </c>
      <c r="D492" s="6" t="s">
        <v>53</v>
      </c>
      <c r="E492" s="12">
        <v>21</v>
      </c>
      <c r="F492" s="11">
        <f>LOOKUP(E492,{0,1,1.8,2.6,3.4,4.2,5,6.3,7.6,8.9,10.2,11.5,12.8,14.1,15.4,16.7,18,19.7,21.4,23.1,24.8},{0,10,20,30,40,50,60,62,64,66,68,70,72,74,76,78,80,85,90,95,100})</f>
        <v>85</v>
      </c>
      <c r="G492" s="12">
        <v>200</v>
      </c>
      <c r="H492" s="11">
        <f>LOOKUP(G492,{0,124,129,134,139,144,149,152,155,158,161,164,167,170,173,176,179,186,193,199,205},{0,10,20,30,40,50,60,62,64,66,68,70,72,74,76,78,80,85,90,95,100})</f>
        <v>95</v>
      </c>
      <c r="I492" s="12">
        <v>60</v>
      </c>
      <c r="J492" s="11">
        <f>LOOKUP(I492,{0,14,16,18,20,22,24,26,28,30,32,34,36,38,40,42,44,47,50,52,54},{0,10,20,30,40,50,60,62,64,66,68,70,72,74,76,78,80,85,90,95,100})</f>
        <v>100</v>
      </c>
      <c r="K492" s="12">
        <f t="shared" si="234"/>
        <v>6</v>
      </c>
      <c r="L492" s="11">
        <f>LOOKUP(K492,{0,2,4,6,7,8,9,10,11,12,13},{0,1,2,3,4,5,6,7,8,9,10})</f>
        <v>3</v>
      </c>
      <c r="M492" s="12">
        <f t="shared" si="228"/>
        <v>103</v>
      </c>
      <c r="N492" s="12">
        <v>7.5</v>
      </c>
      <c r="O492" s="12">
        <f t="shared" si="229"/>
        <v>4.5</v>
      </c>
      <c r="P492" s="11">
        <f>LOOKUP(O492,{0,0.5,0.7,0.9,1.1,1.3,1.5,1.7,1.9,2.1,2.3,2.5,2.7,2.9,3.1,3.3,3.5,3.8,4.1,4.2,4.3},{0,10,20,30,40,50,60,62,64,66,68,70,72,74,76,78,80,85,90,95,100})</f>
        <v>100</v>
      </c>
      <c r="Q492" s="12">
        <v>3</v>
      </c>
      <c r="R492" s="12">
        <f t="shared" si="230"/>
        <v>7</v>
      </c>
      <c r="S492" s="11">
        <f>LOOKUP(R492,{0,4.72,4.82,4.92,5.42,5.52,5.62,5.67,5.72,5.77,5.82,5.87,5.92,5.97,6.42,6.47,6.52,6.59,6.66,6.72,6.78},{0,10,20,30,40,50,60,62,64,66,68,70,72,74,76,78,80,85,90,95,100})</f>
        <v>100</v>
      </c>
      <c r="T492" s="21">
        <f t="shared" si="235"/>
        <v>0.22</v>
      </c>
      <c r="U492" s="11">
        <f>LOOKUP(T492,{0,0.05,0.1,0.15,0.2,0.25,0.3,0.35,0.4,0.45,0.5},{0,1,2,3,4,5,6,7,8,9,10})</f>
        <v>4</v>
      </c>
      <c r="V492" s="12">
        <f t="shared" si="231"/>
        <v>104</v>
      </c>
      <c r="W492" s="12"/>
      <c r="X492" s="20">
        <f t="shared" si="225"/>
        <v>68</v>
      </c>
      <c r="Y492" s="20">
        <f t="shared" si="232"/>
        <v>104.142857142857</v>
      </c>
    </row>
    <row r="493" ht="15.6" hidden="1" outlineLevel="2" spans="1:25">
      <c r="A493" s="12">
        <v>210</v>
      </c>
      <c r="B493" s="12">
        <v>50</v>
      </c>
      <c r="C493" s="6" t="s">
        <v>547</v>
      </c>
      <c r="D493" s="6" t="s">
        <v>53</v>
      </c>
      <c r="E493" s="12"/>
      <c r="F493" s="11"/>
      <c r="G493" s="12"/>
      <c r="H493" s="11"/>
      <c r="I493" s="12"/>
      <c r="J493" s="11"/>
      <c r="K493" s="12"/>
      <c r="L493" s="12"/>
      <c r="M493" s="12"/>
      <c r="N493" s="12"/>
      <c r="O493" s="12"/>
      <c r="P493" s="11"/>
      <c r="Q493" s="12"/>
      <c r="R493" s="12"/>
      <c r="S493" s="11"/>
      <c r="T493" s="21"/>
      <c r="U493" s="11"/>
      <c r="V493" s="12"/>
      <c r="W493" s="12" t="s">
        <v>14</v>
      </c>
      <c r="X493" s="20">
        <f t="shared" si="225"/>
        <v>0</v>
      </c>
      <c r="Y493" s="20">
        <v>50</v>
      </c>
    </row>
    <row r="494" ht="15.6" hidden="1" outlineLevel="2" spans="1:25">
      <c r="A494" s="12">
        <v>210</v>
      </c>
      <c r="B494" s="12">
        <v>51</v>
      </c>
      <c r="C494" s="6" t="s">
        <v>548</v>
      </c>
      <c r="D494" s="6" t="s">
        <v>53</v>
      </c>
      <c r="E494" s="12">
        <v>25.3</v>
      </c>
      <c r="F494" s="11">
        <f>LOOKUP(E494,{0,1,1.8,2.6,3.4,4.2,5,6.3,7.6,8.9,10.2,11.5,12.8,14.1,15.4,16.7,18,19.7,21.4,23.1,24.8},{0,10,20,30,40,50,60,62,64,66,68,70,72,74,76,78,80,85,90,95,100})</f>
        <v>100</v>
      </c>
      <c r="G494" s="12">
        <v>200</v>
      </c>
      <c r="H494" s="11">
        <f>LOOKUP(G494,{0,124,129,134,139,144,149,152,155,158,161,164,167,170,173,176,179,186,193,199,205},{0,10,20,30,40,50,60,62,64,66,68,70,72,74,76,78,80,85,90,95,100})</f>
        <v>95</v>
      </c>
      <c r="I494" s="12">
        <v>51</v>
      </c>
      <c r="J494" s="11">
        <f>LOOKUP(I494,{0,14,16,18,20,22,24,26,28,30,32,34,36,38,40,42,44,47,50,52,54},{0,10,20,30,40,50,60,62,64,66,68,70,72,74,76,78,80,85,90,95,100})</f>
        <v>90</v>
      </c>
      <c r="K494" s="12"/>
      <c r="L494" s="12"/>
      <c r="M494" s="12">
        <f>J494+L494</f>
        <v>90</v>
      </c>
      <c r="N494" s="12">
        <v>7.8</v>
      </c>
      <c r="O494" s="12">
        <f>12-N494</f>
        <v>4.2</v>
      </c>
      <c r="P494" s="11">
        <f>LOOKUP(O494,{0,0.5,0.7,0.9,1.1,1.3,1.5,1.7,1.9,2.1,2.3,2.5,2.7,2.9,3.1,3.3,3.5,3.8,4.1,4.2,4.3},{0,10,20,30,40,50,60,62,64,66,68,70,72,74,76,78,80,85,90,95,100})</f>
        <v>95</v>
      </c>
      <c r="Q494" s="12">
        <v>3.02</v>
      </c>
      <c r="R494" s="12">
        <f>10-Q494</f>
        <v>6.98</v>
      </c>
      <c r="S494" s="11">
        <f>LOOKUP(R494,{0,4.72,4.82,4.92,5.42,5.52,5.62,5.67,5.72,5.77,5.82,5.87,5.92,5.97,6.42,6.47,6.52,6.59,6.66,6.72,6.78},{0,10,20,30,40,50,60,62,64,66,68,70,72,74,76,78,80,85,90,95,100})</f>
        <v>100</v>
      </c>
      <c r="T494" s="21">
        <f t="shared" si="235"/>
        <v>0.2</v>
      </c>
      <c r="U494" s="11">
        <f>LOOKUP(T494,{0,0.05,0.1,0.15,0.2,0.25,0.3,0.35,0.4,0.45,0.5},{0,1,2,3,4,5,6,7,8,9,10})</f>
        <v>4</v>
      </c>
      <c r="V494" s="12">
        <f>S494+U494</f>
        <v>104</v>
      </c>
      <c r="W494" s="12"/>
      <c r="X494" s="20">
        <f t="shared" si="225"/>
        <v>67.5</v>
      </c>
      <c r="Y494" s="20">
        <f>X494/0.7+L494+U494</f>
        <v>100.428571428571</v>
      </c>
    </row>
    <row r="495" ht="15.6" outlineLevel="1" collapsed="1" spans="1:25">
      <c r="A495" s="14" t="s">
        <v>864</v>
      </c>
      <c r="B495" s="12"/>
      <c r="C495" s="6"/>
      <c r="D495" s="6"/>
      <c r="E495" s="12"/>
      <c r="F495" s="11">
        <f>SUBTOTAL(1,F444:F494)</f>
        <v>83.1111111111111</v>
      </c>
      <c r="G495" s="12"/>
      <c r="H495" s="11">
        <f>SUBTOTAL(1,H444:H494)</f>
        <v>81.7555555555556</v>
      </c>
      <c r="I495" s="12"/>
      <c r="J495" s="11">
        <f>SUBTOTAL(1,J444:J494)</f>
        <v>65.9333333333333</v>
      </c>
      <c r="K495" s="12"/>
      <c r="L495" s="12"/>
      <c r="M495" s="12">
        <f>SUBTOTAL(1,M444:M494)</f>
        <v>67.0444444444445</v>
      </c>
      <c r="N495" s="12"/>
      <c r="O495" s="12"/>
      <c r="P495" s="11">
        <f>SUBTOTAL(1,P444:P494)</f>
        <v>85.1333333333333</v>
      </c>
      <c r="Q495" s="12"/>
      <c r="R495" s="12"/>
      <c r="S495" s="11">
        <f>SUBTOTAL(1,S444:S494)</f>
        <v>84.0222222222222</v>
      </c>
      <c r="T495" s="21"/>
      <c r="U495" s="11"/>
      <c r="V495" s="12">
        <f>SUBTOTAL(1,V444:V494)</f>
        <v>84.3777777777778</v>
      </c>
      <c r="W495" s="12"/>
      <c r="X495" s="20">
        <f>SUBTOTAL(1,X444:X494)</f>
        <v>50.2156862745098</v>
      </c>
      <c r="Y495" s="20">
        <f>SUBTOTAL(1,Y444:Y494)</f>
        <v>78.9131652661065</v>
      </c>
    </row>
    <row r="496" ht="15.6" hidden="1" outlineLevel="2" spans="1:25">
      <c r="A496" s="12">
        <v>211</v>
      </c>
      <c r="B496" s="12">
        <v>1</v>
      </c>
      <c r="C496" s="13" t="s">
        <v>550</v>
      </c>
      <c r="D496" s="6" t="s">
        <v>11</v>
      </c>
      <c r="E496" s="12">
        <v>17.2</v>
      </c>
      <c r="F496" s="11">
        <f>LOOKUP(E496,{0,-2.9,-1.9,-0.9,0.1,1.1,2.1,3.5,4.9,6.3,7.7,9.1,10.5,11.9,13.3,14.7,16.1,18.3,20.5,22.4,24.3},{0,10,20,30,40,50,60,62,64,66,68,70,72,74,76,78,80,85,90,95,100})</f>
        <v>80</v>
      </c>
      <c r="G496" s="12">
        <v>265</v>
      </c>
      <c r="H496" s="11">
        <f>LOOKUP(G496,{0,175,180,185,190,195,200,204,208,212,216,220,224,228,232,236,240,248,255,260,265},{0,10,20,30,40,50,60,62,64,66,68,70,72,74,76,78,80,85,90,95,100})</f>
        <v>100</v>
      </c>
      <c r="I496" s="12">
        <v>10</v>
      </c>
      <c r="J496" s="11">
        <f>LOOKUP(I496,{0,3,4,5,6,7,8,9,10,11,12,13,14,15,16,17},{0,10,20,30,40,50,60,64,68,72,76,80,85,90,95,100})</f>
        <v>68</v>
      </c>
      <c r="K496" s="12"/>
      <c r="L496" s="12"/>
      <c r="M496" s="12">
        <f t="shared" ref="M496:M506" si="236">J496+L496</f>
        <v>68</v>
      </c>
      <c r="N496" s="12">
        <v>6.9</v>
      </c>
      <c r="O496" s="12">
        <f t="shared" ref="O496:O505" si="237">12-N496</f>
        <v>5.1</v>
      </c>
      <c r="P496" s="11">
        <f>LOOKUP(O496,{0,1.6,1.8,2,2.2,2.4,2.6,2.8,3,3.2,3.4,3.6,3.8,4,4.2,4.4,4.6,4.7,4.8,4.9,5},{0,10,20,30,40,50,60,62,64,66,68,70,72,74,76,78,80,85,90,95,100})</f>
        <v>100</v>
      </c>
      <c r="Q496" s="12">
        <v>3.15</v>
      </c>
      <c r="R496" s="12">
        <f t="shared" ref="R496:R504" si="238">10-Q496</f>
        <v>6.85</v>
      </c>
      <c r="S496" s="11">
        <f>LOOKUP(R496,{0,3.8,4,4.6,4.8,5,5.6,5.65,5.7,5.75,5.8,5.85,5.9,5.95,6,6.45,6.5,6.58,6.65,6.7,6.75},{0,10,20,30,40,50,60,62,64,66,68,70,72,74,76,78,80,85,90,95,100})</f>
        <v>100</v>
      </c>
      <c r="T496" s="12">
        <f>3.25-Q496</f>
        <v>0.1</v>
      </c>
      <c r="U496" s="11">
        <f>LOOKUP(T496,{0,0.04,0.08,0.12,0.16,0.2,0.23,0.26,0.29,0.32,0.35},{0,1,2,3,4,5,6,7,8,9,10})</f>
        <v>2</v>
      </c>
      <c r="V496" s="12">
        <f t="shared" ref="V496:V504" si="239">S496+U496</f>
        <v>102</v>
      </c>
      <c r="W496" s="12"/>
      <c r="X496" s="20">
        <f t="shared" ref="X496:X546" si="240">F496*0.1+H496*0.1+J496*0.1+P496*0.2+S496*0.2</f>
        <v>64.8</v>
      </c>
      <c r="Y496" s="20">
        <f t="shared" ref="Y496:Y505" si="241">X496/0.7+L496+U496</f>
        <v>94.5714285714286</v>
      </c>
    </row>
    <row r="497" ht="15.6" hidden="1" outlineLevel="2" spans="1:25">
      <c r="A497" s="12">
        <v>211</v>
      </c>
      <c r="B497" s="12">
        <v>2</v>
      </c>
      <c r="C497" s="6" t="s">
        <v>551</v>
      </c>
      <c r="D497" s="6" t="s">
        <v>11</v>
      </c>
      <c r="E497" s="12">
        <v>6.5</v>
      </c>
      <c r="F497" s="11">
        <f>LOOKUP(E497,{0,-2.9,-1.9,-0.9,0.1,1.1,2.1,3.5,4.9,6.3,7.7,9.1,10.5,11.9,13.3,14.7,16.1,18.3,20.5,22.4,24.3},{0,10,20,30,40,50,60,62,64,66,68,70,72,74,76,78,80,85,90,95,100})</f>
        <v>66</v>
      </c>
      <c r="G497" s="12">
        <v>250</v>
      </c>
      <c r="H497" s="11">
        <f>LOOKUP(G497,{0,175,180,185,190,195,200,204,208,212,216,220,224,228,232,236,240,248,255,260,265},{0,10,20,30,40,50,60,62,64,66,68,70,72,74,76,78,80,85,90,95,100})</f>
        <v>85</v>
      </c>
      <c r="I497" s="12">
        <v>0</v>
      </c>
      <c r="J497" s="11">
        <f>LOOKUP(I497,{0,3,4,5,6,7,8,9,10,11,12,13,14,15,16,17},{0,10,20,30,40,50,60,64,68,72,76,80,85,90,95,100})</f>
        <v>0</v>
      </c>
      <c r="K497" s="12"/>
      <c r="L497" s="12"/>
      <c r="M497" s="12">
        <f t="shared" si="236"/>
        <v>0</v>
      </c>
      <c r="N497" s="12">
        <v>7.3</v>
      </c>
      <c r="O497" s="12">
        <f t="shared" si="237"/>
        <v>4.7</v>
      </c>
      <c r="P497" s="11">
        <f>LOOKUP(O497,{0,1.6,1.8,2,2.2,2.4,2.6,2.8,3,3.2,3.4,3.6,3.8,4,4.2,4.4,4.6,4.7,4.8,4.9,5},{0,10,20,30,40,50,60,62,64,66,68,70,72,74,76,78,80,85,90,95,100})</f>
        <v>85</v>
      </c>
      <c r="Q497" s="12">
        <v>3.39</v>
      </c>
      <c r="R497" s="12">
        <f t="shared" si="238"/>
        <v>6.61</v>
      </c>
      <c r="S497" s="11">
        <f>LOOKUP(R497,{0,3.8,4,4.6,4.8,5,5.6,5.65,5.7,5.75,5.8,5.85,5.9,5.95,6,6.45,6.5,6.58,6.65,6.7,6.75},{0,10,20,30,40,50,60,62,64,66,68,70,72,74,76,78,80,85,90,95,100})</f>
        <v>85</v>
      </c>
      <c r="T497" s="12"/>
      <c r="U497" s="15"/>
      <c r="V497" s="12">
        <f t="shared" si="239"/>
        <v>85</v>
      </c>
      <c r="W497" s="12"/>
      <c r="X497" s="20">
        <f t="shared" si="240"/>
        <v>49.1</v>
      </c>
      <c r="Y497" s="20">
        <f t="shared" si="241"/>
        <v>70.1428571428572</v>
      </c>
    </row>
    <row r="498" ht="15.6" hidden="1" outlineLevel="2" spans="1:25">
      <c r="A498" s="12">
        <v>211</v>
      </c>
      <c r="B498" s="12">
        <v>3</v>
      </c>
      <c r="C498" s="6" t="s">
        <v>552</v>
      </c>
      <c r="D498" s="6" t="s">
        <v>11</v>
      </c>
      <c r="E498" s="12">
        <v>18.2</v>
      </c>
      <c r="F498" s="11">
        <f>LOOKUP(E498,{0,-2.9,-1.9,-0.9,0.1,1.1,2.1,3.5,4.9,6.3,7.7,9.1,10.5,11.9,13.3,14.7,16.1,18.3,20.5,22.4,24.3},{0,10,20,30,40,50,60,62,64,66,68,70,72,74,76,78,80,85,90,95,100})</f>
        <v>80</v>
      </c>
      <c r="G498" s="12">
        <v>245</v>
      </c>
      <c r="H498" s="11">
        <f>LOOKUP(G498,{0,175,180,185,190,195,200,204,208,212,216,220,224,228,232,236,240,248,255,260,265},{0,10,20,30,40,50,60,62,64,66,68,70,72,74,76,78,80,85,90,95,100})</f>
        <v>80</v>
      </c>
      <c r="I498" s="12">
        <v>7</v>
      </c>
      <c r="J498" s="11">
        <f>LOOKUP(I498,{0,3,4,5,6,7,8,9,10,11,12,13,14,15,16,17},{0,10,20,30,40,50,60,64,68,72,76,80,85,90,95,100})</f>
        <v>50</v>
      </c>
      <c r="K498" s="12"/>
      <c r="L498" s="12"/>
      <c r="M498" s="12">
        <f t="shared" si="236"/>
        <v>50</v>
      </c>
      <c r="N498" s="12">
        <v>7</v>
      </c>
      <c r="O498" s="12">
        <f t="shared" si="237"/>
        <v>5</v>
      </c>
      <c r="P498" s="11">
        <f>LOOKUP(O498,{0,1.6,1.8,2,2.2,2.4,2.6,2.8,3,3.2,3.4,3.6,3.8,4,4.2,4.4,4.6,4.7,4.8,4.9,5},{0,10,20,30,40,50,60,62,64,66,68,70,72,74,76,78,80,85,90,95,100})</f>
        <v>100</v>
      </c>
      <c r="Q498" s="12">
        <v>3.57</v>
      </c>
      <c r="R498" s="12">
        <f t="shared" si="238"/>
        <v>6.43</v>
      </c>
      <c r="S498" s="11">
        <f>LOOKUP(R498,{0,3.8,4,4.6,4.8,5,5.6,5.65,5.7,5.75,5.8,5.85,5.9,5.95,6,6.45,6.5,6.58,6.65,6.7,6.75},{0,10,20,30,40,50,60,62,64,66,68,70,72,74,76,78,80,85,90,95,100})</f>
        <v>76</v>
      </c>
      <c r="T498" s="12"/>
      <c r="U498" s="15"/>
      <c r="V498" s="12">
        <f t="shared" si="239"/>
        <v>76</v>
      </c>
      <c r="W498" s="12"/>
      <c r="X498" s="20">
        <f t="shared" si="240"/>
        <v>56.2</v>
      </c>
      <c r="Y498" s="20">
        <f t="shared" si="241"/>
        <v>80.2857142857143</v>
      </c>
    </row>
    <row r="499" ht="15.6" hidden="1" outlineLevel="2" spans="1:25">
      <c r="A499" s="12">
        <v>211</v>
      </c>
      <c r="B499" s="12">
        <v>4</v>
      </c>
      <c r="C499" s="6" t="s">
        <v>553</v>
      </c>
      <c r="D499" s="6" t="s">
        <v>11</v>
      </c>
      <c r="E499" s="12">
        <v>23.5</v>
      </c>
      <c r="F499" s="11">
        <f>LOOKUP(E499,{0,-2.9,-1.9,-0.9,0.1,1.1,2.1,3.5,4.9,6.3,7.7,9.1,10.5,11.9,13.3,14.7,16.1,18.3,20.5,22.4,24.3},{0,10,20,30,40,50,60,62,64,66,68,70,72,74,76,78,80,85,90,95,100})</f>
        <v>95</v>
      </c>
      <c r="G499" s="12">
        <v>260</v>
      </c>
      <c r="H499" s="11">
        <f>LOOKUP(G499,{0,175,180,185,190,195,200,204,208,212,216,220,224,228,232,236,240,248,255,260,265},{0,10,20,30,40,50,60,62,64,66,68,70,72,74,76,78,80,85,90,95,100})</f>
        <v>95</v>
      </c>
      <c r="I499" s="12">
        <v>18</v>
      </c>
      <c r="J499" s="11">
        <f>LOOKUP(I499,{0,3,4,5,6,7,8,9,10,11,12,13,14,15,16,17},{0,10,20,30,40,50,60,64,68,72,76,80,85,90,95,100})</f>
        <v>100</v>
      </c>
      <c r="K499" s="12">
        <f t="shared" ref="K499:K503" si="242">I499-17</f>
        <v>1</v>
      </c>
      <c r="L499" s="11">
        <f>LOOKUP(K499,{0,1,2,3,4,5,6,7,8,9,10},{0,1,2,3,4,5,6,7,8,9,10})</f>
        <v>1</v>
      </c>
      <c r="M499" s="12">
        <f t="shared" si="236"/>
        <v>101</v>
      </c>
      <c r="N499" s="12">
        <v>7.4</v>
      </c>
      <c r="O499" s="12">
        <f t="shared" si="237"/>
        <v>4.6</v>
      </c>
      <c r="P499" s="11">
        <f>LOOKUP(O499,{0,1.6,1.8,2,2.2,2.4,2.6,2.8,3,3.2,3.4,3.6,3.8,4,4.2,4.4,4.6,4.7,4.8,4.9,5},{0,10,20,30,40,50,60,62,64,66,68,70,72,74,76,78,80,85,90,95,100})</f>
        <v>80</v>
      </c>
      <c r="Q499" s="12">
        <v>4.13</v>
      </c>
      <c r="R499" s="12">
        <f t="shared" si="238"/>
        <v>5.87</v>
      </c>
      <c r="S499" s="11">
        <f>LOOKUP(R499,{0,3.8,4,4.6,4.8,5,5.6,5.65,5.7,5.75,5.8,5.85,5.9,5.95,6,6.45,6.5,6.58,6.65,6.7,6.75},{0,10,20,30,40,50,60,62,64,66,68,70,72,74,76,78,80,85,90,95,100})</f>
        <v>70</v>
      </c>
      <c r="T499" s="12"/>
      <c r="U499" s="12"/>
      <c r="V499" s="12">
        <f t="shared" si="239"/>
        <v>70</v>
      </c>
      <c r="W499" s="12"/>
      <c r="X499" s="20">
        <f t="shared" si="240"/>
        <v>59</v>
      </c>
      <c r="Y499" s="20">
        <f t="shared" si="241"/>
        <v>85.2857142857143</v>
      </c>
    </row>
    <row r="500" ht="15.6" hidden="1" outlineLevel="2" spans="1:25">
      <c r="A500" s="12">
        <v>211</v>
      </c>
      <c r="B500" s="12">
        <v>5</v>
      </c>
      <c r="C500" s="6" t="s">
        <v>554</v>
      </c>
      <c r="D500" s="6" t="s">
        <v>11</v>
      </c>
      <c r="E500" s="12">
        <v>7.4</v>
      </c>
      <c r="F500" s="11">
        <f>LOOKUP(E500,{0,-2.9,-1.9,-0.9,0.1,1.1,2.1,3.5,4.9,6.3,7.7,9.1,10.5,11.9,13.3,14.7,16.1,18.3,20.5,22.4,24.3},{0,10,20,30,40,50,60,62,64,66,68,70,72,74,76,78,80,85,90,95,100})</f>
        <v>66</v>
      </c>
      <c r="G500" s="12">
        <v>228</v>
      </c>
      <c r="H500" s="11">
        <f>LOOKUP(G500,{0,175,180,185,190,195,200,204,208,212,216,220,224,228,232,236,240,248,255,260,265},{0,10,20,30,40,50,60,62,64,66,68,70,72,74,76,78,80,85,90,95,100})</f>
        <v>74</v>
      </c>
      <c r="I500" s="12">
        <v>22</v>
      </c>
      <c r="J500" s="11">
        <f>LOOKUP(I500,{0,3,4,5,6,7,8,9,10,11,12,13,14,15,16,17},{0,10,20,30,40,50,60,64,68,72,76,80,85,90,95,100})</f>
        <v>100</v>
      </c>
      <c r="K500" s="12">
        <f t="shared" si="242"/>
        <v>5</v>
      </c>
      <c r="L500" s="11">
        <f>LOOKUP(K500,{0,1,2,3,4,5,6,7,8,9,10},{0,1,2,3,4,5,6,7,8,9,10})</f>
        <v>5</v>
      </c>
      <c r="M500" s="12">
        <f t="shared" si="236"/>
        <v>105</v>
      </c>
      <c r="N500" s="12">
        <v>7.2</v>
      </c>
      <c r="O500" s="12">
        <f t="shared" si="237"/>
        <v>4.8</v>
      </c>
      <c r="P500" s="11">
        <f>LOOKUP(O500,{0,1.6,1.8,2,2.2,2.4,2.6,2.8,3,3.2,3.4,3.6,3.8,4,4.2,4.4,4.6,4.7,4.8,4.9,5},{0,10,20,30,40,50,60,62,64,66,68,70,72,74,76,78,80,85,90,95,100})</f>
        <v>90</v>
      </c>
      <c r="Q500" s="12">
        <v>4.1</v>
      </c>
      <c r="R500" s="12">
        <f t="shared" si="238"/>
        <v>5.9</v>
      </c>
      <c r="S500" s="11">
        <f>LOOKUP(R500,{0,3.8,4,4.6,4.8,5,5.6,5.65,5.7,5.75,5.8,5.85,5.9,5.95,6,6.45,6.5,6.58,6.65,6.7,6.75},{0,10,20,30,40,50,60,62,64,66,68,70,72,74,76,78,80,85,90,95,100})</f>
        <v>72</v>
      </c>
      <c r="T500" s="12"/>
      <c r="U500" s="15"/>
      <c r="V500" s="12">
        <f t="shared" si="239"/>
        <v>72</v>
      </c>
      <c r="W500" s="12"/>
      <c r="X500" s="20">
        <f t="shared" si="240"/>
        <v>56.4</v>
      </c>
      <c r="Y500" s="20">
        <f t="shared" si="241"/>
        <v>85.5714285714286</v>
      </c>
    </row>
    <row r="501" s="1" customFormat="1" ht="15.6" hidden="1" outlineLevel="2" spans="1:25">
      <c r="A501" s="12">
        <v>211</v>
      </c>
      <c r="B501" s="12">
        <v>6</v>
      </c>
      <c r="C501" s="6" t="s">
        <v>555</v>
      </c>
      <c r="D501" s="6" t="s">
        <v>11</v>
      </c>
      <c r="E501" s="12">
        <v>17</v>
      </c>
      <c r="F501" s="11">
        <f>LOOKUP(E501,{0,-2.9,-1.9,-0.9,0.1,1.1,2.1,3.5,4.9,6.3,7.7,9.1,10.5,11.9,13.3,14.7,16.1,18.3,20.5,22.4,24.3},{0,10,20,30,40,50,60,62,64,66,68,70,72,74,76,78,80,85,90,95,100})</f>
        <v>80</v>
      </c>
      <c r="G501" s="12">
        <v>239</v>
      </c>
      <c r="H501" s="11">
        <f>LOOKUP(G501,{0,175,180,185,190,195,200,204,208,212,216,220,224,228,232,236,240,248,255,260,265},{0,10,20,30,40,50,60,62,64,66,68,70,72,74,76,78,80,85,90,95,100})</f>
        <v>78</v>
      </c>
      <c r="I501" s="12">
        <v>0</v>
      </c>
      <c r="J501" s="11">
        <f>LOOKUP(I501,{0,3,4,5,6,7,8,9,10,11,12,13,14,15,16,17},{0,10,20,30,40,50,60,64,68,72,76,80,85,90,95,100})</f>
        <v>0</v>
      </c>
      <c r="K501" s="12"/>
      <c r="L501" s="12"/>
      <c r="M501" s="12">
        <f t="shared" si="236"/>
        <v>0</v>
      </c>
      <c r="N501" s="12">
        <v>7.7</v>
      </c>
      <c r="O501" s="12">
        <f t="shared" si="237"/>
        <v>4.3</v>
      </c>
      <c r="P501" s="11">
        <f>LOOKUP(O501,{0,1.6,1.8,2,2.2,2.4,2.6,2.8,3,3.2,3.4,3.6,3.8,4,4.2,4.4,4.6,4.7,4.8,4.9,5},{0,10,20,30,40,50,60,62,64,66,68,70,72,74,76,78,80,85,90,95,100})</f>
        <v>76</v>
      </c>
      <c r="Q501" s="12">
        <v>4.24</v>
      </c>
      <c r="R501" s="12">
        <f t="shared" si="238"/>
        <v>5.76</v>
      </c>
      <c r="S501" s="11">
        <f>LOOKUP(R501,{0,3.8,4,4.6,4.8,5,5.6,5.65,5.7,5.75,5.8,5.85,5.9,5.95,6,6.45,6.5,6.58,6.65,6.7,6.75},{0,10,20,30,40,50,60,62,64,66,68,70,72,74,76,78,80,85,90,95,100})</f>
        <v>66</v>
      </c>
      <c r="T501" s="12"/>
      <c r="U501" s="12"/>
      <c r="V501" s="12">
        <f t="shared" si="239"/>
        <v>66</v>
      </c>
      <c r="W501" s="12"/>
      <c r="X501" s="20">
        <f t="shared" si="240"/>
        <v>44.2</v>
      </c>
      <c r="Y501" s="20">
        <f t="shared" si="241"/>
        <v>63.1428571428572</v>
      </c>
    </row>
    <row r="502" ht="15.6" hidden="1" outlineLevel="2" spans="1:25">
      <c r="A502" s="12">
        <v>211</v>
      </c>
      <c r="B502" s="12">
        <v>7</v>
      </c>
      <c r="C502" s="6" t="s">
        <v>556</v>
      </c>
      <c r="D502" s="6" t="s">
        <v>11</v>
      </c>
      <c r="E502" s="12">
        <v>10</v>
      </c>
      <c r="F502" s="11">
        <f>LOOKUP(E502,{0,-2.9,-1.9,-0.9,0.1,1.1,2.1,3.5,4.9,6.3,7.7,9.1,10.5,11.9,13.3,14.7,16.1,18.3,20.5,22.4,24.3},{0,10,20,30,40,50,60,62,64,66,68,70,72,74,76,78,80,85,90,95,100})</f>
        <v>70</v>
      </c>
      <c r="G502" s="12">
        <v>247</v>
      </c>
      <c r="H502" s="11">
        <f>LOOKUP(G502,{0,175,180,185,190,195,200,204,208,212,216,220,224,228,232,236,240,248,255,260,265},{0,10,20,30,40,50,60,62,64,66,68,70,72,74,76,78,80,85,90,95,100})</f>
        <v>80</v>
      </c>
      <c r="I502" s="12">
        <v>12</v>
      </c>
      <c r="J502" s="11">
        <f>LOOKUP(I502,{0,3,4,5,6,7,8,9,10,11,12,13,14,15,16,17},{0,10,20,30,40,50,60,64,68,72,76,80,85,90,95,100})</f>
        <v>76</v>
      </c>
      <c r="K502" s="12"/>
      <c r="L502" s="12"/>
      <c r="M502" s="12">
        <f t="shared" si="236"/>
        <v>76</v>
      </c>
      <c r="N502" s="12">
        <v>9.2</v>
      </c>
      <c r="O502" s="12">
        <f t="shared" si="237"/>
        <v>2.8</v>
      </c>
      <c r="P502" s="11">
        <f>LOOKUP(O502,{0,1.6,1.8,2,2.2,2.4,2.6,2.8,3,3.2,3.4,3.6,3.8,4,4.2,4.4,4.6,4.7,4.8,4.9,5},{0,10,20,30,40,50,60,62,64,66,68,70,72,74,76,78,80,85,90,95,100})</f>
        <v>62</v>
      </c>
      <c r="Q502" s="12">
        <v>3.41</v>
      </c>
      <c r="R502" s="12">
        <f t="shared" si="238"/>
        <v>6.59</v>
      </c>
      <c r="S502" s="11">
        <f>LOOKUP(R502,{0,3.8,4,4.6,4.8,5,5.6,5.65,5.7,5.75,5.8,5.85,5.9,5.95,6,6.45,6.5,6.58,6.65,6.7,6.75},{0,10,20,30,40,50,60,62,64,66,68,70,72,74,76,78,80,85,90,95,100})</f>
        <v>85</v>
      </c>
      <c r="T502" s="12"/>
      <c r="U502" s="12"/>
      <c r="V502" s="12">
        <f t="shared" si="239"/>
        <v>85</v>
      </c>
      <c r="W502" s="12"/>
      <c r="X502" s="20">
        <f t="shared" si="240"/>
        <v>52</v>
      </c>
      <c r="Y502" s="20">
        <f t="shared" si="241"/>
        <v>74.2857142857143</v>
      </c>
    </row>
    <row r="503" ht="15.6" hidden="1" outlineLevel="2" spans="1:25">
      <c r="A503" s="12">
        <v>211</v>
      </c>
      <c r="B503" s="12">
        <v>8</v>
      </c>
      <c r="C503" s="6" t="s">
        <v>557</v>
      </c>
      <c r="D503" s="6" t="s">
        <v>11</v>
      </c>
      <c r="E503" s="12">
        <v>13.8</v>
      </c>
      <c r="F503" s="11">
        <f>LOOKUP(E503,{0,-2.9,-1.9,-0.9,0.1,1.1,2.1,3.5,4.9,6.3,7.7,9.1,10.5,11.9,13.3,14.7,16.1,18.3,20.5,22.4,24.3},{0,10,20,30,40,50,60,62,64,66,68,70,72,74,76,78,80,85,90,95,100})</f>
        <v>76</v>
      </c>
      <c r="G503" s="12">
        <v>257</v>
      </c>
      <c r="H503" s="11">
        <f>LOOKUP(G503,{0,175,180,185,190,195,200,204,208,212,216,220,224,228,232,236,240,248,255,260,265},{0,10,20,30,40,50,60,62,64,66,68,70,72,74,76,78,80,85,90,95,100})</f>
        <v>90</v>
      </c>
      <c r="I503" s="12">
        <v>40</v>
      </c>
      <c r="J503" s="11">
        <f>LOOKUP(I503,{0,3,4,5,6,7,8,9,10,11,12,13,14,15,16,17},{0,10,20,30,40,50,60,64,68,72,76,80,85,90,95,100})</f>
        <v>100</v>
      </c>
      <c r="K503" s="12">
        <f t="shared" si="242"/>
        <v>23</v>
      </c>
      <c r="L503" s="11">
        <f>LOOKUP(K503,{0,1,2,3,4,5,6,7,8,9,10},{0,1,2,3,4,5,6,7,8,9,10})</f>
        <v>10</v>
      </c>
      <c r="M503" s="12">
        <f t="shared" si="236"/>
        <v>110</v>
      </c>
      <c r="N503" s="12">
        <v>7.2</v>
      </c>
      <c r="O503" s="12">
        <f t="shared" si="237"/>
        <v>4.8</v>
      </c>
      <c r="P503" s="11">
        <f>LOOKUP(O503,{0,1.6,1.8,2,2.2,2.4,2.6,2.8,3,3.2,3.4,3.6,3.8,4,4.2,4.4,4.6,4.7,4.8,4.9,5},{0,10,20,30,40,50,60,62,64,66,68,70,72,74,76,78,80,85,90,95,100})</f>
        <v>90</v>
      </c>
      <c r="Q503" s="12">
        <v>3.47</v>
      </c>
      <c r="R503" s="12">
        <f t="shared" si="238"/>
        <v>6.53</v>
      </c>
      <c r="S503" s="11">
        <f>LOOKUP(R503,{0,3.8,4,4.6,4.8,5,5.6,5.65,5.7,5.75,5.8,5.85,5.9,5.95,6,6.45,6.5,6.58,6.65,6.7,6.75},{0,10,20,30,40,50,60,62,64,66,68,70,72,74,76,78,80,85,90,95,100})</f>
        <v>80</v>
      </c>
      <c r="T503" s="12"/>
      <c r="U503" s="12"/>
      <c r="V503" s="12">
        <f t="shared" si="239"/>
        <v>80</v>
      </c>
      <c r="W503" s="12"/>
      <c r="X503" s="20">
        <f t="shared" si="240"/>
        <v>60.6</v>
      </c>
      <c r="Y503" s="20">
        <f t="shared" si="241"/>
        <v>96.5714285714286</v>
      </c>
    </row>
    <row r="504" ht="15.6" hidden="1" outlineLevel="2" spans="1:25">
      <c r="A504" s="12">
        <v>211</v>
      </c>
      <c r="B504" s="12">
        <v>9</v>
      </c>
      <c r="C504" s="6" t="s">
        <v>558</v>
      </c>
      <c r="D504" s="6" t="s">
        <v>11</v>
      </c>
      <c r="E504" s="12">
        <v>19.3</v>
      </c>
      <c r="F504" s="11">
        <f>LOOKUP(E504,{0,-2.9,-1.9,-0.9,0.1,1.1,2.1,3.5,4.9,6.3,7.7,9.1,10.5,11.9,13.3,14.7,16.1,18.3,20.5,22.4,24.3},{0,10,20,30,40,50,60,62,64,66,68,70,72,74,76,78,80,85,90,95,100})</f>
        <v>85</v>
      </c>
      <c r="G504" s="12">
        <v>214</v>
      </c>
      <c r="H504" s="11">
        <f>LOOKUP(G504,{0,175,180,185,190,195,200,204,208,212,216,220,224,228,232,236,240,248,255,260,265},{0,10,20,30,40,50,60,62,64,66,68,70,72,74,76,78,80,85,90,95,100})</f>
        <v>66</v>
      </c>
      <c r="I504" s="12">
        <v>6</v>
      </c>
      <c r="J504" s="11">
        <f>LOOKUP(I504,{0,3,4,5,6,7,8,9,10,11,12,13,14,15,16,17},{0,10,20,30,40,50,60,64,68,72,76,80,85,90,95,100})</f>
        <v>40</v>
      </c>
      <c r="K504" s="12"/>
      <c r="L504" s="12"/>
      <c r="M504" s="12">
        <f t="shared" si="236"/>
        <v>40</v>
      </c>
      <c r="N504" s="12">
        <v>7.1</v>
      </c>
      <c r="O504" s="12">
        <f t="shared" si="237"/>
        <v>4.9</v>
      </c>
      <c r="P504" s="11">
        <f>LOOKUP(O504,{0,1.6,1.8,2,2.2,2.4,2.6,2.8,3,3.2,3.4,3.6,3.8,4,4.2,4.4,4.6,4.7,4.8,4.9,5},{0,10,20,30,40,50,60,62,64,66,68,70,72,74,76,78,80,85,90,95,100})</f>
        <v>95</v>
      </c>
      <c r="Q504" s="12">
        <v>3.58</v>
      </c>
      <c r="R504" s="12">
        <f t="shared" si="238"/>
        <v>6.42</v>
      </c>
      <c r="S504" s="11">
        <f>LOOKUP(R504,{0,3.8,4,4.6,4.8,5,5.6,5.65,5.7,5.75,5.8,5.85,5.9,5.95,6,6.45,6.5,6.58,6.65,6.7,6.75},{0,10,20,30,40,50,60,62,64,66,68,70,72,74,76,78,80,85,90,95,100})</f>
        <v>76</v>
      </c>
      <c r="T504" s="12"/>
      <c r="U504" s="12"/>
      <c r="V504" s="12">
        <f t="shared" si="239"/>
        <v>76</v>
      </c>
      <c r="W504" s="12"/>
      <c r="X504" s="20">
        <f t="shared" si="240"/>
        <v>53.3</v>
      </c>
      <c r="Y504" s="20">
        <f t="shared" si="241"/>
        <v>76.1428571428572</v>
      </c>
    </row>
    <row r="505" ht="15.6" hidden="1" outlineLevel="2" spans="1:25">
      <c r="A505" s="12">
        <v>211</v>
      </c>
      <c r="B505" s="12">
        <v>10</v>
      </c>
      <c r="C505" s="6" t="s">
        <v>559</v>
      </c>
      <c r="D505" s="6" t="s">
        <v>11</v>
      </c>
      <c r="E505" s="12">
        <v>18.5</v>
      </c>
      <c r="F505" s="11">
        <f>LOOKUP(E505,{0,-2.9,-1.9,-0.9,0.1,1.1,2.1,3.5,4.9,6.3,7.7,9.1,10.5,11.9,13.3,14.7,16.1,18.3,20.5,22.4,24.3},{0,10,20,30,40,50,60,62,64,66,68,70,72,74,76,78,80,85,90,95,100})</f>
        <v>85</v>
      </c>
      <c r="G505" s="12">
        <v>260</v>
      </c>
      <c r="H505" s="11">
        <f>LOOKUP(G505,{0,175,180,185,190,195,200,204,208,212,216,220,224,228,232,236,240,248,255,260,265},{0,10,20,30,40,50,60,62,64,66,68,70,72,74,76,78,80,85,90,95,100})</f>
        <v>95</v>
      </c>
      <c r="I505" s="12">
        <v>17</v>
      </c>
      <c r="J505" s="11">
        <f>LOOKUP(I505,{0,3,4,5,6,7,8,9,10,11,12,13,14,15,16,17},{0,10,20,30,40,50,60,64,68,72,76,80,85,90,95,100})</f>
        <v>100</v>
      </c>
      <c r="K505" s="12">
        <f>I505-17</f>
        <v>0</v>
      </c>
      <c r="L505" s="11">
        <f>LOOKUP(K505,{0,1,2,3,4,5,6,7,8,9,10},{0,1,2,3,4,5,6,7,8,9,10})</f>
        <v>0</v>
      </c>
      <c r="M505" s="12">
        <f t="shared" si="236"/>
        <v>100</v>
      </c>
      <c r="N505" s="12">
        <v>6.8</v>
      </c>
      <c r="O505" s="12">
        <f t="shared" si="237"/>
        <v>5.2</v>
      </c>
      <c r="P505" s="11">
        <f>LOOKUP(O505,{0,1.6,1.8,2,2.2,2.4,2.6,2.8,3,3.2,3.4,3.6,3.8,4,4.2,4.4,4.6,4.7,4.8,4.9,5},{0,10,20,30,40,50,60,62,64,66,68,70,72,74,76,78,80,85,90,95,100})</f>
        <v>100</v>
      </c>
      <c r="Q505" s="12"/>
      <c r="R505" s="12"/>
      <c r="S505" s="11"/>
      <c r="T505" s="12"/>
      <c r="U505" s="11"/>
      <c r="V505" s="12"/>
      <c r="W505" s="12"/>
      <c r="X505" s="20">
        <f t="shared" si="240"/>
        <v>48</v>
      </c>
      <c r="Y505" s="20">
        <f t="shared" si="241"/>
        <v>68.5714285714286</v>
      </c>
    </row>
    <row r="506" ht="15.6" hidden="1" outlineLevel="2" spans="1:25">
      <c r="A506" s="12">
        <v>211</v>
      </c>
      <c r="B506" s="12">
        <v>11</v>
      </c>
      <c r="C506" s="6" t="s">
        <v>560</v>
      </c>
      <c r="D506" s="6" t="s">
        <v>11</v>
      </c>
      <c r="E506" s="12">
        <v>22.7</v>
      </c>
      <c r="F506" s="11">
        <f>LOOKUP(E506,{0,-2.9,-1.9,-0.9,0.1,1.1,2.1,3.5,4.9,6.3,7.7,9.1,10.5,11.9,13.3,14.7,16.1,18.3,20.5,22.4,24.3},{0,10,20,30,40,50,60,62,64,66,68,70,72,74,76,78,80,85,90,95,100})</f>
        <v>95</v>
      </c>
      <c r="G506" s="12"/>
      <c r="H506" s="11"/>
      <c r="I506" s="12">
        <v>7</v>
      </c>
      <c r="J506" s="11">
        <f>LOOKUP(I506,{0,3,4,5,6,7,8,9,10,11,12,13,14,15,16,17},{0,10,20,30,40,50,60,64,68,72,76,80,85,90,95,100})</f>
        <v>50</v>
      </c>
      <c r="K506" s="12"/>
      <c r="L506" s="12"/>
      <c r="M506" s="12">
        <f t="shared" si="236"/>
        <v>50</v>
      </c>
      <c r="N506" s="12"/>
      <c r="O506" s="12"/>
      <c r="P506" s="11"/>
      <c r="Q506" s="12"/>
      <c r="R506" s="12"/>
      <c r="S506" s="11"/>
      <c r="T506" s="12"/>
      <c r="U506" s="11"/>
      <c r="V506" s="12"/>
      <c r="W506" s="12" t="s">
        <v>561</v>
      </c>
      <c r="X506" s="20">
        <f t="shared" si="240"/>
        <v>14.5</v>
      </c>
      <c r="Y506" s="20">
        <v>50</v>
      </c>
    </row>
    <row r="507" ht="15.6" hidden="1" outlineLevel="2" spans="1:25">
      <c r="A507" s="12">
        <v>211</v>
      </c>
      <c r="B507" s="12">
        <v>12</v>
      </c>
      <c r="C507" s="13" t="s">
        <v>563</v>
      </c>
      <c r="D507" s="6" t="s">
        <v>11</v>
      </c>
      <c r="E507" s="12"/>
      <c r="F507" s="11"/>
      <c r="G507" s="12"/>
      <c r="H507" s="11"/>
      <c r="I507" s="12"/>
      <c r="J507" s="11"/>
      <c r="K507" s="12"/>
      <c r="L507" s="12"/>
      <c r="M507" s="12"/>
      <c r="N507" s="12"/>
      <c r="O507" s="12"/>
      <c r="P507" s="11"/>
      <c r="Q507" s="12"/>
      <c r="R507" s="12"/>
      <c r="S507" s="11"/>
      <c r="T507" s="12"/>
      <c r="U507" s="11"/>
      <c r="V507" s="12"/>
      <c r="W507" s="12"/>
      <c r="X507" s="20">
        <f t="shared" si="240"/>
        <v>0</v>
      </c>
      <c r="Y507" s="23">
        <v>50</v>
      </c>
    </row>
    <row r="508" ht="15.6" hidden="1" outlineLevel="2" spans="1:25">
      <c r="A508" s="12">
        <v>211</v>
      </c>
      <c r="B508" s="12">
        <v>13</v>
      </c>
      <c r="C508" s="6" t="s">
        <v>564</v>
      </c>
      <c r="D508" s="6" t="s">
        <v>11</v>
      </c>
      <c r="E508" s="12">
        <v>4</v>
      </c>
      <c r="F508" s="11">
        <f>LOOKUP(E508,{0,-2.9,-1.9,-0.9,0.1,1.1,2.1,3.5,4.9,6.3,7.7,9.1,10.5,11.9,13.3,14.7,16.1,18.3,20.5,22.4,24.3},{0,10,20,30,40,50,60,62,64,66,68,70,72,74,76,78,80,85,90,95,100})</f>
        <v>62</v>
      </c>
      <c r="G508" s="12">
        <v>220</v>
      </c>
      <c r="H508" s="11">
        <f>LOOKUP(G508,{0,175,180,185,190,195,200,204,208,212,216,220,224,228,232,236,240,248,255,260,265},{0,10,20,30,40,50,60,62,64,66,68,70,72,74,76,78,80,85,90,95,100})</f>
        <v>70</v>
      </c>
      <c r="I508" s="12">
        <v>10</v>
      </c>
      <c r="J508" s="11">
        <f>LOOKUP(I508,{0,3,4,5,6,7,8,9,10,11,12,13,14,15,16,17},{0,10,20,30,40,50,60,64,68,72,76,80,85,90,95,100})</f>
        <v>68</v>
      </c>
      <c r="K508" s="12"/>
      <c r="L508" s="12"/>
      <c r="M508" s="12">
        <f t="shared" ref="M508:M517" si="243">J508+L508</f>
        <v>68</v>
      </c>
      <c r="N508" s="12">
        <v>7.7</v>
      </c>
      <c r="O508" s="12">
        <f t="shared" ref="O508:O517" si="244">12-N508</f>
        <v>4.3</v>
      </c>
      <c r="P508" s="11">
        <f>LOOKUP(O508,{0,1.6,1.8,2,2.2,2.4,2.6,2.8,3,3.2,3.4,3.6,3.8,4,4.2,4.4,4.6,4.7,4.8,4.9,5},{0,10,20,30,40,50,60,62,64,66,68,70,72,74,76,78,80,85,90,95,100})</f>
        <v>76</v>
      </c>
      <c r="Q508" s="12">
        <v>3.54</v>
      </c>
      <c r="R508" s="12">
        <f t="shared" ref="R508:R517" si="245">10-Q508</f>
        <v>6.46</v>
      </c>
      <c r="S508" s="11">
        <f>LOOKUP(R508,{0,3.8,4,4.6,4.8,5,5.6,5.65,5.7,5.75,5.8,5.85,5.9,5.95,6,6.45,6.5,6.58,6.65,6.7,6.75},{0,10,20,30,40,50,60,62,64,66,68,70,72,74,76,78,80,85,90,95,100})</f>
        <v>78</v>
      </c>
      <c r="T508" s="12"/>
      <c r="U508" s="12"/>
      <c r="V508" s="12">
        <f t="shared" ref="V508:V517" si="246">S508+U508</f>
        <v>78</v>
      </c>
      <c r="W508" s="12"/>
      <c r="X508" s="20">
        <f t="shared" si="240"/>
        <v>50.8</v>
      </c>
      <c r="Y508" s="20">
        <f t="shared" ref="Y508:Y517" si="247">X508/0.7+L508+U508</f>
        <v>72.5714285714286</v>
      </c>
    </row>
    <row r="509" ht="15.6" hidden="1" outlineLevel="2" spans="1:25">
      <c r="A509" s="12">
        <v>211</v>
      </c>
      <c r="B509" s="12">
        <v>14</v>
      </c>
      <c r="C509" s="6" t="s">
        <v>565</v>
      </c>
      <c r="D509" s="6" t="s">
        <v>11</v>
      </c>
      <c r="E509" s="12">
        <v>19</v>
      </c>
      <c r="F509" s="11">
        <f>LOOKUP(E509,{0,-2.9,-1.9,-0.9,0.1,1.1,2.1,3.5,4.9,6.3,7.7,9.1,10.5,11.9,13.3,14.7,16.1,18.3,20.5,22.4,24.3},{0,10,20,30,40,50,60,62,64,66,68,70,72,74,76,78,80,85,90,95,100})</f>
        <v>85</v>
      </c>
      <c r="G509" s="12">
        <v>261</v>
      </c>
      <c r="H509" s="11">
        <f>LOOKUP(G509,{0,175,180,185,190,195,200,204,208,212,216,220,224,228,232,236,240,248,255,260,265},{0,10,20,30,40,50,60,62,64,66,68,70,72,74,76,78,80,85,90,95,100})</f>
        <v>95</v>
      </c>
      <c r="I509" s="12">
        <v>22</v>
      </c>
      <c r="J509" s="11">
        <f>LOOKUP(I509,{0,3,4,5,6,7,8,9,10,11,12,13,14,15,16,17},{0,10,20,30,40,50,60,64,68,72,76,80,85,90,95,100})</f>
        <v>100</v>
      </c>
      <c r="K509" s="12">
        <f t="shared" ref="K509:K513" si="248">I509-17</f>
        <v>5</v>
      </c>
      <c r="L509" s="11">
        <f>LOOKUP(K509,{0,1,2,3,4,5,6,7,8,9,10},{0,1,2,3,4,5,6,7,8,9,10})</f>
        <v>5</v>
      </c>
      <c r="M509" s="12">
        <f t="shared" si="243"/>
        <v>105</v>
      </c>
      <c r="N509" s="12">
        <v>7.1</v>
      </c>
      <c r="O509" s="12">
        <f t="shared" si="244"/>
        <v>4.9</v>
      </c>
      <c r="P509" s="11">
        <f>LOOKUP(O509,{0,1.6,1.8,2,2.2,2.4,2.6,2.8,3,3.2,3.4,3.6,3.8,4,4.2,4.4,4.6,4.7,4.8,4.9,5},{0,10,20,30,40,50,60,62,64,66,68,70,72,74,76,78,80,85,90,95,100})</f>
        <v>95</v>
      </c>
      <c r="Q509" s="12">
        <v>3.49</v>
      </c>
      <c r="R509" s="12">
        <f t="shared" si="245"/>
        <v>6.51</v>
      </c>
      <c r="S509" s="11">
        <f>LOOKUP(R509,{0,3.8,4,4.6,4.8,5,5.6,5.65,5.7,5.75,5.8,5.85,5.9,5.95,6,6.45,6.5,6.58,6.65,6.7,6.75},{0,10,20,30,40,50,60,62,64,66,68,70,72,74,76,78,80,85,90,95,100})</f>
        <v>80</v>
      </c>
      <c r="T509" s="12"/>
      <c r="U509" s="12"/>
      <c r="V509" s="12">
        <f t="shared" si="246"/>
        <v>80</v>
      </c>
      <c r="W509" s="12"/>
      <c r="X509" s="20">
        <f t="shared" si="240"/>
        <v>63</v>
      </c>
      <c r="Y509" s="20">
        <f t="shared" si="247"/>
        <v>95</v>
      </c>
    </row>
    <row r="510" ht="15.6" hidden="1" outlineLevel="2" spans="1:25">
      <c r="A510" s="12">
        <v>211</v>
      </c>
      <c r="B510" s="12">
        <v>15</v>
      </c>
      <c r="C510" s="6" t="s">
        <v>566</v>
      </c>
      <c r="D510" s="6" t="s">
        <v>11</v>
      </c>
      <c r="E510" s="12">
        <v>19</v>
      </c>
      <c r="F510" s="11">
        <f>LOOKUP(E510,{0,-2.9,-1.9,-0.9,0.1,1.1,2.1,3.5,4.9,6.3,7.7,9.1,10.5,11.9,13.3,14.7,16.1,18.3,20.5,22.4,24.3},{0,10,20,30,40,50,60,62,64,66,68,70,72,74,76,78,80,85,90,95,100})</f>
        <v>85</v>
      </c>
      <c r="G510" s="12">
        <v>236</v>
      </c>
      <c r="H510" s="11">
        <f>LOOKUP(G510,{0,175,180,185,190,195,200,204,208,212,216,220,224,228,232,236,240,248,255,260,265},{0,10,20,30,40,50,60,62,64,66,68,70,72,74,76,78,80,85,90,95,100})</f>
        <v>78</v>
      </c>
      <c r="I510" s="12">
        <v>8</v>
      </c>
      <c r="J510" s="11">
        <f>LOOKUP(I510,{0,3,4,5,6,7,8,9,10,11,12,13,14,15,16,17},{0,10,20,30,40,50,60,64,68,72,76,80,85,90,95,100})</f>
        <v>60</v>
      </c>
      <c r="K510" s="12"/>
      <c r="L510" s="12"/>
      <c r="M510" s="12">
        <f t="shared" si="243"/>
        <v>60</v>
      </c>
      <c r="N510" s="12">
        <v>7.2</v>
      </c>
      <c r="O510" s="12">
        <f t="shared" si="244"/>
        <v>4.8</v>
      </c>
      <c r="P510" s="11">
        <f>LOOKUP(O510,{0,1.6,1.8,2,2.2,2.4,2.6,2.8,3,3.2,3.4,3.6,3.8,4,4.2,4.4,4.6,4.7,4.8,4.9,5},{0,10,20,30,40,50,60,62,64,66,68,70,72,74,76,78,80,85,90,95,100})</f>
        <v>90</v>
      </c>
      <c r="Q510" s="12">
        <v>3.28</v>
      </c>
      <c r="R510" s="12">
        <f t="shared" si="245"/>
        <v>6.72</v>
      </c>
      <c r="S510" s="11">
        <f>LOOKUP(R510,{0,3.8,4,4.6,4.8,5,5.6,5.65,5.7,5.75,5.8,5.85,5.9,5.95,6,6.45,6.5,6.58,6.65,6.7,6.75},{0,10,20,30,40,50,60,62,64,66,68,70,72,74,76,78,80,85,90,95,100})</f>
        <v>95</v>
      </c>
      <c r="T510" s="12"/>
      <c r="U510" s="12"/>
      <c r="V510" s="12">
        <f t="shared" si="246"/>
        <v>95</v>
      </c>
      <c r="W510" s="12"/>
      <c r="X510" s="20">
        <f t="shared" si="240"/>
        <v>59.3</v>
      </c>
      <c r="Y510" s="20">
        <f t="shared" si="247"/>
        <v>84.7142857142857</v>
      </c>
    </row>
    <row r="511" ht="15.6" hidden="1" outlineLevel="2" spans="1:25">
      <c r="A511" s="12">
        <v>211</v>
      </c>
      <c r="B511" s="12">
        <v>16</v>
      </c>
      <c r="C511" s="6" t="s">
        <v>567</v>
      </c>
      <c r="D511" s="6" t="s">
        <v>11</v>
      </c>
      <c r="E511" s="12">
        <v>19</v>
      </c>
      <c r="F511" s="11">
        <f>LOOKUP(E511,{0,-2.9,-1.9,-0.9,0.1,1.1,2.1,3.5,4.9,6.3,7.7,9.1,10.5,11.9,13.3,14.7,16.1,18.3,20.5,22.4,24.3},{0,10,20,30,40,50,60,62,64,66,68,70,72,74,76,78,80,85,90,95,100})</f>
        <v>85</v>
      </c>
      <c r="G511" s="12">
        <v>218</v>
      </c>
      <c r="H511" s="11">
        <f>LOOKUP(G511,{0,175,180,185,190,195,200,204,208,212,216,220,224,228,232,236,240,248,255,260,265},{0,10,20,30,40,50,60,62,64,66,68,70,72,74,76,78,80,85,90,95,100})</f>
        <v>68</v>
      </c>
      <c r="I511" s="12">
        <v>0</v>
      </c>
      <c r="J511" s="11">
        <f>LOOKUP(I511,{0,3,4,5,6,7,8,9,10,11,12,13,14,15,16,17},{0,10,20,30,40,50,60,64,68,72,76,80,85,90,95,100})</f>
        <v>0</v>
      </c>
      <c r="K511" s="12"/>
      <c r="L511" s="12"/>
      <c r="M511" s="12">
        <f t="shared" si="243"/>
        <v>0</v>
      </c>
      <c r="N511" s="12">
        <v>8.2</v>
      </c>
      <c r="O511" s="12">
        <f t="shared" si="244"/>
        <v>3.8</v>
      </c>
      <c r="P511" s="11">
        <f>LOOKUP(O511,{0,1.6,1.8,2,2.2,2.4,2.6,2.8,3,3.2,3.4,3.6,3.8,4,4.2,4.4,4.6,4.7,4.8,4.9,5},{0,10,20,30,40,50,60,62,64,66,68,70,72,74,76,78,80,85,90,95,100})</f>
        <v>72</v>
      </c>
      <c r="Q511" s="12">
        <v>4.34</v>
      </c>
      <c r="R511" s="12">
        <f t="shared" si="245"/>
        <v>5.66</v>
      </c>
      <c r="S511" s="11">
        <f>LOOKUP(R511,{0,3.8,4,4.6,4.8,5,5.6,5.65,5.7,5.75,5.8,5.85,5.9,5.95,6,6.45,6.5,6.58,6.65,6.7,6.75},{0,10,20,30,40,50,60,62,64,66,68,70,72,74,76,78,80,85,90,95,100})</f>
        <v>62</v>
      </c>
      <c r="T511" s="12"/>
      <c r="U511" s="12"/>
      <c r="V511" s="12">
        <f t="shared" si="246"/>
        <v>62</v>
      </c>
      <c r="W511" s="12"/>
      <c r="X511" s="20">
        <f t="shared" si="240"/>
        <v>42.1</v>
      </c>
      <c r="Y511" s="20">
        <f t="shared" si="247"/>
        <v>60.1428571428571</v>
      </c>
    </row>
    <row r="512" ht="15.6" hidden="1" outlineLevel="2" spans="1:25">
      <c r="A512" s="12">
        <v>211</v>
      </c>
      <c r="B512" s="12">
        <v>17</v>
      </c>
      <c r="C512" s="6" t="s">
        <v>568</v>
      </c>
      <c r="D512" s="6" t="s">
        <v>11</v>
      </c>
      <c r="E512" s="12">
        <v>26</v>
      </c>
      <c r="F512" s="11">
        <f>LOOKUP(E512,{0,-2.9,-1.9,-0.9,0.1,1.1,2.1,3.5,4.9,6.3,7.7,9.1,10.5,11.9,13.3,14.7,16.1,18.3,20.5,22.4,24.3},{0,10,20,30,40,50,60,62,64,66,68,70,72,74,76,78,80,85,90,95,100})</f>
        <v>100</v>
      </c>
      <c r="G512" s="12">
        <v>245</v>
      </c>
      <c r="H512" s="11">
        <f>LOOKUP(G512,{0,175,180,185,190,195,200,204,208,212,216,220,224,228,232,236,240,248,255,260,265},{0,10,20,30,40,50,60,62,64,66,68,70,72,74,76,78,80,85,90,95,100})</f>
        <v>80</v>
      </c>
      <c r="I512" s="12">
        <v>27</v>
      </c>
      <c r="J512" s="11">
        <f>LOOKUP(I512,{0,3,4,5,6,7,8,9,10,11,12,13,14,15,16,17},{0,10,20,30,40,50,60,64,68,72,76,80,85,90,95,100})</f>
        <v>100</v>
      </c>
      <c r="K512" s="12">
        <f t="shared" si="248"/>
        <v>10</v>
      </c>
      <c r="L512" s="11">
        <f>LOOKUP(K512,{0,1,2,3,4,5,6,7,8,9,10},{0,1,2,3,4,5,6,7,8,9,10})</f>
        <v>10</v>
      </c>
      <c r="M512" s="12">
        <f t="shared" si="243"/>
        <v>110</v>
      </c>
      <c r="N512" s="12">
        <v>7.1</v>
      </c>
      <c r="O512" s="12">
        <f t="shared" si="244"/>
        <v>4.9</v>
      </c>
      <c r="P512" s="11">
        <f>LOOKUP(O512,{0,1.6,1.8,2,2.2,2.4,2.6,2.8,3,3.2,3.4,3.6,3.8,4,4.2,4.4,4.6,4.7,4.8,4.9,5},{0,10,20,30,40,50,60,62,64,66,68,70,72,74,76,78,80,85,90,95,100})</f>
        <v>95</v>
      </c>
      <c r="Q512" s="12">
        <v>3.15</v>
      </c>
      <c r="R512" s="12">
        <f t="shared" si="245"/>
        <v>6.85</v>
      </c>
      <c r="S512" s="11">
        <f>LOOKUP(R512,{0,3.8,4,4.6,4.8,5,5.6,5.65,5.7,5.75,5.8,5.85,5.9,5.95,6,6.45,6.5,6.58,6.65,6.7,6.75},{0,10,20,30,40,50,60,62,64,66,68,70,72,74,76,78,80,85,90,95,100})</f>
        <v>100</v>
      </c>
      <c r="T512" s="12">
        <f>3.25-Q512</f>
        <v>0.1</v>
      </c>
      <c r="U512" s="11">
        <f>LOOKUP(T512,{0,0.04,0.08,0.12,0.16,0.2,0.23,0.26,0.29,0.32,0.35},{0,1,2,3,4,5,6,7,8,9,10})</f>
        <v>2</v>
      </c>
      <c r="V512" s="12">
        <f t="shared" si="246"/>
        <v>102</v>
      </c>
      <c r="W512" s="12"/>
      <c r="X512" s="20">
        <f t="shared" si="240"/>
        <v>67</v>
      </c>
      <c r="Y512" s="20">
        <f t="shared" si="247"/>
        <v>107.714285714286</v>
      </c>
    </row>
    <row r="513" ht="15.6" hidden="1" outlineLevel="2" spans="1:25">
      <c r="A513" s="12">
        <v>211</v>
      </c>
      <c r="B513" s="12">
        <v>18</v>
      </c>
      <c r="C513" s="6" t="s">
        <v>569</v>
      </c>
      <c r="D513" s="6" t="s">
        <v>11</v>
      </c>
      <c r="E513" s="12">
        <v>4</v>
      </c>
      <c r="F513" s="11">
        <f>LOOKUP(E513,{0,-2.9,-1.9,-0.9,0.1,1.1,2.1,3.5,4.9,6.3,7.7,9.1,10.5,11.9,13.3,14.7,16.1,18.3,20.5,22.4,24.3},{0,10,20,30,40,50,60,62,64,66,68,70,72,74,76,78,80,85,90,95,100})</f>
        <v>62</v>
      </c>
      <c r="G513" s="12">
        <v>248</v>
      </c>
      <c r="H513" s="11">
        <f>LOOKUP(G513,{0,175,180,185,190,195,200,204,208,212,216,220,224,228,232,236,240,248,255,260,265},{0,10,20,30,40,50,60,62,64,66,68,70,72,74,76,78,80,85,90,95,100})</f>
        <v>85</v>
      </c>
      <c r="I513" s="12">
        <v>27</v>
      </c>
      <c r="J513" s="11">
        <f>LOOKUP(I513,{0,3,4,5,6,7,8,9,10,11,12,13,14,15,16,17},{0,10,20,30,40,50,60,64,68,72,76,80,85,90,95,100})</f>
        <v>100</v>
      </c>
      <c r="K513" s="12">
        <f t="shared" si="248"/>
        <v>10</v>
      </c>
      <c r="L513" s="11">
        <f>LOOKUP(K513,{0,1,2,3,4,5,6,7,8,9,10},{0,1,2,3,4,5,6,7,8,9,10})</f>
        <v>10</v>
      </c>
      <c r="M513" s="12">
        <f t="shared" si="243"/>
        <v>110</v>
      </c>
      <c r="N513" s="12">
        <v>7.1</v>
      </c>
      <c r="O513" s="12">
        <f t="shared" si="244"/>
        <v>4.9</v>
      </c>
      <c r="P513" s="11">
        <f>LOOKUP(O513,{0,1.6,1.8,2,2.2,2.4,2.6,2.8,3,3.2,3.4,3.6,3.8,4,4.2,4.4,4.6,4.7,4.8,4.9,5},{0,10,20,30,40,50,60,62,64,66,68,70,72,74,76,78,80,85,90,95,100})</f>
        <v>95</v>
      </c>
      <c r="Q513" s="12">
        <v>3.4</v>
      </c>
      <c r="R513" s="12">
        <f t="shared" si="245"/>
        <v>6.6</v>
      </c>
      <c r="S513" s="11">
        <f>LOOKUP(R513,{0,3.8,4,4.6,4.8,5,5.6,5.65,5.7,5.75,5.8,5.85,5.9,5.95,6,6.45,6.5,6.58,6.65,6.7,6.75},{0,10,20,30,40,50,60,62,64,66,68,70,72,74,76,78,80,85,90,95,100})</f>
        <v>85</v>
      </c>
      <c r="T513" s="12"/>
      <c r="U513" s="12"/>
      <c r="V513" s="12">
        <f t="shared" si="246"/>
        <v>85</v>
      </c>
      <c r="W513" s="12"/>
      <c r="X513" s="20">
        <f t="shared" si="240"/>
        <v>60.7</v>
      </c>
      <c r="Y513" s="20">
        <f t="shared" si="247"/>
        <v>96.7142857142857</v>
      </c>
    </row>
    <row r="514" ht="15.6" hidden="1" outlineLevel="2" spans="1:25">
      <c r="A514" s="12">
        <v>211</v>
      </c>
      <c r="B514" s="12">
        <v>19</v>
      </c>
      <c r="C514" s="6" t="s">
        <v>570</v>
      </c>
      <c r="D514" s="6" t="s">
        <v>11</v>
      </c>
      <c r="E514" s="12">
        <v>19.2</v>
      </c>
      <c r="F514" s="11">
        <f>LOOKUP(E514,{0,-2.9,-1.9,-0.9,0.1,1.1,2.1,3.5,4.9,6.3,7.7,9.1,10.5,11.9,13.3,14.7,16.1,18.3,20.5,22.4,24.3},{0,10,20,30,40,50,60,62,64,66,68,70,72,74,76,78,80,85,90,95,100})</f>
        <v>85</v>
      </c>
      <c r="G514" s="12">
        <v>252</v>
      </c>
      <c r="H514" s="11">
        <f>LOOKUP(G514,{0,175,180,185,190,195,200,204,208,212,216,220,224,228,232,236,240,248,255,260,265},{0,10,20,30,40,50,60,62,64,66,68,70,72,74,76,78,80,85,90,95,100})</f>
        <v>85</v>
      </c>
      <c r="I514" s="12">
        <v>1</v>
      </c>
      <c r="J514" s="11">
        <f>LOOKUP(I514,{0,3,4,5,6,7,8,9,10,11,12,13,14,15,16,17},{0,10,20,30,40,50,60,64,68,72,76,80,85,90,95,100})</f>
        <v>0</v>
      </c>
      <c r="K514" s="12"/>
      <c r="L514" s="12"/>
      <c r="M514" s="12">
        <f t="shared" si="243"/>
        <v>0</v>
      </c>
      <c r="N514" s="12">
        <v>7.8</v>
      </c>
      <c r="O514" s="12">
        <f t="shared" si="244"/>
        <v>4.2</v>
      </c>
      <c r="P514" s="11">
        <f>LOOKUP(O514,{0,1.6,1.8,2,2.2,2.4,2.6,2.8,3,3.2,3.4,3.6,3.8,4,4.2,4.4,4.6,4.7,4.8,4.9,5},{0,10,20,30,40,50,60,62,64,66,68,70,72,74,76,78,80,85,90,95,100})</f>
        <v>76</v>
      </c>
      <c r="Q514" s="12">
        <v>3.56</v>
      </c>
      <c r="R514" s="12">
        <f t="shared" si="245"/>
        <v>6.44</v>
      </c>
      <c r="S514" s="11">
        <f>LOOKUP(R514,{0,3.8,4,4.6,4.8,5,5.6,5.65,5.7,5.75,5.8,5.85,5.9,5.95,6,6.45,6.5,6.58,6.65,6.7,6.75},{0,10,20,30,40,50,60,62,64,66,68,70,72,74,76,78,80,85,90,95,100})</f>
        <v>76</v>
      </c>
      <c r="T514" s="12"/>
      <c r="U514" s="12"/>
      <c r="V514" s="12">
        <f t="shared" si="246"/>
        <v>76</v>
      </c>
      <c r="W514" s="12"/>
      <c r="X514" s="20">
        <f t="shared" si="240"/>
        <v>47.4</v>
      </c>
      <c r="Y514" s="20">
        <f t="shared" si="247"/>
        <v>67.7142857142857</v>
      </c>
    </row>
    <row r="515" ht="15.6" hidden="1" outlineLevel="2" spans="1:25">
      <c r="A515" s="12">
        <v>211</v>
      </c>
      <c r="B515" s="12">
        <v>20</v>
      </c>
      <c r="C515" s="6" t="s">
        <v>571</v>
      </c>
      <c r="D515" s="6" t="s">
        <v>11</v>
      </c>
      <c r="E515" s="12">
        <v>23</v>
      </c>
      <c r="F515" s="11">
        <f>LOOKUP(E515,{0,-2.9,-1.9,-0.9,0.1,1.1,2.1,3.5,4.9,6.3,7.7,9.1,10.5,11.9,13.3,14.7,16.1,18.3,20.5,22.4,24.3},{0,10,20,30,40,50,60,62,64,66,68,70,72,74,76,78,80,85,90,95,100})</f>
        <v>95</v>
      </c>
      <c r="G515" s="12">
        <v>265</v>
      </c>
      <c r="H515" s="11">
        <f>LOOKUP(G515,{0,175,180,185,190,195,200,204,208,212,216,220,224,228,232,236,240,248,255,260,265},{0,10,20,30,40,50,60,62,64,66,68,70,72,74,76,78,80,85,90,95,100})</f>
        <v>100</v>
      </c>
      <c r="I515" s="12">
        <v>9</v>
      </c>
      <c r="J515" s="11">
        <f>LOOKUP(I515,{0,3,4,5,6,7,8,9,10,11,12,13,14,15,16,17},{0,10,20,30,40,50,60,64,68,72,76,80,85,90,95,100})</f>
        <v>64</v>
      </c>
      <c r="K515" s="12"/>
      <c r="L515" s="12"/>
      <c r="M515" s="12">
        <f t="shared" si="243"/>
        <v>64</v>
      </c>
      <c r="N515" s="12">
        <v>7.1</v>
      </c>
      <c r="O515" s="12">
        <f t="shared" si="244"/>
        <v>4.9</v>
      </c>
      <c r="P515" s="11">
        <f>LOOKUP(O515,{0,1.6,1.8,2,2.2,2.4,2.6,2.8,3,3.2,3.4,3.6,3.8,4,4.2,4.4,4.6,4.7,4.8,4.9,5},{0,10,20,30,40,50,60,62,64,66,68,70,72,74,76,78,80,85,90,95,100})</f>
        <v>95</v>
      </c>
      <c r="Q515" s="12">
        <v>3.28</v>
      </c>
      <c r="R515" s="12">
        <f t="shared" si="245"/>
        <v>6.72</v>
      </c>
      <c r="S515" s="11">
        <f>LOOKUP(R515,{0,3.8,4,4.6,4.8,5,5.6,5.65,5.7,5.75,5.8,5.85,5.9,5.95,6,6.45,6.5,6.58,6.65,6.7,6.75},{0,10,20,30,40,50,60,62,64,66,68,70,72,74,76,78,80,85,90,95,100})</f>
        <v>95</v>
      </c>
      <c r="T515" s="12"/>
      <c r="U515" s="12"/>
      <c r="V515" s="12">
        <f t="shared" si="246"/>
        <v>95</v>
      </c>
      <c r="W515" s="12"/>
      <c r="X515" s="20">
        <f t="shared" si="240"/>
        <v>63.9</v>
      </c>
      <c r="Y515" s="20">
        <f t="shared" si="247"/>
        <v>91.2857142857143</v>
      </c>
    </row>
    <row r="516" ht="15.6" hidden="1" outlineLevel="2" spans="1:25">
      <c r="A516" s="12">
        <v>211</v>
      </c>
      <c r="B516" s="12">
        <v>21</v>
      </c>
      <c r="C516" s="6" t="s">
        <v>572</v>
      </c>
      <c r="D516" s="6" t="s">
        <v>11</v>
      </c>
      <c r="E516" s="12">
        <v>21</v>
      </c>
      <c r="F516" s="11">
        <f>LOOKUP(E516,{0,-2.9,-1.9,-0.9,0.1,1.1,2.1,3.5,4.9,6.3,7.7,9.1,10.5,11.9,13.3,14.7,16.1,18.3,20.5,22.4,24.3},{0,10,20,30,40,50,60,62,64,66,68,70,72,74,76,78,80,85,90,95,100})</f>
        <v>90</v>
      </c>
      <c r="G516" s="12">
        <v>238</v>
      </c>
      <c r="H516" s="11">
        <f>LOOKUP(G516,{0,175,180,185,190,195,200,204,208,212,216,220,224,228,232,236,240,248,255,260,265},{0,10,20,30,40,50,60,62,64,66,68,70,72,74,76,78,80,85,90,95,100})</f>
        <v>78</v>
      </c>
      <c r="I516" s="12">
        <v>21</v>
      </c>
      <c r="J516" s="11">
        <f>LOOKUP(I516,{0,3,4,5,6,7,8,9,10,11,12,13,14,15,16,17},{0,10,20,30,40,50,60,64,68,72,76,80,85,90,95,100})</f>
        <v>100</v>
      </c>
      <c r="K516" s="12">
        <f t="shared" ref="K516:K519" si="249">I516-17</f>
        <v>4</v>
      </c>
      <c r="L516" s="11">
        <f>LOOKUP(K516,{0,1,2,3,4,5,6,7,8,9,10},{0,1,2,3,4,5,6,7,8,9,10})</f>
        <v>4</v>
      </c>
      <c r="M516" s="12">
        <f t="shared" si="243"/>
        <v>104</v>
      </c>
      <c r="N516" s="12">
        <v>7.1</v>
      </c>
      <c r="O516" s="12">
        <f t="shared" si="244"/>
        <v>4.9</v>
      </c>
      <c r="P516" s="11">
        <f>LOOKUP(O516,{0,1.6,1.8,2,2.2,2.4,2.6,2.8,3,3.2,3.4,3.6,3.8,4,4.2,4.4,4.6,4.7,4.8,4.9,5},{0,10,20,30,40,50,60,62,64,66,68,70,72,74,76,78,80,85,90,95,100})</f>
        <v>95</v>
      </c>
      <c r="Q516" s="12">
        <v>3.45</v>
      </c>
      <c r="R516" s="12">
        <f t="shared" si="245"/>
        <v>6.55</v>
      </c>
      <c r="S516" s="11">
        <f>LOOKUP(R516,{0,3.8,4,4.6,4.8,5,5.6,5.65,5.7,5.75,5.8,5.85,5.9,5.95,6,6.45,6.5,6.58,6.65,6.7,6.75},{0,10,20,30,40,50,60,62,64,66,68,70,72,74,76,78,80,85,90,95,100})</f>
        <v>80</v>
      </c>
      <c r="T516" s="12"/>
      <c r="U516" s="12"/>
      <c r="V516" s="12">
        <f t="shared" si="246"/>
        <v>80</v>
      </c>
      <c r="W516" s="12"/>
      <c r="X516" s="20">
        <f t="shared" si="240"/>
        <v>61.8</v>
      </c>
      <c r="Y516" s="20">
        <f t="shared" si="247"/>
        <v>92.2857142857143</v>
      </c>
    </row>
    <row r="517" ht="15.6" hidden="1" outlineLevel="2" spans="1:25">
      <c r="A517" s="12">
        <v>211</v>
      </c>
      <c r="B517" s="12">
        <v>22</v>
      </c>
      <c r="C517" s="6" t="s">
        <v>573</v>
      </c>
      <c r="D517" s="6" t="s">
        <v>11</v>
      </c>
      <c r="E517" s="12">
        <v>20</v>
      </c>
      <c r="F517" s="11">
        <f>LOOKUP(E517,{0,-2.9,-1.9,-0.9,0.1,1.1,2.1,3.5,4.9,6.3,7.7,9.1,10.5,11.9,13.3,14.7,16.1,18.3,20.5,22.4,24.3},{0,10,20,30,40,50,60,62,64,66,68,70,72,74,76,78,80,85,90,95,100})</f>
        <v>85</v>
      </c>
      <c r="G517" s="12">
        <v>271</v>
      </c>
      <c r="H517" s="11">
        <f>LOOKUP(G517,{0,175,180,185,190,195,200,204,208,212,216,220,224,228,232,236,240,248,255,260,265},{0,10,20,30,40,50,60,62,64,66,68,70,72,74,76,78,80,85,90,95,100})</f>
        <v>100</v>
      </c>
      <c r="I517" s="12">
        <v>18</v>
      </c>
      <c r="J517" s="11">
        <f>LOOKUP(I517,{0,3,4,5,6,7,8,9,10,11,12,13,14,15,16,17},{0,10,20,30,40,50,60,64,68,72,76,80,85,90,95,100})</f>
        <v>100</v>
      </c>
      <c r="K517" s="12">
        <f t="shared" si="249"/>
        <v>1</v>
      </c>
      <c r="L517" s="11">
        <f>LOOKUP(K517,{0,1,2,3,4,5,6,7,8,9,10},{0,1,2,3,4,5,6,7,8,9,10})</f>
        <v>1</v>
      </c>
      <c r="M517" s="12">
        <f t="shared" si="243"/>
        <v>101</v>
      </c>
      <c r="N517" s="12">
        <v>6.8</v>
      </c>
      <c r="O517" s="12">
        <f t="shared" si="244"/>
        <v>5.2</v>
      </c>
      <c r="P517" s="11">
        <f>LOOKUP(O517,{0,1.6,1.8,2,2.2,2.4,2.6,2.8,3,3.2,3.4,3.6,3.8,4,4.2,4.4,4.6,4.7,4.8,4.9,5},{0,10,20,30,40,50,60,62,64,66,68,70,72,74,76,78,80,85,90,95,100})</f>
        <v>100</v>
      </c>
      <c r="Q517" s="12">
        <v>3.27</v>
      </c>
      <c r="R517" s="12">
        <f t="shared" si="245"/>
        <v>6.73</v>
      </c>
      <c r="S517" s="11">
        <f>LOOKUP(R517,{0,3.8,4,4.6,4.8,5,5.6,5.65,5.7,5.75,5.8,5.85,5.9,5.95,6,6.45,6.5,6.58,6.65,6.7,6.75},{0,10,20,30,40,50,60,62,64,66,68,70,72,74,76,78,80,85,90,95,100})</f>
        <v>95</v>
      </c>
      <c r="T517" s="12"/>
      <c r="U517" s="12"/>
      <c r="V517" s="12">
        <f t="shared" si="246"/>
        <v>95</v>
      </c>
      <c r="W517" s="12"/>
      <c r="X517" s="20">
        <f t="shared" si="240"/>
        <v>67.5</v>
      </c>
      <c r="Y517" s="20">
        <f t="shared" si="247"/>
        <v>97.4285714285714</v>
      </c>
    </row>
    <row r="518" ht="15.6" hidden="1" outlineLevel="2" spans="1:25">
      <c r="A518" s="12">
        <v>211</v>
      </c>
      <c r="B518" s="12">
        <v>23</v>
      </c>
      <c r="C518" s="13" t="s">
        <v>575</v>
      </c>
      <c r="D518" s="6" t="s">
        <v>11</v>
      </c>
      <c r="E518" s="12"/>
      <c r="F518" s="11"/>
      <c r="G518" s="12"/>
      <c r="H518" s="11"/>
      <c r="I518" s="12"/>
      <c r="J518" s="11"/>
      <c r="K518" s="12"/>
      <c r="L518" s="12"/>
      <c r="M518" s="12"/>
      <c r="N518" s="12"/>
      <c r="O518" s="12"/>
      <c r="P518" s="11"/>
      <c r="Q518" s="12"/>
      <c r="R518" s="12"/>
      <c r="S518" s="11"/>
      <c r="T518" s="12"/>
      <c r="U518" s="11"/>
      <c r="V518" s="12"/>
      <c r="W518" s="12" t="s">
        <v>14</v>
      </c>
      <c r="X518" s="20">
        <f t="shared" si="240"/>
        <v>0</v>
      </c>
      <c r="Y518" s="20">
        <v>50</v>
      </c>
    </row>
    <row r="519" ht="15.6" hidden="1" outlineLevel="2" spans="1:25">
      <c r="A519" s="12">
        <v>211</v>
      </c>
      <c r="B519" s="12">
        <v>24</v>
      </c>
      <c r="C519" s="6" t="s">
        <v>576</v>
      </c>
      <c r="D519" s="6" t="s">
        <v>11</v>
      </c>
      <c r="E519" s="12">
        <v>15</v>
      </c>
      <c r="F519" s="11">
        <f>LOOKUP(E519,{0,-2.9,-1.9,-0.9,0.1,1.1,2.1,3.5,4.9,6.3,7.7,9.1,10.5,11.9,13.3,14.7,16.1,18.3,20.5,22.4,24.3},{0,10,20,30,40,50,60,62,64,66,68,70,72,74,76,78,80,85,90,95,100})</f>
        <v>78</v>
      </c>
      <c r="G519" s="12">
        <v>256</v>
      </c>
      <c r="H519" s="11">
        <f>LOOKUP(G519,{0,175,180,185,190,195,200,204,208,212,216,220,224,228,232,236,240,248,255,260,265},{0,10,20,30,40,50,60,62,64,66,68,70,72,74,76,78,80,85,90,95,100})</f>
        <v>90</v>
      </c>
      <c r="I519" s="12">
        <v>27</v>
      </c>
      <c r="J519" s="11">
        <f>LOOKUP(I519,{0,3,4,5,6,7,8,9,10,11,12,13,14,15,16,17},{0,10,20,30,40,50,60,64,68,72,76,80,85,90,95,100})</f>
        <v>100</v>
      </c>
      <c r="K519" s="12">
        <f t="shared" si="249"/>
        <v>10</v>
      </c>
      <c r="L519" s="11">
        <f>LOOKUP(K519,{0,1,2,3,4,5,6,7,8,9,10},{0,1,2,3,4,5,6,7,8,9,10})</f>
        <v>10</v>
      </c>
      <c r="M519" s="12">
        <f t="shared" ref="M519:M555" si="250">J519+L519</f>
        <v>110</v>
      </c>
      <c r="N519" s="12"/>
      <c r="O519" s="12"/>
      <c r="P519" s="11"/>
      <c r="Q519" s="12">
        <v>4.05</v>
      </c>
      <c r="R519" s="12">
        <f t="shared" ref="R519:R555" si="251">10-Q519</f>
        <v>5.95</v>
      </c>
      <c r="S519" s="11">
        <f>LOOKUP(R519,{0,3.8,4,4.6,4.8,5,5.6,5.65,5.7,5.75,5.8,5.85,5.9,5.95,6,6.45,6.5,6.58,6.65,6.7,6.75},{0,10,20,30,40,50,60,62,64,66,68,70,72,74,76,78,80,85,90,95,100})</f>
        <v>74</v>
      </c>
      <c r="T519" s="12"/>
      <c r="U519" s="12"/>
      <c r="V519" s="12">
        <f t="shared" ref="V519:V555" si="252">S519+U519</f>
        <v>74</v>
      </c>
      <c r="W519" s="12"/>
      <c r="X519" s="20">
        <f t="shared" si="240"/>
        <v>41.6</v>
      </c>
      <c r="Y519" s="20">
        <f t="shared" ref="Y519:Y549" si="253">X519/0.7+L519+U519</f>
        <v>69.4285714285714</v>
      </c>
    </row>
    <row r="520" ht="15.6" hidden="1" outlineLevel="2" spans="1:25">
      <c r="A520" s="12">
        <v>211</v>
      </c>
      <c r="B520" s="12">
        <v>25</v>
      </c>
      <c r="C520" s="6" t="s">
        <v>577</v>
      </c>
      <c r="D520" s="6" t="s">
        <v>11</v>
      </c>
      <c r="E520" s="12">
        <v>21.5</v>
      </c>
      <c r="F520" s="11">
        <f>LOOKUP(E520,{0,-2.9,-1.9,-0.9,0.1,1.1,2.1,3.5,4.9,6.3,7.7,9.1,10.5,11.9,13.3,14.7,16.1,18.3,20.5,22.4,24.3},{0,10,20,30,40,50,60,62,64,66,68,70,72,74,76,78,80,85,90,95,100})</f>
        <v>90</v>
      </c>
      <c r="G520" s="12">
        <v>253</v>
      </c>
      <c r="H520" s="11">
        <f>LOOKUP(G520,{0,175,180,185,190,195,200,204,208,212,216,220,224,228,232,236,240,248,255,260,265},{0,10,20,30,40,50,60,62,64,66,68,70,72,74,76,78,80,85,90,95,100})</f>
        <v>85</v>
      </c>
      <c r="I520" s="12">
        <v>10</v>
      </c>
      <c r="J520" s="11">
        <f>LOOKUP(I520,{0,3,4,5,6,7,8,9,10,11,12,13,14,15,16,17},{0,10,20,30,40,50,60,64,68,72,76,80,85,90,95,100})</f>
        <v>68</v>
      </c>
      <c r="K520" s="12"/>
      <c r="L520" s="12"/>
      <c r="M520" s="12">
        <f t="shared" si="250"/>
        <v>68</v>
      </c>
      <c r="N520" s="12">
        <v>7.3</v>
      </c>
      <c r="O520" s="12">
        <f t="shared" ref="O520:O549" si="254">12-N520</f>
        <v>4.7</v>
      </c>
      <c r="P520" s="11">
        <f>LOOKUP(O520,{0,1.6,1.8,2,2.2,2.4,2.6,2.8,3,3.2,3.4,3.6,3.8,4,4.2,4.4,4.6,4.7,4.8,4.9,5},{0,10,20,30,40,50,60,62,64,66,68,70,72,74,76,78,80,85,90,95,100})</f>
        <v>85</v>
      </c>
      <c r="Q520" s="12">
        <v>4.04</v>
      </c>
      <c r="R520" s="12">
        <f t="shared" si="251"/>
        <v>5.96</v>
      </c>
      <c r="S520" s="11">
        <f>LOOKUP(R520,{0,3.8,4,4.6,4.8,5,5.6,5.65,5.7,5.75,5.8,5.85,5.9,5.95,6,6.45,6.5,6.58,6.65,6.7,6.75},{0,10,20,30,40,50,60,62,64,66,68,70,72,74,76,78,80,85,90,95,100})</f>
        <v>74</v>
      </c>
      <c r="T520" s="12"/>
      <c r="U520" s="12"/>
      <c r="V520" s="12">
        <f t="shared" si="252"/>
        <v>74</v>
      </c>
      <c r="W520" s="12"/>
      <c r="X520" s="20">
        <f t="shared" si="240"/>
        <v>56.1</v>
      </c>
      <c r="Y520" s="20">
        <f t="shared" si="253"/>
        <v>80.1428571428571</v>
      </c>
    </row>
    <row r="521" ht="15.6" hidden="1" outlineLevel="2" spans="1:25">
      <c r="A521" s="12">
        <v>211</v>
      </c>
      <c r="B521" s="12">
        <v>26</v>
      </c>
      <c r="C521" s="6" t="s">
        <v>578</v>
      </c>
      <c r="D521" s="6" t="s">
        <v>11</v>
      </c>
      <c r="E521" s="12">
        <v>13.5</v>
      </c>
      <c r="F521" s="11">
        <f>LOOKUP(E521,{0,-2.9,-1.9,-0.9,0.1,1.1,2.1,3.5,4.9,6.3,7.7,9.1,10.5,11.9,13.3,14.7,16.1,18.3,20.5,22.4,24.3},{0,10,20,30,40,50,60,62,64,66,68,70,72,74,76,78,80,85,90,95,100})</f>
        <v>76</v>
      </c>
      <c r="G521" s="12">
        <v>181</v>
      </c>
      <c r="H521" s="11">
        <f>LOOKUP(G521,{0,175,180,185,190,195,200,204,208,212,216,220,224,228,232,236,240,248,255,260,265},{0,10,20,30,40,50,60,62,64,66,68,70,72,74,76,78,80,85,90,95,100})</f>
        <v>20</v>
      </c>
      <c r="I521" s="12">
        <v>0</v>
      </c>
      <c r="J521" s="11">
        <f>LOOKUP(I521,{0,3,4,5,6,7,8,9,10,11,12,13,14,15,16,17},{0,10,20,30,40,50,60,64,68,72,76,80,85,90,95,100})</f>
        <v>0</v>
      </c>
      <c r="K521" s="12"/>
      <c r="L521" s="12"/>
      <c r="M521" s="12">
        <f t="shared" si="250"/>
        <v>0</v>
      </c>
      <c r="N521" s="12">
        <v>8.2</v>
      </c>
      <c r="O521" s="12">
        <f t="shared" si="254"/>
        <v>3.8</v>
      </c>
      <c r="P521" s="11">
        <f>LOOKUP(O521,{0,1.6,1.8,2,2.2,2.4,2.6,2.8,3,3.2,3.4,3.6,3.8,4,4.2,4.4,4.6,4.7,4.8,4.9,5},{0,10,20,30,40,50,60,62,64,66,68,70,72,74,76,78,80,85,90,95,100})</f>
        <v>72</v>
      </c>
      <c r="Q521" s="12">
        <v>4.57</v>
      </c>
      <c r="R521" s="12">
        <f t="shared" si="251"/>
        <v>5.43</v>
      </c>
      <c r="S521" s="11">
        <f>LOOKUP(R521,{0,3.8,4,4.6,4.8,5,5.6,5.65,5.7,5.75,5.8,5.85,5.9,5.95,6,6.45,6.5,6.58,6.65,6.7,6.75},{0,10,20,30,40,50,60,62,64,66,68,70,72,74,76,78,80,85,90,95,100})</f>
        <v>50</v>
      </c>
      <c r="T521" s="12"/>
      <c r="U521" s="15"/>
      <c r="V521" s="12">
        <f t="shared" si="252"/>
        <v>50</v>
      </c>
      <c r="W521" s="12"/>
      <c r="X521" s="20">
        <f t="shared" si="240"/>
        <v>34</v>
      </c>
      <c r="Y521" s="20">
        <f t="shared" si="253"/>
        <v>48.5714285714286</v>
      </c>
    </row>
    <row r="522" s="1" customFormat="1" ht="15.6" hidden="1" outlineLevel="2" spans="1:25">
      <c r="A522" s="12">
        <v>211</v>
      </c>
      <c r="B522" s="12">
        <v>27</v>
      </c>
      <c r="C522" s="6" t="s">
        <v>579</v>
      </c>
      <c r="D522" s="6" t="s">
        <v>11</v>
      </c>
      <c r="E522" s="12">
        <v>5</v>
      </c>
      <c r="F522" s="11">
        <f>LOOKUP(E522,{0,-2.9,-1.9,-0.9,0.1,1.1,2.1,3.5,4.9,6.3,7.7,9.1,10.5,11.9,13.3,14.7,16.1,18.3,20.5,22.4,24.3},{0,10,20,30,40,50,60,62,64,66,68,70,72,74,76,78,80,85,90,95,100})</f>
        <v>64</v>
      </c>
      <c r="G522" s="12">
        <v>212</v>
      </c>
      <c r="H522" s="11">
        <f>LOOKUP(G522,{0,175,180,185,190,195,200,204,208,212,216,220,224,228,232,236,240,248,255,260,265},{0,10,20,30,40,50,60,62,64,66,68,70,72,74,76,78,80,85,90,95,100})</f>
        <v>66</v>
      </c>
      <c r="I522" s="12">
        <v>0</v>
      </c>
      <c r="J522" s="11">
        <f>LOOKUP(I522,{0,3,4,5,6,7,8,9,10,11,12,13,14,15,16,17},{0,10,20,30,40,50,60,64,68,72,76,80,85,90,95,100})</f>
        <v>0</v>
      </c>
      <c r="K522" s="12"/>
      <c r="L522" s="12"/>
      <c r="M522" s="12">
        <f t="shared" si="250"/>
        <v>0</v>
      </c>
      <c r="N522" s="12">
        <v>7.6</v>
      </c>
      <c r="O522" s="12">
        <f t="shared" si="254"/>
        <v>4.4</v>
      </c>
      <c r="P522" s="11">
        <f>LOOKUP(O522,{0,1.6,1.8,2,2.2,2.4,2.6,2.8,3,3.2,3.4,3.6,3.8,4,4.2,4.4,4.6,4.7,4.8,4.9,5},{0,10,20,30,40,50,60,62,64,66,68,70,72,74,76,78,80,85,90,95,100})</f>
        <v>78</v>
      </c>
      <c r="Q522" s="12">
        <v>4.03</v>
      </c>
      <c r="R522" s="12">
        <f t="shared" si="251"/>
        <v>5.97</v>
      </c>
      <c r="S522" s="11">
        <f>LOOKUP(R522,{0,3.8,4,4.6,4.8,5,5.6,5.65,5.7,5.75,5.8,5.85,5.9,5.95,6,6.45,6.5,6.58,6.65,6.7,6.75},{0,10,20,30,40,50,60,62,64,66,68,70,72,74,76,78,80,85,90,95,100})</f>
        <v>74</v>
      </c>
      <c r="T522" s="12"/>
      <c r="U522" s="15"/>
      <c r="V522" s="12">
        <f t="shared" si="252"/>
        <v>74</v>
      </c>
      <c r="W522" s="12"/>
      <c r="X522" s="20">
        <f t="shared" si="240"/>
        <v>43.4</v>
      </c>
      <c r="Y522" s="20">
        <f t="shared" si="253"/>
        <v>62</v>
      </c>
    </row>
    <row r="523" ht="15.6" hidden="1" outlineLevel="2" spans="1:25">
      <c r="A523" s="12">
        <v>211</v>
      </c>
      <c r="B523" s="12">
        <v>28</v>
      </c>
      <c r="C523" s="6" t="s">
        <v>580</v>
      </c>
      <c r="D523" s="6" t="s">
        <v>11</v>
      </c>
      <c r="E523" s="12">
        <v>26</v>
      </c>
      <c r="F523" s="11">
        <f>LOOKUP(E523,{0,-2.9,-1.9,-0.9,0.1,1.1,2.1,3.5,4.9,6.3,7.7,9.1,10.5,11.9,13.3,14.7,16.1,18.3,20.5,22.4,24.3},{0,10,20,30,40,50,60,62,64,66,68,70,72,74,76,78,80,85,90,95,100})</f>
        <v>100</v>
      </c>
      <c r="G523" s="12">
        <v>250</v>
      </c>
      <c r="H523" s="11">
        <f>LOOKUP(G523,{0,175,180,185,190,195,200,204,208,212,216,220,224,228,232,236,240,248,255,260,265},{0,10,20,30,40,50,60,62,64,66,68,70,72,74,76,78,80,85,90,95,100})</f>
        <v>85</v>
      </c>
      <c r="I523" s="12">
        <v>12</v>
      </c>
      <c r="J523" s="11">
        <f>LOOKUP(I523,{0,3,4,5,6,7,8,9,10,11,12,13,14,15,16,17},{0,10,20,30,40,50,60,64,68,72,76,80,85,90,95,100})</f>
        <v>76</v>
      </c>
      <c r="K523" s="12"/>
      <c r="L523" s="12"/>
      <c r="M523" s="12">
        <f t="shared" si="250"/>
        <v>76</v>
      </c>
      <c r="N523" s="12">
        <v>6.8</v>
      </c>
      <c r="O523" s="12">
        <f t="shared" si="254"/>
        <v>5.2</v>
      </c>
      <c r="P523" s="11">
        <f>LOOKUP(O523,{0,1.6,1.8,2,2.2,2.4,2.6,2.8,3,3.2,3.4,3.6,3.8,4,4.2,4.4,4.6,4.7,4.8,4.9,5},{0,10,20,30,40,50,60,62,64,66,68,70,72,74,76,78,80,85,90,95,100})</f>
        <v>100</v>
      </c>
      <c r="Q523" s="12">
        <v>3.12</v>
      </c>
      <c r="R523" s="12">
        <f t="shared" si="251"/>
        <v>6.88</v>
      </c>
      <c r="S523" s="11">
        <f>LOOKUP(R523,{0,3.8,4,4.6,4.8,5,5.6,5.65,5.7,5.75,5.8,5.85,5.9,5.95,6,6.45,6.5,6.58,6.65,6.7,6.75},{0,10,20,30,40,50,60,62,64,66,68,70,72,74,76,78,80,85,90,95,100})</f>
        <v>100</v>
      </c>
      <c r="T523" s="12">
        <f t="shared" ref="T523:T527" si="255">3.25-Q523</f>
        <v>0.13</v>
      </c>
      <c r="U523" s="11">
        <f>LOOKUP(T523,{0,0.04,0.08,0.12,0.16,0.2,0.23,0.26,0.29,0.32,0.35},{0,1,2,3,4,5,6,7,8,9,10})</f>
        <v>3</v>
      </c>
      <c r="V523" s="12">
        <f t="shared" si="252"/>
        <v>103</v>
      </c>
      <c r="W523" s="12"/>
      <c r="X523" s="20">
        <f t="shared" si="240"/>
        <v>66.1</v>
      </c>
      <c r="Y523" s="20">
        <f t="shared" si="253"/>
        <v>97.4285714285714</v>
      </c>
    </row>
    <row r="524" ht="15.6" hidden="1" outlineLevel="2" spans="1:25">
      <c r="A524" s="12">
        <v>211</v>
      </c>
      <c r="B524" s="12">
        <v>29</v>
      </c>
      <c r="C524" s="6" t="s">
        <v>581</v>
      </c>
      <c r="D524" s="6" t="s">
        <v>11</v>
      </c>
      <c r="E524" s="12">
        <v>11</v>
      </c>
      <c r="F524" s="11">
        <f>LOOKUP(E524,{0,-2.9,-1.9,-0.9,0.1,1.1,2.1,3.5,4.9,6.3,7.7,9.1,10.5,11.9,13.3,14.7,16.1,18.3,20.5,22.4,24.3},{0,10,20,30,40,50,60,62,64,66,68,70,72,74,76,78,80,85,90,95,100})</f>
        <v>72</v>
      </c>
      <c r="G524" s="12">
        <v>257</v>
      </c>
      <c r="H524" s="11">
        <f>LOOKUP(G524,{0,175,180,185,190,195,200,204,208,212,216,220,224,228,232,236,240,248,255,260,265},{0,10,20,30,40,50,60,62,64,66,68,70,72,74,76,78,80,85,90,95,100})</f>
        <v>90</v>
      </c>
      <c r="I524" s="12">
        <v>16</v>
      </c>
      <c r="J524" s="11">
        <f>LOOKUP(I524,{0,3,4,5,6,7,8,9,10,11,12,13,14,15,16,17},{0,10,20,30,40,50,60,64,68,72,76,80,85,90,95,100})</f>
        <v>95</v>
      </c>
      <c r="K524" s="12"/>
      <c r="L524" s="12"/>
      <c r="M524" s="12">
        <f t="shared" si="250"/>
        <v>95</v>
      </c>
      <c r="N524" s="12">
        <v>7.3</v>
      </c>
      <c r="O524" s="12">
        <f t="shared" si="254"/>
        <v>4.7</v>
      </c>
      <c r="P524" s="11">
        <f>LOOKUP(O524,{0,1.6,1.8,2,2.2,2.4,2.6,2.8,3,3.2,3.4,3.6,3.8,4,4.2,4.4,4.6,4.7,4.8,4.9,5},{0,10,20,30,40,50,60,62,64,66,68,70,72,74,76,78,80,85,90,95,100})</f>
        <v>85</v>
      </c>
      <c r="Q524" s="12">
        <v>3.29</v>
      </c>
      <c r="R524" s="12">
        <f t="shared" si="251"/>
        <v>6.71</v>
      </c>
      <c r="S524" s="11">
        <f>LOOKUP(R524,{0,3.8,4,4.6,4.8,5,5.6,5.65,5.7,5.75,5.8,5.85,5.9,5.95,6,6.45,6.5,6.58,6.65,6.7,6.75},{0,10,20,30,40,50,60,62,64,66,68,70,72,74,76,78,80,85,90,95,100})</f>
        <v>95</v>
      </c>
      <c r="T524" s="12"/>
      <c r="U524" s="12"/>
      <c r="V524" s="12">
        <f t="shared" si="252"/>
        <v>95</v>
      </c>
      <c r="W524" s="12"/>
      <c r="X524" s="20">
        <f t="shared" si="240"/>
        <v>61.7</v>
      </c>
      <c r="Y524" s="20">
        <f t="shared" si="253"/>
        <v>88.1428571428572</v>
      </c>
    </row>
    <row r="525" ht="15.6" hidden="1" outlineLevel="2" spans="1:25">
      <c r="A525" s="12">
        <v>211</v>
      </c>
      <c r="B525" s="12">
        <v>30</v>
      </c>
      <c r="C525" s="6" t="s">
        <v>582</v>
      </c>
      <c r="D525" s="6" t="s">
        <v>11</v>
      </c>
      <c r="E525" s="12">
        <v>12</v>
      </c>
      <c r="F525" s="11">
        <f>LOOKUP(E525,{0,-2.9,-1.9,-0.9,0.1,1.1,2.1,3.5,4.9,6.3,7.7,9.1,10.5,11.9,13.3,14.7,16.1,18.3,20.5,22.4,24.3},{0,10,20,30,40,50,60,62,64,66,68,70,72,74,76,78,80,85,90,95,100})</f>
        <v>74</v>
      </c>
      <c r="G525" s="12">
        <v>221</v>
      </c>
      <c r="H525" s="11">
        <f>LOOKUP(G525,{0,175,180,185,190,195,200,204,208,212,216,220,224,228,232,236,240,248,255,260,265},{0,10,20,30,40,50,60,62,64,66,68,70,72,74,76,78,80,85,90,95,100})</f>
        <v>70</v>
      </c>
      <c r="I525" s="12">
        <v>22</v>
      </c>
      <c r="J525" s="11">
        <f>LOOKUP(I525,{0,3,4,5,6,7,8,9,10,11,12,13,14,15,16,17},{0,10,20,30,40,50,60,64,68,72,76,80,85,90,95,100})</f>
        <v>100</v>
      </c>
      <c r="K525" s="12">
        <f>I525-17</f>
        <v>5</v>
      </c>
      <c r="L525" s="11">
        <f>LOOKUP(K525,{0,1,2,3,4,5,6,7,8,9,10},{0,1,2,3,4,5,6,7,8,9,10})</f>
        <v>5</v>
      </c>
      <c r="M525" s="12">
        <f t="shared" si="250"/>
        <v>105</v>
      </c>
      <c r="N525" s="12">
        <v>6.9</v>
      </c>
      <c r="O525" s="12">
        <f t="shared" si="254"/>
        <v>5.1</v>
      </c>
      <c r="P525" s="11">
        <f>LOOKUP(O525,{0,1.6,1.8,2,2.2,2.4,2.6,2.8,3,3.2,3.4,3.6,3.8,4,4.2,4.4,4.6,4.7,4.8,4.9,5},{0,10,20,30,40,50,60,62,64,66,68,70,72,74,76,78,80,85,90,95,100})</f>
        <v>100</v>
      </c>
      <c r="Q525" s="12">
        <v>3.49</v>
      </c>
      <c r="R525" s="12">
        <f t="shared" si="251"/>
        <v>6.51</v>
      </c>
      <c r="S525" s="11">
        <f>LOOKUP(R525,{0,3.8,4,4.6,4.8,5,5.6,5.65,5.7,5.75,5.8,5.85,5.9,5.95,6,6.45,6.5,6.58,6.65,6.7,6.75},{0,10,20,30,40,50,60,62,64,66,68,70,72,74,76,78,80,85,90,95,100})</f>
        <v>80</v>
      </c>
      <c r="T525" s="12"/>
      <c r="U525" s="12"/>
      <c r="V525" s="12">
        <f t="shared" si="252"/>
        <v>80</v>
      </c>
      <c r="W525" s="12"/>
      <c r="X525" s="20">
        <f t="shared" si="240"/>
        <v>60.4</v>
      </c>
      <c r="Y525" s="20">
        <f t="shared" si="253"/>
        <v>91.2857142857143</v>
      </c>
    </row>
    <row r="526" ht="15.6" hidden="1" outlineLevel="2" spans="1:25">
      <c r="A526" s="12">
        <v>211</v>
      </c>
      <c r="B526" s="12">
        <v>31</v>
      </c>
      <c r="C526" s="6" t="s">
        <v>583</v>
      </c>
      <c r="D526" s="6" t="s">
        <v>11</v>
      </c>
      <c r="E526" s="12">
        <v>18.5</v>
      </c>
      <c r="F526" s="11">
        <f>LOOKUP(E526,{0,-2.9,-1.9,-0.9,0.1,1.1,2.1,3.5,4.9,6.3,7.7,9.1,10.5,11.9,13.3,14.7,16.1,18.3,20.5,22.4,24.3},{0,10,20,30,40,50,60,62,64,66,68,70,72,74,76,78,80,85,90,95,100})</f>
        <v>85</v>
      </c>
      <c r="G526" s="12">
        <v>246</v>
      </c>
      <c r="H526" s="11">
        <f>LOOKUP(G526,{0,175,180,185,190,195,200,204,208,212,216,220,224,228,232,236,240,248,255,260,265},{0,10,20,30,40,50,60,62,64,66,68,70,72,74,76,78,80,85,90,95,100})</f>
        <v>80</v>
      </c>
      <c r="I526" s="12">
        <v>15</v>
      </c>
      <c r="J526" s="11">
        <f>LOOKUP(I526,{0,3,4,5,6,7,8,9,10,11,12,13,14,15,16,17},{0,10,20,30,40,50,60,64,68,72,76,80,85,90,95,100})</f>
        <v>90</v>
      </c>
      <c r="K526" s="12"/>
      <c r="L526" s="12"/>
      <c r="M526" s="12">
        <f t="shared" si="250"/>
        <v>90</v>
      </c>
      <c r="N526" s="12">
        <v>6.9</v>
      </c>
      <c r="O526" s="12">
        <f t="shared" si="254"/>
        <v>5.1</v>
      </c>
      <c r="P526" s="11">
        <f>LOOKUP(O526,{0,1.6,1.8,2,2.2,2.4,2.6,2.8,3,3.2,3.4,3.6,3.8,4,4.2,4.4,4.6,4.7,4.8,4.9,5},{0,10,20,30,40,50,60,62,64,66,68,70,72,74,76,78,80,85,90,95,100})</f>
        <v>100</v>
      </c>
      <c r="Q526" s="12">
        <v>3.2</v>
      </c>
      <c r="R526" s="12">
        <f t="shared" si="251"/>
        <v>6.8</v>
      </c>
      <c r="S526" s="11">
        <f>LOOKUP(R526,{0,3.8,4,4.6,4.8,5,5.6,5.65,5.7,5.75,5.8,5.85,5.9,5.95,6,6.45,6.5,6.58,6.65,6.7,6.75},{0,10,20,30,40,50,60,62,64,66,68,70,72,74,76,78,80,85,90,95,100})</f>
        <v>100</v>
      </c>
      <c r="T526" s="12">
        <f t="shared" si="255"/>
        <v>0.0499999999999998</v>
      </c>
      <c r="U526" s="11">
        <f>LOOKUP(T526,{0,0.04,0.08,0.12,0.16,0.2,0.23,0.26,0.29,0.32,0.35},{0,1,2,3,4,5,6,7,8,9,10})</f>
        <v>1</v>
      </c>
      <c r="V526" s="12">
        <f t="shared" si="252"/>
        <v>101</v>
      </c>
      <c r="W526" s="12"/>
      <c r="X526" s="20">
        <f t="shared" si="240"/>
        <v>65.5</v>
      </c>
      <c r="Y526" s="20">
        <f t="shared" si="253"/>
        <v>94.5714285714286</v>
      </c>
    </row>
    <row r="527" ht="15.6" hidden="1" outlineLevel="2" spans="1:25">
      <c r="A527" s="12">
        <v>211</v>
      </c>
      <c r="B527" s="12">
        <v>32</v>
      </c>
      <c r="C527" s="6" t="s">
        <v>584</v>
      </c>
      <c r="D527" s="6" t="s">
        <v>11</v>
      </c>
      <c r="E527" s="12">
        <v>19.6</v>
      </c>
      <c r="F527" s="11">
        <f>LOOKUP(E527,{0,-2.9,-1.9,-0.9,0.1,1.1,2.1,3.5,4.9,6.3,7.7,9.1,10.5,11.9,13.3,14.7,16.1,18.3,20.5,22.4,24.3},{0,10,20,30,40,50,60,62,64,66,68,70,72,74,76,78,80,85,90,95,100})</f>
        <v>85</v>
      </c>
      <c r="G527" s="12">
        <v>260</v>
      </c>
      <c r="H527" s="11">
        <f>LOOKUP(G527,{0,175,180,185,190,195,200,204,208,212,216,220,224,228,232,236,240,248,255,260,265},{0,10,20,30,40,50,60,62,64,66,68,70,72,74,76,78,80,85,90,95,100})</f>
        <v>95</v>
      </c>
      <c r="I527" s="12">
        <v>8</v>
      </c>
      <c r="J527" s="11">
        <f>LOOKUP(I527,{0,3,4,5,6,7,8,9,10,11,12,13,14,15,16,17},{0,10,20,30,40,50,60,64,68,72,76,80,85,90,95,100})</f>
        <v>60</v>
      </c>
      <c r="K527" s="12"/>
      <c r="L527" s="12"/>
      <c r="M527" s="12">
        <f t="shared" si="250"/>
        <v>60</v>
      </c>
      <c r="N527" s="12">
        <v>6.9</v>
      </c>
      <c r="O527" s="12">
        <f t="shared" si="254"/>
        <v>5.1</v>
      </c>
      <c r="P527" s="11">
        <f>LOOKUP(O527,{0,1.6,1.8,2,2.2,2.4,2.6,2.8,3,3.2,3.4,3.6,3.8,4,4.2,4.4,4.6,4.7,4.8,4.9,5},{0,10,20,30,40,50,60,62,64,66,68,70,72,74,76,78,80,85,90,95,100})</f>
        <v>100</v>
      </c>
      <c r="Q527" s="12">
        <v>3.25</v>
      </c>
      <c r="R527" s="12">
        <f t="shared" si="251"/>
        <v>6.75</v>
      </c>
      <c r="S527" s="11">
        <f>LOOKUP(R527,{0,3.8,4,4.6,4.8,5,5.6,5.65,5.7,5.75,5.8,5.85,5.9,5.95,6,6.45,6.5,6.58,6.65,6.7,6.75},{0,10,20,30,40,50,60,62,64,66,68,70,72,74,76,78,80,85,90,95,100})</f>
        <v>100</v>
      </c>
      <c r="T527" s="12">
        <f t="shared" si="255"/>
        <v>0</v>
      </c>
      <c r="U527" s="11">
        <f>LOOKUP(T527,{0,0.04,0.08,0.12,0.16,0.2,0.23,0.26,0.29,0.32,0.35},{0,1,2,3,4,5,6,7,8,9,10})</f>
        <v>0</v>
      </c>
      <c r="V527" s="12">
        <f t="shared" si="252"/>
        <v>100</v>
      </c>
      <c r="W527" s="12"/>
      <c r="X527" s="20">
        <f t="shared" si="240"/>
        <v>64</v>
      </c>
      <c r="Y527" s="20">
        <f t="shared" si="253"/>
        <v>91.4285714285714</v>
      </c>
    </row>
    <row r="528" ht="15.6" hidden="1" outlineLevel="2" spans="1:25">
      <c r="A528" s="12">
        <v>211</v>
      </c>
      <c r="B528" s="12">
        <v>33</v>
      </c>
      <c r="C528" s="13" t="s">
        <v>586</v>
      </c>
      <c r="D528" s="6" t="s">
        <v>53</v>
      </c>
      <c r="E528" s="12">
        <v>22.2</v>
      </c>
      <c r="F528" s="11">
        <f>LOOKUP(E528,{0,1,1.8,2.6,3.4,4.2,5,6.3,7.6,8.9,10.2,11.5,12.8,14.1,15.4,16.7,18,19.7,21.4,23.1,24.8},{0,10,20,30,40,50,60,62,64,66,68,70,72,74,76,78,80,85,90,95,100})</f>
        <v>90</v>
      </c>
      <c r="G528" s="12">
        <v>150</v>
      </c>
      <c r="H528" s="11">
        <f>LOOKUP(G528,{0,124,129,134,139,144,149,152,155,158,161,164,167,170,173,176,179,186,193,199,205},{0,10,20,30,40,50,60,62,64,66,68,70,72,74,76,78,80,85,90,95,100})</f>
        <v>60</v>
      </c>
      <c r="I528" s="12">
        <v>35</v>
      </c>
      <c r="J528" s="11">
        <f>LOOKUP(I528,{0,14,16,18,20,22,24,26,28,30,32,34,36,38,40,42,44,47,50,52,54},{0,10,20,30,40,50,60,62,64,66,68,70,72,74,76,78,80,85,90,95,100})</f>
        <v>70</v>
      </c>
      <c r="K528" s="12"/>
      <c r="L528" s="12"/>
      <c r="M528" s="12">
        <f t="shared" si="250"/>
        <v>70</v>
      </c>
      <c r="N528" s="12">
        <v>9.2</v>
      </c>
      <c r="O528" s="12">
        <f t="shared" si="254"/>
        <v>2.8</v>
      </c>
      <c r="P528" s="11">
        <f>LOOKUP(O528,{0,0.5,0.7,0.9,1.1,1.3,1.5,1.7,1.9,2.1,2.3,2.5,2.7,2.9,3.1,3.3,3.5,3.8,4.1,4.2,4.3},{0,10,20,30,40,50,60,62,64,66,68,70,72,74,76,78,80,85,90,95,100})</f>
        <v>72</v>
      </c>
      <c r="Q528" s="12">
        <v>3.45</v>
      </c>
      <c r="R528" s="12">
        <f t="shared" si="251"/>
        <v>6.55</v>
      </c>
      <c r="S528" s="11">
        <f>LOOKUP(R528,{0,4.72,4.82,4.92,5.42,5.52,5.62,5.67,5.72,5.77,5.82,5.87,5.92,5.97,6.42,6.47,6.52,6.59,6.66,6.72,6.78},{0,10,20,30,40,50,60,62,64,66,68,70,72,74,76,78,80,85,90,95,100})</f>
        <v>80</v>
      </c>
      <c r="T528" s="12"/>
      <c r="U528" s="12"/>
      <c r="V528" s="12">
        <f t="shared" si="252"/>
        <v>80</v>
      </c>
      <c r="W528" s="12"/>
      <c r="X528" s="20">
        <f t="shared" si="240"/>
        <v>52.4</v>
      </c>
      <c r="Y528" s="20">
        <f t="shared" si="253"/>
        <v>74.8571428571429</v>
      </c>
    </row>
    <row r="529" ht="15.6" hidden="1" outlineLevel="2" spans="1:25">
      <c r="A529" s="12">
        <v>211</v>
      </c>
      <c r="B529" s="12">
        <v>34</v>
      </c>
      <c r="C529" s="6" t="s">
        <v>587</v>
      </c>
      <c r="D529" s="6" t="s">
        <v>53</v>
      </c>
      <c r="E529" s="12">
        <v>16</v>
      </c>
      <c r="F529" s="11">
        <f>LOOKUP(E529,{0,1,1.8,2.6,3.4,4.2,5,6.3,7.6,8.9,10.2,11.5,12.8,14.1,15.4,16.7,18,19.7,21.4,23.1,24.8},{0,10,20,30,40,50,60,62,64,66,68,70,72,74,76,78,80,85,90,95,100})</f>
        <v>76</v>
      </c>
      <c r="G529" s="12">
        <v>189</v>
      </c>
      <c r="H529" s="11">
        <f>LOOKUP(G529,{0,124,129,134,139,144,149,152,155,158,161,164,167,170,173,176,179,186,193,199,205},{0,10,20,30,40,50,60,62,64,66,68,70,72,74,76,78,80,85,90,95,100})</f>
        <v>85</v>
      </c>
      <c r="I529" s="12">
        <v>52</v>
      </c>
      <c r="J529" s="11">
        <f>LOOKUP(I529,{0,14,16,18,20,22,24,26,28,30,32,34,36,38,40,42,44,47,50,52,54},{0,10,20,30,40,50,60,62,64,66,68,70,72,74,76,78,80,85,90,95,100})</f>
        <v>95</v>
      </c>
      <c r="K529" s="12"/>
      <c r="L529" s="12"/>
      <c r="M529" s="12">
        <f t="shared" si="250"/>
        <v>95</v>
      </c>
      <c r="N529" s="12">
        <v>8.2</v>
      </c>
      <c r="O529" s="12">
        <f t="shared" si="254"/>
        <v>3.8</v>
      </c>
      <c r="P529" s="11">
        <f>LOOKUP(O529,{0,0.5,0.7,0.9,1.1,1.3,1.5,1.7,1.9,2.1,2.3,2.5,2.7,2.9,3.1,3.3,3.5,3.8,4.1,4.2,4.3},{0,10,20,30,40,50,60,62,64,66,68,70,72,74,76,78,80,85,90,95,100})</f>
        <v>85</v>
      </c>
      <c r="Q529" s="12">
        <v>3.19</v>
      </c>
      <c r="R529" s="12">
        <f t="shared" si="251"/>
        <v>6.81</v>
      </c>
      <c r="S529" s="11">
        <f>LOOKUP(R529,{0,4.72,4.82,4.92,5.42,5.52,5.62,5.67,5.72,5.77,5.82,5.87,5.92,5.97,6.42,6.47,6.52,6.59,6.66,6.72,6.78},{0,10,20,30,40,50,60,62,64,66,68,70,72,74,76,78,80,85,90,95,100})</f>
        <v>100</v>
      </c>
      <c r="T529" s="21">
        <f>3.22-Q529</f>
        <v>0.0300000000000002</v>
      </c>
      <c r="U529" s="11">
        <f>LOOKUP(T529,{0,0.05,0.1,0.15,0.2,0.25,0.3,0.35,0.4,0.45,0.5},{0,1,2,3,4,5,6,7,8,9,10})</f>
        <v>0</v>
      </c>
      <c r="V529" s="12">
        <f t="shared" si="252"/>
        <v>100</v>
      </c>
      <c r="W529" s="12"/>
      <c r="X529" s="20">
        <f t="shared" si="240"/>
        <v>62.6</v>
      </c>
      <c r="Y529" s="20">
        <f t="shared" si="253"/>
        <v>89.4285714285714</v>
      </c>
    </row>
    <row r="530" ht="15.6" hidden="1" outlineLevel="2" spans="1:25">
      <c r="A530" s="12">
        <v>211</v>
      </c>
      <c r="B530" s="12">
        <v>35</v>
      </c>
      <c r="C530" s="6" t="s">
        <v>588</v>
      </c>
      <c r="D530" s="6" t="s">
        <v>53</v>
      </c>
      <c r="E530" s="12">
        <v>21</v>
      </c>
      <c r="F530" s="11">
        <f>LOOKUP(E530,{0,1,1.8,2.6,3.4,4.2,5,6.3,7.6,8.9,10.2,11.5,12.8,14.1,15.4,16.7,18,19.7,21.4,23.1,24.8},{0,10,20,30,40,50,60,62,64,66,68,70,72,74,76,78,80,85,90,95,100})</f>
        <v>85</v>
      </c>
      <c r="G530" s="12">
        <v>168</v>
      </c>
      <c r="H530" s="11">
        <f>LOOKUP(G530,{0,124,129,134,139,144,149,152,155,158,161,164,167,170,173,176,179,186,193,199,205},{0,10,20,30,40,50,60,62,64,66,68,70,72,74,76,78,80,85,90,95,100})</f>
        <v>72</v>
      </c>
      <c r="I530" s="12">
        <v>52</v>
      </c>
      <c r="J530" s="11">
        <f>LOOKUP(I530,{0,14,16,18,20,22,24,26,28,30,32,34,36,38,40,42,44,47,50,52,54},{0,10,20,30,40,50,60,62,64,66,68,70,72,74,76,78,80,85,90,95,100})</f>
        <v>95</v>
      </c>
      <c r="K530" s="12"/>
      <c r="L530" s="12"/>
      <c r="M530" s="12">
        <f t="shared" si="250"/>
        <v>95</v>
      </c>
      <c r="N530" s="12">
        <v>8.9</v>
      </c>
      <c r="O530" s="12">
        <f t="shared" si="254"/>
        <v>3.1</v>
      </c>
      <c r="P530" s="11">
        <f>LOOKUP(O530,{0,0.5,0.7,0.9,1.1,1.3,1.5,1.7,1.9,2.1,2.3,2.5,2.7,2.9,3.1,3.3,3.5,3.8,4.1,4.2,4.3},{0,10,20,30,40,50,60,62,64,66,68,70,72,74,76,78,80,85,90,95,100})</f>
        <v>76</v>
      </c>
      <c r="Q530" s="12">
        <v>4.04</v>
      </c>
      <c r="R530" s="12">
        <f t="shared" si="251"/>
        <v>5.96</v>
      </c>
      <c r="S530" s="11">
        <f>LOOKUP(R530,{0,4.72,4.82,4.92,5.42,5.52,5.62,5.67,5.72,5.77,5.82,5.87,5.92,5.97,6.42,6.47,6.52,6.59,6.66,6.72,6.78},{0,10,20,30,40,50,60,62,64,66,68,70,72,74,76,78,80,85,90,95,100})</f>
        <v>72</v>
      </c>
      <c r="T530" s="12"/>
      <c r="U530" s="12"/>
      <c r="V530" s="12">
        <f t="shared" si="252"/>
        <v>72</v>
      </c>
      <c r="W530" s="12"/>
      <c r="X530" s="20">
        <f t="shared" si="240"/>
        <v>54.8</v>
      </c>
      <c r="Y530" s="20">
        <f t="shared" si="253"/>
        <v>78.2857142857143</v>
      </c>
    </row>
    <row r="531" ht="15.6" hidden="1" outlineLevel="2" spans="1:25">
      <c r="A531" s="12">
        <v>211</v>
      </c>
      <c r="B531" s="12">
        <v>36</v>
      </c>
      <c r="C531" s="6" t="s">
        <v>589</v>
      </c>
      <c r="D531" s="6" t="s">
        <v>53</v>
      </c>
      <c r="E531" s="12">
        <v>21</v>
      </c>
      <c r="F531" s="11">
        <f>LOOKUP(E531,{0,1,1.8,2.6,3.4,4.2,5,6.3,7.6,8.9,10.2,11.5,12.8,14.1,15.4,16.7,18,19.7,21.4,23.1,24.8},{0,10,20,30,40,50,60,62,64,66,68,70,72,74,76,78,80,85,90,95,100})</f>
        <v>85</v>
      </c>
      <c r="G531" s="12">
        <v>210</v>
      </c>
      <c r="H531" s="11">
        <f>LOOKUP(G531,{0,124,129,134,139,144,149,152,155,158,161,164,167,170,173,176,179,186,193,199,205},{0,10,20,30,40,50,60,62,64,66,68,70,72,74,76,78,80,85,90,95,100})</f>
        <v>100</v>
      </c>
      <c r="I531" s="12">
        <v>58</v>
      </c>
      <c r="J531" s="11">
        <f>LOOKUP(I531,{0,14,16,18,20,22,24,26,28,30,32,34,36,38,40,42,44,47,50,52,54},{0,10,20,30,40,50,60,62,64,66,68,70,72,74,76,78,80,85,90,95,100})</f>
        <v>100</v>
      </c>
      <c r="K531" s="12">
        <f>I531-54</f>
        <v>4</v>
      </c>
      <c r="L531" s="11">
        <f>LOOKUP(K531,{0,2,4,6,7,8,9,10,11,12,13},{0,1,2,3,4,5,6,7,8,9,10})</f>
        <v>2</v>
      </c>
      <c r="M531" s="12">
        <f t="shared" si="250"/>
        <v>102</v>
      </c>
      <c r="N531" s="12">
        <v>8.2</v>
      </c>
      <c r="O531" s="12">
        <f t="shared" si="254"/>
        <v>3.8</v>
      </c>
      <c r="P531" s="11">
        <f>LOOKUP(O531,{0,0.5,0.7,0.9,1.1,1.3,1.5,1.7,1.9,2.1,2.3,2.5,2.7,2.9,3.1,3.3,3.5,3.8,4.1,4.2,4.3},{0,10,20,30,40,50,60,62,64,66,68,70,72,74,76,78,80,85,90,95,100})</f>
        <v>85</v>
      </c>
      <c r="Q531" s="12">
        <v>3.16</v>
      </c>
      <c r="R531" s="12">
        <f t="shared" si="251"/>
        <v>6.84</v>
      </c>
      <c r="S531" s="11">
        <f>LOOKUP(R531,{0,4.72,4.82,4.92,5.42,5.52,5.62,5.67,5.72,5.77,5.82,5.87,5.92,5.97,6.42,6.47,6.52,6.59,6.66,6.72,6.78},{0,10,20,30,40,50,60,62,64,66,68,70,72,74,76,78,80,85,90,95,100})</f>
        <v>100</v>
      </c>
      <c r="T531" s="21">
        <f>3.22-Q531</f>
        <v>0.0600000000000001</v>
      </c>
      <c r="U531" s="11">
        <f>LOOKUP(T531,{0,0.05,0.1,0.15,0.2,0.25,0.3,0.35,0.4,0.45,0.5},{0,1,2,3,4,5,6,7,8,9,10})</f>
        <v>1</v>
      </c>
      <c r="V531" s="12">
        <f t="shared" si="252"/>
        <v>101</v>
      </c>
      <c r="W531" s="12"/>
      <c r="X531" s="20">
        <f t="shared" si="240"/>
        <v>65.5</v>
      </c>
      <c r="Y531" s="20">
        <f t="shared" si="253"/>
        <v>96.5714285714286</v>
      </c>
    </row>
    <row r="532" ht="15.6" hidden="1" outlineLevel="2" spans="1:25">
      <c r="A532" s="12">
        <v>211</v>
      </c>
      <c r="B532" s="12">
        <v>37</v>
      </c>
      <c r="C532" s="6" t="s">
        <v>590</v>
      </c>
      <c r="D532" s="6" t="s">
        <v>53</v>
      </c>
      <c r="E532" s="12">
        <v>29</v>
      </c>
      <c r="F532" s="11">
        <f>LOOKUP(E532,{0,1,1.8,2.6,3.4,4.2,5,6.3,7.6,8.9,10.2,11.5,12.8,14.1,15.4,16.7,18,19.7,21.4,23.1,24.8},{0,10,20,30,40,50,60,62,64,66,68,70,72,74,76,78,80,85,90,95,100})</f>
        <v>100</v>
      </c>
      <c r="G532" s="12">
        <v>225</v>
      </c>
      <c r="H532" s="11">
        <f>LOOKUP(G532,{0,124,129,134,139,144,149,152,155,158,161,164,167,170,173,176,179,186,193,199,205},{0,10,20,30,40,50,60,62,64,66,68,70,72,74,76,78,80,85,90,95,100})</f>
        <v>100</v>
      </c>
      <c r="I532" s="12">
        <v>42</v>
      </c>
      <c r="J532" s="11">
        <f>LOOKUP(I532,{0,14,16,18,20,22,24,26,28,30,32,34,36,38,40,42,44,47,50,52,54},{0,10,20,30,40,50,60,62,64,66,68,70,72,74,76,78,80,85,90,95,100})</f>
        <v>78</v>
      </c>
      <c r="K532" s="12"/>
      <c r="L532" s="12"/>
      <c r="M532" s="12">
        <f t="shared" si="250"/>
        <v>78</v>
      </c>
      <c r="N532" s="12">
        <v>8.6</v>
      </c>
      <c r="O532" s="12">
        <f t="shared" si="254"/>
        <v>3.4</v>
      </c>
      <c r="P532" s="11">
        <f>LOOKUP(O532,{0,0.5,0.7,0.9,1.1,1.3,1.5,1.7,1.9,2.1,2.3,2.5,2.7,2.9,3.1,3.3,3.5,3.8,4.1,4.2,4.3},{0,10,20,30,40,50,60,62,64,66,68,70,72,74,76,78,80,85,90,95,100})</f>
        <v>78</v>
      </c>
      <c r="Q532" s="12">
        <v>3.35</v>
      </c>
      <c r="R532" s="12">
        <f t="shared" si="251"/>
        <v>6.65</v>
      </c>
      <c r="S532" s="11">
        <f>LOOKUP(R532,{0,4.72,4.82,4.92,5.42,5.52,5.62,5.67,5.72,5.77,5.82,5.87,5.92,5.97,6.42,6.47,6.52,6.59,6.66,6.72,6.78},{0,10,20,30,40,50,60,62,64,66,68,70,72,74,76,78,80,85,90,95,100})</f>
        <v>85</v>
      </c>
      <c r="T532" s="12"/>
      <c r="U532" s="12"/>
      <c r="V532" s="12">
        <f t="shared" si="252"/>
        <v>85</v>
      </c>
      <c r="W532" s="12"/>
      <c r="X532" s="20">
        <f t="shared" si="240"/>
        <v>60.4</v>
      </c>
      <c r="Y532" s="20">
        <f t="shared" si="253"/>
        <v>86.2857142857143</v>
      </c>
    </row>
    <row r="533" ht="15.6" hidden="1" outlineLevel="2" spans="1:25">
      <c r="A533" s="12">
        <v>211</v>
      </c>
      <c r="B533" s="12">
        <v>38</v>
      </c>
      <c r="C533" s="6" t="s">
        <v>591</v>
      </c>
      <c r="D533" s="6" t="s">
        <v>53</v>
      </c>
      <c r="E533" s="12">
        <v>30</v>
      </c>
      <c r="F533" s="11">
        <f>LOOKUP(E533,{0,1,1.8,2.6,3.4,4.2,5,6.3,7.6,8.9,10.2,11.5,12.8,14.1,15.4,16.7,18,19.7,21.4,23.1,24.8},{0,10,20,30,40,50,60,62,64,66,68,70,72,74,76,78,80,85,90,95,100})</f>
        <v>100</v>
      </c>
      <c r="G533" s="12">
        <v>178</v>
      </c>
      <c r="H533" s="11">
        <f>LOOKUP(G533,{0,124,129,134,139,144,149,152,155,158,161,164,167,170,173,176,179,186,193,199,205},{0,10,20,30,40,50,60,62,64,66,68,70,72,74,76,78,80,85,90,95,100})</f>
        <v>78</v>
      </c>
      <c r="I533" s="12">
        <v>50</v>
      </c>
      <c r="J533" s="11">
        <f>LOOKUP(I533,{0,14,16,18,20,22,24,26,28,30,32,34,36,38,40,42,44,47,50,52,54},{0,10,20,30,40,50,60,62,64,66,68,70,72,74,76,78,80,85,90,95,100})</f>
        <v>90</v>
      </c>
      <c r="K533" s="12"/>
      <c r="L533" s="12"/>
      <c r="M533" s="12">
        <f t="shared" si="250"/>
        <v>90</v>
      </c>
      <c r="N533" s="12">
        <v>8.6</v>
      </c>
      <c r="O533" s="12">
        <f t="shared" si="254"/>
        <v>3.4</v>
      </c>
      <c r="P533" s="11">
        <f>LOOKUP(O533,{0,0.5,0.7,0.9,1.1,1.3,1.5,1.7,1.9,2.1,2.3,2.5,2.7,2.9,3.1,3.3,3.5,3.8,4.1,4.2,4.3},{0,10,20,30,40,50,60,62,64,66,68,70,72,74,76,78,80,85,90,95,100})</f>
        <v>78</v>
      </c>
      <c r="Q533" s="12">
        <v>3.4</v>
      </c>
      <c r="R533" s="12">
        <f t="shared" si="251"/>
        <v>6.6</v>
      </c>
      <c r="S533" s="11">
        <f>LOOKUP(R533,{0,4.72,4.82,4.92,5.42,5.52,5.62,5.67,5.72,5.77,5.82,5.87,5.92,5.97,6.42,6.47,6.52,6.59,6.66,6.72,6.78},{0,10,20,30,40,50,60,62,64,66,68,70,72,74,76,78,80,85,90,95,100})</f>
        <v>85</v>
      </c>
      <c r="T533" s="12"/>
      <c r="U533" s="12"/>
      <c r="V533" s="12">
        <f t="shared" si="252"/>
        <v>85</v>
      </c>
      <c r="W533" s="12"/>
      <c r="X533" s="20">
        <f t="shared" si="240"/>
        <v>59.4</v>
      </c>
      <c r="Y533" s="20">
        <f t="shared" si="253"/>
        <v>84.8571428571429</v>
      </c>
    </row>
    <row r="534" ht="15.6" hidden="1" outlineLevel="2" spans="1:25">
      <c r="A534" s="12">
        <v>211</v>
      </c>
      <c r="B534" s="12">
        <v>39</v>
      </c>
      <c r="C534" s="6" t="s">
        <v>592</v>
      </c>
      <c r="D534" s="6" t="s">
        <v>53</v>
      </c>
      <c r="E534" s="12">
        <v>14</v>
      </c>
      <c r="F534" s="11">
        <f>LOOKUP(E534,{0,1,1.8,2.6,3.4,4.2,5,6.3,7.6,8.9,10.2,11.5,12.8,14.1,15.4,16.7,18,19.7,21.4,23.1,24.8},{0,10,20,30,40,50,60,62,64,66,68,70,72,74,76,78,80,85,90,95,100})</f>
        <v>72</v>
      </c>
      <c r="G534" s="12">
        <v>180</v>
      </c>
      <c r="H534" s="11">
        <f>LOOKUP(G534,{0,124,129,134,139,144,149,152,155,158,161,164,167,170,173,176,179,186,193,199,205},{0,10,20,30,40,50,60,62,64,66,68,70,72,74,76,78,80,85,90,95,100})</f>
        <v>80</v>
      </c>
      <c r="I534" s="12">
        <v>49</v>
      </c>
      <c r="J534" s="11">
        <f>LOOKUP(I534,{0,14,16,18,20,22,24,26,28,30,32,34,36,38,40,42,44,47,50,52,54},{0,10,20,30,40,50,60,62,64,66,68,70,72,74,76,78,80,85,90,95,100})</f>
        <v>85</v>
      </c>
      <c r="K534" s="12"/>
      <c r="L534" s="12"/>
      <c r="M534" s="12">
        <f t="shared" si="250"/>
        <v>85</v>
      </c>
      <c r="N534" s="12">
        <v>8.5</v>
      </c>
      <c r="O534" s="12">
        <f t="shared" si="254"/>
        <v>3.5</v>
      </c>
      <c r="P534" s="11">
        <f>LOOKUP(O534,{0,0.5,0.7,0.9,1.1,1.3,1.5,1.7,1.9,2.1,2.3,2.5,2.7,2.9,3.1,3.3,3.5,3.8,4.1,4.2,4.3},{0,10,20,30,40,50,60,62,64,66,68,70,72,74,76,78,80,85,90,95,100})</f>
        <v>80</v>
      </c>
      <c r="Q534" s="12">
        <v>3.29</v>
      </c>
      <c r="R534" s="12">
        <f t="shared" si="251"/>
        <v>6.71</v>
      </c>
      <c r="S534" s="11">
        <f>LOOKUP(R534,{0,4.72,4.82,4.92,5.42,5.52,5.62,5.67,5.72,5.77,5.82,5.87,5.92,5.97,6.42,6.47,6.52,6.59,6.66,6.72,6.78},{0,10,20,30,40,50,60,62,64,66,68,70,72,74,76,78,80,85,90,95,100})</f>
        <v>90</v>
      </c>
      <c r="T534" s="12"/>
      <c r="U534" s="12"/>
      <c r="V534" s="12">
        <f t="shared" si="252"/>
        <v>90</v>
      </c>
      <c r="W534" s="12"/>
      <c r="X534" s="20">
        <f t="shared" si="240"/>
        <v>57.7</v>
      </c>
      <c r="Y534" s="20">
        <f t="shared" si="253"/>
        <v>82.4285714285714</v>
      </c>
    </row>
    <row r="535" ht="15.6" hidden="1" outlineLevel="2" spans="1:25">
      <c r="A535" s="12">
        <v>211</v>
      </c>
      <c r="B535" s="12">
        <v>40</v>
      </c>
      <c r="C535" s="6" t="s">
        <v>593</v>
      </c>
      <c r="D535" s="6" t="s">
        <v>53</v>
      </c>
      <c r="E535" s="12">
        <v>14</v>
      </c>
      <c r="F535" s="11">
        <f>LOOKUP(E535,{0,1,1.8,2.6,3.4,4.2,5,6.3,7.6,8.9,10.2,11.5,12.8,14.1,15.4,16.7,18,19.7,21.4,23.1,24.8},{0,10,20,30,40,50,60,62,64,66,68,70,72,74,76,78,80,85,90,95,100})</f>
        <v>72</v>
      </c>
      <c r="G535" s="12">
        <v>203</v>
      </c>
      <c r="H535" s="11">
        <f>LOOKUP(G535,{0,124,129,134,139,144,149,152,155,158,161,164,167,170,173,176,179,186,193,199,205},{0,10,20,30,40,50,60,62,64,66,68,70,72,74,76,78,80,85,90,95,100})</f>
        <v>95</v>
      </c>
      <c r="I535" s="12">
        <v>50</v>
      </c>
      <c r="J535" s="11">
        <f>LOOKUP(I535,{0,14,16,18,20,22,24,26,28,30,32,34,36,38,40,42,44,47,50,52,54},{0,10,20,30,40,50,60,62,64,66,68,70,72,74,76,78,80,85,90,95,100})</f>
        <v>90</v>
      </c>
      <c r="K535" s="12"/>
      <c r="L535" s="12"/>
      <c r="M535" s="12">
        <f t="shared" si="250"/>
        <v>90</v>
      </c>
      <c r="N535" s="12">
        <v>7.9</v>
      </c>
      <c r="O535" s="12">
        <f t="shared" si="254"/>
        <v>4.1</v>
      </c>
      <c r="P535" s="11">
        <f>LOOKUP(O535,{0,0.5,0.7,0.9,1.1,1.3,1.5,1.7,1.9,2.1,2.3,2.5,2.7,2.9,3.1,3.3,3.5,3.8,4.1,4.2,4.3},{0,10,20,30,40,50,60,62,64,66,68,70,72,74,76,78,80,85,90,95,100})</f>
        <v>90</v>
      </c>
      <c r="Q535" s="12">
        <v>3.26</v>
      </c>
      <c r="R535" s="12">
        <f t="shared" si="251"/>
        <v>6.74</v>
      </c>
      <c r="S535" s="11">
        <f>LOOKUP(R535,{0,4.72,4.82,4.92,5.42,5.52,5.62,5.67,5.72,5.77,5.82,5.87,5.92,5.97,6.42,6.47,6.52,6.59,6.66,6.72,6.78},{0,10,20,30,40,50,60,62,64,66,68,70,72,74,76,78,80,85,90,95,100})</f>
        <v>95</v>
      </c>
      <c r="T535" s="12"/>
      <c r="U535" s="12"/>
      <c r="V535" s="12">
        <f t="shared" si="252"/>
        <v>95</v>
      </c>
      <c r="W535" s="12"/>
      <c r="X535" s="20">
        <f t="shared" si="240"/>
        <v>62.7</v>
      </c>
      <c r="Y535" s="20">
        <f t="shared" si="253"/>
        <v>89.5714285714286</v>
      </c>
    </row>
    <row r="536" s="1" customFormat="1" ht="15.6" hidden="1" outlineLevel="2" spans="1:25">
      <c r="A536" s="12">
        <v>211</v>
      </c>
      <c r="B536" s="12">
        <v>41</v>
      </c>
      <c r="C536" s="6" t="s">
        <v>594</v>
      </c>
      <c r="D536" s="6" t="s">
        <v>53</v>
      </c>
      <c r="E536" s="12">
        <v>19</v>
      </c>
      <c r="F536" s="11">
        <f>LOOKUP(E536,{0,1,1.8,2.6,3.4,4.2,5,6.3,7.6,8.9,10.2,11.5,12.8,14.1,15.4,16.7,18,19.7,21.4,23.1,24.8},{0,10,20,30,40,50,60,62,64,66,68,70,72,74,76,78,80,85,90,95,100})</f>
        <v>80</v>
      </c>
      <c r="G536" s="12">
        <v>177</v>
      </c>
      <c r="H536" s="11">
        <f>LOOKUP(G536,{0,124,129,134,139,144,149,152,155,158,161,164,167,170,173,176,179,186,193,199,205},{0,10,20,30,40,50,60,62,64,66,68,70,72,74,76,78,80,85,90,95,100})</f>
        <v>78</v>
      </c>
      <c r="I536" s="12">
        <v>57</v>
      </c>
      <c r="J536" s="11">
        <f>LOOKUP(I536,{0,14,16,18,20,22,24,26,28,30,32,34,36,38,40,42,44,47,50,52,54},{0,10,20,30,40,50,60,62,64,66,68,70,72,74,76,78,80,85,90,95,100})</f>
        <v>100</v>
      </c>
      <c r="K536" s="12">
        <f t="shared" ref="K536:K541" si="256">I536-54</f>
        <v>3</v>
      </c>
      <c r="L536" s="11">
        <f>LOOKUP(K536,{0,2,4,6,7,8,9,10,11,12,13},{0,1,2,3,4,5,6,7,8,9,10})</f>
        <v>1</v>
      </c>
      <c r="M536" s="12">
        <f t="shared" si="250"/>
        <v>101</v>
      </c>
      <c r="N536" s="12">
        <v>9.7</v>
      </c>
      <c r="O536" s="12">
        <f t="shared" si="254"/>
        <v>2.3</v>
      </c>
      <c r="P536" s="11">
        <f>LOOKUP(O536,{0,0.5,0.7,0.9,1.1,1.3,1.5,1.7,1.9,2.1,2.3,2.5,2.7,2.9,3.1,3.3,3.5,3.8,4.1,4.2,4.3},{0,10,20,30,40,50,60,62,64,66,68,70,72,74,76,78,80,85,90,95,100})</f>
        <v>68</v>
      </c>
      <c r="Q536" s="12">
        <v>4.21</v>
      </c>
      <c r="R536" s="12">
        <f t="shared" si="251"/>
        <v>5.79</v>
      </c>
      <c r="S536" s="11">
        <f>LOOKUP(R536,{0,4.72,4.82,4.92,5.42,5.52,5.62,5.67,5.72,5.77,5.82,5.87,5.92,5.97,6.42,6.47,6.52,6.59,6.66,6.72,6.78},{0,10,20,30,40,50,60,62,64,66,68,70,72,74,76,78,80,85,90,95,100})</f>
        <v>66</v>
      </c>
      <c r="T536" s="12"/>
      <c r="U536" s="12"/>
      <c r="V536" s="12">
        <f t="shared" si="252"/>
        <v>66</v>
      </c>
      <c r="W536" s="12"/>
      <c r="X536" s="20">
        <f t="shared" si="240"/>
        <v>52.6</v>
      </c>
      <c r="Y536" s="20">
        <f t="shared" si="253"/>
        <v>76.1428571428572</v>
      </c>
    </row>
    <row r="537" ht="15.6" hidden="1" outlineLevel="2" spans="1:25">
      <c r="A537" s="12">
        <v>211</v>
      </c>
      <c r="B537" s="12">
        <v>42</v>
      </c>
      <c r="C537" s="6" t="s">
        <v>595</v>
      </c>
      <c r="D537" s="6" t="s">
        <v>53</v>
      </c>
      <c r="E537" s="12">
        <v>20.5</v>
      </c>
      <c r="F537" s="11">
        <f>LOOKUP(E537,{0,1,1.8,2.6,3.4,4.2,5,6.3,7.6,8.9,10.2,11.5,12.8,14.1,15.4,16.7,18,19.7,21.4,23.1,24.8},{0,10,20,30,40,50,60,62,64,66,68,70,72,74,76,78,80,85,90,95,100})</f>
        <v>85</v>
      </c>
      <c r="G537" s="12">
        <v>201</v>
      </c>
      <c r="H537" s="11">
        <f>LOOKUP(G537,{0,124,129,134,139,144,149,152,155,158,161,164,167,170,173,176,179,186,193,199,205},{0,10,20,30,40,50,60,62,64,66,68,70,72,74,76,78,80,85,90,95,100})</f>
        <v>95</v>
      </c>
      <c r="I537" s="12">
        <v>66</v>
      </c>
      <c r="J537" s="11">
        <f>LOOKUP(I537,{0,14,16,18,20,22,24,26,28,30,32,34,36,38,40,42,44,47,50,52,54},{0,10,20,30,40,50,60,62,64,66,68,70,72,74,76,78,80,85,90,95,100})</f>
        <v>100</v>
      </c>
      <c r="K537" s="12">
        <f t="shared" si="256"/>
        <v>12</v>
      </c>
      <c r="L537" s="11">
        <f>LOOKUP(K537,{0,2,4,6,7,8,9,10,11,12,13},{0,1,2,3,4,5,6,7,8,9,10})</f>
        <v>9</v>
      </c>
      <c r="M537" s="12">
        <f t="shared" si="250"/>
        <v>109</v>
      </c>
      <c r="N537" s="12">
        <v>8.2</v>
      </c>
      <c r="O537" s="12">
        <f t="shared" si="254"/>
        <v>3.8</v>
      </c>
      <c r="P537" s="11">
        <f>LOOKUP(O537,{0,0.5,0.7,0.9,1.1,1.3,1.5,1.7,1.9,2.1,2.3,2.5,2.7,2.9,3.1,3.3,3.5,3.8,4.1,4.2,4.3},{0,10,20,30,40,50,60,62,64,66,68,70,72,74,76,78,80,85,90,95,100})</f>
        <v>85</v>
      </c>
      <c r="Q537" s="12">
        <v>3.29</v>
      </c>
      <c r="R537" s="12">
        <f t="shared" si="251"/>
        <v>6.71</v>
      </c>
      <c r="S537" s="11">
        <f>LOOKUP(R537,{0,4.72,4.82,4.92,5.42,5.52,5.62,5.67,5.72,5.77,5.82,5.87,5.92,5.97,6.42,6.47,6.52,6.59,6.66,6.72,6.78},{0,10,20,30,40,50,60,62,64,66,68,70,72,74,76,78,80,85,90,95,100})</f>
        <v>90</v>
      </c>
      <c r="T537" s="12"/>
      <c r="U537" s="15"/>
      <c r="V537" s="12">
        <f t="shared" si="252"/>
        <v>90</v>
      </c>
      <c r="W537" s="12"/>
      <c r="X537" s="20">
        <f t="shared" si="240"/>
        <v>63</v>
      </c>
      <c r="Y537" s="20">
        <f t="shared" si="253"/>
        <v>99</v>
      </c>
    </row>
    <row r="538" ht="15.6" hidden="1" outlineLevel="2" spans="1:25">
      <c r="A538" s="12">
        <v>211</v>
      </c>
      <c r="B538" s="12">
        <v>43</v>
      </c>
      <c r="C538" s="13" t="s">
        <v>597</v>
      </c>
      <c r="D538" s="6" t="s">
        <v>53</v>
      </c>
      <c r="E538" s="12">
        <v>16</v>
      </c>
      <c r="F538" s="11">
        <f>LOOKUP(E538,{0,1,1.8,2.6,3.4,4.2,5,6.3,7.6,8.9,10.2,11.5,12.8,14.1,15.4,16.7,18,19.7,21.4,23.1,24.8},{0,10,20,30,40,50,60,62,64,66,68,70,72,74,76,78,80,85,90,95,100})</f>
        <v>76</v>
      </c>
      <c r="G538" s="12">
        <v>207</v>
      </c>
      <c r="H538" s="11">
        <f>LOOKUP(G538,{0,124,129,134,139,144,149,152,155,158,161,164,167,170,173,176,179,186,193,199,205},{0,10,20,30,40,50,60,62,64,66,68,70,72,74,76,78,80,85,90,95,100})</f>
        <v>100</v>
      </c>
      <c r="I538" s="12">
        <v>44</v>
      </c>
      <c r="J538" s="11">
        <f>LOOKUP(I538,{0,14,16,18,20,22,24,26,28,30,32,34,36,38,40,42,44,47,50,52,54},{0,10,20,30,40,50,60,62,64,66,68,70,72,74,76,78,80,85,90,95,100})</f>
        <v>80</v>
      </c>
      <c r="K538" s="12"/>
      <c r="L538" s="12"/>
      <c r="M538" s="12">
        <f t="shared" si="250"/>
        <v>80</v>
      </c>
      <c r="N538" s="12">
        <v>9.6</v>
      </c>
      <c r="O538" s="12">
        <f t="shared" si="254"/>
        <v>2.4</v>
      </c>
      <c r="P538" s="11">
        <f>LOOKUP(O538,{0,0.5,0.7,0.9,1.1,1.3,1.5,1.7,1.9,2.1,2.3,2.5,2.7,2.9,3.1,3.3,3.5,3.8,4.1,4.2,4.3},{0,10,20,30,40,50,60,62,64,66,68,70,72,74,76,78,80,85,90,95,100})</f>
        <v>68</v>
      </c>
      <c r="Q538" s="12">
        <v>3.28</v>
      </c>
      <c r="R538" s="12">
        <f t="shared" si="251"/>
        <v>6.72</v>
      </c>
      <c r="S538" s="11">
        <f>LOOKUP(R538,{0,4.72,4.82,4.92,5.42,5.52,5.62,5.67,5.72,5.77,5.82,5.87,5.92,5.97,6.42,6.47,6.52,6.59,6.66,6.72,6.78},{0,10,20,30,40,50,60,62,64,66,68,70,72,74,76,78,80,85,90,95,100})</f>
        <v>95</v>
      </c>
      <c r="T538" s="12"/>
      <c r="U538" s="12"/>
      <c r="V538" s="12">
        <f t="shared" si="252"/>
        <v>95</v>
      </c>
      <c r="W538" s="12"/>
      <c r="X538" s="20">
        <f t="shared" si="240"/>
        <v>58.2</v>
      </c>
      <c r="Y538" s="20">
        <f t="shared" si="253"/>
        <v>83.1428571428572</v>
      </c>
    </row>
    <row r="539" ht="15.6" hidden="1" outlineLevel="2" spans="1:25">
      <c r="A539" s="12">
        <v>211</v>
      </c>
      <c r="B539" s="12">
        <v>44</v>
      </c>
      <c r="C539" s="6" t="s">
        <v>598</v>
      </c>
      <c r="D539" s="6" t="s">
        <v>53</v>
      </c>
      <c r="E539" s="12">
        <v>13</v>
      </c>
      <c r="F539" s="11">
        <f>LOOKUP(E539,{0,1,1.8,2.6,3.4,4.2,5,6.3,7.6,8.9,10.2,11.5,12.8,14.1,15.4,16.7,18,19.7,21.4,23.1,24.8},{0,10,20,30,40,50,60,62,64,66,68,70,72,74,76,78,80,85,90,95,100})</f>
        <v>72</v>
      </c>
      <c r="G539" s="12">
        <v>167</v>
      </c>
      <c r="H539" s="11">
        <f>LOOKUP(G539,{0,124,129,134,139,144,149,152,155,158,161,164,167,170,173,176,179,186,193,199,205},{0,10,20,30,40,50,60,62,64,66,68,70,72,74,76,78,80,85,90,95,100})</f>
        <v>72</v>
      </c>
      <c r="I539" s="12">
        <v>41</v>
      </c>
      <c r="J539" s="11">
        <f>LOOKUP(I539,{0,14,16,18,20,22,24,26,28,30,32,34,36,38,40,42,44,47,50,52,54},{0,10,20,30,40,50,60,62,64,66,68,70,72,74,76,78,80,85,90,95,100})</f>
        <v>76</v>
      </c>
      <c r="K539" s="12"/>
      <c r="L539" s="12"/>
      <c r="M539" s="12">
        <f t="shared" si="250"/>
        <v>76</v>
      </c>
      <c r="N539" s="12">
        <v>8</v>
      </c>
      <c r="O539" s="12">
        <f t="shared" si="254"/>
        <v>4</v>
      </c>
      <c r="P539" s="11">
        <f>LOOKUP(O539,{0,0.5,0.7,0.9,1.1,1.3,1.5,1.7,1.9,2.1,2.3,2.5,2.7,2.9,3.1,3.3,3.5,3.8,4.1,4.2,4.3},{0,10,20,30,40,50,60,62,64,66,68,70,72,74,76,78,80,85,90,95,100})</f>
        <v>85</v>
      </c>
      <c r="Q539" s="12">
        <v>4.02</v>
      </c>
      <c r="R539" s="12">
        <f t="shared" si="251"/>
        <v>5.98</v>
      </c>
      <c r="S539" s="11">
        <f>LOOKUP(R539,{0,4.72,4.82,4.92,5.42,5.52,5.62,5.67,5.72,5.77,5.82,5.87,5.92,5.97,6.42,6.47,6.52,6.59,6.66,6.72,6.78},{0,10,20,30,40,50,60,62,64,66,68,70,72,74,76,78,80,85,90,95,100})</f>
        <v>74</v>
      </c>
      <c r="T539" s="12"/>
      <c r="U539" s="15"/>
      <c r="V539" s="12">
        <f t="shared" si="252"/>
        <v>74</v>
      </c>
      <c r="W539" s="12"/>
      <c r="X539" s="20">
        <f t="shared" si="240"/>
        <v>53.8</v>
      </c>
      <c r="Y539" s="20">
        <f t="shared" si="253"/>
        <v>76.8571428571429</v>
      </c>
    </row>
    <row r="540" ht="15.6" hidden="1" outlineLevel="2" spans="1:25">
      <c r="A540" s="12">
        <v>211</v>
      </c>
      <c r="B540" s="12">
        <v>45</v>
      </c>
      <c r="C540" s="6" t="s">
        <v>599</v>
      </c>
      <c r="D540" s="6" t="s">
        <v>53</v>
      </c>
      <c r="E540" s="12">
        <v>17.4</v>
      </c>
      <c r="F540" s="11">
        <f>LOOKUP(E540,{0,1,1.8,2.6,3.4,4.2,5,6.3,7.6,8.9,10.2,11.5,12.8,14.1,15.4,16.7,18,19.7,21.4,23.1,24.8},{0,10,20,30,40,50,60,62,64,66,68,70,72,74,76,78,80,85,90,95,100})</f>
        <v>78</v>
      </c>
      <c r="G540" s="12">
        <v>187</v>
      </c>
      <c r="H540" s="11">
        <f>LOOKUP(G540,{0,124,129,134,139,144,149,152,155,158,161,164,167,170,173,176,179,186,193,199,205},{0,10,20,30,40,50,60,62,64,66,68,70,72,74,76,78,80,85,90,95,100})</f>
        <v>85</v>
      </c>
      <c r="I540" s="12">
        <v>50</v>
      </c>
      <c r="J540" s="11">
        <f>LOOKUP(I540,{0,14,16,18,20,22,24,26,28,30,32,34,36,38,40,42,44,47,50,52,54},{0,10,20,30,40,50,60,62,64,66,68,70,72,74,76,78,80,85,90,95,100})</f>
        <v>90</v>
      </c>
      <c r="K540" s="12"/>
      <c r="L540" s="12"/>
      <c r="M540" s="12">
        <f t="shared" si="250"/>
        <v>90</v>
      </c>
      <c r="N540" s="12">
        <v>8.1</v>
      </c>
      <c r="O540" s="12">
        <f t="shared" si="254"/>
        <v>3.9</v>
      </c>
      <c r="P540" s="11">
        <f>LOOKUP(O540,{0,0.5,0.7,0.9,1.1,1.3,1.5,1.7,1.9,2.1,2.3,2.5,2.7,2.9,3.1,3.3,3.5,3.8,4.1,4.2,4.3},{0,10,20,30,40,50,60,62,64,66,68,70,72,74,76,78,80,85,90,95,100})</f>
        <v>85</v>
      </c>
      <c r="Q540" s="12">
        <v>3.47</v>
      </c>
      <c r="R540" s="12">
        <f t="shared" si="251"/>
        <v>6.53</v>
      </c>
      <c r="S540" s="11">
        <f>LOOKUP(R540,{0,4.72,4.82,4.92,5.42,5.52,5.62,5.67,5.72,5.77,5.82,5.87,5.92,5.97,6.42,6.47,6.52,6.59,6.66,6.72,6.78},{0,10,20,30,40,50,60,62,64,66,68,70,72,74,76,78,80,85,90,95,100})</f>
        <v>80</v>
      </c>
      <c r="T540" s="12"/>
      <c r="U540" s="12"/>
      <c r="V540" s="12">
        <f t="shared" si="252"/>
        <v>80</v>
      </c>
      <c r="W540" s="12"/>
      <c r="X540" s="20">
        <f t="shared" si="240"/>
        <v>58.3</v>
      </c>
      <c r="Y540" s="20">
        <f t="shared" si="253"/>
        <v>83.2857142857143</v>
      </c>
    </row>
    <row r="541" ht="15.6" hidden="1" outlineLevel="2" spans="1:25">
      <c r="A541" s="12">
        <v>211</v>
      </c>
      <c r="B541" s="12">
        <v>46</v>
      </c>
      <c r="C541" s="6" t="s">
        <v>600</v>
      </c>
      <c r="D541" s="6" t="s">
        <v>53</v>
      </c>
      <c r="E541" s="12">
        <v>27</v>
      </c>
      <c r="F541" s="11">
        <f>LOOKUP(E541,{0,1,1.8,2.6,3.4,4.2,5,6.3,7.6,8.9,10.2,11.5,12.8,14.1,15.4,16.7,18,19.7,21.4,23.1,24.8},{0,10,20,30,40,50,60,62,64,66,68,70,72,74,76,78,80,85,90,95,100})</f>
        <v>100</v>
      </c>
      <c r="G541" s="12">
        <v>193</v>
      </c>
      <c r="H541" s="11">
        <f>LOOKUP(G541,{0,124,129,134,139,144,149,152,155,158,161,164,167,170,173,176,179,186,193,199,205},{0,10,20,30,40,50,60,62,64,66,68,70,72,74,76,78,80,85,90,95,100})</f>
        <v>90</v>
      </c>
      <c r="I541" s="12">
        <v>60</v>
      </c>
      <c r="J541" s="11">
        <f>LOOKUP(I541,{0,14,16,18,20,22,24,26,28,30,32,34,36,38,40,42,44,47,50,52,54},{0,10,20,30,40,50,60,62,64,66,68,70,72,74,76,78,80,85,90,95,100})</f>
        <v>100</v>
      </c>
      <c r="K541" s="12">
        <f t="shared" si="256"/>
        <v>6</v>
      </c>
      <c r="L541" s="11">
        <f>LOOKUP(K541,{0,2,4,6,7,8,9,10,11,12,13},{0,1,2,3,4,5,6,7,8,9,10})</f>
        <v>3</v>
      </c>
      <c r="M541" s="12">
        <f t="shared" si="250"/>
        <v>103</v>
      </c>
      <c r="N541" s="12">
        <v>8.1</v>
      </c>
      <c r="O541" s="12">
        <f t="shared" si="254"/>
        <v>3.9</v>
      </c>
      <c r="P541" s="11">
        <f>LOOKUP(O541,{0,0.5,0.7,0.9,1.1,1.3,1.5,1.7,1.9,2.1,2.3,2.5,2.7,2.9,3.1,3.3,3.5,3.8,4.1,4.2,4.3},{0,10,20,30,40,50,60,62,64,66,68,70,72,74,76,78,80,85,90,95,100})</f>
        <v>85</v>
      </c>
      <c r="Q541" s="12">
        <v>3.55</v>
      </c>
      <c r="R541" s="12">
        <f t="shared" si="251"/>
        <v>6.45</v>
      </c>
      <c r="S541" s="11">
        <f>LOOKUP(R541,{0,4.72,4.82,4.92,5.42,5.52,5.62,5.67,5.72,5.77,5.82,5.87,5.92,5.97,6.42,6.47,6.52,6.59,6.66,6.72,6.78},{0,10,20,30,40,50,60,62,64,66,68,70,72,74,76,78,80,85,90,95,100})</f>
        <v>76</v>
      </c>
      <c r="T541" s="12"/>
      <c r="U541" s="12"/>
      <c r="V541" s="12">
        <f t="shared" si="252"/>
        <v>76</v>
      </c>
      <c r="W541" s="12"/>
      <c r="X541" s="20">
        <f t="shared" si="240"/>
        <v>61.2</v>
      </c>
      <c r="Y541" s="20">
        <f t="shared" si="253"/>
        <v>90.4285714285714</v>
      </c>
    </row>
    <row r="542" ht="15.6" hidden="1" outlineLevel="2" spans="1:25">
      <c r="A542" s="12">
        <v>211</v>
      </c>
      <c r="B542" s="12">
        <v>47</v>
      </c>
      <c r="C542" s="6" t="s">
        <v>601</v>
      </c>
      <c r="D542" s="6" t="s">
        <v>53</v>
      </c>
      <c r="E542" s="12">
        <v>18.2</v>
      </c>
      <c r="F542" s="11">
        <f>LOOKUP(E542,{0,1,1.8,2.6,3.4,4.2,5,6.3,7.6,8.9,10.2,11.5,12.8,14.1,15.4,16.7,18,19.7,21.4,23.1,24.8},{0,10,20,30,40,50,60,62,64,66,68,70,72,74,76,78,80,85,90,95,100})</f>
        <v>80</v>
      </c>
      <c r="G542" s="12">
        <v>155</v>
      </c>
      <c r="H542" s="11">
        <f>LOOKUP(G542,{0,124,129,134,139,144,149,152,155,158,161,164,167,170,173,176,179,186,193,199,205},{0,10,20,30,40,50,60,62,64,66,68,70,72,74,76,78,80,85,90,95,100})</f>
        <v>64</v>
      </c>
      <c r="I542" s="12">
        <v>36</v>
      </c>
      <c r="J542" s="11">
        <f>LOOKUP(I542,{0,14,16,18,20,22,24,26,28,30,32,34,36,38,40,42,44,47,50,52,54},{0,10,20,30,40,50,60,62,64,66,68,70,72,74,76,78,80,85,90,95,100})</f>
        <v>72</v>
      </c>
      <c r="K542" s="12"/>
      <c r="L542" s="12"/>
      <c r="M542" s="12">
        <f t="shared" si="250"/>
        <v>72</v>
      </c>
      <c r="N542" s="12">
        <v>10.3</v>
      </c>
      <c r="O542" s="12">
        <f t="shared" si="254"/>
        <v>1.7</v>
      </c>
      <c r="P542" s="11">
        <f>LOOKUP(O542,{0,0.5,0.7,0.9,1.1,1.3,1.5,1.7,1.9,2.1,2.3,2.5,2.7,2.9,3.1,3.3,3.5,3.8,4.1,4.2,4.3},{0,10,20,30,40,50,60,62,64,66,68,70,72,74,76,78,80,85,90,95,100})</f>
        <v>62</v>
      </c>
      <c r="Q542" s="12">
        <v>4.39</v>
      </c>
      <c r="R542" s="12">
        <f t="shared" si="251"/>
        <v>5.61</v>
      </c>
      <c r="S542" s="11">
        <f>LOOKUP(R542,{0,4.72,4.82,4.92,5.42,5.52,5.62,5.67,5.72,5.77,5.82,5.87,5.92,5.97,6.42,6.47,6.52,6.59,6.66,6.72,6.78},{0,10,20,30,40,50,60,62,64,66,68,70,72,74,76,78,80,85,90,95,100})</f>
        <v>50</v>
      </c>
      <c r="T542" s="12"/>
      <c r="U542" s="12"/>
      <c r="V542" s="12">
        <f t="shared" si="252"/>
        <v>50</v>
      </c>
      <c r="W542" s="12"/>
      <c r="X542" s="20">
        <f t="shared" si="240"/>
        <v>44</v>
      </c>
      <c r="Y542" s="20">
        <f t="shared" si="253"/>
        <v>62.8571428571429</v>
      </c>
    </row>
    <row r="543" ht="15.6" hidden="1" outlineLevel="2" spans="1:25">
      <c r="A543" s="12">
        <v>211</v>
      </c>
      <c r="B543" s="12">
        <v>48</v>
      </c>
      <c r="C543" s="6" t="s">
        <v>602</v>
      </c>
      <c r="D543" s="6" t="s">
        <v>53</v>
      </c>
      <c r="E543" s="12">
        <v>22.5</v>
      </c>
      <c r="F543" s="11">
        <f>LOOKUP(E543,{0,1,1.8,2.6,3.4,4.2,5,6.3,7.6,8.9,10.2,11.5,12.8,14.1,15.4,16.7,18,19.7,21.4,23.1,24.8},{0,10,20,30,40,50,60,62,64,66,68,70,72,74,76,78,80,85,90,95,100})</f>
        <v>90</v>
      </c>
      <c r="G543" s="12">
        <v>202</v>
      </c>
      <c r="H543" s="11">
        <f>LOOKUP(G543,{0,124,129,134,139,144,149,152,155,158,161,164,167,170,173,176,179,186,193,199,205},{0,10,20,30,40,50,60,62,64,66,68,70,72,74,76,78,80,85,90,95,100})</f>
        <v>95</v>
      </c>
      <c r="I543" s="12">
        <v>42</v>
      </c>
      <c r="J543" s="11">
        <f>LOOKUP(I543,{0,14,16,18,20,22,24,26,28,30,32,34,36,38,40,42,44,47,50,52,54},{0,10,20,30,40,50,60,62,64,66,68,70,72,74,76,78,80,85,90,95,100})</f>
        <v>78</v>
      </c>
      <c r="K543" s="12"/>
      <c r="L543" s="12"/>
      <c r="M543" s="12">
        <f t="shared" si="250"/>
        <v>78</v>
      </c>
      <c r="N543" s="12">
        <v>8.1</v>
      </c>
      <c r="O543" s="12">
        <f t="shared" si="254"/>
        <v>3.9</v>
      </c>
      <c r="P543" s="11">
        <f>LOOKUP(O543,{0,0.5,0.7,0.9,1.1,1.3,1.5,1.7,1.9,2.1,2.3,2.5,2.7,2.9,3.1,3.3,3.5,3.8,4.1,4.2,4.3},{0,10,20,30,40,50,60,62,64,66,68,70,72,74,76,78,80,85,90,95,100})</f>
        <v>85</v>
      </c>
      <c r="Q543" s="12">
        <v>3.44</v>
      </c>
      <c r="R543" s="12">
        <f t="shared" si="251"/>
        <v>6.56</v>
      </c>
      <c r="S543" s="11">
        <f>LOOKUP(R543,{0,4.72,4.82,4.92,5.42,5.52,5.62,5.67,5.72,5.77,5.82,5.87,5.92,5.97,6.42,6.47,6.52,6.59,6.66,6.72,6.78},{0,10,20,30,40,50,60,62,64,66,68,70,72,74,76,78,80,85,90,95,100})</f>
        <v>80</v>
      </c>
      <c r="T543" s="12"/>
      <c r="U543" s="12"/>
      <c r="V543" s="12">
        <f t="shared" si="252"/>
        <v>80</v>
      </c>
      <c r="W543" s="12"/>
      <c r="X543" s="20">
        <f t="shared" si="240"/>
        <v>59.3</v>
      </c>
      <c r="Y543" s="20">
        <f t="shared" si="253"/>
        <v>84.7142857142857</v>
      </c>
    </row>
    <row r="544" ht="15.6" hidden="1" outlineLevel="2" spans="1:25">
      <c r="A544" s="12">
        <v>211</v>
      </c>
      <c r="B544" s="12">
        <v>49</v>
      </c>
      <c r="C544" s="6" t="s">
        <v>603</v>
      </c>
      <c r="D544" s="6" t="s">
        <v>53</v>
      </c>
      <c r="E544" s="12">
        <v>22</v>
      </c>
      <c r="F544" s="11">
        <f>LOOKUP(E544,{0,1,1.8,2.6,3.4,4.2,5,6.3,7.6,8.9,10.2,11.5,12.8,14.1,15.4,16.7,18,19.7,21.4,23.1,24.8},{0,10,20,30,40,50,60,62,64,66,68,70,72,74,76,78,80,85,90,95,100})</f>
        <v>90</v>
      </c>
      <c r="G544" s="12">
        <v>190</v>
      </c>
      <c r="H544" s="11">
        <f>LOOKUP(G544,{0,124,129,134,139,144,149,152,155,158,161,164,167,170,173,176,179,186,193,199,205},{0,10,20,30,40,50,60,62,64,66,68,70,72,74,76,78,80,85,90,95,100})</f>
        <v>85</v>
      </c>
      <c r="I544" s="12">
        <v>41</v>
      </c>
      <c r="J544" s="11">
        <f>LOOKUP(I544,{0,14,16,18,20,22,24,26,28,30,32,34,36,38,40,42,44,47,50,52,54},{0,10,20,30,40,50,60,62,64,66,68,70,72,74,76,78,80,85,90,95,100})</f>
        <v>76</v>
      </c>
      <c r="K544" s="12"/>
      <c r="L544" s="12"/>
      <c r="M544" s="12">
        <f t="shared" si="250"/>
        <v>76</v>
      </c>
      <c r="N544" s="12">
        <v>8.7</v>
      </c>
      <c r="O544" s="12">
        <f t="shared" si="254"/>
        <v>3.3</v>
      </c>
      <c r="P544" s="11">
        <f>LOOKUP(O544,{0,0.5,0.7,0.9,1.1,1.3,1.5,1.7,1.9,2.1,2.3,2.5,2.7,2.9,3.1,3.3,3.5,3.8,4.1,4.2,4.3},{0,10,20,30,40,50,60,62,64,66,68,70,72,74,76,78,80,85,90,95,100})</f>
        <v>78</v>
      </c>
      <c r="Q544" s="12">
        <v>3.27</v>
      </c>
      <c r="R544" s="12">
        <f t="shared" si="251"/>
        <v>6.73</v>
      </c>
      <c r="S544" s="11">
        <f>LOOKUP(R544,{0,4.72,4.82,4.92,5.42,5.52,5.62,5.67,5.72,5.77,5.82,5.87,5.92,5.97,6.42,6.47,6.52,6.59,6.66,6.72,6.78},{0,10,20,30,40,50,60,62,64,66,68,70,72,74,76,78,80,85,90,95,100})</f>
        <v>95</v>
      </c>
      <c r="T544" s="12"/>
      <c r="U544" s="12"/>
      <c r="V544" s="12">
        <f t="shared" si="252"/>
        <v>95</v>
      </c>
      <c r="W544" s="12"/>
      <c r="X544" s="20">
        <f t="shared" si="240"/>
        <v>59.7</v>
      </c>
      <c r="Y544" s="20">
        <f t="shared" si="253"/>
        <v>85.2857142857143</v>
      </c>
    </row>
    <row r="545" ht="15.6" hidden="1" outlineLevel="2" spans="1:25">
      <c r="A545" s="12">
        <v>211</v>
      </c>
      <c r="B545" s="12">
        <v>50</v>
      </c>
      <c r="C545" s="6" t="s">
        <v>604</v>
      </c>
      <c r="D545" s="6" t="s">
        <v>53</v>
      </c>
      <c r="E545" s="12">
        <v>12.1</v>
      </c>
      <c r="F545" s="11">
        <f>LOOKUP(E545,{0,1,1.8,2.6,3.4,4.2,5,6.3,7.6,8.9,10.2,11.5,12.8,14.1,15.4,16.7,18,19.7,21.4,23.1,24.8},{0,10,20,30,40,50,60,62,64,66,68,70,72,74,76,78,80,85,90,95,100})</f>
        <v>70</v>
      </c>
      <c r="G545" s="12">
        <v>165</v>
      </c>
      <c r="H545" s="11">
        <f>LOOKUP(G545,{0,124,129,134,139,144,149,152,155,158,161,164,167,170,173,176,179,186,193,199,205},{0,10,20,30,40,50,60,62,64,66,68,70,72,74,76,78,80,85,90,95,100})</f>
        <v>70</v>
      </c>
      <c r="I545" s="12">
        <v>44</v>
      </c>
      <c r="J545" s="11">
        <f>LOOKUP(I545,{0,14,16,18,20,22,24,26,28,30,32,34,36,38,40,42,44,47,50,52,54},{0,10,20,30,40,50,60,62,64,66,68,70,72,74,76,78,80,85,90,95,100})</f>
        <v>80</v>
      </c>
      <c r="K545" s="12"/>
      <c r="L545" s="12"/>
      <c r="M545" s="12">
        <f t="shared" si="250"/>
        <v>80</v>
      </c>
      <c r="N545" s="12">
        <v>8.9</v>
      </c>
      <c r="O545" s="12">
        <f t="shared" si="254"/>
        <v>3.1</v>
      </c>
      <c r="P545" s="11">
        <f>LOOKUP(O545,{0,0.5,0.7,0.9,1.1,1.3,1.5,1.7,1.9,2.1,2.3,2.5,2.7,2.9,3.1,3.3,3.5,3.8,4.1,4.2,4.3},{0,10,20,30,40,50,60,62,64,66,68,70,72,74,76,78,80,85,90,95,100})</f>
        <v>76</v>
      </c>
      <c r="Q545" s="12">
        <v>3.44</v>
      </c>
      <c r="R545" s="12">
        <f t="shared" si="251"/>
        <v>6.56</v>
      </c>
      <c r="S545" s="11">
        <f>LOOKUP(R545,{0,4.72,4.82,4.92,5.42,5.52,5.62,5.67,5.72,5.77,5.82,5.87,5.92,5.97,6.42,6.47,6.52,6.59,6.66,6.72,6.78},{0,10,20,30,40,50,60,62,64,66,68,70,72,74,76,78,80,85,90,95,100})</f>
        <v>80</v>
      </c>
      <c r="T545" s="12"/>
      <c r="U545" s="12"/>
      <c r="V545" s="12">
        <f t="shared" si="252"/>
        <v>80</v>
      </c>
      <c r="W545" s="12"/>
      <c r="X545" s="20">
        <f t="shared" si="240"/>
        <v>53.2</v>
      </c>
      <c r="Y545" s="20">
        <f t="shared" si="253"/>
        <v>76</v>
      </c>
    </row>
    <row r="546" ht="15.6" hidden="1" outlineLevel="2" spans="1:25">
      <c r="A546" s="12">
        <v>211</v>
      </c>
      <c r="B546" s="12">
        <v>51</v>
      </c>
      <c r="C546" s="6" t="s">
        <v>605</v>
      </c>
      <c r="D546" s="6" t="s">
        <v>53</v>
      </c>
      <c r="E546" s="12">
        <v>17.3</v>
      </c>
      <c r="F546" s="11">
        <f>LOOKUP(E546,{0,1,1.8,2.6,3.4,4.2,5,6.3,7.6,8.9,10.2,11.5,12.8,14.1,15.4,16.7,18,19.7,21.4,23.1,24.8},{0,10,20,30,40,50,60,62,64,66,68,70,72,74,76,78,80,85,90,95,100})</f>
        <v>78</v>
      </c>
      <c r="G546" s="12">
        <v>155</v>
      </c>
      <c r="H546" s="11">
        <f>LOOKUP(G546,{0,124,129,134,139,144,149,152,155,158,161,164,167,170,173,176,179,186,193,199,205},{0,10,20,30,40,50,60,62,64,66,68,70,72,74,76,78,80,85,90,95,100})</f>
        <v>64</v>
      </c>
      <c r="I546" s="12">
        <v>39</v>
      </c>
      <c r="J546" s="11">
        <f>LOOKUP(I546,{0,14,16,18,20,22,24,26,28,30,32,34,36,38,40,42,44,47,50,52,54},{0,10,20,30,40,50,60,62,64,66,68,70,72,74,76,78,80,85,90,95,100})</f>
        <v>74</v>
      </c>
      <c r="K546" s="12"/>
      <c r="L546" s="12"/>
      <c r="M546" s="12">
        <f t="shared" si="250"/>
        <v>74</v>
      </c>
      <c r="N546" s="12">
        <v>10</v>
      </c>
      <c r="O546" s="12">
        <f t="shared" si="254"/>
        <v>2</v>
      </c>
      <c r="P546" s="11">
        <f>LOOKUP(O546,{0,0.5,0.7,0.9,1.1,1.3,1.5,1.7,1.9,2.1,2.3,2.5,2.7,2.9,3.1,3.3,3.5,3.8,4.1,4.2,4.3},{0,10,20,30,40,50,60,62,64,66,68,70,72,74,76,78,80,85,90,95,100})</f>
        <v>64</v>
      </c>
      <c r="Q546" s="12">
        <v>4.28</v>
      </c>
      <c r="R546" s="12">
        <f t="shared" si="251"/>
        <v>5.72</v>
      </c>
      <c r="S546" s="11">
        <f>LOOKUP(R546,{0,4.72,4.82,4.92,5.42,5.52,5.62,5.67,5.72,5.77,5.82,5.87,5.92,5.97,6.42,6.47,6.52,6.59,6.66,6.72,6.78},{0,10,20,30,40,50,60,62,64,66,68,70,72,74,76,78,80,85,90,95,100})</f>
        <v>64</v>
      </c>
      <c r="T546" s="12"/>
      <c r="U546" s="12"/>
      <c r="V546" s="12">
        <f t="shared" si="252"/>
        <v>64</v>
      </c>
      <c r="W546" s="12"/>
      <c r="X546" s="20">
        <f t="shared" si="240"/>
        <v>47.2</v>
      </c>
      <c r="Y546" s="20">
        <f t="shared" si="253"/>
        <v>67.4285714285714</v>
      </c>
    </row>
    <row r="547" ht="15.6" outlineLevel="1" collapsed="1" spans="1:25">
      <c r="A547" s="14" t="s">
        <v>865</v>
      </c>
      <c r="B547" s="12"/>
      <c r="C547" s="6"/>
      <c r="D547" s="6"/>
      <c r="E547" s="12"/>
      <c r="F547" s="11">
        <f>SUBTOTAL(1,F496:F546)</f>
        <v>81.9387755102041</v>
      </c>
      <c r="G547" s="12"/>
      <c r="H547" s="11">
        <f>SUBTOTAL(1,H496:H546)</f>
        <v>81.8958333333333</v>
      </c>
      <c r="I547" s="12"/>
      <c r="J547" s="11">
        <f>SUBTOTAL(1,J496:J546)</f>
        <v>73.3469387755102</v>
      </c>
      <c r="K547" s="12"/>
      <c r="L547" s="12"/>
      <c r="M547" s="12">
        <f>SUBTOTAL(1,M496:M546)</f>
        <v>74.8979591836735</v>
      </c>
      <c r="N547" s="12"/>
      <c r="O547" s="12"/>
      <c r="P547" s="11">
        <f>SUBTOTAL(1,P496:P546)</f>
        <v>84.5106382978723</v>
      </c>
      <c r="Q547" s="12"/>
      <c r="R547" s="12"/>
      <c r="S547" s="11">
        <f>SUBTOTAL(1,S496:S546)</f>
        <v>82.1276595744681</v>
      </c>
      <c r="T547" s="12"/>
      <c r="U547" s="12"/>
      <c r="V547" s="12">
        <f>SUBTOTAL(1,V496:V546)</f>
        <v>82.3191489361702</v>
      </c>
      <c r="W547" s="12"/>
      <c r="X547" s="20">
        <f>SUBTOTAL(1,X496:X546)</f>
        <v>53.3411764705882</v>
      </c>
      <c r="Y547" s="20">
        <f>SUBTOTAL(1,Y496:Y546)</f>
        <v>80.4033613445378</v>
      </c>
    </row>
    <row r="548" ht="15.6" hidden="1" outlineLevel="2" spans="1:25">
      <c r="A548" s="12">
        <v>212</v>
      </c>
      <c r="B548" s="12">
        <v>1</v>
      </c>
      <c r="C548" s="13" t="s">
        <v>607</v>
      </c>
      <c r="D548" s="6" t="s">
        <v>11</v>
      </c>
      <c r="E548" s="12">
        <v>10.8</v>
      </c>
      <c r="F548" s="11">
        <f>LOOKUP(E548,{0,-2.9,-1.9,-0.9,0.1,1.1,2.1,3.5,4.9,6.3,7.7,9.1,10.5,11.9,13.3,14.7,16.1,18.3,20.5,22.4,24.3},{0,10,20,30,40,50,60,62,64,66,68,70,72,74,76,78,80,85,90,95,100})</f>
        <v>72</v>
      </c>
      <c r="G548" s="12">
        <v>272</v>
      </c>
      <c r="H548" s="11">
        <f>LOOKUP(G548,{0,175,180,185,190,195,200,204,208,212,216,220,224,228,232,236,240,248,255,260,265},{0,10,20,30,40,50,60,62,64,66,68,70,72,74,76,78,80,85,90,95,100})</f>
        <v>100</v>
      </c>
      <c r="I548" s="12">
        <v>15</v>
      </c>
      <c r="J548" s="11">
        <f>LOOKUP(I548,{0,3,4,5,6,7,8,9,10,11,12,13,14,15,16,17},{0,10,20,30,40,50,60,64,68,72,76,80,85,90,95,100})</f>
        <v>90</v>
      </c>
      <c r="K548" s="12"/>
      <c r="L548" s="12"/>
      <c r="M548" s="12">
        <f t="shared" ref="M548:M556" si="257">J548+L548</f>
        <v>90</v>
      </c>
      <c r="N548" s="12">
        <v>6.8</v>
      </c>
      <c r="O548" s="12">
        <f>12-N548</f>
        <v>5.2</v>
      </c>
      <c r="P548" s="11">
        <f>LOOKUP(O548,{0,1.6,1.8,2,2.2,2.4,2.6,2.8,3,3.2,3.4,3.6,3.8,4,4.2,4.4,4.6,4.7,4.8,4.9,5},{0,10,20,30,40,50,60,62,64,66,68,70,72,74,76,78,80,85,90,95,100})</f>
        <v>100</v>
      </c>
      <c r="Q548" s="12">
        <v>3.22</v>
      </c>
      <c r="R548" s="12">
        <f t="shared" ref="R548:R556" si="258">10-Q548</f>
        <v>6.78</v>
      </c>
      <c r="S548" s="11">
        <f>LOOKUP(R548,{0,3.8,4,4.6,4.8,5,5.6,5.65,5.7,5.75,5.8,5.85,5.9,5.95,6,6.45,6.5,6.58,6.65,6.7,6.75},{0,10,20,30,40,50,60,62,64,66,68,70,72,74,76,78,80,85,90,95,100})</f>
        <v>100</v>
      </c>
      <c r="T548" s="12">
        <f>3.25-Q548</f>
        <v>0.0299999999999998</v>
      </c>
      <c r="U548" s="11">
        <f>LOOKUP(T548,{0,0.04,0.08,0.12,0.16,0.2,0.23,0.26,0.29,0.32,0.35},{0,1,2,3,4,5,6,7,8,9,10})</f>
        <v>0</v>
      </c>
      <c r="V548" s="12">
        <f t="shared" ref="V548:V556" si="259">S548+U548</f>
        <v>100</v>
      </c>
      <c r="W548" s="12"/>
      <c r="X548" s="20">
        <f t="shared" ref="X548:X598" si="260">F548*0.1+H548*0.1+J548*0.1+P548*0.2+S548*0.2</f>
        <v>66.2</v>
      </c>
      <c r="Y548" s="20">
        <f>X548/0.7+L548+U548</f>
        <v>94.5714285714286</v>
      </c>
    </row>
    <row r="549" s="1" customFormat="1" ht="15.6" hidden="1" outlineLevel="2" spans="1:25">
      <c r="A549" s="12">
        <v>212</v>
      </c>
      <c r="B549" s="12">
        <v>2</v>
      </c>
      <c r="C549" s="6" t="s">
        <v>608</v>
      </c>
      <c r="D549" s="6" t="s">
        <v>11</v>
      </c>
      <c r="E549" s="12">
        <v>16</v>
      </c>
      <c r="F549" s="11">
        <f>LOOKUP(E549,{0,-2.9,-1.9,-0.9,0.1,1.1,2.1,3.5,4.9,6.3,7.7,9.1,10.5,11.9,13.3,14.7,16.1,18.3,20.5,22.4,24.3},{0,10,20,30,40,50,60,62,64,66,68,70,72,74,76,78,80,85,90,95,100})</f>
        <v>78</v>
      </c>
      <c r="G549" s="12">
        <v>228</v>
      </c>
      <c r="H549" s="11">
        <f>LOOKUP(G549,{0,175,180,185,190,195,200,204,208,212,216,220,224,228,232,236,240,248,255,260,265},{0,10,20,30,40,50,60,62,64,66,68,70,72,74,76,78,80,85,90,95,100})</f>
        <v>74</v>
      </c>
      <c r="I549" s="12">
        <v>4</v>
      </c>
      <c r="J549" s="11">
        <f>LOOKUP(I549,{0,3,4,5,6,7,8,9,10,11,12,13,14,15,16,17},{0,10,20,30,40,50,60,64,68,72,76,80,85,90,95,100})</f>
        <v>20</v>
      </c>
      <c r="K549" s="12"/>
      <c r="L549" s="12"/>
      <c r="M549" s="12">
        <f t="shared" si="257"/>
        <v>20</v>
      </c>
      <c r="N549" s="12">
        <v>7.5</v>
      </c>
      <c r="O549" s="12">
        <f>12-N549</f>
        <v>4.5</v>
      </c>
      <c r="P549" s="11">
        <f>LOOKUP(O549,{0,1.6,1.8,2,2.2,2.4,2.6,2.8,3,3.2,3.4,3.6,3.8,4,4.2,4.4,4.6,4.7,4.8,4.9,5},{0,10,20,30,40,50,60,62,64,66,68,70,72,74,76,78,80,85,90,95,100})</f>
        <v>78</v>
      </c>
      <c r="Q549" s="12">
        <v>3.53</v>
      </c>
      <c r="R549" s="12">
        <f t="shared" si="258"/>
        <v>6.47</v>
      </c>
      <c r="S549" s="11">
        <f>LOOKUP(R549,{0,3.8,4,4.6,4.8,5,5.6,5.65,5.7,5.75,5.8,5.85,5.9,5.95,6,6.45,6.5,6.58,6.65,6.7,6.75},{0,10,20,30,40,50,60,62,64,66,68,70,72,74,76,78,80,85,90,95,100})</f>
        <v>78</v>
      </c>
      <c r="T549" s="12"/>
      <c r="U549" s="12"/>
      <c r="V549" s="12">
        <f t="shared" si="259"/>
        <v>78</v>
      </c>
      <c r="W549" s="12"/>
      <c r="X549" s="20">
        <f t="shared" si="260"/>
        <v>48.4</v>
      </c>
      <c r="Y549" s="20">
        <f>X549/0.7+L549+U549</f>
        <v>69.1428571428572</v>
      </c>
    </row>
    <row r="550" ht="15.6" hidden="1" outlineLevel="2" spans="1:25">
      <c r="A550" s="12">
        <v>212</v>
      </c>
      <c r="B550" s="12">
        <v>3</v>
      </c>
      <c r="C550" s="6" t="s">
        <v>609</v>
      </c>
      <c r="D550" s="6" t="s">
        <v>11</v>
      </c>
      <c r="E550" s="12">
        <v>15.2</v>
      </c>
      <c r="F550" s="11">
        <f>LOOKUP(E550,{0,-2.9,-1.9,-0.9,0.1,1.1,2.1,3.5,4.9,6.3,7.7,9.1,10.5,11.9,13.3,14.7,16.1,18.3,20.5,22.4,24.3},{0,10,20,30,40,50,60,62,64,66,68,70,72,74,76,78,80,85,90,95,100})</f>
        <v>78</v>
      </c>
      <c r="G550" s="12">
        <v>257</v>
      </c>
      <c r="H550" s="11">
        <f>LOOKUP(G550,{0,175,180,185,190,195,200,204,208,212,216,220,224,228,232,236,240,248,255,260,265},{0,10,20,30,40,50,60,62,64,66,68,70,72,74,76,78,80,85,90,95,100})</f>
        <v>90</v>
      </c>
      <c r="I550" s="12">
        <v>25</v>
      </c>
      <c r="J550" s="11">
        <f>LOOKUP(I550,{0,3,4,5,6,7,8,9,10,11,12,13,14,15,16,17},{0,10,20,30,40,50,60,64,68,72,76,80,85,90,95,100})</f>
        <v>100</v>
      </c>
      <c r="K550" s="12">
        <f>I550-17</f>
        <v>8</v>
      </c>
      <c r="L550" s="11">
        <f>LOOKUP(K550,{0,1,2,3,4,5,6,7,8,9,10},{0,1,2,3,4,5,6,7,8,9,10})</f>
        <v>8</v>
      </c>
      <c r="M550" s="12">
        <f t="shared" si="257"/>
        <v>108</v>
      </c>
      <c r="N550" s="12">
        <v>7.1</v>
      </c>
      <c r="O550" s="12">
        <f>12-N550</f>
        <v>4.9</v>
      </c>
      <c r="P550" s="11">
        <f>LOOKUP(O550,{0,1.6,1.8,2,2.2,2.4,2.6,2.8,3,3.2,3.4,3.6,3.8,4,4.2,4.4,4.6,4.7,4.8,4.9,5},{0,10,20,30,40,50,60,62,64,66,68,70,72,74,76,78,80,85,90,95,100})</f>
        <v>95</v>
      </c>
      <c r="Q550" s="12">
        <v>3.15</v>
      </c>
      <c r="R550" s="12">
        <f t="shared" si="258"/>
        <v>6.85</v>
      </c>
      <c r="S550" s="11">
        <f>LOOKUP(R550,{0,3.8,4,4.6,4.8,5,5.6,5.65,5.7,5.75,5.8,5.85,5.9,5.95,6,6.45,6.5,6.58,6.65,6.7,6.75},{0,10,20,30,40,50,60,62,64,66,68,70,72,74,76,78,80,85,90,95,100})</f>
        <v>100</v>
      </c>
      <c r="T550" s="12">
        <f>3.25-Q550</f>
        <v>0.1</v>
      </c>
      <c r="U550" s="11">
        <f>LOOKUP(T550,{0,0.04,0.08,0.12,0.16,0.2,0.23,0.26,0.29,0.32,0.35},{0,1,2,3,4,5,6,7,8,9,10})</f>
        <v>2</v>
      </c>
      <c r="V550" s="12">
        <f t="shared" si="259"/>
        <v>102</v>
      </c>
      <c r="W550" s="12"/>
      <c r="X550" s="20">
        <f t="shared" si="260"/>
        <v>65.8</v>
      </c>
      <c r="Y550" s="20">
        <f>X550/0.7+L550+U550</f>
        <v>104</v>
      </c>
    </row>
    <row r="551" ht="15.6" hidden="1" outlineLevel="2" spans="1:25">
      <c r="A551" s="12">
        <v>212</v>
      </c>
      <c r="B551" s="12">
        <v>4</v>
      </c>
      <c r="C551" s="6" t="s">
        <v>610</v>
      </c>
      <c r="D551" s="6" t="s">
        <v>11</v>
      </c>
      <c r="E551" s="12">
        <v>8</v>
      </c>
      <c r="F551" s="11">
        <f>LOOKUP(E551,{0,-2.9,-1.9,-0.9,0.1,1.1,2.1,3.5,4.9,6.3,7.7,9.1,10.5,11.9,13.3,14.7,16.1,18.3,20.5,22.4,24.3},{0,10,20,30,40,50,60,62,64,66,68,70,72,74,76,78,80,85,90,95,100})</f>
        <v>68</v>
      </c>
      <c r="G551" s="12">
        <v>201</v>
      </c>
      <c r="H551" s="11">
        <f>LOOKUP(G551,{0,175,180,185,190,195,200,204,208,212,216,220,224,228,232,236,240,248,255,260,265},{0,10,20,30,40,50,60,62,64,66,68,70,72,74,76,78,80,85,90,95,100})</f>
        <v>60</v>
      </c>
      <c r="I551" s="12">
        <v>9</v>
      </c>
      <c r="J551" s="11">
        <f>LOOKUP(I551,{0,3,4,5,6,7,8,9,10,11,12,13,14,15,16,17},{0,10,20,30,40,50,60,64,68,72,76,80,85,90,95,100})</f>
        <v>64</v>
      </c>
      <c r="K551" s="12"/>
      <c r="L551" s="12"/>
      <c r="M551" s="12">
        <f t="shared" si="257"/>
        <v>64</v>
      </c>
      <c r="N551" s="12"/>
      <c r="O551" s="12"/>
      <c r="P551" s="11"/>
      <c r="Q551" s="12">
        <v>5.15</v>
      </c>
      <c r="R551" s="12">
        <f t="shared" si="258"/>
        <v>4.85</v>
      </c>
      <c r="S551" s="11">
        <f>LOOKUP(R551,{0,3.8,4,4.6,4.8,5,5.6,5.65,5.7,5.75,5.8,5.85,5.9,5.95,6,6.45,6.5,6.58,6.65,6.7,6.75},{0,10,20,30,40,50,60,62,64,66,68,70,72,74,76,78,80,85,90,95,100})</f>
        <v>40</v>
      </c>
      <c r="T551" s="12"/>
      <c r="U551" s="12"/>
      <c r="V551" s="12">
        <f t="shared" si="259"/>
        <v>40</v>
      </c>
      <c r="W551" s="12"/>
      <c r="X551" s="20">
        <f t="shared" si="260"/>
        <v>27.2</v>
      </c>
      <c r="Y551" s="23">
        <v>50</v>
      </c>
    </row>
    <row r="552" ht="15.6" hidden="1" outlineLevel="2" spans="1:25">
      <c r="A552" s="12">
        <v>212</v>
      </c>
      <c r="B552" s="12">
        <v>5</v>
      </c>
      <c r="C552" s="6" t="s">
        <v>611</v>
      </c>
      <c r="D552" s="6" t="s">
        <v>11</v>
      </c>
      <c r="E552" s="12">
        <v>17.5</v>
      </c>
      <c r="F552" s="11">
        <f>LOOKUP(E552,{0,-2.9,-1.9,-0.9,0.1,1.1,2.1,3.5,4.9,6.3,7.7,9.1,10.5,11.9,13.3,14.7,16.1,18.3,20.5,22.4,24.3},{0,10,20,30,40,50,60,62,64,66,68,70,72,74,76,78,80,85,90,95,100})</f>
        <v>80</v>
      </c>
      <c r="G552" s="12">
        <v>252</v>
      </c>
      <c r="H552" s="11">
        <f>LOOKUP(G552,{0,175,180,185,190,195,200,204,208,212,216,220,224,228,232,236,240,248,255,260,265},{0,10,20,30,40,50,60,62,64,66,68,70,72,74,76,78,80,85,90,95,100})</f>
        <v>85</v>
      </c>
      <c r="I552" s="12">
        <v>20</v>
      </c>
      <c r="J552" s="11">
        <f>LOOKUP(I552,{0,3,4,5,6,7,8,9,10,11,12,13,14,15,16,17},{0,10,20,30,40,50,60,64,68,72,76,80,85,90,95,100})</f>
        <v>100</v>
      </c>
      <c r="K552" s="12">
        <f>I552-17</f>
        <v>3</v>
      </c>
      <c r="L552" s="11">
        <f>LOOKUP(K552,{0,1,2,3,4,5,6,7,8,9,10},{0,1,2,3,4,5,6,7,8,9,10})</f>
        <v>3</v>
      </c>
      <c r="M552" s="12">
        <f t="shared" si="257"/>
        <v>103</v>
      </c>
      <c r="N552" s="12">
        <v>7</v>
      </c>
      <c r="O552" s="12">
        <f t="shared" ref="O552:O556" si="261">12-N552</f>
        <v>5</v>
      </c>
      <c r="P552" s="11">
        <f>LOOKUP(O552,{0,1.6,1.8,2,2.2,2.4,2.6,2.8,3,3.2,3.4,3.6,3.8,4,4.2,4.4,4.6,4.7,4.8,4.9,5},{0,10,20,30,40,50,60,62,64,66,68,70,72,74,76,78,80,85,90,95,100})</f>
        <v>100</v>
      </c>
      <c r="Q552" s="12">
        <v>4.24</v>
      </c>
      <c r="R552" s="12">
        <f t="shared" si="258"/>
        <v>5.76</v>
      </c>
      <c r="S552" s="11">
        <f>LOOKUP(R552,{0,3.8,4,4.6,4.8,5,5.6,5.65,5.7,5.75,5.8,5.85,5.9,5.95,6,6.45,6.5,6.58,6.65,6.7,6.75},{0,10,20,30,40,50,60,62,64,66,68,70,72,74,76,78,80,85,90,95,100})</f>
        <v>66</v>
      </c>
      <c r="T552" s="12"/>
      <c r="U552" s="12"/>
      <c r="V552" s="12">
        <f t="shared" si="259"/>
        <v>66</v>
      </c>
      <c r="W552" s="12"/>
      <c r="X552" s="20">
        <f t="shared" si="260"/>
        <v>59.7</v>
      </c>
      <c r="Y552" s="20">
        <f t="shared" ref="Y552:Y556" si="262">X552/0.7+L552+U552</f>
        <v>88.2857142857143</v>
      </c>
    </row>
    <row r="553" ht="15.6" hidden="1" outlineLevel="2" spans="1:25">
      <c r="A553" s="12">
        <v>212</v>
      </c>
      <c r="B553" s="12">
        <v>6</v>
      </c>
      <c r="C553" s="6" t="s">
        <v>612</v>
      </c>
      <c r="D553" s="6" t="s">
        <v>11</v>
      </c>
      <c r="E553" s="12">
        <v>15</v>
      </c>
      <c r="F553" s="11">
        <f>LOOKUP(E553,{0,-2.9,-1.9,-0.9,0.1,1.1,2.1,3.5,4.9,6.3,7.7,9.1,10.5,11.9,13.3,14.7,16.1,18.3,20.5,22.4,24.3},{0,10,20,30,40,50,60,62,64,66,68,70,72,74,76,78,80,85,90,95,100})</f>
        <v>78</v>
      </c>
      <c r="G553" s="12">
        <v>247</v>
      </c>
      <c r="H553" s="11">
        <f>LOOKUP(G553,{0,175,180,185,190,195,200,204,208,212,216,220,224,228,232,236,240,248,255,260,265},{0,10,20,30,40,50,60,62,64,66,68,70,72,74,76,78,80,85,90,95,100})</f>
        <v>80</v>
      </c>
      <c r="I553" s="12">
        <v>1</v>
      </c>
      <c r="J553" s="11">
        <f>LOOKUP(I553,{0,3,4,5,6,7,8,9,10,11,12,13,14,15,16,17},{0,10,20,30,40,50,60,64,68,72,76,80,85,90,95,100})</f>
        <v>0</v>
      </c>
      <c r="K553" s="12"/>
      <c r="L553" s="12"/>
      <c r="M553" s="12">
        <f t="shared" si="257"/>
        <v>0</v>
      </c>
      <c r="N553" s="12">
        <v>7.5</v>
      </c>
      <c r="O553" s="12">
        <f t="shared" si="261"/>
        <v>4.5</v>
      </c>
      <c r="P553" s="11">
        <f>LOOKUP(O553,{0,1.6,1.8,2,2.2,2.4,2.6,2.8,3,3.2,3.4,3.6,3.8,4,4.2,4.4,4.6,4.7,4.8,4.9,5},{0,10,20,30,40,50,60,62,64,66,68,70,72,74,76,78,80,85,90,95,100})</f>
        <v>78</v>
      </c>
      <c r="Q553" s="12">
        <v>4.29</v>
      </c>
      <c r="R553" s="12">
        <f t="shared" si="258"/>
        <v>5.71</v>
      </c>
      <c r="S553" s="11">
        <f>LOOKUP(R553,{0,3.8,4,4.6,4.8,5,5.6,5.65,5.7,5.75,5.8,5.85,5.9,5.95,6,6.45,6.5,6.58,6.65,6.7,6.75},{0,10,20,30,40,50,60,62,64,66,68,70,72,74,76,78,80,85,90,95,100})</f>
        <v>64</v>
      </c>
      <c r="T553" s="12"/>
      <c r="U553" s="12"/>
      <c r="V553" s="12">
        <f t="shared" si="259"/>
        <v>64</v>
      </c>
      <c r="W553" s="12"/>
      <c r="X553" s="20">
        <f t="shared" si="260"/>
        <v>44.2</v>
      </c>
      <c r="Y553" s="20">
        <f t="shared" si="262"/>
        <v>63.1428571428572</v>
      </c>
    </row>
    <row r="554" ht="15.6" hidden="1" outlineLevel="2" spans="1:25">
      <c r="A554" s="12">
        <v>212</v>
      </c>
      <c r="B554" s="12">
        <v>7</v>
      </c>
      <c r="C554" s="6" t="s">
        <v>613</v>
      </c>
      <c r="D554" s="6" t="s">
        <v>11</v>
      </c>
      <c r="E554" s="12">
        <v>17.8</v>
      </c>
      <c r="F554" s="11">
        <f>LOOKUP(E554,{0,-2.9,-1.9,-0.9,0.1,1.1,2.1,3.5,4.9,6.3,7.7,9.1,10.5,11.9,13.3,14.7,16.1,18.3,20.5,22.4,24.3},{0,10,20,30,40,50,60,62,64,66,68,70,72,74,76,78,80,85,90,95,100})</f>
        <v>80</v>
      </c>
      <c r="G554" s="12">
        <v>226</v>
      </c>
      <c r="H554" s="11">
        <f>LOOKUP(G554,{0,175,180,185,190,195,200,204,208,212,216,220,224,228,232,236,240,248,255,260,265},{0,10,20,30,40,50,60,62,64,66,68,70,72,74,76,78,80,85,90,95,100})</f>
        <v>72</v>
      </c>
      <c r="I554" s="12">
        <v>0</v>
      </c>
      <c r="J554" s="11">
        <f>LOOKUP(I554,{0,3,4,5,6,7,8,9,10,11,12,13,14,15,16,17},{0,10,20,30,40,50,60,64,68,72,76,80,85,90,95,100})</f>
        <v>0</v>
      </c>
      <c r="K554" s="12"/>
      <c r="L554" s="12"/>
      <c r="M554" s="12">
        <f t="shared" si="257"/>
        <v>0</v>
      </c>
      <c r="N554" s="12">
        <v>7.7</v>
      </c>
      <c r="O554" s="12">
        <f t="shared" si="261"/>
        <v>4.3</v>
      </c>
      <c r="P554" s="11">
        <f>LOOKUP(O554,{0,1.6,1.8,2,2.2,2.4,2.6,2.8,3,3.2,3.4,3.6,3.8,4,4.2,4.4,4.6,4.7,4.8,4.9,5},{0,10,20,30,40,50,60,62,64,66,68,70,72,74,76,78,80,85,90,95,100})</f>
        <v>76</v>
      </c>
      <c r="Q554" s="12">
        <v>3.5</v>
      </c>
      <c r="R554" s="12">
        <f t="shared" si="258"/>
        <v>6.5</v>
      </c>
      <c r="S554" s="11">
        <f>LOOKUP(R554,{0,3.8,4,4.6,4.8,5,5.6,5.65,5.7,5.75,5.8,5.85,5.9,5.95,6,6.45,6.5,6.58,6.65,6.7,6.75},{0,10,20,30,40,50,60,62,64,66,68,70,72,74,76,78,80,85,90,95,100})</f>
        <v>80</v>
      </c>
      <c r="T554" s="12"/>
      <c r="U554" s="12"/>
      <c r="V554" s="12">
        <f t="shared" si="259"/>
        <v>80</v>
      </c>
      <c r="W554" s="12"/>
      <c r="X554" s="20">
        <f t="shared" si="260"/>
        <v>46.4</v>
      </c>
      <c r="Y554" s="20">
        <f t="shared" si="262"/>
        <v>66.2857142857143</v>
      </c>
    </row>
    <row r="555" ht="15.6" hidden="1" outlineLevel="2" spans="1:25">
      <c r="A555" s="12">
        <v>212</v>
      </c>
      <c r="B555" s="12">
        <v>8</v>
      </c>
      <c r="C555" s="6" t="s">
        <v>614</v>
      </c>
      <c r="D555" s="6" t="s">
        <v>11</v>
      </c>
      <c r="E555" s="12">
        <v>13</v>
      </c>
      <c r="F555" s="11">
        <f>LOOKUP(E555,{0,-2.9,-1.9,-0.9,0.1,1.1,2.1,3.5,4.9,6.3,7.7,9.1,10.5,11.9,13.3,14.7,16.1,18.3,20.5,22.4,24.3},{0,10,20,30,40,50,60,62,64,66,68,70,72,74,76,78,80,85,90,95,100})</f>
        <v>74</v>
      </c>
      <c r="G555" s="12">
        <v>239</v>
      </c>
      <c r="H555" s="11">
        <f>LOOKUP(G555,{0,175,180,185,190,195,200,204,208,212,216,220,224,228,232,236,240,248,255,260,265},{0,10,20,30,40,50,60,62,64,66,68,70,72,74,76,78,80,85,90,95,100})</f>
        <v>78</v>
      </c>
      <c r="I555" s="12">
        <v>1</v>
      </c>
      <c r="J555" s="11">
        <f>LOOKUP(I555,{0,3,4,5,6,7,8,9,10,11,12,13,14,15,16,17},{0,10,20,30,40,50,60,64,68,72,76,80,85,90,95,100})</f>
        <v>0</v>
      </c>
      <c r="K555" s="12"/>
      <c r="L555" s="12"/>
      <c r="M555" s="12">
        <f t="shared" si="257"/>
        <v>0</v>
      </c>
      <c r="N555" s="12">
        <v>7.1</v>
      </c>
      <c r="O555" s="12">
        <f t="shared" si="261"/>
        <v>4.9</v>
      </c>
      <c r="P555" s="11">
        <f>LOOKUP(O555,{0,1.6,1.8,2,2.2,2.4,2.6,2.8,3,3.2,3.4,3.6,3.8,4,4.2,4.4,4.6,4.7,4.8,4.9,5},{0,10,20,30,40,50,60,62,64,66,68,70,72,74,76,78,80,85,90,95,100})</f>
        <v>95</v>
      </c>
      <c r="Q555" s="12">
        <v>3.28</v>
      </c>
      <c r="R555" s="12">
        <f t="shared" si="258"/>
        <v>6.72</v>
      </c>
      <c r="S555" s="11">
        <f>LOOKUP(R555,{0,3.8,4,4.6,4.8,5,5.6,5.65,5.7,5.75,5.8,5.85,5.9,5.95,6,6.45,6.5,6.58,6.65,6.7,6.75},{0,10,20,30,40,50,60,62,64,66,68,70,72,74,76,78,80,85,90,95,100})</f>
        <v>95</v>
      </c>
      <c r="T555" s="12"/>
      <c r="U555" s="12"/>
      <c r="V555" s="12">
        <f t="shared" si="259"/>
        <v>95</v>
      </c>
      <c r="W555" s="12"/>
      <c r="X555" s="20">
        <f t="shared" si="260"/>
        <v>53.2</v>
      </c>
      <c r="Y555" s="20">
        <f t="shared" si="262"/>
        <v>76</v>
      </c>
    </row>
    <row r="556" ht="15.6" hidden="1" outlineLevel="2" spans="1:25">
      <c r="A556" s="12">
        <v>212</v>
      </c>
      <c r="B556" s="12">
        <v>9</v>
      </c>
      <c r="C556" s="6" t="s">
        <v>615</v>
      </c>
      <c r="D556" s="6" t="s">
        <v>11</v>
      </c>
      <c r="E556" s="12">
        <v>17.5</v>
      </c>
      <c r="F556" s="11">
        <f>LOOKUP(E556,{0,-2.9,-1.9,-0.9,0.1,1.1,2.1,3.5,4.9,6.3,7.7,9.1,10.5,11.9,13.3,14.7,16.1,18.3,20.5,22.4,24.3},{0,10,20,30,40,50,60,62,64,66,68,70,72,74,76,78,80,85,90,95,100})</f>
        <v>80</v>
      </c>
      <c r="G556" s="12">
        <v>270</v>
      </c>
      <c r="H556" s="11">
        <f>LOOKUP(G556,{0,175,180,185,190,195,200,204,208,212,216,220,224,228,232,236,240,248,255,260,265},{0,10,20,30,40,50,60,62,64,66,68,70,72,74,76,78,80,85,90,95,100})</f>
        <v>100</v>
      </c>
      <c r="I556" s="12">
        <v>27</v>
      </c>
      <c r="J556" s="11">
        <f>LOOKUP(I556,{0,3,4,5,6,7,8,9,10,11,12,13,14,15,16,17},{0,10,20,30,40,50,60,64,68,72,76,80,85,90,95,100})</f>
        <v>100</v>
      </c>
      <c r="K556" s="12">
        <f>I556-17</f>
        <v>10</v>
      </c>
      <c r="L556" s="11">
        <f>LOOKUP(K556,{0,1,2,3,4,5,6,7,8,9,10},{0,1,2,3,4,5,6,7,8,9,10})</f>
        <v>10</v>
      </c>
      <c r="M556" s="12">
        <f t="shared" si="257"/>
        <v>110</v>
      </c>
      <c r="N556" s="12">
        <v>6.7</v>
      </c>
      <c r="O556" s="12">
        <f t="shared" si="261"/>
        <v>5.3</v>
      </c>
      <c r="P556" s="11">
        <f>LOOKUP(O556,{0,1.6,1.8,2,2.2,2.4,2.6,2.8,3,3.2,3.4,3.6,3.8,4,4.2,4.4,4.6,4.7,4.8,4.9,5},{0,10,20,30,40,50,60,62,64,66,68,70,72,74,76,78,80,85,90,95,100})</f>
        <v>100</v>
      </c>
      <c r="Q556" s="12">
        <v>3.34</v>
      </c>
      <c r="R556" s="12">
        <f t="shared" si="258"/>
        <v>6.66</v>
      </c>
      <c r="S556" s="11">
        <f>LOOKUP(R556,{0,3.8,4,4.6,4.8,5,5.6,5.65,5.7,5.75,5.8,5.85,5.9,5.95,6,6.45,6.5,6.58,6.65,6.7,6.75},{0,10,20,30,40,50,60,62,64,66,68,70,72,74,76,78,80,85,90,95,100})</f>
        <v>90</v>
      </c>
      <c r="T556" s="12"/>
      <c r="U556" s="12"/>
      <c r="V556" s="12">
        <f t="shared" si="259"/>
        <v>90</v>
      </c>
      <c r="W556" s="12"/>
      <c r="X556" s="20">
        <f t="shared" si="260"/>
        <v>66</v>
      </c>
      <c r="Y556" s="20">
        <f t="shared" si="262"/>
        <v>104.285714285714</v>
      </c>
    </row>
    <row r="557" ht="15.6" hidden="1" outlineLevel="2" spans="1:25">
      <c r="A557" s="12">
        <v>212</v>
      </c>
      <c r="B557" s="12">
        <v>10</v>
      </c>
      <c r="C557" s="6" t="s">
        <v>616</v>
      </c>
      <c r="D557" s="6" t="s">
        <v>11</v>
      </c>
      <c r="E557" s="12"/>
      <c r="F557" s="11"/>
      <c r="G557" s="12"/>
      <c r="H557" s="11"/>
      <c r="I557" s="12"/>
      <c r="J557" s="11"/>
      <c r="K557" s="12"/>
      <c r="L557" s="12"/>
      <c r="M557" s="12"/>
      <c r="N557" s="12"/>
      <c r="O557" s="12"/>
      <c r="P557" s="11"/>
      <c r="Q557" s="12"/>
      <c r="R557" s="12"/>
      <c r="S557" s="11"/>
      <c r="T557" s="12"/>
      <c r="U557" s="11"/>
      <c r="V557" s="12"/>
      <c r="W557" s="12" t="s">
        <v>617</v>
      </c>
      <c r="X557" s="20">
        <f t="shared" si="260"/>
        <v>0</v>
      </c>
      <c r="Y557" s="20">
        <v>50</v>
      </c>
    </row>
    <row r="558" ht="15.6" hidden="1" outlineLevel="2" spans="1:25">
      <c r="A558" s="12">
        <v>212</v>
      </c>
      <c r="B558" s="12">
        <v>11</v>
      </c>
      <c r="C558" s="13" t="s">
        <v>619</v>
      </c>
      <c r="D558" s="6" t="s">
        <v>11</v>
      </c>
      <c r="E558" s="12">
        <v>22</v>
      </c>
      <c r="F558" s="11">
        <f>LOOKUP(E558,{0,-2.9,-1.9,-0.9,0.1,1.1,2.1,3.5,4.9,6.3,7.7,9.1,10.5,11.9,13.3,14.7,16.1,18.3,20.5,22.4,24.3},{0,10,20,30,40,50,60,62,64,66,68,70,72,74,76,78,80,85,90,95,100})</f>
        <v>90</v>
      </c>
      <c r="G558" s="12">
        <v>230</v>
      </c>
      <c r="H558" s="11">
        <f>LOOKUP(G558,{0,175,180,185,190,195,200,204,208,212,216,220,224,228,232,236,240,248,255,260,265},{0,10,20,30,40,50,60,62,64,66,68,70,72,74,76,78,80,85,90,95,100})</f>
        <v>74</v>
      </c>
      <c r="I558" s="12">
        <v>10</v>
      </c>
      <c r="J558" s="11">
        <f>LOOKUP(I558,{0,3,4,5,6,7,8,9,10,11,12,13,14,15,16,17},{0,10,20,30,40,50,60,64,68,72,76,80,85,90,95,100})</f>
        <v>68</v>
      </c>
      <c r="K558" s="12"/>
      <c r="L558" s="12"/>
      <c r="M558" s="12">
        <f t="shared" ref="M558:M560" si="263">J558+L558</f>
        <v>68</v>
      </c>
      <c r="N558" s="12">
        <v>7.1</v>
      </c>
      <c r="O558" s="12">
        <f t="shared" ref="O558:O560" si="264">12-N558</f>
        <v>4.9</v>
      </c>
      <c r="P558" s="11">
        <f>LOOKUP(O558,{0,1.6,1.8,2,2.2,2.4,2.6,2.8,3,3.2,3.4,3.6,3.8,4,4.2,4.4,4.6,4.7,4.8,4.9,5},{0,10,20,30,40,50,60,62,64,66,68,70,72,74,76,78,80,85,90,95,100})</f>
        <v>95</v>
      </c>
      <c r="Q558" s="12">
        <v>4</v>
      </c>
      <c r="R558" s="12">
        <f t="shared" ref="R558:R560" si="265">10-Q558</f>
        <v>6</v>
      </c>
      <c r="S558" s="11">
        <f>LOOKUP(R558,{0,3.8,4,4.6,4.8,5,5.6,5.65,5.7,5.75,5.8,5.85,5.9,5.95,6,6.45,6.5,6.58,6.65,6.7,6.75},{0,10,20,30,40,50,60,62,64,66,68,70,72,74,76,78,80,85,90,95,100})</f>
        <v>76</v>
      </c>
      <c r="T558" s="12"/>
      <c r="U558" s="12"/>
      <c r="V558" s="12">
        <f t="shared" ref="V558:V560" si="266">S558+U558</f>
        <v>76</v>
      </c>
      <c r="W558" s="12"/>
      <c r="X558" s="20">
        <f t="shared" si="260"/>
        <v>57.4</v>
      </c>
      <c r="Y558" s="20">
        <f t="shared" ref="Y558:Y560" si="267">X558/0.7+L558+U558</f>
        <v>82</v>
      </c>
    </row>
    <row r="559" ht="15.6" hidden="1" outlineLevel="2" spans="1:25">
      <c r="A559" s="12">
        <v>212</v>
      </c>
      <c r="B559" s="12">
        <v>12</v>
      </c>
      <c r="C559" s="6" t="s">
        <v>620</v>
      </c>
      <c r="D559" s="6" t="s">
        <v>11</v>
      </c>
      <c r="E559" s="12">
        <v>17.5</v>
      </c>
      <c r="F559" s="11">
        <f>LOOKUP(E559,{0,-2.9,-1.9,-0.9,0.1,1.1,2.1,3.5,4.9,6.3,7.7,9.1,10.5,11.9,13.3,14.7,16.1,18.3,20.5,22.4,24.3},{0,10,20,30,40,50,60,62,64,66,68,70,72,74,76,78,80,85,90,95,100})</f>
        <v>80</v>
      </c>
      <c r="G559" s="12">
        <v>224</v>
      </c>
      <c r="H559" s="11">
        <f>LOOKUP(G559,{0,175,180,185,190,195,200,204,208,212,216,220,224,228,232,236,240,248,255,260,265},{0,10,20,30,40,50,60,62,64,66,68,70,72,74,76,78,80,85,90,95,100})</f>
        <v>72</v>
      </c>
      <c r="I559" s="12">
        <v>9</v>
      </c>
      <c r="J559" s="11">
        <f>LOOKUP(I559,{0,3,4,5,6,7,8,9,10,11,12,13,14,15,16,17},{0,10,20,30,40,50,60,64,68,72,76,80,85,90,95,100})</f>
        <v>64</v>
      </c>
      <c r="K559" s="12"/>
      <c r="L559" s="12"/>
      <c r="M559" s="12">
        <f t="shared" si="263"/>
        <v>64</v>
      </c>
      <c r="N559" s="12">
        <v>7.6</v>
      </c>
      <c r="O559" s="12">
        <f t="shared" si="264"/>
        <v>4.4</v>
      </c>
      <c r="P559" s="11">
        <f>LOOKUP(O559,{0,1.6,1.8,2,2.2,2.4,2.6,2.8,3,3.2,3.4,3.6,3.8,4,4.2,4.4,4.6,4.7,4.8,4.9,5},{0,10,20,30,40,50,60,62,64,66,68,70,72,74,76,78,80,85,90,95,100})</f>
        <v>78</v>
      </c>
      <c r="Q559" s="12">
        <v>4.03</v>
      </c>
      <c r="R559" s="12">
        <f t="shared" si="265"/>
        <v>5.97</v>
      </c>
      <c r="S559" s="11">
        <f>LOOKUP(R559,{0,3.8,4,4.6,4.8,5,5.6,5.65,5.7,5.75,5.8,5.85,5.9,5.95,6,6.45,6.5,6.58,6.65,6.7,6.75},{0,10,20,30,40,50,60,62,64,66,68,70,72,74,76,78,80,85,90,95,100})</f>
        <v>74</v>
      </c>
      <c r="T559" s="12"/>
      <c r="U559" s="15"/>
      <c r="V559" s="12">
        <f t="shared" si="266"/>
        <v>74</v>
      </c>
      <c r="W559" s="12"/>
      <c r="X559" s="20">
        <f t="shared" si="260"/>
        <v>52</v>
      </c>
      <c r="Y559" s="20">
        <f t="shared" si="267"/>
        <v>74.2857142857143</v>
      </c>
    </row>
    <row r="560" s="1" customFormat="1" ht="15.6" hidden="1" outlineLevel="2" spans="1:25">
      <c r="A560" s="12">
        <v>212</v>
      </c>
      <c r="B560" s="12">
        <v>13</v>
      </c>
      <c r="C560" s="6" t="s">
        <v>621</v>
      </c>
      <c r="D560" s="6" t="s">
        <v>11</v>
      </c>
      <c r="E560" s="12">
        <v>6</v>
      </c>
      <c r="F560" s="11">
        <f>LOOKUP(E560,{0,-2.9,-1.9,-0.9,0.1,1.1,2.1,3.5,4.9,6.3,7.7,9.1,10.5,11.9,13.3,14.7,16.1,18.3,20.5,22.4,24.3},{0,10,20,30,40,50,60,62,64,66,68,70,72,74,76,78,80,85,90,95,100})</f>
        <v>64</v>
      </c>
      <c r="G560" s="12">
        <v>178</v>
      </c>
      <c r="H560" s="11">
        <f>LOOKUP(G560,{0,175,180,185,190,195,200,204,208,212,216,220,224,228,232,236,240,248,255,260,265},{0,10,20,30,40,50,60,62,64,66,68,70,72,74,76,78,80,85,90,95,100})</f>
        <v>10</v>
      </c>
      <c r="I560" s="12">
        <v>1</v>
      </c>
      <c r="J560" s="11">
        <f>LOOKUP(I560,{0,3,4,5,6,7,8,9,10,11,12,13,14,15,16,17},{0,10,20,30,40,50,60,64,68,72,76,80,85,90,95,100})</f>
        <v>0</v>
      </c>
      <c r="K560" s="12"/>
      <c r="L560" s="12"/>
      <c r="M560" s="12">
        <f t="shared" si="263"/>
        <v>0</v>
      </c>
      <c r="N560" s="12">
        <v>8.3</v>
      </c>
      <c r="O560" s="12">
        <f t="shared" si="264"/>
        <v>3.7</v>
      </c>
      <c r="P560" s="11">
        <f>LOOKUP(O560,{0,1.6,1.8,2,2.2,2.4,2.6,2.8,3,3.2,3.4,3.6,3.8,4,4.2,4.4,4.6,4.7,4.8,4.9,5},{0,10,20,30,40,50,60,62,64,66,68,70,72,74,76,78,80,85,90,95,100})</f>
        <v>70</v>
      </c>
      <c r="Q560" s="12">
        <v>5.24</v>
      </c>
      <c r="R560" s="12">
        <f t="shared" si="265"/>
        <v>4.76</v>
      </c>
      <c r="S560" s="11">
        <f>LOOKUP(R560,{0,3.8,4,4.6,4.8,5,5.6,5.65,5.7,5.75,5.8,5.85,5.9,5.95,6,6.45,6.5,6.58,6.65,6.7,6.75},{0,10,20,30,40,50,60,62,64,66,68,70,72,74,76,78,80,85,90,95,100})</f>
        <v>30</v>
      </c>
      <c r="T560" s="12"/>
      <c r="U560" s="12"/>
      <c r="V560" s="12">
        <f t="shared" si="266"/>
        <v>30</v>
      </c>
      <c r="W560" s="12"/>
      <c r="X560" s="20">
        <f t="shared" si="260"/>
        <v>27.4</v>
      </c>
      <c r="Y560" s="20">
        <f t="shared" si="267"/>
        <v>39.1428571428571</v>
      </c>
    </row>
    <row r="561" ht="15.6" hidden="1" outlineLevel="2" spans="1:25">
      <c r="A561" s="12">
        <v>212</v>
      </c>
      <c r="B561" s="12">
        <v>14</v>
      </c>
      <c r="C561" s="6" t="s">
        <v>622</v>
      </c>
      <c r="D561" s="6" t="s">
        <v>11</v>
      </c>
      <c r="E561" s="12"/>
      <c r="F561" s="11"/>
      <c r="G561" s="12"/>
      <c r="H561" s="11"/>
      <c r="I561" s="12"/>
      <c r="J561" s="11"/>
      <c r="K561" s="12"/>
      <c r="L561" s="12"/>
      <c r="M561" s="12"/>
      <c r="N561" s="12"/>
      <c r="O561" s="12"/>
      <c r="P561" s="11"/>
      <c r="Q561" s="12"/>
      <c r="R561" s="12"/>
      <c r="S561" s="11"/>
      <c r="T561" s="12"/>
      <c r="U561" s="16"/>
      <c r="V561" s="12"/>
      <c r="W561" s="12" t="s">
        <v>617</v>
      </c>
      <c r="X561" s="20">
        <f t="shared" si="260"/>
        <v>0</v>
      </c>
      <c r="Y561" s="20">
        <v>50</v>
      </c>
    </row>
    <row r="562" ht="15.6" hidden="1" outlineLevel="2" spans="1:25">
      <c r="A562" s="12">
        <v>212</v>
      </c>
      <c r="B562" s="12">
        <v>15</v>
      </c>
      <c r="C562" s="6" t="s">
        <v>623</v>
      </c>
      <c r="D562" s="6" t="s">
        <v>11</v>
      </c>
      <c r="E562" s="12">
        <v>6.5</v>
      </c>
      <c r="F562" s="11">
        <f>LOOKUP(E562,{0,-2.9,-1.9,-0.9,0.1,1.1,2.1,3.5,4.9,6.3,7.7,9.1,10.5,11.9,13.3,14.7,16.1,18.3,20.5,22.4,24.3},{0,10,20,30,40,50,60,62,64,66,68,70,72,74,76,78,80,85,90,95,100})</f>
        <v>66</v>
      </c>
      <c r="G562" s="12">
        <v>214</v>
      </c>
      <c r="H562" s="11">
        <f>LOOKUP(G562,{0,175,180,185,190,195,200,204,208,212,216,220,224,228,232,236,240,248,255,260,265},{0,10,20,30,40,50,60,62,64,66,68,70,72,74,76,78,80,85,90,95,100})</f>
        <v>66</v>
      </c>
      <c r="I562" s="12">
        <v>16</v>
      </c>
      <c r="J562" s="11">
        <f>LOOKUP(I562,{0,3,4,5,6,7,8,9,10,11,12,13,14,15,16,17},{0,10,20,30,40,50,60,64,68,72,76,80,85,90,95,100})</f>
        <v>95</v>
      </c>
      <c r="K562" s="12"/>
      <c r="L562" s="12"/>
      <c r="M562" s="12">
        <f t="shared" ref="M562:M566" si="268">J562+L562</f>
        <v>95</v>
      </c>
      <c r="N562" s="12">
        <v>7.1</v>
      </c>
      <c r="O562" s="12">
        <f t="shared" ref="O562:O566" si="269">12-N562</f>
        <v>4.9</v>
      </c>
      <c r="P562" s="11">
        <f>LOOKUP(O562,{0,1.6,1.8,2,2.2,2.4,2.6,2.8,3,3.2,3.4,3.6,3.8,4,4.2,4.4,4.6,4.7,4.8,4.9,5},{0,10,20,30,40,50,60,62,64,66,68,70,72,74,76,78,80,85,90,95,100})</f>
        <v>95</v>
      </c>
      <c r="Q562" s="12">
        <v>3.48</v>
      </c>
      <c r="R562" s="12">
        <f t="shared" ref="R562:R566" si="270">10-Q562</f>
        <v>6.52</v>
      </c>
      <c r="S562" s="11">
        <f>LOOKUP(R562,{0,3.8,4,4.6,4.8,5,5.6,5.65,5.7,5.75,5.8,5.85,5.9,5.95,6,6.45,6.5,6.58,6.65,6.7,6.75},{0,10,20,30,40,50,60,62,64,66,68,70,72,74,76,78,80,85,90,95,100})</f>
        <v>80</v>
      </c>
      <c r="T562" s="12"/>
      <c r="U562" s="12"/>
      <c r="V562" s="12">
        <f t="shared" ref="V562:V566" si="271">S562+U562</f>
        <v>80</v>
      </c>
      <c r="W562" s="12"/>
      <c r="X562" s="20">
        <f t="shared" si="260"/>
        <v>57.7</v>
      </c>
      <c r="Y562" s="20">
        <f t="shared" ref="Y562:Y566" si="272">X562/0.7+L562+U562</f>
        <v>82.4285714285714</v>
      </c>
    </row>
    <row r="563" ht="15.6" hidden="1" outlineLevel="2" spans="1:25">
      <c r="A563" s="12">
        <v>212</v>
      </c>
      <c r="B563" s="12">
        <v>16</v>
      </c>
      <c r="C563" s="6" t="s">
        <v>624</v>
      </c>
      <c r="D563" s="6" t="s">
        <v>11</v>
      </c>
      <c r="E563" s="12">
        <v>18.4</v>
      </c>
      <c r="F563" s="11">
        <f>LOOKUP(E563,{0,-2.9,-1.9,-0.9,0.1,1.1,2.1,3.5,4.9,6.3,7.7,9.1,10.5,11.9,13.3,14.7,16.1,18.3,20.5,22.4,24.3},{0,10,20,30,40,50,60,62,64,66,68,70,72,74,76,78,80,85,90,95,100})</f>
        <v>85</v>
      </c>
      <c r="G563" s="12">
        <v>209</v>
      </c>
      <c r="H563" s="11">
        <f>LOOKUP(G563,{0,175,180,185,190,195,200,204,208,212,216,220,224,228,232,236,240,248,255,260,265},{0,10,20,30,40,50,60,62,64,66,68,70,72,74,76,78,80,85,90,95,100})</f>
        <v>64</v>
      </c>
      <c r="I563" s="12">
        <v>0</v>
      </c>
      <c r="J563" s="11">
        <f>LOOKUP(I563,{0,3,4,5,6,7,8,9,10,11,12,13,14,15,16,17},{0,10,20,30,40,50,60,64,68,72,76,80,85,90,95,100})</f>
        <v>0</v>
      </c>
      <c r="K563" s="12"/>
      <c r="L563" s="12"/>
      <c r="M563" s="12">
        <f t="shared" si="268"/>
        <v>0</v>
      </c>
      <c r="N563" s="12">
        <v>8</v>
      </c>
      <c r="O563" s="12">
        <f t="shared" si="269"/>
        <v>4</v>
      </c>
      <c r="P563" s="11">
        <f>LOOKUP(O563,{0,1.6,1.8,2,2.2,2.4,2.6,2.8,3,3.2,3.4,3.6,3.8,4,4.2,4.4,4.6,4.7,4.8,4.9,5},{0,10,20,30,40,50,60,62,64,66,68,70,72,74,76,78,80,85,90,95,100})</f>
        <v>74</v>
      </c>
      <c r="Q563" s="12">
        <v>3.52</v>
      </c>
      <c r="R563" s="12">
        <f t="shared" si="270"/>
        <v>6.48</v>
      </c>
      <c r="S563" s="11">
        <f>LOOKUP(R563,{0,3.8,4,4.6,4.8,5,5.6,5.65,5.7,5.75,5.8,5.85,5.9,5.95,6,6.45,6.5,6.58,6.65,6.7,6.75},{0,10,20,30,40,50,60,62,64,66,68,70,72,74,76,78,80,85,90,95,100})</f>
        <v>78</v>
      </c>
      <c r="T563" s="12"/>
      <c r="U563" s="12"/>
      <c r="V563" s="12">
        <f t="shared" si="271"/>
        <v>78</v>
      </c>
      <c r="W563" s="12"/>
      <c r="X563" s="20">
        <f t="shared" si="260"/>
        <v>45.3</v>
      </c>
      <c r="Y563" s="20">
        <f t="shared" si="272"/>
        <v>64.7142857142857</v>
      </c>
    </row>
    <row r="564" ht="15.6" hidden="1" outlineLevel="2" spans="1:25">
      <c r="A564" s="12">
        <v>212</v>
      </c>
      <c r="B564" s="12">
        <v>17</v>
      </c>
      <c r="C564" s="6" t="s">
        <v>625</v>
      </c>
      <c r="D564" s="6" t="s">
        <v>11</v>
      </c>
      <c r="E564" s="12">
        <v>16.6</v>
      </c>
      <c r="F564" s="11">
        <f>LOOKUP(E564,{0,-2.9,-1.9,-0.9,0.1,1.1,2.1,3.5,4.9,6.3,7.7,9.1,10.5,11.9,13.3,14.7,16.1,18.3,20.5,22.4,24.3},{0,10,20,30,40,50,60,62,64,66,68,70,72,74,76,78,80,85,90,95,100})</f>
        <v>80</v>
      </c>
      <c r="G564" s="12">
        <v>215</v>
      </c>
      <c r="H564" s="11">
        <f>LOOKUP(G564,{0,175,180,185,190,195,200,204,208,212,216,220,224,228,232,236,240,248,255,260,265},{0,10,20,30,40,50,60,62,64,66,68,70,72,74,76,78,80,85,90,95,100})</f>
        <v>66</v>
      </c>
      <c r="I564" s="12">
        <v>11</v>
      </c>
      <c r="J564" s="11">
        <f>LOOKUP(I564,{0,3,4,5,6,7,8,9,10,11,12,13,14,15,16,17},{0,10,20,30,40,50,60,64,68,72,76,80,85,90,95,100})</f>
        <v>72</v>
      </c>
      <c r="K564" s="12"/>
      <c r="L564" s="12"/>
      <c r="M564" s="12">
        <f t="shared" si="268"/>
        <v>72</v>
      </c>
      <c r="N564" s="12">
        <v>7.3</v>
      </c>
      <c r="O564" s="12">
        <f t="shared" si="269"/>
        <v>4.7</v>
      </c>
      <c r="P564" s="11">
        <f>LOOKUP(O564,{0,1.6,1.8,2,2.2,2.4,2.6,2.8,3,3.2,3.4,3.6,3.8,4,4.2,4.4,4.6,4.7,4.8,4.9,5},{0,10,20,30,40,50,60,62,64,66,68,70,72,74,76,78,80,85,90,95,100})</f>
        <v>85</v>
      </c>
      <c r="Q564" s="12">
        <v>3.49</v>
      </c>
      <c r="R564" s="12">
        <f t="shared" si="270"/>
        <v>6.51</v>
      </c>
      <c r="S564" s="11">
        <f>LOOKUP(R564,{0,3.8,4,4.6,4.8,5,5.6,5.65,5.7,5.75,5.8,5.85,5.9,5.95,6,6.45,6.5,6.58,6.65,6.7,6.75},{0,10,20,30,40,50,60,62,64,66,68,70,72,74,76,78,80,85,90,95,100})</f>
        <v>80</v>
      </c>
      <c r="T564" s="12"/>
      <c r="U564" s="12"/>
      <c r="V564" s="12">
        <f t="shared" si="271"/>
        <v>80</v>
      </c>
      <c r="W564" s="12"/>
      <c r="X564" s="20">
        <f t="shared" si="260"/>
        <v>54.8</v>
      </c>
      <c r="Y564" s="20">
        <f t="shared" si="272"/>
        <v>78.2857142857143</v>
      </c>
    </row>
    <row r="565" ht="15.6" hidden="1" outlineLevel="2" spans="1:25">
      <c r="A565" s="12">
        <v>212</v>
      </c>
      <c r="B565" s="12">
        <v>18</v>
      </c>
      <c r="C565" s="6" t="s">
        <v>626</v>
      </c>
      <c r="D565" s="6" t="s">
        <v>11</v>
      </c>
      <c r="E565" s="12">
        <v>10.4</v>
      </c>
      <c r="F565" s="11">
        <f>LOOKUP(E565,{0,-2.9,-1.9,-0.9,0.1,1.1,2.1,3.5,4.9,6.3,7.7,9.1,10.5,11.9,13.3,14.7,16.1,18.3,20.5,22.4,24.3},{0,10,20,30,40,50,60,62,64,66,68,70,72,74,76,78,80,85,90,95,100})</f>
        <v>70</v>
      </c>
      <c r="G565" s="12">
        <v>220</v>
      </c>
      <c r="H565" s="11">
        <f>LOOKUP(G565,{0,175,180,185,190,195,200,204,208,212,216,220,224,228,232,236,240,248,255,260,265},{0,10,20,30,40,50,60,62,64,66,68,70,72,74,76,78,80,85,90,95,100})</f>
        <v>70</v>
      </c>
      <c r="I565" s="12">
        <v>0</v>
      </c>
      <c r="J565" s="11">
        <f>LOOKUP(I565,{0,3,4,5,6,7,8,9,10,11,12,13,14,15,16,17},{0,10,20,30,40,50,60,64,68,72,76,80,85,90,95,100})</f>
        <v>0</v>
      </c>
      <c r="K565" s="12"/>
      <c r="L565" s="12"/>
      <c r="M565" s="12">
        <f t="shared" si="268"/>
        <v>0</v>
      </c>
      <c r="N565" s="12">
        <v>7.5</v>
      </c>
      <c r="O565" s="12">
        <f t="shared" si="269"/>
        <v>4.5</v>
      </c>
      <c r="P565" s="11">
        <f>LOOKUP(O565,{0,1.6,1.8,2,2.2,2.4,2.6,2.8,3,3.2,3.4,3.6,3.8,4,4.2,4.4,4.6,4.7,4.8,4.9,5},{0,10,20,30,40,50,60,62,64,66,68,70,72,74,76,78,80,85,90,95,100})</f>
        <v>78</v>
      </c>
      <c r="Q565" s="12">
        <v>4.08</v>
      </c>
      <c r="R565" s="12">
        <f t="shared" si="270"/>
        <v>5.92</v>
      </c>
      <c r="S565" s="11">
        <f>LOOKUP(R565,{0,3.8,4,4.6,4.8,5,5.6,5.65,5.7,5.75,5.8,5.85,5.9,5.95,6,6.45,6.5,6.58,6.65,6.7,6.75},{0,10,20,30,40,50,60,62,64,66,68,70,72,74,76,78,80,85,90,95,100})</f>
        <v>72</v>
      </c>
      <c r="T565" s="12"/>
      <c r="U565" s="12"/>
      <c r="V565" s="12">
        <f t="shared" si="271"/>
        <v>72</v>
      </c>
      <c r="W565" s="12"/>
      <c r="X565" s="20">
        <f t="shared" si="260"/>
        <v>44</v>
      </c>
      <c r="Y565" s="20">
        <f t="shared" si="272"/>
        <v>62.8571428571429</v>
      </c>
    </row>
    <row r="566" ht="15.6" hidden="1" outlineLevel="2" spans="1:25">
      <c r="A566" s="12">
        <v>212</v>
      </c>
      <c r="B566" s="12">
        <v>19</v>
      </c>
      <c r="C566" s="6" t="s">
        <v>627</v>
      </c>
      <c r="D566" s="6" t="s">
        <v>11</v>
      </c>
      <c r="E566" s="12">
        <v>16.5</v>
      </c>
      <c r="F566" s="11">
        <f>LOOKUP(E566,{0,-2.9,-1.9,-0.9,0.1,1.1,2.1,3.5,4.9,6.3,7.7,9.1,10.5,11.9,13.3,14.7,16.1,18.3,20.5,22.4,24.3},{0,10,20,30,40,50,60,62,64,66,68,70,72,74,76,78,80,85,90,95,100})</f>
        <v>80</v>
      </c>
      <c r="G566" s="12">
        <v>240</v>
      </c>
      <c r="H566" s="11">
        <f>LOOKUP(G566,{0,175,180,185,190,195,200,204,208,212,216,220,224,228,232,236,240,248,255,260,265},{0,10,20,30,40,50,60,62,64,66,68,70,72,74,76,78,80,85,90,95,100})</f>
        <v>80</v>
      </c>
      <c r="I566" s="12">
        <v>0</v>
      </c>
      <c r="J566" s="11">
        <f>LOOKUP(I566,{0,3,4,5,6,7,8,9,10,11,12,13,14,15,16,17},{0,10,20,30,40,50,60,64,68,72,76,80,85,90,95,100})</f>
        <v>0</v>
      </c>
      <c r="K566" s="12"/>
      <c r="L566" s="12"/>
      <c r="M566" s="12">
        <f t="shared" si="268"/>
        <v>0</v>
      </c>
      <c r="N566" s="12">
        <v>7.4</v>
      </c>
      <c r="O566" s="12">
        <f t="shared" si="269"/>
        <v>4.6</v>
      </c>
      <c r="P566" s="11">
        <f>LOOKUP(O566,{0,1.6,1.8,2,2.2,2.4,2.6,2.8,3,3.2,3.4,3.6,3.8,4,4.2,4.4,4.6,4.7,4.8,4.9,5},{0,10,20,30,40,50,60,62,64,66,68,70,72,74,76,78,80,85,90,95,100})</f>
        <v>80</v>
      </c>
      <c r="Q566" s="12">
        <v>3.25</v>
      </c>
      <c r="R566" s="12">
        <f t="shared" si="270"/>
        <v>6.75</v>
      </c>
      <c r="S566" s="11">
        <f>LOOKUP(R566,{0,3.8,4,4.6,4.8,5,5.6,5.65,5.7,5.75,5.8,5.85,5.9,5.95,6,6.45,6.5,6.58,6.65,6.7,6.75},{0,10,20,30,40,50,60,62,64,66,68,70,72,74,76,78,80,85,90,95,100})</f>
        <v>100</v>
      </c>
      <c r="T566" s="12">
        <f>3.25-Q566</f>
        <v>0</v>
      </c>
      <c r="U566" s="11">
        <f>LOOKUP(T566,{0,0.04,0.08,0.12,0.16,0.2,0.23,0.26,0.29,0.32,0.35},{0,1,2,3,4,5,6,7,8,9,10})</f>
        <v>0</v>
      </c>
      <c r="V566" s="12">
        <f t="shared" si="271"/>
        <v>100</v>
      </c>
      <c r="W566" s="12"/>
      <c r="X566" s="20">
        <f t="shared" si="260"/>
        <v>52</v>
      </c>
      <c r="Y566" s="20">
        <f t="shared" si="272"/>
        <v>74.2857142857143</v>
      </c>
    </row>
    <row r="567" ht="15.6" hidden="1" outlineLevel="2" spans="1:25">
      <c r="A567" s="12">
        <v>212</v>
      </c>
      <c r="B567" s="12">
        <v>20</v>
      </c>
      <c r="C567" s="6" t="s">
        <v>628</v>
      </c>
      <c r="D567" s="6" t="s">
        <v>11</v>
      </c>
      <c r="E567" s="12"/>
      <c r="F567" s="11"/>
      <c r="G567" s="12"/>
      <c r="H567" s="11"/>
      <c r="I567" s="12"/>
      <c r="J567" s="11"/>
      <c r="K567" s="12"/>
      <c r="L567" s="12"/>
      <c r="M567" s="12"/>
      <c r="N567" s="12"/>
      <c r="O567" s="12"/>
      <c r="P567" s="11"/>
      <c r="Q567" s="12"/>
      <c r="R567" s="12"/>
      <c r="S567" s="11"/>
      <c r="T567" s="12"/>
      <c r="U567" s="16"/>
      <c r="V567" s="12"/>
      <c r="W567" s="12" t="s">
        <v>617</v>
      </c>
      <c r="X567" s="20">
        <f t="shared" si="260"/>
        <v>0</v>
      </c>
      <c r="Y567" s="20">
        <v>50</v>
      </c>
    </row>
    <row r="568" ht="15.6" hidden="1" outlineLevel="2" spans="1:25">
      <c r="A568" s="12">
        <v>212</v>
      </c>
      <c r="B568" s="12">
        <v>21</v>
      </c>
      <c r="C568" s="13" t="s">
        <v>630</v>
      </c>
      <c r="D568" s="6" t="s">
        <v>11</v>
      </c>
      <c r="E568" s="12">
        <v>9</v>
      </c>
      <c r="F568" s="11">
        <f>LOOKUP(E568,{0,-2.9,-1.9,-0.9,0.1,1.1,2.1,3.5,4.9,6.3,7.7,9.1,10.5,11.9,13.3,14.7,16.1,18.3,20.5,22.4,24.3},{0,10,20,30,40,50,60,62,64,66,68,70,72,74,76,78,80,85,90,95,100})</f>
        <v>68</v>
      </c>
      <c r="G568" s="12">
        <v>225</v>
      </c>
      <c r="H568" s="11">
        <f>LOOKUP(G568,{0,175,180,185,190,195,200,204,208,212,216,220,224,228,232,236,240,248,255,260,265},{0,10,20,30,40,50,60,62,64,66,68,70,72,74,76,78,80,85,90,95,100})</f>
        <v>72</v>
      </c>
      <c r="I568" s="12">
        <v>3</v>
      </c>
      <c r="J568" s="11">
        <f>LOOKUP(I568,{0,3,4,5,6,7,8,9,10,11,12,13,14,15,16,17},{0,10,20,30,40,50,60,64,68,72,76,80,85,90,95,100})</f>
        <v>10</v>
      </c>
      <c r="K568" s="12"/>
      <c r="L568" s="12"/>
      <c r="M568" s="12">
        <f t="shared" ref="M568:M570" si="273">J568+L568</f>
        <v>10</v>
      </c>
      <c r="N568" s="12">
        <v>7.4</v>
      </c>
      <c r="O568" s="12">
        <f t="shared" ref="O568:O570" si="274">12-N568</f>
        <v>4.6</v>
      </c>
      <c r="P568" s="11">
        <f>LOOKUP(O568,{0,1.6,1.8,2,2.2,2.4,2.6,2.8,3,3.2,3.4,3.6,3.8,4,4.2,4.4,4.6,4.7,4.8,4.9,5},{0,10,20,30,40,50,60,62,64,66,68,70,72,74,76,78,80,85,90,95,100})</f>
        <v>80</v>
      </c>
      <c r="Q568" s="12">
        <v>3.58</v>
      </c>
      <c r="R568" s="12">
        <f t="shared" ref="R568:R570" si="275">10-Q568</f>
        <v>6.42</v>
      </c>
      <c r="S568" s="11">
        <f>LOOKUP(R568,{0,3.8,4,4.6,4.8,5,5.6,5.65,5.7,5.75,5.8,5.85,5.9,5.95,6,6.45,6.5,6.58,6.65,6.7,6.75},{0,10,20,30,40,50,60,62,64,66,68,70,72,74,76,78,80,85,90,95,100})</f>
        <v>76</v>
      </c>
      <c r="T568" s="12"/>
      <c r="U568" s="12"/>
      <c r="V568" s="12">
        <f t="shared" ref="V568:V570" si="276">S568+U568</f>
        <v>76</v>
      </c>
      <c r="W568" s="12"/>
      <c r="X568" s="20">
        <f t="shared" si="260"/>
        <v>46.2</v>
      </c>
      <c r="Y568" s="20">
        <f t="shared" ref="Y568:Y570" si="277">X568/0.7+L568+U568</f>
        <v>66</v>
      </c>
    </row>
    <row r="569" ht="15.6" hidden="1" outlineLevel="2" spans="1:25">
      <c r="A569" s="12">
        <v>212</v>
      </c>
      <c r="B569" s="12">
        <v>22</v>
      </c>
      <c r="C569" s="6" t="s">
        <v>631</v>
      </c>
      <c r="D569" s="6" t="s">
        <v>11</v>
      </c>
      <c r="E569" s="12">
        <v>13.5</v>
      </c>
      <c r="F569" s="11">
        <f>LOOKUP(E569,{0,-2.9,-1.9,-0.9,0.1,1.1,2.1,3.5,4.9,6.3,7.7,9.1,10.5,11.9,13.3,14.7,16.1,18.3,20.5,22.4,24.3},{0,10,20,30,40,50,60,62,64,66,68,70,72,74,76,78,80,85,90,95,100})</f>
        <v>76</v>
      </c>
      <c r="G569" s="12">
        <v>270</v>
      </c>
      <c r="H569" s="11">
        <f>LOOKUP(G569,{0,175,180,185,190,195,200,204,208,212,216,220,224,228,232,236,240,248,255,260,265},{0,10,20,30,40,50,60,62,64,66,68,70,72,74,76,78,80,85,90,95,100})</f>
        <v>100</v>
      </c>
      <c r="I569" s="12">
        <v>18</v>
      </c>
      <c r="J569" s="11">
        <f>LOOKUP(I569,{0,3,4,5,6,7,8,9,10,11,12,13,14,15,16,17},{0,10,20,30,40,50,60,64,68,72,76,80,85,90,95,100})</f>
        <v>100</v>
      </c>
      <c r="K569" s="12">
        <f>I569-17</f>
        <v>1</v>
      </c>
      <c r="L569" s="11">
        <f>LOOKUP(K569,{0,1,2,3,4,5,6,7,8,9,10},{0,1,2,3,4,5,6,7,8,9,10})</f>
        <v>1</v>
      </c>
      <c r="M569" s="12">
        <f t="shared" si="273"/>
        <v>101</v>
      </c>
      <c r="N569" s="12">
        <v>7.2</v>
      </c>
      <c r="O569" s="12">
        <f t="shared" si="274"/>
        <v>4.8</v>
      </c>
      <c r="P569" s="11">
        <f>LOOKUP(O569,{0,1.6,1.8,2,2.2,2.4,2.6,2.8,3,3.2,3.4,3.6,3.8,4,4.2,4.4,4.6,4.7,4.8,4.9,5},{0,10,20,30,40,50,60,62,64,66,68,70,72,74,76,78,80,85,90,95,100})</f>
        <v>90</v>
      </c>
      <c r="Q569" s="12">
        <v>3.3</v>
      </c>
      <c r="R569" s="12">
        <f t="shared" si="275"/>
        <v>6.7</v>
      </c>
      <c r="S569" s="11">
        <f>LOOKUP(R569,{0,3.8,4,4.6,4.8,5,5.6,5.65,5.7,5.75,5.8,5.85,5.9,5.95,6,6.45,6.5,6.58,6.65,6.7,6.75},{0,10,20,30,40,50,60,62,64,66,68,70,72,74,76,78,80,85,90,95,100})</f>
        <v>95</v>
      </c>
      <c r="T569" s="12"/>
      <c r="U569" s="15"/>
      <c r="V569" s="12">
        <f t="shared" si="276"/>
        <v>95</v>
      </c>
      <c r="W569" s="12"/>
      <c r="X569" s="20">
        <f t="shared" si="260"/>
        <v>64.6</v>
      </c>
      <c r="Y569" s="20">
        <f t="shared" si="277"/>
        <v>93.2857142857143</v>
      </c>
    </row>
    <row r="570" ht="15.6" hidden="1" outlineLevel="2" spans="1:25">
      <c r="A570" s="12">
        <v>212</v>
      </c>
      <c r="B570" s="12">
        <v>23</v>
      </c>
      <c r="C570" s="6" t="s">
        <v>632</v>
      </c>
      <c r="D570" s="6" t="s">
        <v>11</v>
      </c>
      <c r="E570" s="12">
        <v>23.5</v>
      </c>
      <c r="F570" s="11">
        <f>LOOKUP(E570,{0,-2.9,-1.9,-0.9,0.1,1.1,2.1,3.5,4.9,6.3,7.7,9.1,10.5,11.9,13.3,14.7,16.1,18.3,20.5,22.4,24.3},{0,10,20,30,40,50,60,62,64,66,68,70,72,74,76,78,80,85,90,95,100})</f>
        <v>95</v>
      </c>
      <c r="G570" s="12">
        <v>260</v>
      </c>
      <c r="H570" s="11">
        <f>LOOKUP(G570,{0,175,180,185,190,195,200,204,208,212,216,220,224,228,232,236,240,248,255,260,265},{0,10,20,30,40,50,60,62,64,66,68,70,72,74,76,78,80,85,90,95,100})</f>
        <v>95</v>
      </c>
      <c r="I570" s="12">
        <v>17</v>
      </c>
      <c r="J570" s="11">
        <f>LOOKUP(I570,{0,3,4,5,6,7,8,9,10,11,12,13,14,15,16,17},{0,10,20,30,40,50,60,64,68,72,76,80,85,90,95,100})</f>
        <v>100</v>
      </c>
      <c r="K570" s="12">
        <f>I570-17</f>
        <v>0</v>
      </c>
      <c r="L570" s="11">
        <f>LOOKUP(K570,{0,1,2,3,4,5,6,7,8,9,10},{0,1,2,3,4,5,6,7,8,9,10})</f>
        <v>0</v>
      </c>
      <c r="M570" s="12">
        <f t="shared" si="273"/>
        <v>100</v>
      </c>
      <c r="N570" s="12">
        <v>7.6</v>
      </c>
      <c r="O570" s="12">
        <f t="shared" si="274"/>
        <v>4.4</v>
      </c>
      <c r="P570" s="11">
        <f>LOOKUP(O570,{0,1.6,1.8,2,2.2,2.4,2.6,2.8,3,3.2,3.4,3.6,3.8,4,4.2,4.4,4.6,4.7,4.8,4.9,5},{0,10,20,30,40,50,60,62,64,66,68,70,72,74,76,78,80,85,90,95,100})</f>
        <v>78</v>
      </c>
      <c r="Q570" s="12">
        <v>4.14</v>
      </c>
      <c r="R570" s="12">
        <f t="shared" si="275"/>
        <v>5.86</v>
      </c>
      <c r="S570" s="11">
        <f>LOOKUP(R570,{0,3.8,4,4.6,4.8,5,5.6,5.65,5.7,5.75,5.8,5.85,5.9,5.95,6,6.45,6.5,6.58,6.65,6.7,6.75},{0,10,20,30,40,50,60,62,64,66,68,70,72,74,76,78,80,85,90,95,100})</f>
        <v>70</v>
      </c>
      <c r="T570" s="12"/>
      <c r="U570" s="12"/>
      <c r="V570" s="12">
        <f t="shared" si="276"/>
        <v>70</v>
      </c>
      <c r="W570" s="12"/>
      <c r="X570" s="20">
        <f t="shared" si="260"/>
        <v>58.6</v>
      </c>
      <c r="Y570" s="20">
        <f t="shared" si="277"/>
        <v>83.7142857142857</v>
      </c>
    </row>
    <row r="571" ht="15.6" hidden="1" outlineLevel="2" spans="1:25">
      <c r="A571" s="12">
        <v>212</v>
      </c>
      <c r="B571" s="12">
        <v>24</v>
      </c>
      <c r="C571" s="6" t="s">
        <v>633</v>
      </c>
      <c r="D571" s="6" t="s">
        <v>11</v>
      </c>
      <c r="E571" s="12"/>
      <c r="F571" s="11"/>
      <c r="G571" s="12"/>
      <c r="H571" s="11"/>
      <c r="I571" s="12"/>
      <c r="J571" s="11"/>
      <c r="K571" s="12"/>
      <c r="L571" s="12"/>
      <c r="M571" s="12"/>
      <c r="N571" s="12"/>
      <c r="O571" s="12"/>
      <c r="P571" s="11"/>
      <c r="Q571" s="12"/>
      <c r="R571" s="12"/>
      <c r="S571" s="11"/>
      <c r="T571" s="12"/>
      <c r="U571" s="16"/>
      <c r="V571" s="12"/>
      <c r="W571" s="12" t="s">
        <v>617</v>
      </c>
      <c r="X571" s="20">
        <f t="shared" si="260"/>
        <v>0</v>
      </c>
      <c r="Y571" s="20">
        <v>50</v>
      </c>
    </row>
    <row r="572" s="1" customFormat="1" ht="15.6" hidden="1" outlineLevel="2" spans="1:25">
      <c r="A572" s="12">
        <v>212</v>
      </c>
      <c r="B572" s="12">
        <v>25</v>
      </c>
      <c r="C572" s="6" t="s">
        <v>634</v>
      </c>
      <c r="D572" s="6" t="s">
        <v>11</v>
      </c>
      <c r="E572" s="12">
        <v>24.6</v>
      </c>
      <c r="F572" s="11">
        <f>LOOKUP(E572,{0,-2.9,-1.9,-0.9,0.1,1.1,2.1,3.5,4.9,6.3,7.7,9.1,10.5,11.9,13.3,14.7,16.1,18.3,20.5,22.4,24.3},{0,10,20,30,40,50,60,62,64,66,68,70,72,74,76,78,80,85,90,95,100})</f>
        <v>100</v>
      </c>
      <c r="G572" s="12">
        <v>231</v>
      </c>
      <c r="H572" s="11">
        <f>LOOKUP(G572,{0,175,180,185,190,195,200,204,208,212,216,220,224,228,232,236,240,248,255,260,265},{0,10,20,30,40,50,60,62,64,66,68,70,72,74,76,78,80,85,90,95,100})</f>
        <v>74</v>
      </c>
      <c r="I572" s="12">
        <v>5</v>
      </c>
      <c r="J572" s="11">
        <f>LOOKUP(I572,{0,3,4,5,6,7,8,9,10,11,12,13,14,15,16,17},{0,10,20,30,40,50,60,64,68,72,76,80,85,90,95,100})</f>
        <v>30</v>
      </c>
      <c r="K572" s="12"/>
      <c r="L572" s="12"/>
      <c r="M572" s="12">
        <f t="shared" ref="M572:M584" si="278">J572+L572</f>
        <v>30</v>
      </c>
      <c r="N572" s="12">
        <v>7.2</v>
      </c>
      <c r="O572" s="12">
        <f t="shared" ref="O572:O594" si="279">12-N572</f>
        <v>4.8</v>
      </c>
      <c r="P572" s="11">
        <f>LOOKUP(O572,{0,1.6,1.8,2,2.2,2.4,2.6,2.8,3,3.2,3.4,3.6,3.8,4,4.2,4.4,4.6,4.7,4.8,4.9,5},{0,10,20,30,40,50,60,62,64,66,68,70,72,74,76,78,80,85,90,95,100})</f>
        <v>90</v>
      </c>
      <c r="Q572" s="12">
        <v>3.32</v>
      </c>
      <c r="R572" s="12">
        <f t="shared" ref="R572:R584" si="280">10-Q572</f>
        <v>6.68</v>
      </c>
      <c r="S572" s="11">
        <f>LOOKUP(R572,{0,3.8,4,4.6,4.8,5,5.6,5.65,5.7,5.75,5.8,5.85,5.9,5.95,6,6.45,6.5,6.58,6.65,6.7,6.75},{0,10,20,30,40,50,60,62,64,66,68,70,72,74,76,78,80,85,90,95,100})</f>
        <v>90</v>
      </c>
      <c r="T572" s="12"/>
      <c r="U572" s="12"/>
      <c r="V572" s="12">
        <f t="shared" ref="V572:V584" si="281">S572+U572</f>
        <v>90</v>
      </c>
      <c r="W572" s="12"/>
      <c r="X572" s="20">
        <f t="shared" si="260"/>
        <v>56.4</v>
      </c>
      <c r="Y572" s="20">
        <f t="shared" ref="Y572:Y584" si="282">X572/0.7+L572+U572</f>
        <v>80.5714285714286</v>
      </c>
    </row>
    <row r="573" ht="15.6" hidden="1" outlineLevel="2" spans="1:25">
      <c r="A573" s="12">
        <v>212</v>
      </c>
      <c r="B573" s="12">
        <v>26</v>
      </c>
      <c r="C573" s="6" t="s">
        <v>635</v>
      </c>
      <c r="D573" s="6" t="s">
        <v>11</v>
      </c>
      <c r="E573" s="12">
        <v>17.4</v>
      </c>
      <c r="F573" s="11">
        <f>LOOKUP(E573,{0,-2.9,-1.9,-0.9,0.1,1.1,2.1,3.5,4.9,6.3,7.7,9.1,10.5,11.9,13.3,14.7,16.1,18.3,20.5,22.4,24.3},{0,10,20,30,40,50,60,62,64,66,68,70,72,74,76,78,80,85,90,95,100})</f>
        <v>80</v>
      </c>
      <c r="G573" s="12"/>
      <c r="H573" s="11"/>
      <c r="I573" s="12">
        <v>0</v>
      </c>
      <c r="J573" s="11">
        <f>LOOKUP(I573,{0,3,4,5,6,7,8,9,10,11,12,13,14,15,16,17},{0,10,20,30,40,50,60,64,68,72,76,80,85,90,95,100})</f>
        <v>0</v>
      </c>
      <c r="K573" s="12"/>
      <c r="L573" s="12"/>
      <c r="M573" s="12">
        <f t="shared" si="278"/>
        <v>0</v>
      </c>
      <c r="N573" s="12">
        <v>8.9</v>
      </c>
      <c r="O573" s="12">
        <f t="shared" si="279"/>
        <v>3.1</v>
      </c>
      <c r="P573" s="11">
        <f>LOOKUP(O573,{0,1.6,1.8,2,2.2,2.4,2.6,2.8,3,3.2,3.4,3.6,3.8,4,4.2,4.4,4.6,4.7,4.8,4.9,5},{0,10,20,30,40,50,60,62,64,66,68,70,72,74,76,78,80,85,90,95,100})</f>
        <v>64</v>
      </c>
      <c r="Q573" s="12">
        <v>5.15</v>
      </c>
      <c r="R573" s="12">
        <f t="shared" si="280"/>
        <v>4.85</v>
      </c>
      <c r="S573" s="11">
        <f>LOOKUP(R573,{0,3.8,4,4.6,4.8,5,5.6,5.65,5.7,5.75,5.8,5.85,5.9,5.95,6,6.45,6.5,6.58,6.65,6.7,6.75},{0,10,20,30,40,50,60,62,64,66,68,70,72,74,76,78,80,85,90,95,100})</f>
        <v>40</v>
      </c>
      <c r="T573" s="12"/>
      <c r="U573" s="15"/>
      <c r="V573" s="12">
        <f t="shared" si="281"/>
        <v>40</v>
      </c>
      <c r="W573" s="12"/>
      <c r="X573" s="20">
        <f t="shared" si="260"/>
        <v>28.8</v>
      </c>
      <c r="Y573" s="23">
        <v>50</v>
      </c>
    </row>
    <row r="574" ht="15.6" hidden="1" outlineLevel="2" spans="1:25">
      <c r="A574" s="12">
        <v>212</v>
      </c>
      <c r="B574" s="12">
        <v>27</v>
      </c>
      <c r="C574" s="6" t="s">
        <v>636</v>
      </c>
      <c r="D574" s="6" t="s">
        <v>11</v>
      </c>
      <c r="E574" s="12">
        <v>4.6</v>
      </c>
      <c r="F574" s="11">
        <f>LOOKUP(E574,{0,-2.9,-1.9,-0.9,0.1,1.1,2.1,3.5,4.9,6.3,7.7,9.1,10.5,11.9,13.3,14.7,16.1,18.3,20.5,22.4,24.3},{0,10,20,30,40,50,60,62,64,66,68,70,72,74,76,78,80,85,90,95,100})</f>
        <v>62</v>
      </c>
      <c r="G574" s="12">
        <v>235</v>
      </c>
      <c r="H574" s="11">
        <f>LOOKUP(G574,{0,175,180,185,190,195,200,204,208,212,216,220,224,228,232,236,240,248,255,260,265},{0,10,20,30,40,50,60,62,64,66,68,70,72,74,76,78,80,85,90,95,100})</f>
        <v>76</v>
      </c>
      <c r="I574" s="12">
        <v>0</v>
      </c>
      <c r="J574" s="11">
        <f>LOOKUP(I574,{0,3,4,5,6,7,8,9,10,11,12,13,14,15,16,17},{0,10,20,30,40,50,60,64,68,72,76,80,85,90,95,100})</f>
        <v>0</v>
      </c>
      <c r="K574" s="12"/>
      <c r="L574" s="12"/>
      <c r="M574" s="12">
        <f t="shared" si="278"/>
        <v>0</v>
      </c>
      <c r="N574" s="12">
        <v>7.5</v>
      </c>
      <c r="O574" s="12">
        <f t="shared" si="279"/>
        <v>4.5</v>
      </c>
      <c r="P574" s="11">
        <f>LOOKUP(O574,{0,1.6,1.8,2,2.2,2.4,2.6,2.8,3,3.2,3.4,3.6,3.8,4,4.2,4.4,4.6,4.7,4.8,4.9,5},{0,10,20,30,40,50,60,62,64,66,68,70,72,74,76,78,80,85,90,95,100})</f>
        <v>78</v>
      </c>
      <c r="Q574" s="12">
        <v>3.5</v>
      </c>
      <c r="R574" s="12">
        <f t="shared" si="280"/>
        <v>6.5</v>
      </c>
      <c r="S574" s="11">
        <f>LOOKUP(R574,{0,3.8,4,4.6,4.8,5,5.6,5.65,5.7,5.75,5.8,5.85,5.9,5.95,6,6.45,6.5,6.58,6.65,6.7,6.75},{0,10,20,30,40,50,60,62,64,66,68,70,72,74,76,78,80,85,90,95,100})</f>
        <v>80</v>
      </c>
      <c r="T574" s="12"/>
      <c r="U574" s="12"/>
      <c r="V574" s="12">
        <f t="shared" si="281"/>
        <v>80</v>
      </c>
      <c r="W574" s="12"/>
      <c r="X574" s="20">
        <f t="shared" si="260"/>
        <v>45.4</v>
      </c>
      <c r="Y574" s="20">
        <f t="shared" si="282"/>
        <v>64.8571428571429</v>
      </c>
    </row>
    <row r="575" ht="15.6" hidden="1" outlineLevel="2" spans="1:25">
      <c r="A575" s="12">
        <v>212</v>
      </c>
      <c r="B575" s="12">
        <v>28</v>
      </c>
      <c r="C575" s="6" t="s">
        <v>637</v>
      </c>
      <c r="D575" s="6" t="s">
        <v>11</v>
      </c>
      <c r="E575" s="12">
        <v>6.8</v>
      </c>
      <c r="F575" s="11">
        <f>LOOKUP(E575,{0,-2.9,-1.9,-0.9,0.1,1.1,2.1,3.5,4.9,6.3,7.7,9.1,10.5,11.9,13.3,14.7,16.1,18.3,20.5,22.4,24.3},{0,10,20,30,40,50,60,62,64,66,68,70,72,74,76,78,80,85,90,95,100})</f>
        <v>66</v>
      </c>
      <c r="G575" s="12">
        <v>243</v>
      </c>
      <c r="H575" s="11">
        <f>LOOKUP(G575,{0,175,180,185,190,195,200,204,208,212,216,220,224,228,232,236,240,248,255,260,265},{0,10,20,30,40,50,60,62,64,66,68,70,72,74,76,78,80,85,90,95,100})</f>
        <v>80</v>
      </c>
      <c r="I575" s="12">
        <v>20</v>
      </c>
      <c r="J575" s="11">
        <f>LOOKUP(I575,{0,3,4,5,6,7,8,9,10,11,12,13,14,15,16,17},{0,10,20,30,40,50,60,64,68,72,76,80,85,90,95,100})</f>
        <v>100</v>
      </c>
      <c r="K575" s="12">
        <f>I575-17</f>
        <v>3</v>
      </c>
      <c r="L575" s="11">
        <f>LOOKUP(K575,{0,1,2,3,4,5,6,7,8,9,10},{0,1,2,3,4,5,6,7,8,9,10})</f>
        <v>3</v>
      </c>
      <c r="M575" s="12">
        <f t="shared" si="278"/>
        <v>103</v>
      </c>
      <c r="N575" s="12">
        <v>7.5</v>
      </c>
      <c r="O575" s="12">
        <f t="shared" si="279"/>
        <v>4.5</v>
      </c>
      <c r="P575" s="11">
        <f>LOOKUP(O575,{0,1.6,1.8,2,2.2,2.4,2.6,2.8,3,3.2,3.4,3.6,3.8,4,4.2,4.4,4.6,4.7,4.8,4.9,5},{0,10,20,30,40,50,60,62,64,66,68,70,72,74,76,78,80,85,90,95,100})</f>
        <v>78</v>
      </c>
      <c r="Q575" s="12">
        <v>4.24</v>
      </c>
      <c r="R575" s="12">
        <f t="shared" si="280"/>
        <v>5.76</v>
      </c>
      <c r="S575" s="11">
        <f>LOOKUP(R575,{0,3.8,4,4.6,4.8,5,5.6,5.65,5.7,5.75,5.8,5.85,5.9,5.95,6,6.45,6.5,6.58,6.65,6.7,6.75},{0,10,20,30,40,50,60,62,64,66,68,70,72,74,76,78,80,85,90,95,100})</f>
        <v>66</v>
      </c>
      <c r="T575" s="12"/>
      <c r="U575" s="15"/>
      <c r="V575" s="12">
        <f t="shared" si="281"/>
        <v>66</v>
      </c>
      <c r="W575" s="12"/>
      <c r="X575" s="20">
        <f t="shared" si="260"/>
        <v>53.4</v>
      </c>
      <c r="Y575" s="20">
        <f t="shared" si="282"/>
        <v>79.2857142857143</v>
      </c>
    </row>
    <row r="576" ht="15.6" hidden="1" outlineLevel="2" spans="1:25">
      <c r="A576" s="12">
        <v>212</v>
      </c>
      <c r="B576" s="12">
        <v>29</v>
      </c>
      <c r="C576" s="6" t="s">
        <v>638</v>
      </c>
      <c r="D576" s="6" t="s">
        <v>11</v>
      </c>
      <c r="E576" s="12">
        <v>12.1</v>
      </c>
      <c r="F576" s="11">
        <f>LOOKUP(E576,{0,-2.9,-1.9,-0.9,0.1,1.1,2.1,3.5,4.9,6.3,7.7,9.1,10.5,11.9,13.3,14.7,16.1,18.3,20.5,22.4,24.3},{0,10,20,30,40,50,60,62,64,66,68,70,72,74,76,78,80,85,90,95,100})</f>
        <v>74</v>
      </c>
      <c r="G576" s="12">
        <v>240</v>
      </c>
      <c r="H576" s="11">
        <f>LOOKUP(G576,{0,175,180,185,190,195,200,204,208,212,216,220,224,228,232,236,240,248,255,260,265},{0,10,20,30,40,50,60,62,64,66,68,70,72,74,76,78,80,85,90,95,100})</f>
        <v>80</v>
      </c>
      <c r="I576" s="12">
        <v>1</v>
      </c>
      <c r="J576" s="11">
        <f>LOOKUP(I576,{0,3,4,5,6,7,8,9,10,11,12,13,14,15,16,17},{0,10,20,30,40,50,60,64,68,72,76,80,85,90,95,100})</f>
        <v>0</v>
      </c>
      <c r="K576" s="12"/>
      <c r="L576" s="12"/>
      <c r="M576" s="12">
        <f t="shared" si="278"/>
        <v>0</v>
      </c>
      <c r="N576" s="12">
        <v>8</v>
      </c>
      <c r="O576" s="12">
        <f t="shared" si="279"/>
        <v>4</v>
      </c>
      <c r="P576" s="11">
        <f>LOOKUP(O576,{0,1.6,1.8,2,2.2,2.4,2.6,2.8,3,3.2,3.4,3.6,3.8,4,4.2,4.4,4.6,4.7,4.8,4.9,5},{0,10,20,30,40,50,60,62,64,66,68,70,72,74,76,78,80,85,90,95,100})</f>
        <v>74</v>
      </c>
      <c r="Q576" s="12">
        <v>4.1</v>
      </c>
      <c r="R576" s="12">
        <f t="shared" si="280"/>
        <v>5.9</v>
      </c>
      <c r="S576" s="11">
        <f>LOOKUP(R576,{0,3.8,4,4.6,4.8,5,5.6,5.65,5.7,5.75,5.8,5.85,5.9,5.95,6,6.45,6.5,6.58,6.65,6.7,6.75},{0,10,20,30,40,50,60,62,64,66,68,70,72,74,76,78,80,85,90,95,100})</f>
        <v>72</v>
      </c>
      <c r="T576" s="12"/>
      <c r="U576" s="15"/>
      <c r="V576" s="12">
        <f t="shared" si="281"/>
        <v>72</v>
      </c>
      <c r="W576" s="12"/>
      <c r="X576" s="20">
        <f t="shared" si="260"/>
        <v>44.6</v>
      </c>
      <c r="Y576" s="20">
        <f t="shared" si="282"/>
        <v>63.7142857142857</v>
      </c>
    </row>
    <row r="577" ht="15.6" hidden="1" outlineLevel="2" spans="1:25">
      <c r="A577" s="12">
        <v>212</v>
      </c>
      <c r="B577" s="12">
        <v>30</v>
      </c>
      <c r="C577" s="6" t="s">
        <v>639</v>
      </c>
      <c r="D577" s="6" t="s">
        <v>11</v>
      </c>
      <c r="E577" s="12">
        <v>15</v>
      </c>
      <c r="F577" s="11">
        <f>LOOKUP(E577,{0,-2.9,-1.9,-0.9,0.1,1.1,2.1,3.5,4.9,6.3,7.7,9.1,10.5,11.9,13.3,14.7,16.1,18.3,20.5,22.4,24.3},{0,10,20,30,40,50,60,62,64,66,68,70,72,74,76,78,80,85,90,95,100})</f>
        <v>78</v>
      </c>
      <c r="G577" s="12"/>
      <c r="H577" s="11"/>
      <c r="I577" s="12">
        <v>3</v>
      </c>
      <c r="J577" s="11">
        <f>LOOKUP(I577,{0,3,4,5,6,7,8,9,10,11,12,13,14,15,16,17},{0,10,20,30,40,50,60,64,68,72,76,80,85,90,95,100})</f>
        <v>10</v>
      </c>
      <c r="K577" s="12"/>
      <c r="L577" s="12"/>
      <c r="M577" s="12">
        <f t="shared" si="278"/>
        <v>10</v>
      </c>
      <c r="N577" s="12">
        <v>7.6</v>
      </c>
      <c r="O577" s="12">
        <f t="shared" si="279"/>
        <v>4.4</v>
      </c>
      <c r="P577" s="11">
        <f>LOOKUP(O577,{0,1.6,1.8,2,2.2,2.4,2.6,2.8,3,3.2,3.4,3.6,3.8,4,4.2,4.4,4.6,4.7,4.8,4.9,5},{0,10,20,30,40,50,60,62,64,66,68,70,72,74,76,78,80,85,90,95,100})</f>
        <v>78</v>
      </c>
      <c r="Q577" s="12">
        <v>4.25</v>
      </c>
      <c r="R577" s="12">
        <f t="shared" si="280"/>
        <v>5.75</v>
      </c>
      <c r="S577" s="11">
        <f>LOOKUP(R577,{0,3.8,4,4.6,4.8,5,5.6,5.65,5.7,5.75,5.8,5.85,5.9,5.95,6,6.45,6.5,6.58,6.65,6.7,6.75},{0,10,20,30,40,50,60,62,64,66,68,70,72,74,76,78,80,85,90,95,100})</f>
        <v>66</v>
      </c>
      <c r="T577" s="12"/>
      <c r="U577" s="12"/>
      <c r="V577" s="12">
        <f t="shared" si="281"/>
        <v>66</v>
      </c>
      <c r="W577" s="12"/>
      <c r="X577" s="20">
        <f t="shared" si="260"/>
        <v>37.6</v>
      </c>
      <c r="Y577" s="20">
        <f t="shared" si="282"/>
        <v>53.7142857142857</v>
      </c>
    </row>
    <row r="578" ht="15.6" hidden="1" outlineLevel="2" spans="1:25">
      <c r="A578" s="12">
        <v>212</v>
      </c>
      <c r="B578" s="12">
        <v>31</v>
      </c>
      <c r="C578" s="13" t="s">
        <v>641</v>
      </c>
      <c r="D578" s="6" t="s">
        <v>53</v>
      </c>
      <c r="E578" s="12">
        <v>18.4</v>
      </c>
      <c r="F578" s="11">
        <f>LOOKUP(E578,{0,1,1.8,2.6,3.4,4.2,5,6.3,7.6,8.9,10.2,11.5,12.8,14.1,15.4,16.7,18,19.7,21.4,23.1,24.8},{0,10,20,30,40,50,60,62,64,66,68,70,72,74,76,78,80,85,90,95,100})</f>
        <v>80</v>
      </c>
      <c r="G578" s="12">
        <v>194</v>
      </c>
      <c r="H578" s="11">
        <f>LOOKUP(G578,{0,124,129,134,139,144,149,152,155,158,161,164,167,170,173,176,179,186,193,199,205},{0,10,20,30,40,50,60,62,64,66,68,70,72,74,76,78,80,85,90,95,100})</f>
        <v>90</v>
      </c>
      <c r="I578" s="12">
        <v>48</v>
      </c>
      <c r="J578" s="11">
        <f>LOOKUP(I578,{0,14,16,18,20,22,24,26,28,30,32,34,36,38,40,42,44,47,50,52,54},{0,10,20,30,40,50,60,62,64,66,68,70,72,74,76,78,80,85,90,95,100})</f>
        <v>85</v>
      </c>
      <c r="K578" s="12"/>
      <c r="L578" s="12"/>
      <c r="M578" s="12">
        <f t="shared" si="278"/>
        <v>85</v>
      </c>
      <c r="N578" s="12">
        <v>7.8</v>
      </c>
      <c r="O578" s="12">
        <f t="shared" si="279"/>
        <v>4.2</v>
      </c>
      <c r="P578" s="11">
        <f>LOOKUP(O578,{0,0.5,0.7,0.9,1.1,1.3,1.5,1.7,1.9,2.1,2.3,2.5,2.7,2.9,3.1,3.3,3.5,3.8,4.1,4.2,4.3},{0,10,20,30,40,50,60,62,64,66,68,70,72,74,76,78,80,85,90,95,100})</f>
        <v>95</v>
      </c>
      <c r="Q578" s="12">
        <v>3.11</v>
      </c>
      <c r="R578" s="12">
        <f t="shared" si="280"/>
        <v>6.89</v>
      </c>
      <c r="S578" s="11">
        <f>LOOKUP(R578,{0,4.72,4.82,4.92,5.42,5.52,5.62,5.67,5.72,5.77,5.82,5.87,5.92,5.97,6.42,6.47,6.52,6.59,6.66,6.72,6.78},{0,10,20,30,40,50,60,62,64,66,68,70,72,74,76,78,80,85,90,95,100})</f>
        <v>100</v>
      </c>
      <c r="T578" s="21">
        <f>3.22-Q578</f>
        <v>0.11</v>
      </c>
      <c r="U578" s="11">
        <f>LOOKUP(T578,{0,0.05,0.1,0.15,0.2,0.25,0.3,0.35,0.4,0.45,0.5},{0,1,2,3,4,5,6,7,8,9,10})</f>
        <v>2</v>
      </c>
      <c r="V578" s="12">
        <f t="shared" si="281"/>
        <v>102</v>
      </c>
      <c r="W578" s="12"/>
      <c r="X578" s="20">
        <f t="shared" si="260"/>
        <v>64.5</v>
      </c>
      <c r="Y578" s="20">
        <f t="shared" si="282"/>
        <v>94.1428571428572</v>
      </c>
    </row>
    <row r="579" ht="15.6" hidden="1" outlineLevel="2" spans="1:25">
      <c r="A579" s="12">
        <v>212</v>
      </c>
      <c r="B579" s="12">
        <v>32</v>
      </c>
      <c r="C579" s="6" t="s">
        <v>642</v>
      </c>
      <c r="D579" s="6" t="s">
        <v>53</v>
      </c>
      <c r="E579" s="12">
        <v>23.5</v>
      </c>
      <c r="F579" s="11">
        <f>LOOKUP(E579,{0,1,1.8,2.6,3.4,4.2,5,6.3,7.6,8.9,10.2,11.5,12.8,14.1,15.4,16.7,18,19.7,21.4,23.1,24.8},{0,10,20,30,40,50,60,62,64,66,68,70,72,74,76,78,80,85,90,95,100})</f>
        <v>95</v>
      </c>
      <c r="G579" s="12">
        <v>171</v>
      </c>
      <c r="H579" s="11">
        <f>LOOKUP(G579,{0,124,129,134,139,144,149,152,155,158,161,164,167,170,173,176,179,186,193,199,205},{0,10,20,30,40,50,60,62,64,66,68,70,72,74,76,78,80,85,90,95,100})</f>
        <v>74</v>
      </c>
      <c r="I579" s="12">
        <v>48</v>
      </c>
      <c r="J579" s="11">
        <f>LOOKUP(I579,{0,14,16,18,20,22,24,26,28,30,32,34,36,38,40,42,44,47,50,52,54},{0,10,20,30,40,50,60,62,64,66,68,70,72,74,76,78,80,85,90,95,100})</f>
        <v>85</v>
      </c>
      <c r="K579" s="12"/>
      <c r="L579" s="12"/>
      <c r="M579" s="12">
        <f t="shared" si="278"/>
        <v>85</v>
      </c>
      <c r="N579" s="12">
        <v>8.4</v>
      </c>
      <c r="O579" s="12">
        <f t="shared" si="279"/>
        <v>3.6</v>
      </c>
      <c r="P579" s="11">
        <f>LOOKUP(O579,{0,0.5,0.7,0.9,1.1,1.3,1.5,1.7,1.9,2.1,2.3,2.5,2.7,2.9,3.1,3.3,3.5,3.8,4.1,4.2,4.3},{0,10,20,30,40,50,60,62,64,66,68,70,72,74,76,78,80,85,90,95,100})</f>
        <v>80</v>
      </c>
      <c r="Q579" s="12">
        <v>3.46</v>
      </c>
      <c r="R579" s="12">
        <f t="shared" si="280"/>
        <v>6.54</v>
      </c>
      <c r="S579" s="11">
        <f>LOOKUP(R579,{0,4.72,4.82,4.92,5.42,5.52,5.62,5.67,5.72,5.77,5.82,5.87,5.92,5.97,6.42,6.47,6.52,6.59,6.66,6.72,6.78},{0,10,20,30,40,50,60,62,64,66,68,70,72,74,76,78,80,85,90,95,100})</f>
        <v>80</v>
      </c>
      <c r="T579" s="12"/>
      <c r="U579" s="12"/>
      <c r="V579" s="12">
        <f t="shared" si="281"/>
        <v>80</v>
      </c>
      <c r="W579" s="12"/>
      <c r="X579" s="20">
        <f t="shared" si="260"/>
        <v>57.4</v>
      </c>
      <c r="Y579" s="20">
        <f t="shared" si="282"/>
        <v>82</v>
      </c>
    </row>
    <row r="580" ht="15.6" hidden="1" outlineLevel="2" spans="1:25">
      <c r="A580" s="12">
        <v>212</v>
      </c>
      <c r="B580" s="12">
        <v>33</v>
      </c>
      <c r="C580" s="6" t="s">
        <v>643</v>
      </c>
      <c r="D580" s="6" t="s">
        <v>53</v>
      </c>
      <c r="E580" s="12">
        <v>21.4</v>
      </c>
      <c r="F580" s="11">
        <f>LOOKUP(E580,{0,1,1.8,2.6,3.4,4.2,5,6.3,7.6,8.9,10.2,11.5,12.8,14.1,15.4,16.7,18,19.7,21.4,23.1,24.8},{0,10,20,30,40,50,60,62,64,66,68,70,72,74,76,78,80,85,90,95,100})</f>
        <v>90</v>
      </c>
      <c r="G580" s="12">
        <v>175</v>
      </c>
      <c r="H580" s="11">
        <f>LOOKUP(G580,{0,124,129,134,139,144,149,152,155,158,161,164,167,170,173,176,179,186,193,199,205},{0,10,20,30,40,50,60,62,64,66,68,70,72,74,76,78,80,85,90,95,100})</f>
        <v>76</v>
      </c>
      <c r="I580" s="12">
        <v>51</v>
      </c>
      <c r="J580" s="11">
        <f>LOOKUP(I580,{0,14,16,18,20,22,24,26,28,30,32,34,36,38,40,42,44,47,50,52,54},{0,10,20,30,40,50,60,62,64,66,68,70,72,74,76,78,80,85,90,95,100})</f>
        <v>90</v>
      </c>
      <c r="K580" s="12"/>
      <c r="L580" s="12"/>
      <c r="M580" s="12">
        <f t="shared" si="278"/>
        <v>90</v>
      </c>
      <c r="N580" s="12">
        <v>8.5</v>
      </c>
      <c r="O580" s="12">
        <f t="shared" si="279"/>
        <v>3.5</v>
      </c>
      <c r="P580" s="11">
        <f>LOOKUP(O580,{0,0.5,0.7,0.9,1.1,1.3,1.5,1.7,1.9,2.1,2.3,2.5,2.7,2.9,3.1,3.3,3.5,3.8,4.1,4.2,4.3},{0,10,20,30,40,50,60,62,64,66,68,70,72,74,76,78,80,85,90,95,100})</f>
        <v>80</v>
      </c>
      <c r="Q580" s="12">
        <v>3.29</v>
      </c>
      <c r="R580" s="12">
        <f t="shared" si="280"/>
        <v>6.71</v>
      </c>
      <c r="S580" s="11">
        <f>LOOKUP(R580,{0,4.72,4.82,4.92,5.42,5.52,5.62,5.67,5.72,5.77,5.82,5.87,5.92,5.97,6.42,6.47,6.52,6.59,6.66,6.72,6.78},{0,10,20,30,40,50,60,62,64,66,68,70,72,74,76,78,80,85,90,95,100})</f>
        <v>90</v>
      </c>
      <c r="T580" s="12"/>
      <c r="U580" s="12"/>
      <c r="V580" s="12">
        <f t="shared" si="281"/>
        <v>90</v>
      </c>
      <c r="W580" s="12"/>
      <c r="X580" s="20">
        <f t="shared" si="260"/>
        <v>59.6</v>
      </c>
      <c r="Y580" s="20">
        <f t="shared" si="282"/>
        <v>85.1428571428572</v>
      </c>
    </row>
    <row r="581" ht="15.6" hidden="1" outlineLevel="2" spans="1:25">
      <c r="A581" s="12">
        <v>212</v>
      </c>
      <c r="B581" s="12">
        <v>34</v>
      </c>
      <c r="C581" s="6" t="s">
        <v>644</v>
      </c>
      <c r="D581" s="6" t="s">
        <v>53</v>
      </c>
      <c r="E581" s="12">
        <v>15.5</v>
      </c>
      <c r="F581" s="11">
        <f>LOOKUP(E581,{0,1,1.8,2.6,3.4,4.2,5,6.3,7.6,8.9,10.2,11.5,12.8,14.1,15.4,16.7,18,19.7,21.4,23.1,24.8},{0,10,20,30,40,50,60,62,64,66,68,70,72,74,76,78,80,85,90,95,100})</f>
        <v>76</v>
      </c>
      <c r="G581" s="12">
        <v>165</v>
      </c>
      <c r="H581" s="11">
        <f>LOOKUP(G581,{0,124,129,134,139,144,149,152,155,158,161,164,167,170,173,176,179,186,193,199,205},{0,10,20,30,40,50,60,62,64,66,68,70,72,74,76,78,80,85,90,95,100})</f>
        <v>70</v>
      </c>
      <c r="I581" s="12">
        <v>35</v>
      </c>
      <c r="J581" s="11">
        <f>LOOKUP(I581,{0,14,16,18,20,22,24,26,28,30,32,34,36,38,40,42,44,47,50,52,54},{0,10,20,30,40,50,60,62,64,66,68,70,72,74,76,78,80,85,90,95,100})</f>
        <v>70</v>
      </c>
      <c r="K581" s="12"/>
      <c r="L581" s="12"/>
      <c r="M581" s="12">
        <f t="shared" si="278"/>
        <v>70</v>
      </c>
      <c r="N581" s="12">
        <v>8.9</v>
      </c>
      <c r="O581" s="12">
        <f t="shared" si="279"/>
        <v>3.1</v>
      </c>
      <c r="P581" s="11">
        <f>LOOKUP(O581,{0,0.5,0.7,0.9,1.1,1.3,1.5,1.7,1.9,2.1,2.3,2.5,2.7,2.9,3.1,3.3,3.5,3.8,4.1,4.2,4.3},{0,10,20,30,40,50,60,62,64,66,68,70,72,74,76,78,80,85,90,95,100})</f>
        <v>76</v>
      </c>
      <c r="Q581" s="12">
        <v>3.38</v>
      </c>
      <c r="R581" s="12">
        <f t="shared" si="280"/>
        <v>6.62</v>
      </c>
      <c r="S581" s="11">
        <f>LOOKUP(R581,{0,4.72,4.82,4.92,5.42,5.52,5.62,5.67,5.72,5.77,5.82,5.87,5.92,5.97,6.42,6.47,6.52,6.59,6.66,6.72,6.78},{0,10,20,30,40,50,60,62,64,66,68,70,72,74,76,78,80,85,90,95,100})</f>
        <v>85</v>
      </c>
      <c r="T581" s="12"/>
      <c r="U581" s="12"/>
      <c r="V581" s="12">
        <f t="shared" si="281"/>
        <v>85</v>
      </c>
      <c r="W581" s="12"/>
      <c r="X581" s="20">
        <f t="shared" si="260"/>
        <v>53.8</v>
      </c>
      <c r="Y581" s="20">
        <f t="shared" si="282"/>
        <v>76.8571428571429</v>
      </c>
    </row>
    <row r="582" ht="15.6" hidden="1" outlineLevel="2" spans="1:25">
      <c r="A582" s="12">
        <v>212</v>
      </c>
      <c r="B582" s="12">
        <v>35</v>
      </c>
      <c r="C582" s="6" t="s">
        <v>645</v>
      </c>
      <c r="D582" s="6" t="s">
        <v>53</v>
      </c>
      <c r="E582" s="12">
        <v>22</v>
      </c>
      <c r="F582" s="11">
        <f>LOOKUP(E582,{0,1,1.8,2.6,3.4,4.2,5,6.3,7.6,8.9,10.2,11.5,12.8,14.1,15.4,16.7,18,19.7,21.4,23.1,24.8},{0,10,20,30,40,50,60,62,64,66,68,70,72,74,76,78,80,85,90,95,100})</f>
        <v>90</v>
      </c>
      <c r="G582" s="12">
        <v>190</v>
      </c>
      <c r="H582" s="11">
        <f>LOOKUP(G582,{0,124,129,134,139,144,149,152,155,158,161,164,167,170,173,176,179,186,193,199,205},{0,10,20,30,40,50,60,62,64,66,68,70,72,74,76,78,80,85,90,95,100})</f>
        <v>85</v>
      </c>
      <c r="I582" s="12">
        <v>47</v>
      </c>
      <c r="J582" s="11">
        <f>LOOKUP(I582,{0,14,16,18,20,22,24,26,28,30,32,34,36,38,40,42,44,47,50,52,54},{0,10,20,30,40,50,60,62,64,66,68,70,72,74,76,78,80,85,90,95,100})</f>
        <v>85</v>
      </c>
      <c r="K582" s="12"/>
      <c r="L582" s="12"/>
      <c r="M582" s="12">
        <f t="shared" si="278"/>
        <v>85</v>
      </c>
      <c r="N582" s="12">
        <v>8.5</v>
      </c>
      <c r="O582" s="12">
        <f t="shared" si="279"/>
        <v>3.5</v>
      </c>
      <c r="P582" s="11">
        <f>LOOKUP(O582,{0,0.5,0.7,0.9,1.1,1.3,1.5,1.7,1.9,2.1,2.3,2.5,2.7,2.9,3.1,3.3,3.5,3.8,4.1,4.2,4.3},{0,10,20,30,40,50,60,62,64,66,68,70,72,74,76,78,80,85,90,95,100})</f>
        <v>80</v>
      </c>
      <c r="Q582" s="12">
        <v>4.03</v>
      </c>
      <c r="R582" s="12">
        <f t="shared" si="280"/>
        <v>5.97</v>
      </c>
      <c r="S582" s="11">
        <f>LOOKUP(R582,{0,4.72,4.82,4.92,5.42,5.52,5.62,5.67,5.72,5.77,5.82,5.87,5.92,5.97,6.42,6.47,6.52,6.59,6.66,6.72,6.78},{0,10,20,30,40,50,60,62,64,66,68,70,72,74,76,78,80,85,90,95,100})</f>
        <v>74</v>
      </c>
      <c r="T582" s="12"/>
      <c r="U582" s="12"/>
      <c r="V582" s="12">
        <f t="shared" si="281"/>
        <v>74</v>
      </c>
      <c r="W582" s="12"/>
      <c r="X582" s="20">
        <f t="shared" si="260"/>
        <v>56.8</v>
      </c>
      <c r="Y582" s="20">
        <f t="shared" si="282"/>
        <v>81.1428571428571</v>
      </c>
    </row>
    <row r="583" ht="15.6" hidden="1" outlineLevel="2" spans="1:25">
      <c r="A583" s="12">
        <v>212</v>
      </c>
      <c r="B583" s="12">
        <v>36</v>
      </c>
      <c r="C583" s="6" t="s">
        <v>646</v>
      </c>
      <c r="D583" s="6" t="s">
        <v>53</v>
      </c>
      <c r="E583" s="12">
        <v>23.3</v>
      </c>
      <c r="F583" s="11">
        <f>LOOKUP(E583,{0,1,1.8,2.6,3.4,4.2,5,6.3,7.6,8.9,10.2,11.5,12.8,14.1,15.4,16.7,18,19.7,21.4,23.1,24.8},{0,10,20,30,40,50,60,62,64,66,68,70,72,74,76,78,80,85,90,95,100})</f>
        <v>95</v>
      </c>
      <c r="G583" s="12">
        <v>180</v>
      </c>
      <c r="H583" s="11">
        <f>LOOKUP(G583,{0,124,129,134,139,144,149,152,155,158,161,164,167,170,173,176,179,186,193,199,205},{0,10,20,30,40,50,60,62,64,66,68,70,72,74,76,78,80,85,90,95,100})</f>
        <v>80</v>
      </c>
      <c r="I583" s="12">
        <v>47</v>
      </c>
      <c r="J583" s="11">
        <f>LOOKUP(I583,{0,14,16,18,20,22,24,26,28,30,32,34,36,38,40,42,44,47,50,52,54},{0,10,20,30,40,50,60,62,64,66,68,70,72,74,76,78,80,85,90,95,100})</f>
        <v>85</v>
      </c>
      <c r="K583" s="12"/>
      <c r="L583" s="12"/>
      <c r="M583" s="12">
        <f t="shared" si="278"/>
        <v>85</v>
      </c>
      <c r="N583" s="12">
        <v>8.2</v>
      </c>
      <c r="O583" s="12">
        <f t="shared" si="279"/>
        <v>3.8</v>
      </c>
      <c r="P583" s="11">
        <f>LOOKUP(O583,{0,0.5,0.7,0.9,1.1,1.3,1.5,1.7,1.9,2.1,2.3,2.5,2.7,2.9,3.1,3.3,3.5,3.8,4.1,4.2,4.3},{0,10,20,30,40,50,60,62,64,66,68,70,72,74,76,78,80,85,90,95,100})</f>
        <v>85</v>
      </c>
      <c r="Q583" s="12">
        <v>3.33</v>
      </c>
      <c r="R583" s="12">
        <f t="shared" si="280"/>
        <v>6.67</v>
      </c>
      <c r="S583" s="11">
        <f>LOOKUP(R583,{0,4.72,4.82,4.92,5.42,5.52,5.62,5.67,5.72,5.77,5.82,5.87,5.92,5.97,6.42,6.47,6.52,6.59,6.66,6.72,6.78},{0,10,20,30,40,50,60,62,64,66,68,70,72,74,76,78,80,85,90,95,100})</f>
        <v>90</v>
      </c>
      <c r="T583" s="12"/>
      <c r="U583" s="12"/>
      <c r="V583" s="12">
        <f t="shared" si="281"/>
        <v>90</v>
      </c>
      <c r="W583" s="12"/>
      <c r="X583" s="20">
        <f t="shared" si="260"/>
        <v>61</v>
      </c>
      <c r="Y583" s="20">
        <f t="shared" si="282"/>
        <v>87.1428571428572</v>
      </c>
    </row>
    <row r="584" s="1" customFormat="1" ht="15.6" hidden="1" outlineLevel="2" spans="1:25">
      <c r="A584" s="12">
        <v>212</v>
      </c>
      <c r="B584" s="12">
        <v>37</v>
      </c>
      <c r="C584" s="6" t="s">
        <v>647</v>
      </c>
      <c r="D584" s="6" t="s">
        <v>53</v>
      </c>
      <c r="E584" s="12">
        <v>17</v>
      </c>
      <c r="F584" s="11">
        <f>LOOKUP(E584,{0,1,1.8,2.6,3.4,4.2,5,6.3,7.6,8.9,10.2,11.5,12.8,14.1,15.4,16.7,18,19.7,21.4,23.1,24.8},{0,10,20,30,40,50,60,62,64,66,68,70,72,74,76,78,80,85,90,95,100})</f>
        <v>78</v>
      </c>
      <c r="G584" s="12">
        <v>173</v>
      </c>
      <c r="H584" s="11">
        <f>LOOKUP(G584,{0,124,129,134,139,144,149,152,155,158,161,164,167,170,173,176,179,186,193,199,205},{0,10,20,30,40,50,60,62,64,66,68,70,72,74,76,78,80,85,90,95,100})</f>
        <v>76</v>
      </c>
      <c r="I584" s="12">
        <v>47</v>
      </c>
      <c r="J584" s="11">
        <f>LOOKUP(I584,{0,14,16,18,20,22,24,26,28,30,32,34,36,38,40,42,44,47,50,52,54},{0,10,20,30,40,50,60,62,64,66,68,70,72,74,76,78,80,85,90,95,100})</f>
        <v>85</v>
      </c>
      <c r="K584" s="12"/>
      <c r="L584" s="12"/>
      <c r="M584" s="12">
        <f t="shared" si="278"/>
        <v>85</v>
      </c>
      <c r="N584" s="12">
        <v>8.6</v>
      </c>
      <c r="O584" s="12">
        <f t="shared" si="279"/>
        <v>3.4</v>
      </c>
      <c r="P584" s="11">
        <f>LOOKUP(O584,{0,0.5,0.7,0.9,1.1,1.3,1.5,1.7,1.9,2.1,2.3,2.5,2.7,2.9,3.1,3.3,3.5,3.8,4.1,4.2,4.3},{0,10,20,30,40,50,60,62,64,66,68,70,72,74,76,78,80,85,90,95,100})</f>
        <v>78</v>
      </c>
      <c r="Q584" s="12">
        <v>3.53</v>
      </c>
      <c r="R584" s="12">
        <f t="shared" si="280"/>
        <v>6.47</v>
      </c>
      <c r="S584" s="11">
        <f>LOOKUP(R584,{0,4.72,4.82,4.92,5.42,5.52,5.62,5.67,5.72,5.77,5.82,5.87,5.92,5.97,6.42,6.47,6.52,6.59,6.66,6.72,6.78},{0,10,20,30,40,50,60,62,64,66,68,70,72,74,76,78,80,85,90,95,100})</f>
        <v>78</v>
      </c>
      <c r="T584" s="12"/>
      <c r="U584" s="12"/>
      <c r="V584" s="12">
        <f t="shared" si="281"/>
        <v>78</v>
      </c>
      <c r="W584" s="12"/>
      <c r="X584" s="20">
        <f t="shared" si="260"/>
        <v>55.1</v>
      </c>
      <c r="Y584" s="20">
        <f t="shared" si="282"/>
        <v>78.7142857142857</v>
      </c>
    </row>
    <row r="585" ht="15.6" hidden="1" outlineLevel="2" spans="1:25">
      <c r="A585" s="12">
        <v>212</v>
      </c>
      <c r="B585" s="12">
        <v>38</v>
      </c>
      <c r="C585" s="6" t="s">
        <v>648</v>
      </c>
      <c r="D585" s="6" t="s">
        <v>53</v>
      </c>
      <c r="E585" s="12"/>
      <c r="F585" s="11"/>
      <c r="G585" s="12"/>
      <c r="H585" s="11"/>
      <c r="I585" s="12"/>
      <c r="J585" s="11"/>
      <c r="K585" s="12"/>
      <c r="L585" s="12"/>
      <c r="M585" s="12"/>
      <c r="N585" s="12">
        <v>8.8</v>
      </c>
      <c r="O585" s="12">
        <f t="shared" si="279"/>
        <v>3.2</v>
      </c>
      <c r="P585" s="11">
        <f>LOOKUP(O585,{0,0.5,0.7,0.9,1.1,1.3,1.5,1.7,1.9,2.1,2.3,2.5,2.7,2.9,3.1,3.3,3.5,3.8,4.1,4.2,4.3},{0,10,20,30,40,50,60,62,64,66,68,70,72,74,76,78,80,85,90,95,100})</f>
        <v>76</v>
      </c>
      <c r="Q585" s="12"/>
      <c r="R585" s="12"/>
      <c r="S585" s="11"/>
      <c r="T585" s="21"/>
      <c r="U585" s="16"/>
      <c r="V585" s="12"/>
      <c r="W585" s="12" t="s">
        <v>617</v>
      </c>
      <c r="X585" s="20">
        <f t="shared" si="260"/>
        <v>15.2</v>
      </c>
      <c r="Y585" s="20">
        <v>50</v>
      </c>
    </row>
    <row r="586" ht="15.6" hidden="1" outlineLevel="2" spans="1:25">
      <c r="A586" s="12">
        <v>212</v>
      </c>
      <c r="B586" s="12">
        <v>39</v>
      </c>
      <c r="C586" s="6" t="s">
        <v>649</v>
      </c>
      <c r="D586" s="6" t="s">
        <v>53</v>
      </c>
      <c r="E586" s="12">
        <v>10.5</v>
      </c>
      <c r="F586" s="11">
        <f>LOOKUP(E586,{0,1,1.8,2.6,3.4,4.2,5,6.3,7.6,8.9,10.2,11.5,12.8,14.1,15.4,16.7,18,19.7,21.4,23.1,24.8},{0,10,20,30,40,50,60,62,64,66,68,70,72,74,76,78,80,85,90,95,100})</f>
        <v>68</v>
      </c>
      <c r="G586" s="12">
        <v>145</v>
      </c>
      <c r="H586" s="11">
        <f>LOOKUP(G586,{0,124,129,134,139,144,149,152,155,158,161,164,167,170,173,176,179,186,193,199,205},{0,10,20,30,40,50,60,62,64,66,68,70,72,74,76,78,80,85,90,95,100})</f>
        <v>50</v>
      </c>
      <c r="I586" s="12">
        <v>53</v>
      </c>
      <c r="J586" s="11">
        <f>LOOKUP(I586,{0,14,16,18,20,22,24,26,28,30,32,34,36,38,40,42,44,47,50,52,54},{0,10,20,30,40,50,60,62,64,66,68,70,72,74,76,78,80,85,90,95,100})</f>
        <v>95</v>
      </c>
      <c r="K586" s="12"/>
      <c r="L586" s="12"/>
      <c r="M586" s="12">
        <f t="shared" ref="M586:M590" si="283">J586+L586</f>
        <v>95</v>
      </c>
      <c r="N586" s="12">
        <v>8.9</v>
      </c>
      <c r="O586" s="12">
        <f t="shared" si="279"/>
        <v>3.1</v>
      </c>
      <c r="P586" s="11">
        <f>LOOKUP(O586,{0,0.5,0.7,0.9,1.1,1.3,1.5,1.7,1.9,2.1,2.3,2.5,2.7,2.9,3.1,3.3,3.5,3.8,4.1,4.2,4.3},{0,10,20,30,40,50,60,62,64,66,68,70,72,74,76,78,80,85,90,95,100})</f>
        <v>76</v>
      </c>
      <c r="Q586" s="12">
        <v>3.3</v>
      </c>
      <c r="R586" s="12">
        <f t="shared" ref="R586:R590" si="284">10-Q586</f>
        <v>6.7</v>
      </c>
      <c r="S586" s="11">
        <f>LOOKUP(R586,{0,4.72,4.82,4.92,5.42,5.52,5.62,5.67,5.72,5.77,5.82,5.87,5.92,5.97,6.42,6.47,6.52,6.59,6.66,6.72,6.78},{0,10,20,30,40,50,60,62,64,66,68,70,72,74,76,78,80,85,90,95,100})</f>
        <v>90</v>
      </c>
      <c r="T586" s="12"/>
      <c r="U586" s="12"/>
      <c r="V586" s="12">
        <f t="shared" ref="V586:V590" si="285">S586+U586</f>
        <v>90</v>
      </c>
      <c r="W586" s="12"/>
      <c r="X586" s="20">
        <f t="shared" si="260"/>
        <v>54.5</v>
      </c>
      <c r="Y586" s="20">
        <f t="shared" ref="Y586:Y590" si="286">X586/0.7+L586+U586</f>
        <v>77.8571428571429</v>
      </c>
    </row>
    <row r="587" ht="15.6" hidden="1" outlineLevel="2" spans="1:25">
      <c r="A587" s="12">
        <v>212</v>
      </c>
      <c r="B587" s="12">
        <v>40</v>
      </c>
      <c r="C587" s="6" t="s">
        <v>650</v>
      </c>
      <c r="D587" s="6" t="s">
        <v>53</v>
      </c>
      <c r="E587" s="12">
        <v>10.5</v>
      </c>
      <c r="F587" s="11">
        <f>LOOKUP(E587,{0,1,1.8,2.6,3.4,4.2,5,6.3,7.6,8.9,10.2,11.5,12.8,14.1,15.4,16.7,18,19.7,21.4,23.1,24.8},{0,10,20,30,40,50,60,62,64,66,68,70,72,74,76,78,80,85,90,95,100})</f>
        <v>68</v>
      </c>
      <c r="G587" s="12">
        <v>210</v>
      </c>
      <c r="H587" s="11">
        <f>LOOKUP(G587,{0,124,129,134,139,144,149,152,155,158,161,164,167,170,173,176,179,186,193,199,205},{0,10,20,30,40,50,60,62,64,66,68,70,72,74,76,78,80,85,90,95,100})</f>
        <v>100</v>
      </c>
      <c r="I587" s="12">
        <v>40</v>
      </c>
      <c r="J587" s="11">
        <f>LOOKUP(I587,{0,14,16,18,20,22,24,26,28,30,32,34,36,38,40,42,44,47,50,52,54},{0,10,20,30,40,50,60,62,64,66,68,70,72,74,76,78,80,85,90,95,100})</f>
        <v>76</v>
      </c>
      <c r="K587" s="12"/>
      <c r="L587" s="12"/>
      <c r="M587" s="12">
        <f t="shared" si="283"/>
        <v>76</v>
      </c>
      <c r="N587" s="12">
        <v>8.3</v>
      </c>
      <c r="O587" s="12">
        <f t="shared" si="279"/>
        <v>3.7</v>
      </c>
      <c r="P587" s="11">
        <f>LOOKUP(O587,{0,0.5,0.7,0.9,1.1,1.3,1.5,1.7,1.9,2.1,2.3,2.5,2.7,2.9,3.1,3.3,3.5,3.8,4.1,4.2,4.3},{0,10,20,30,40,50,60,62,64,66,68,70,72,74,76,78,80,85,90,95,100})</f>
        <v>80</v>
      </c>
      <c r="Q587" s="12">
        <v>4.01</v>
      </c>
      <c r="R587" s="12">
        <f t="shared" si="284"/>
        <v>5.99</v>
      </c>
      <c r="S587" s="11">
        <f>LOOKUP(R587,{0,4.72,4.82,4.92,5.42,5.52,5.62,5.67,5.72,5.77,5.82,5.87,5.92,5.97,6.42,6.47,6.52,6.59,6.66,6.72,6.78},{0,10,20,30,40,50,60,62,64,66,68,70,72,74,76,78,80,85,90,95,100})</f>
        <v>74</v>
      </c>
      <c r="T587" s="12"/>
      <c r="U587" s="12"/>
      <c r="V587" s="12">
        <f t="shared" si="285"/>
        <v>74</v>
      </c>
      <c r="W587" s="12"/>
      <c r="X587" s="20">
        <f t="shared" si="260"/>
        <v>55.2</v>
      </c>
      <c r="Y587" s="20">
        <f t="shared" si="286"/>
        <v>78.8571428571429</v>
      </c>
    </row>
    <row r="588" ht="15.6" hidden="1" outlineLevel="2" spans="1:25">
      <c r="A588" s="12">
        <v>212</v>
      </c>
      <c r="B588" s="12">
        <v>41</v>
      </c>
      <c r="C588" s="6" t="s">
        <v>651</v>
      </c>
      <c r="D588" s="6" t="s">
        <v>53</v>
      </c>
      <c r="E588" s="12">
        <v>11</v>
      </c>
      <c r="F588" s="11">
        <f>LOOKUP(E588,{0,1,1.8,2.6,3.4,4.2,5,6.3,7.6,8.9,10.2,11.5,12.8,14.1,15.4,16.7,18,19.7,21.4,23.1,24.8},{0,10,20,30,40,50,60,62,64,66,68,70,72,74,76,78,80,85,90,95,100})</f>
        <v>68</v>
      </c>
      <c r="G588" s="12">
        <v>165</v>
      </c>
      <c r="H588" s="11">
        <f>LOOKUP(G588,{0,124,129,134,139,144,149,152,155,158,161,164,167,170,173,176,179,186,193,199,205},{0,10,20,30,40,50,60,62,64,66,68,70,72,74,76,78,80,85,90,95,100})</f>
        <v>70</v>
      </c>
      <c r="I588" s="12">
        <v>42</v>
      </c>
      <c r="J588" s="11">
        <f>LOOKUP(I588,{0,14,16,18,20,22,24,26,28,30,32,34,36,38,40,42,44,47,50,52,54},{0,10,20,30,40,50,60,62,64,66,68,70,72,74,76,78,80,85,90,95,100})</f>
        <v>78</v>
      </c>
      <c r="K588" s="12"/>
      <c r="L588" s="12"/>
      <c r="M588" s="12">
        <f t="shared" si="283"/>
        <v>78</v>
      </c>
      <c r="N588" s="12">
        <v>9</v>
      </c>
      <c r="O588" s="12">
        <f t="shared" si="279"/>
        <v>3</v>
      </c>
      <c r="P588" s="11">
        <f>LOOKUP(O588,{0,0.5,0.7,0.9,1.1,1.3,1.5,1.7,1.9,2.1,2.3,2.5,2.7,2.9,3.1,3.3,3.5,3.8,4.1,4.2,4.3},{0,10,20,30,40,50,60,62,64,66,68,70,72,74,76,78,80,85,90,95,100})</f>
        <v>74</v>
      </c>
      <c r="Q588" s="12">
        <v>3.49</v>
      </c>
      <c r="R588" s="12">
        <f t="shared" si="284"/>
        <v>6.51</v>
      </c>
      <c r="S588" s="11">
        <f>LOOKUP(R588,{0,4.72,4.82,4.92,5.42,5.52,5.62,5.67,5.72,5.77,5.82,5.87,5.92,5.97,6.42,6.47,6.52,6.59,6.66,6.72,6.78},{0,10,20,30,40,50,60,62,64,66,68,70,72,74,76,78,80,85,90,95,100})</f>
        <v>78</v>
      </c>
      <c r="T588" s="12"/>
      <c r="U588" s="12"/>
      <c r="V588" s="12">
        <f t="shared" si="285"/>
        <v>78</v>
      </c>
      <c r="W588" s="12"/>
      <c r="X588" s="20">
        <f t="shared" si="260"/>
        <v>52</v>
      </c>
      <c r="Y588" s="20">
        <f t="shared" si="286"/>
        <v>74.2857142857143</v>
      </c>
    </row>
    <row r="589" ht="15.6" hidden="1" outlineLevel="2" spans="1:25">
      <c r="A589" s="12">
        <v>212</v>
      </c>
      <c r="B589" s="12">
        <v>42</v>
      </c>
      <c r="C589" s="13" t="s">
        <v>653</v>
      </c>
      <c r="D589" s="6" t="s">
        <v>53</v>
      </c>
      <c r="E589" s="12">
        <v>23.1</v>
      </c>
      <c r="F589" s="11">
        <f>LOOKUP(E589,{0,1,1.8,2.6,3.4,4.2,5,6.3,7.6,8.9,10.2,11.5,12.8,14.1,15.4,16.7,18,19.7,21.4,23.1,24.8},{0,10,20,30,40,50,60,62,64,66,68,70,72,74,76,78,80,85,90,95,100})</f>
        <v>95</v>
      </c>
      <c r="G589" s="12">
        <v>196</v>
      </c>
      <c r="H589" s="11">
        <f>LOOKUP(G589,{0,124,129,134,139,144,149,152,155,158,161,164,167,170,173,176,179,186,193,199,205},{0,10,20,30,40,50,60,62,64,66,68,70,72,74,76,78,80,85,90,95,100})</f>
        <v>90</v>
      </c>
      <c r="I589" s="12">
        <v>62</v>
      </c>
      <c r="J589" s="11">
        <f>LOOKUP(I589,{0,14,16,18,20,22,24,26,28,30,32,34,36,38,40,42,44,47,50,52,54},{0,10,20,30,40,50,60,62,64,66,68,70,72,74,76,78,80,85,90,95,100})</f>
        <v>100</v>
      </c>
      <c r="K589" s="12">
        <f>I589-54</f>
        <v>8</v>
      </c>
      <c r="L589" s="11">
        <f>LOOKUP(K589,{0,2,4,6,7,8,9,10,11,12,13},{0,1,2,3,4,5,6,7,8,9,10})</f>
        <v>5</v>
      </c>
      <c r="M589" s="12">
        <f t="shared" si="283"/>
        <v>105</v>
      </c>
      <c r="N589" s="12">
        <v>7.8</v>
      </c>
      <c r="O589" s="12">
        <f t="shared" si="279"/>
        <v>4.2</v>
      </c>
      <c r="P589" s="11">
        <f>LOOKUP(O589,{0,0.5,0.7,0.9,1.1,1.3,1.5,1.7,1.9,2.1,2.3,2.5,2.7,2.9,3.1,3.3,3.5,3.8,4.1,4.2,4.3},{0,10,20,30,40,50,60,62,64,66,68,70,72,74,76,78,80,85,90,95,100})</f>
        <v>95</v>
      </c>
      <c r="Q589" s="12">
        <v>3.35</v>
      </c>
      <c r="R589" s="12">
        <f t="shared" si="284"/>
        <v>6.65</v>
      </c>
      <c r="S589" s="11">
        <f>LOOKUP(R589,{0,4.72,4.82,4.92,5.42,5.52,5.62,5.67,5.72,5.77,5.82,5.87,5.92,5.97,6.42,6.47,6.52,6.59,6.66,6.72,6.78},{0,10,20,30,40,50,60,62,64,66,68,70,72,74,76,78,80,85,90,95,100})</f>
        <v>85</v>
      </c>
      <c r="T589" s="12"/>
      <c r="U589" s="15"/>
      <c r="V589" s="12">
        <f t="shared" si="285"/>
        <v>85</v>
      </c>
      <c r="W589" s="12"/>
      <c r="X589" s="20">
        <f t="shared" si="260"/>
        <v>64.5</v>
      </c>
      <c r="Y589" s="20">
        <f t="shared" si="286"/>
        <v>97.1428571428572</v>
      </c>
    </row>
    <row r="590" ht="15.6" hidden="1" outlineLevel="2" spans="1:25">
      <c r="A590" s="12">
        <v>212</v>
      </c>
      <c r="B590" s="12">
        <v>43</v>
      </c>
      <c r="C590" s="6" t="s">
        <v>654</v>
      </c>
      <c r="D590" s="6" t="s">
        <v>53</v>
      </c>
      <c r="E590" s="12">
        <v>23</v>
      </c>
      <c r="F590" s="11">
        <f>LOOKUP(E590,{0,1,1.8,2.6,3.4,4.2,5,6.3,7.6,8.9,10.2,11.5,12.8,14.1,15.4,16.7,18,19.7,21.4,23.1,24.8},{0,10,20,30,40,50,60,62,64,66,68,70,72,74,76,78,80,85,90,95,100})</f>
        <v>90</v>
      </c>
      <c r="G590" s="12">
        <v>157</v>
      </c>
      <c r="H590" s="11">
        <f>LOOKUP(G590,{0,124,129,134,139,144,149,152,155,158,161,164,167,170,173,176,179,186,193,199,205},{0,10,20,30,40,50,60,62,64,66,68,70,72,74,76,78,80,85,90,95,100})</f>
        <v>64</v>
      </c>
      <c r="I590" s="12">
        <v>29</v>
      </c>
      <c r="J590" s="11">
        <f>LOOKUP(I590,{0,14,16,18,20,22,24,26,28,30,32,34,36,38,40,42,44,47,50,52,54},{0,10,20,30,40,50,60,62,64,66,68,70,72,74,76,78,80,85,90,95,100})</f>
        <v>64</v>
      </c>
      <c r="K590" s="12"/>
      <c r="L590" s="12"/>
      <c r="M590" s="12">
        <f t="shared" si="283"/>
        <v>64</v>
      </c>
      <c r="N590" s="12">
        <v>9.3</v>
      </c>
      <c r="O590" s="12">
        <f t="shared" si="279"/>
        <v>2.7</v>
      </c>
      <c r="P590" s="11">
        <f>LOOKUP(O590,{0,0.5,0.7,0.9,1.1,1.3,1.5,1.7,1.9,2.1,2.3,2.5,2.7,2.9,3.1,3.3,3.5,3.8,4.1,4.2,4.3},{0,10,20,30,40,50,60,62,64,66,68,70,72,74,76,78,80,85,90,95,100})</f>
        <v>72</v>
      </c>
      <c r="Q590" s="12">
        <v>4</v>
      </c>
      <c r="R590" s="12">
        <f t="shared" si="284"/>
        <v>6</v>
      </c>
      <c r="S590" s="11">
        <f>LOOKUP(R590,{0,4.72,4.82,4.92,5.42,5.52,5.62,5.67,5.72,5.77,5.82,5.87,5.92,5.97,6.42,6.47,6.52,6.59,6.66,6.72,6.78},{0,10,20,30,40,50,60,62,64,66,68,70,72,74,76,78,80,85,90,95,100})</f>
        <v>74</v>
      </c>
      <c r="T590" s="12"/>
      <c r="U590" s="12"/>
      <c r="V590" s="12">
        <f t="shared" si="285"/>
        <v>74</v>
      </c>
      <c r="W590" s="12"/>
      <c r="X590" s="20">
        <f t="shared" si="260"/>
        <v>51</v>
      </c>
      <c r="Y590" s="20">
        <f t="shared" si="286"/>
        <v>72.8571428571429</v>
      </c>
    </row>
    <row r="591" ht="15.6" hidden="1" outlineLevel="2" spans="1:25">
      <c r="A591" s="12">
        <v>212</v>
      </c>
      <c r="B591" s="12">
        <v>44</v>
      </c>
      <c r="C591" s="6" t="s">
        <v>655</v>
      </c>
      <c r="D591" s="6" t="s">
        <v>53</v>
      </c>
      <c r="E591" s="12"/>
      <c r="F591" s="11"/>
      <c r="G591" s="12"/>
      <c r="H591" s="11"/>
      <c r="I591" s="12"/>
      <c r="J591" s="11"/>
      <c r="K591" s="12"/>
      <c r="L591" s="12"/>
      <c r="M591" s="12"/>
      <c r="N591" s="12">
        <v>11.1</v>
      </c>
      <c r="O591" s="12">
        <f t="shared" si="279"/>
        <v>0.9</v>
      </c>
      <c r="P591" s="11">
        <f>LOOKUP(O591,{0,0.5,0.7,0.9,1.1,1.3,1.5,1.7,1.9,2.1,2.3,2.5,2.7,2.9,3.1,3.3,3.5,3.8,4.1,4.2,4.3},{0,10,20,30,40,50,60,62,64,66,68,70,72,74,76,78,80,85,90,95,100})</f>
        <v>30</v>
      </c>
      <c r="Q591" s="12"/>
      <c r="R591" s="12"/>
      <c r="S591" s="11"/>
      <c r="T591" s="21"/>
      <c r="U591" s="16"/>
      <c r="V591" s="12"/>
      <c r="W591" s="12" t="s">
        <v>617</v>
      </c>
      <c r="X591" s="20">
        <f t="shared" si="260"/>
        <v>6</v>
      </c>
      <c r="Y591" s="20">
        <v>50</v>
      </c>
    </row>
    <row r="592" ht="15.6" hidden="1" outlineLevel="2" spans="1:25">
      <c r="A592" s="12">
        <v>212</v>
      </c>
      <c r="B592" s="12">
        <v>45</v>
      </c>
      <c r="C592" s="6" t="s">
        <v>656</v>
      </c>
      <c r="D592" s="6" t="s">
        <v>53</v>
      </c>
      <c r="E592" s="12">
        <v>11.4</v>
      </c>
      <c r="F592" s="11">
        <f>LOOKUP(E592,{0,1,1.8,2.6,3.4,4.2,5,6.3,7.6,8.9,10.2,11.5,12.8,14.1,15.4,16.7,18,19.7,21.4,23.1,24.8},{0,10,20,30,40,50,60,62,64,66,68,70,72,74,76,78,80,85,90,95,100})</f>
        <v>68</v>
      </c>
      <c r="G592" s="12">
        <v>178</v>
      </c>
      <c r="H592" s="11">
        <f>LOOKUP(G592,{0,124,129,134,139,144,149,152,155,158,161,164,167,170,173,176,179,186,193,199,205},{0,10,20,30,40,50,60,62,64,66,68,70,72,74,76,78,80,85,90,95,100})</f>
        <v>78</v>
      </c>
      <c r="I592" s="12">
        <v>50</v>
      </c>
      <c r="J592" s="11">
        <f>LOOKUP(I592,{0,14,16,18,20,22,24,26,28,30,32,34,36,38,40,42,44,47,50,52,54},{0,10,20,30,40,50,60,62,64,66,68,70,72,74,76,78,80,85,90,95,100})</f>
        <v>90</v>
      </c>
      <c r="K592" s="12"/>
      <c r="L592" s="12"/>
      <c r="M592" s="12">
        <f t="shared" ref="M592:M594" si="287">J592+L592</f>
        <v>90</v>
      </c>
      <c r="N592" s="12">
        <v>8.6</v>
      </c>
      <c r="O592" s="12">
        <f t="shared" si="279"/>
        <v>3.4</v>
      </c>
      <c r="P592" s="11">
        <f>LOOKUP(O592,{0,0.5,0.7,0.9,1.1,1.3,1.5,1.7,1.9,2.1,2.3,2.5,2.7,2.9,3.1,3.3,3.5,3.8,4.1,4.2,4.3},{0,10,20,30,40,50,60,62,64,66,68,70,72,74,76,78,80,85,90,95,100})</f>
        <v>78</v>
      </c>
      <c r="Q592" s="12">
        <v>3.39</v>
      </c>
      <c r="R592" s="12">
        <f>10-Q592</f>
        <v>6.61</v>
      </c>
      <c r="S592" s="11">
        <f>LOOKUP(R592,{0,4.72,4.82,4.92,5.42,5.52,5.62,5.67,5.72,5.77,5.82,5.87,5.92,5.97,6.42,6.47,6.52,6.59,6.66,6.72,6.78},{0,10,20,30,40,50,60,62,64,66,68,70,72,74,76,78,80,85,90,95,100})</f>
        <v>85</v>
      </c>
      <c r="T592" s="12"/>
      <c r="U592" s="15"/>
      <c r="V592" s="12">
        <f>S592+U592</f>
        <v>85</v>
      </c>
      <c r="W592" s="12"/>
      <c r="X592" s="20">
        <f t="shared" si="260"/>
        <v>56.2</v>
      </c>
      <c r="Y592" s="20">
        <f t="shared" ref="Y592:Y594" si="288">X592/0.7+L592+U592</f>
        <v>80.2857142857143</v>
      </c>
    </row>
    <row r="593" ht="15.6" hidden="1" outlineLevel="2" spans="1:25">
      <c r="A593" s="12">
        <v>212</v>
      </c>
      <c r="B593" s="12">
        <v>46</v>
      </c>
      <c r="C593" s="6" t="s">
        <v>657</v>
      </c>
      <c r="D593" s="6" t="s">
        <v>53</v>
      </c>
      <c r="E593" s="12">
        <v>11.5</v>
      </c>
      <c r="F593" s="11">
        <f>LOOKUP(E593,{0,1,1.8,2.6,3.4,4.2,5,6.3,7.6,8.9,10.2,11.5,12.8,14.1,15.4,16.7,18,19.7,21.4,23.1,24.8},{0,10,20,30,40,50,60,62,64,66,68,70,72,74,76,78,80,85,90,95,100})</f>
        <v>70</v>
      </c>
      <c r="G593" s="12">
        <v>197</v>
      </c>
      <c r="H593" s="11">
        <f>LOOKUP(G593,{0,124,129,134,139,144,149,152,155,158,161,164,167,170,173,176,179,186,193,199,205},{0,10,20,30,40,50,60,62,64,66,68,70,72,74,76,78,80,85,90,95,100})</f>
        <v>90</v>
      </c>
      <c r="I593" s="12">
        <v>45</v>
      </c>
      <c r="J593" s="11">
        <f>LOOKUP(I593,{0,14,16,18,20,22,24,26,28,30,32,34,36,38,40,42,44,47,50,52,54},{0,10,20,30,40,50,60,62,64,66,68,70,72,74,76,78,80,85,90,95,100})</f>
        <v>80</v>
      </c>
      <c r="K593" s="12"/>
      <c r="L593" s="12"/>
      <c r="M593" s="12">
        <f t="shared" si="287"/>
        <v>80</v>
      </c>
      <c r="N593" s="12">
        <v>7.9</v>
      </c>
      <c r="O593" s="12">
        <f t="shared" si="279"/>
        <v>4.1</v>
      </c>
      <c r="P593" s="11">
        <f>LOOKUP(O593,{0,0.5,0.7,0.9,1.1,1.3,1.5,1.7,1.9,2.1,2.3,2.5,2.7,2.9,3.1,3.3,3.5,3.8,4.1,4.2,4.3},{0,10,20,30,40,50,60,62,64,66,68,70,72,74,76,78,80,85,90,95,100})</f>
        <v>90</v>
      </c>
      <c r="Q593" s="12">
        <v>3.26</v>
      </c>
      <c r="R593" s="12">
        <f>10-Q593</f>
        <v>6.74</v>
      </c>
      <c r="S593" s="11">
        <f>LOOKUP(R593,{0,4.72,4.82,4.92,5.42,5.52,5.62,5.67,5.72,5.77,5.82,5.87,5.92,5.97,6.42,6.47,6.52,6.59,6.66,6.72,6.78},{0,10,20,30,40,50,60,62,64,66,68,70,72,74,76,78,80,85,90,95,100})</f>
        <v>95</v>
      </c>
      <c r="T593" s="12"/>
      <c r="U593" s="15"/>
      <c r="V593" s="12">
        <f>S593+U593</f>
        <v>95</v>
      </c>
      <c r="W593" s="12"/>
      <c r="X593" s="20">
        <f t="shared" si="260"/>
        <v>61</v>
      </c>
      <c r="Y593" s="20">
        <f t="shared" si="288"/>
        <v>87.1428571428572</v>
      </c>
    </row>
    <row r="594" ht="15.6" hidden="1" outlineLevel="2" spans="1:25">
      <c r="A594" s="12">
        <v>212</v>
      </c>
      <c r="B594" s="12">
        <v>47</v>
      </c>
      <c r="C594" s="6" t="s">
        <v>658</v>
      </c>
      <c r="D594" s="6" t="s">
        <v>53</v>
      </c>
      <c r="E594" s="12">
        <v>31</v>
      </c>
      <c r="F594" s="11">
        <f>LOOKUP(E594,{0,1,1.8,2.6,3.4,4.2,5,6.3,7.6,8.9,10.2,11.5,12.8,14.1,15.4,16.7,18,19.7,21.4,23.1,24.8},{0,10,20,30,40,50,60,62,64,66,68,70,72,74,76,78,80,85,90,95,100})</f>
        <v>100</v>
      </c>
      <c r="G594" s="12">
        <v>192</v>
      </c>
      <c r="H594" s="11">
        <f>LOOKUP(G594,{0,124,129,134,139,144,149,152,155,158,161,164,167,170,173,176,179,186,193,199,205},{0,10,20,30,40,50,60,62,64,66,68,70,72,74,76,78,80,85,90,95,100})</f>
        <v>85</v>
      </c>
      <c r="I594" s="12">
        <v>46</v>
      </c>
      <c r="J594" s="11">
        <f>LOOKUP(I594,{0,14,16,18,20,22,24,26,28,30,32,34,36,38,40,42,44,47,50,52,54},{0,10,20,30,40,50,60,62,64,66,68,70,72,74,76,78,80,85,90,95,100})</f>
        <v>80</v>
      </c>
      <c r="K594" s="12"/>
      <c r="L594" s="12"/>
      <c r="M594" s="12">
        <f t="shared" si="287"/>
        <v>80</v>
      </c>
      <c r="N594" s="12">
        <v>8.8</v>
      </c>
      <c r="O594" s="12">
        <f t="shared" si="279"/>
        <v>3.2</v>
      </c>
      <c r="P594" s="11">
        <f>LOOKUP(O594,{0,0.5,0.7,0.9,1.1,1.3,1.5,1.7,1.9,2.1,2.3,2.5,2.7,2.9,3.1,3.3,3.5,3.8,4.1,4.2,4.3},{0,10,20,30,40,50,60,62,64,66,68,70,72,74,76,78,80,85,90,95,100})</f>
        <v>76</v>
      </c>
      <c r="Q594" s="12"/>
      <c r="R594" s="12"/>
      <c r="S594" s="11"/>
      <c r="T594" s="21"/>
      <c r="U594" s="11"/>
      <c r="V594" s="12"/>
      <c r="W594" s="12"/>
      <c r="X594" s="20">
        <f t="shared" si="260"/>
        <v>41.7</v>
      </c>
      <c r="Y594" s="20">
        <f t="shared" si="288"/>
        <v>59.5714285714286</v>
      </c>
    </row>
    <row r="595" s="1" customFormat="1" ht="15.6" hidden="1" outlineLevel="2" spans="1:25">
      <c r="A595" s="12">
        <v>212</v>
      </c>
      <c r="B595" s="12">
        <v>49</v>
      </c>
      <c r="C595" s="6" t="s">
        <v>661</v>
      </c>
      <c r="D595" s="6" t="s">
        <v>53</v>
      </c>
      <c r="E595" s="12">
        <v>15.5</v>
      </c>
      <c r="F595" s="11">
        <f>LOOKUP(E595,{0,1,1.8,2.6,3.4,4.2,5,6.3,7.6,8.9,10.2,11.5,12.8,14.1,15.4,16.7,18,19.7,21.4,23.1,24.8},{0,10,20,30,40,50,60,62,64,66,68,70,72,74,76,78,80,85,90,95,100})</f>
        <v>76</v>
      </c>
      <c r="G595" s="12">
        <v>169</v>
      </c>
      <c r="H595" s="11">
        <f>LOOKUP(G595,{0,124,129,134,139,144,149,152,155,158,161,164,167,170,173,176,179,186,193,199,205},{0,10,20,30,40,50,60,62,64,66,68,70,72,74,76,78,80,85,90,95,100})</f>
        <v>72</v>
      </c>
      <c r="I595" s="12">
        <v>50</v>
      </c>
      <c r="J595" s="11">
        <f>LOOKUP(I595,{0,14,16,18,20,22,24,26,28,30,32,34,36,38,40,42,44,47,50,52,54},{0,10,20,30,40,50,60,62,64,66,68,70,72,74,76,78,80,85,90,95,100})</f>
        <v>90</v>
      </c>
      <c r="K595" s="12"/>
      <c r="L595" s="12"/>
      <c r="M595" s="12">
        <f t="shared" ref="M595:M597" si="289">J595+L595</f>
        <v>90</v>
      </c>
      <c r="N595" s="12">
        <v>8.6</v>
      </c>
      <c r="O595" s="12">
        <f t="shared" ref="O595:O597" si="290">12-N595</f>
        <v>3.4</v>
      </c>
      <c r="P595" s="11">
        <f>LOOKUP(O595,{0,0.5,0.7,0.9,1.1,1.3,1.5,1.7,1.9,2.1,2.3,2.5,2.7,2.9,3.1,3.3,3.5,3.8,4.1,4.2,4.3},{0,10,20,30,40,50,60,62,64,66,68,70,72,74,76,78,80,85,90,95,100})</f>
        <v>78</v>
      </c>
      <c r="Q595" s="12">
        <v>3.28</v>
      </c>
      <c r="R595" s="12">
        <f>10-Q595</f>
        <v>6.72</v>
      </c>
      <c r="S595" s="11">
        <f>LOOKUP(R595,{0,4.72,4.82,4.92,5.42,5.52,5.62,5.67,5.72,5.77,5.82,5.87,5.92,5.97,6.42,6.47,6.52,6.59,6.66,6.72,6.78},{0,10,20,30,40,50,60,62,64,66,68,70,72,74,76,78,80,85,90,95,100})</f>
        <v>95</v>
      </c>
      <c r="T595" s="12"/>
      <c r="U595" s="12"/>
      <c r="V595" s="12">
        <f>S595+U595</f>
        <v>95</v>
      </c>
      <c r="W595" s="12"/>
      <c r="X595" s="20">
        <f t="shared" si="260"/>
        <v>58.4</v>
      </c>
      <c r="Y595" s="20">
        <f t="shared" ref="Y595:Y597" si="291">X595/0.7+L595+U595</f>
        <v>83.4285714285714</v>
      </c>
    </row>
    <row r="596" ht="15.6" hidden="1" outlineLevel="2" spans="1:25">
      <c r="A596" s="12">
        <v>212</v>
      </c>
      <c r="B596" s="12">
        <v>50</v>
      </c>
      <c r="C596" s="6" t="s">
        <v>662</v>
      </c>
      <c r="D596" s="6" t="s">
        <v>53</v>
      </c>
      <c r="E596" s="12">
        <v>22.5</v>
      </c>
      <c r="F596" s="11">
        <f>LOOKUP(E596,{0,1,1.8,2.6,3.4,4.2,5,6.3,7.6,8.9,10.2,11.5,12.8,14.1,15.4,16.7,18,19.7,21.4,23.1,24.8},{0,10,20,30,40,50,60,62,64,66,68,70,72,74,76,78,80,85,90,95,100})</f>
        <v>90</v>
      </c>
      <c r="G596" s="12">
        <v>169</v>
      </c>
      <c r="H596" s="11">
        <f>LOOKUP(G596,{0,124,129,134,139,144,149,152,155,158,161,164,167,170,173,176,179,186,193,199,205},{0,10,20,30,40,50,60,62,64,66,68,70,72,74,76,78,80,85,90,95,100})</f>
        <v>72</v>
      </c>
      <c r="I596" s="12">
        <v>45</v>
      </c>
      <c r="J596" s="11">
        <f>LOOKUP(I596,{0,14,16,18,20,22,24,26,28,30,32,34,36,38,40,42,44,47,50,52,54},{0,10,20,30,40,50,60,62,64,66,68,70,72,74,76,78,80,85,90,95,100})</f>
        <v>80</v>
      </c>
      <c r="K596" s="12"/>
      <c r="L596" s="12"/>
      <c r="M596" s="12">
        <f t="shared" si="289"/>
        <v>80</v>
      </c>
      <c r="N596" s="12">
        <v>8.9</v>
      </c>
      <c r="O596" s="12">
        <f t="shared" si="290"/>
        <v>3.1</v>
      </c>
      <c r="P596" s="11">
        <f>LOOKUP(O596,{0,0.5,0.7,0.9,1.1,1.3,1.5,1.7,1.9,2.1,2.3,2.5,2.7,2.9,3.1,3.3,3.5,3.8,4.1,4.2,4.3},{0,10,20,30,40,50,60,62,64,66,68,70,72,74,76,78,80,85,90,95,100})</f>
        <v>76</v>
      </c>
      <c r="Q596" s="12">
        <v>3.42</v>
      </c>
      <c r="R596" s="12">
        <f>10-Q596</f>
        <v>6.58</v>
      </c>
      <c r="S596" s="11">
        <f>LOOKUP(R596,{0,4.72,4.82,4.92,5.42,5.52,5.62,5.67,5.72,5.77,5.82,5.87,5.92,5.97,6.42,6.47,6.52,6.59,6.66,6.72,6.78},{0,10,20,30,40,50,60,62,64,66,68,70,72,74,76,78,80,85,90,95,100})</f>
        <v>80</v>
      </c>
      <c r="T596" s="12"/>
      <c r="U596" s="15"/>
      <c r="V596" s="12">
        <f>S596+U596</f>
        <v>80</v>
      </c>
      <c r="W596" s="12"/>
      <c r="X596" s="20">
        <f t="shared" si="260"/>
        <v>55.4</v>
      </c>
      <c r="Y596" s="20">
        <f t="shared" si="291"/>
        <v>79.1428571428571</v>
      </c>
    </row>
    <row r="597" ht="15.6" hidden="1" outlineLevel="2" spans="1:25">
      <c r="A597" s="12">
        <v>212</v>
      </c>
      <c r="B597" s="12">
        <v>51</v>
      </c>
      <c r="C597" s="6" t="s">
        <v>663</v>
      </c>
      <c r="D597" s="6" t="s">
        <v>53</v>
      </c>
      <c r="E597" s="12">
        <v>8.5</v>
      </c>
      <c r="F597" s="11">
        <f>LOOKUP(E597,{0,1,1.8,2.6,3.4,4.2,5,6.3,7.6,8.9,10.2,11.5,12.8,14.1,15.4,16.7,18,19.7,21.4,23.1,24.8},{0,10,20,30,40,50,60,62,64,66,68,70,72,74,76,78,80,85,90,95,100})</f>
        <v>64</v>
      </c>
      <c r="G597" s="12">
        <v>170</v>
      </c>
      <c r="H597" s="11">
        <f>LOOKUP(G597,{0,124,129,134,139,144,149,152,155,158,161,164,167,170,173,176,179,186,193,199,205},{0,10,20,30,40,50,60,62,64,66,68,70,72,74,76,78,80,85,90,95,100})</f>
        <v>74</v>
      </c>
      <c r="I597" s="12">
        <v>50</v>
      </c>
      <c r="J597" s="11">
        <f>LOOKUP(I597,{0,14,16,18,20,22,24,26,28,30,32,34,36,38,40,42,44,47,50,52,54},{0,10,20,30,40,50,60,62,64,66,68,70,72,74,76,78,80,85,90,95,100})</f>
        <v>90</v>
      </c>
      <c r="K597" s="12"/>
      <c r="L597" s="12"/>
      <c r="M597" s="12">
        <f t="shared" si="289"/>
        <v>90</v>
      </c>
      <c r="N597" s="12">
        <v>8.9</v>
      </c>
      <c r="O597" s="12">
        <f t="shared" si="290"/>
        <v>3.1</v>
      </c>
      <c r="P597" s="11">
        <f>LOOKUP(O597,{0,0.5,0.7,0.9,1.1,1.3,1.5,1.7,1.9,2.1,2.3,2.5,2.7,2.9,3.1,3.3,3.5,3.8,4.1,4.2,4.3},{0,10,20,30,40,50,60,62,64,66,68,70,72,74,76,78,80,85,90,95,100})</f>
        <v>76</v>
      </c>
      <c r="Q597" s="12">
        <v>3.57</v>
      </c>
      <c r="R597" s="12">
        <f>10-Q597</f>
        <v>6.43</v>
      </c>
      <c r="S597" s="11">
        <f>LOOKUP(R597,{0,4.72,4.82,4.92,5.42,5.52,5.62,5.67,5.72,5.77,5.82,5.87,5.92,5.97,6.42,6.47,6.52,6.59,6.66,6.72,6.78},{0,10,20,30,40,50,60,62,64,66,68,70,72,74,76,78,80,85,90,95,100})</f>
        <v>76</v>
      </c>
      <c r="T597" s="12"/>
      <c r="U597" s="12"/>
      <c r="V597" s="12">
        <f>S597+U597</f>
        <v>76</v>
      </c>
      <c r="W597" s="12"/>
      <c r="X597" s="20">
        <f t="shared" si="260"/>
        <v>53.2</v>
      </c>
      <c r="Y597" s="20">
        <f t="shared" si="291"/>
        <v>76</v>
      </c>
    </row>
    <row r="598" ht="15.6" hidden="1" outlineLevel="2" spans="1:25">
      <c r="A598" s="12">
        <v>212</v>
      </c>
      <c r="B598" s="12">
        <v>52</v>
      </c>
      <c r="C598" s="6" t="s">
        <v>664</v>
      </c>
      <c r="D598" s="6" t="s">
        <v>53</v>
      </c>
      <c r="E598" s="12"/>
      <c r="F598" s="11"/>
      <c r="G598" s="12"/>
      <c r="H598" s="11"/>
      <c r="I598" s="12"/>
      <c r="J598" s="11"/>
      <c r="K598" s="12"/>
      <c r="L598" s="12"/>
      <c r="M598" s="12"/>
      <c r="N598" s="12"/>
      <c r="O598" s="12"/>
      <c r="P598" s="11"/>
      <c r="Q598" s="12"/>
      <c r="R598" s="12"/>
      <c r="S598" s="11"/>
      <c r="T598" s="21"/>
      <c r="U598" s="11"/>
      <c r="V598" s="12"/>
      <c r="W598" s="12" t="s">
        <v>617</v>
      </c>
      <c r="X598" s="20">
        <f t="shared" si="260"/>
        <v>0</v>
      </c>
      <c r="Y598" s="20">
        <v>50</v>
      </c>
    </row>
    <row r="599" ht="15.6" outlineLevel="1" collapsed="1" spans="1:25">
      <c r="A599" s="14" t="s">
        <v>866</v>
      </c>
      <c r="B599" s="12"/>
      <c r="C599" s="6"/>
      <c r="D599" s="6"/>
      <c r="E599" s="12"/>
      <c r="F599" s="11">
        <f>SUBTOTAL(1,F548:F598)</f>
        <v>78.7045454545455</v>
      </c>
      <c r="G599" s="12"/>
      <c r="H599" s="11">
        <f>SUBTOTAL(1,H548:H598)</f>
        <v>76.5238095238095</v>
      </c>
      <c r="I599" s="12"/>
      <c r="J599" s="11">
        <f>SUBTOTAL(1,J548:J598)</f>
        <v>59.7954545454545</v>
      </c>
      <c r="K599" s="12"/>
      <c r="L599" s="12"/>
      <c r="M599" s="12">
        <f>SUBTOTAL(1,M548:M598)</f>
        <v>60.4772727272727</v>
      </c>
      <c r="N599" s="12"/>
      <c r="O599" s="12"/>
      <c r="P599" s="11">
        <f>SUBTOTAL(1,P548:P598)</f>
        <v>80.8444444444444</v>
      </c>
      <c r="Q599" s="12"/>
      <c r="R599" s="12"/>
      <c r="S599" s="11">
        <f>SUBTOTAL(1,S548:S598)</f>
        <v>78.7674418604651</v>
      </c>
      <c r="T599" s="21"/>
      <c r="U599" s="11"/>
      <c r="V599" s="12">
        <f>SUBTOTAL(1,V548:V598)</f>
        <v>78.8604651162791</v>
      </c>
      <c r="W599" s="12"/>
      <c r="X599" s="20">
        <f>SUBTOTAL(1,X548:X598)</f>
        <v>45.8</v>
      </c>
      <c r="Y599" s="20">
        <f>SUBTOTAL(1,Y548:Y598)</f>
        <v>72.7563025210084</v>
      </c>
    </row>
    <row r="600" ht="15.6" hidden="1" outlineLevel="2" spans="1:25">
      <c r="A600" s="12">
        <v>213</v>
      </c>
      <c r="B600" s="12">
        <v>1</v>
      </c>
      <c r="C600" s="13" t="s">
        <v>666</v>
      </c>
      <c r="D600" s="6" t="s">
        <v>11</v>
      </c>
      <c r="E600" s="12">
        <v>9.2</v>
      </c>
      <c r="F600" s="11">
        <f>LOOKUP(E600,{0,-2.9,-1.9,-0.9,0.1,1.1,2.1,3.5,4.9,6.3,7.7,9.1,10.5,11.9,13.3,14.7,16.1,18.3,20.5,22.4,24.3},{0,10,20,30,40,50,60,62,64,66,68,70,72,74,76,78,80,85,90,95,100})</f>
        <v>70</v>
      </c>
      <c r="G600" s="12">
        <v>255</v>
      </c>
      <c r="H600" s="11">
        <f>LOOKUP(G600,{0,175,180,185,190,195,200,204,208,212,216,220,224,228,232,236,240,248,255,260,265},{0,10,20,30,40,50,60,62,64,66,68,70,72,74,76,78,80,85,90,95,100})</f>
        <v>90</v>
      </c>
      <c r="I600" s="12">
        <v>5</v>
      </c>
      <c r="J600" s="11">
        <f>LOOKUP(I600,{0,3,4,5,6,7,8,9,10,11,12,13,14,15,16,17},{0,10,20,30,40,50,60,64,68,72,76,80,85,90,95,100})</f>
        <v>30</v>
      </c>
      <c r="K600" s="12"/>
      <c r="L600" s="12"/>
      <c r="M600" s="12">
        <f t="shared" ref="M600:M613" si="292">J600+L600</f>
        <v>30</v>
      </c>
      <c r="N600" s="12">
        <v>6.9</v>
      </c>
      <c r="O600" s="12">
        <f t="shared" ref="O600:O613" si="293">12-N600</f>
        <v>5.1</v>
      </c>
      <c r="P600" s="11">
        <f>LOOKUP(O600,{0,1.6,1.8,2,2.2,2.4,2.6,2.8,3,3.2,3.4,3.6,3.8,4,4.2,4.4,4.6,4.7,4.8,4.9,5},{0,10,20,30,40,50,60,62,64,66,68,70,72,74,76,78,80,85,90,95,100})</f>
        <v>100</v>
      </c>
      <c r="Q600" s="12">
        <v>3.36</v>
      </c>
      <c r="R600" s="12">
        <f t="shared" ref="R600:R613" si="294">10-Q600</f>
        <v>6.64</v>
      </c>
      <c r="S600" s="11">
        <f>LOOKUP(R600,{0,3.8,4,4.6,4.8,5,5.6,5.65,5.7,5.75,5.8,5.85,5.9,5.95,6,6.45,6.5,6.58,6.65,6.7,6.75},{0,10,20,30,40,50,60,62,64,66,68,70,72,74,76,78,80,85,90,95,100})</f>
        <v>85</v>
      </c>
      <c r="T600" s="12"/>
      <c r="U600" s="12"/>
      <c r="V600" s="12">
        <f t="shared" ref="V600:V613" si="295">S600+U600</f>
        <v>85</v>
      </c>
      <c r="W600" s="12"/>
      <c r="X600" s="20">
        <f t="shared" ref="X600:X655" si="296">F600*0.1+H600*0.1+J600*0.1+P600*0.2+S600*0.2</f>
        <v>56</v>
      </c>
      <c r="Y600" s="20">
        <f t="shared" ref="Y600:Y613" si="297">X600/0.7+L600+U600</f>
        <v>80</v>
      </c>
    </row>
    <row r="601" ht="15.6" hidden="1" outlineLevel="2" spans="1:25">
      <c r="A601" s="12">
        <v>213</v>
      </c>
      <c r="B601" s="12">
        <v>2</v>
      </c>
      <c r="C601" s="6" t="s">
        <v>667</v>
      </c>
      <c r="D601" s="6" t="s">
        <v>11</v>
      </c>
      <c r="E601" s="12">
        <v>13.5</v>
      </c>
      <c r="F601" s="11">
        <f>LOOKUP(E601,{0,-2.9,-1.9,-0.9,0.1,1.1,2.1,3.5,4.9,6.3,7.7,9.1,10.5,11.9,13.3,14.7,16.1,18.3,20.5,22.4,24.3},{0,10,20,30,40,50,60,62,64,66,68,70,72,74,76,78,80,85,90,95,100})</f>
        <v>76</v>
      </c>
      <c r="G601" s="12">
        <v>241</v>
      </c>
      <c r="H601" s="11">
        <f>LOOKUP(G601,{0,175,180,185,190,195,200,204,208,212,216,220,224,228,232,236,240,248,255,260,265},{0,10,20,30,40,50,60,62,64,66,68,70,72,74,76,78,80,85,90,95,100})</f>
        <v>80</v>
      </c>
      <c r="I601" s="12">
        <v>28</v>
      </c>
      <c r="J601" s="11">
        <f>LOOKUP(I601,{0,3,4,5,6,7,8,9,10,11,12,13,14,15,16,17},{0,10,20,30,40,50,60,64,68,72,76,80,85,90,95,100})</f>
        <v>100</v>
      </c>
      <c r="K601" s="12">
        <f>I601-17</f>
        <v>11</v>
      </c>
      <c r="L601" s="11">
        <f>LOOKUP(K601,{0,1,2,3,4,5,6,7,8,9,10},{0,1,2,3,4,5,6,7,8,9,10})</f>
        <v>10</v>
      </c>
      <c r="M601" s="12">
        <f t="shared" si="292"/>
        <v>110</v>
      </c>
      <c r="N601" s="12">
        <v>7</v>
      </c>
      <c r="O601" s="12">
        <f t="shared" si="293"/>
        <v>5</v>
      </c>
      <c r="P601" s="11">
        <f>LOOKUP(O601,{0,1.6,1.8,2,2.2,2.4,2.6,2.8,3,3.2,3.4,3.6,3.8,4,4.2,4.4,4.6,4.7,4.8,4.9,5},{0,10,20,30,40,50,60,62,64,66,68,70,72,74,76,78,80,85,90,95,100})</f>
        <v>100</v>
      </c>
      <c r="Q601" s="12">
        <v>3.06</v>
      </c>
      <c r="R601" s="12">
        <f t="shared" si="294"/>
        <v>6.94</v>
      </c>
      <c r="S601" s="11">
        <f>LOOKUP(R601,{0,3.8,4,4.6,4.8,5,5.6,5.65,5.7,5.75,5.8,5.85,5.9,5.95,6,6.45,6.5,6.58,6.65,6.7,6.75},{0,10,20,30,40,50,60,62,64,66,68,70,72,74,76,78,80,85,90,95,100})</f>
        <v>100</v>
      </c>
      <c r="T601" s="12">
        <f>3.25-Q601</f>
        <v>0.19</v>
      </c>
      <c r="U601" s="11">
        <f>LOOKUP(T601,{0,0.04,0.08,0.12,0.16,0.2,0.23,0.26,0.29,0.32,0.35},{0,1,2,3,4,5,6,7,8,9,10})</f>
        <v>4</v>
      </c>
      <c r="V601" s="12">
        <f t="shared" si="295"/>
        <v>104</v>
      </c>
      <c r="W601" s="12"/>
      <c r="X601" s="20">
        <f t="shared" si="296"/>
        <v>65.6</v>
      </c>
      <c r="Y601" s="20">
        <f t="shared" si="297"/>
        <v>107.714285714286</v>
      </c>
    </row>
    <row r="602" ht="15.6" hidden="1" outlineLevel="2" spans="1:25">
      <c r="A602" s="12">
        <v>213</v>
      </c>
      <c r="B602" s="12">
        <v>3</v>
      </c>
      <c r="C602" s="6" t="s">
        <v>668</v>
      </c>
      <c r="D602" s="6" t="s">
        <v>11</v>
      </c>
      <c r="E602" s="12">
        <v>14.5</v>
      </c>
      <c r="F602" s="11">
        <f>LOOKUP(E602,{0,-2.9,-1.9,-0.9,0.1,1.1,2.1,3.5,4.9,6.3,7.7,9.1,10.5,11.9,13.3,14.7,16.1,18.3,20.5,22.4,24.3},{0,10,20,30,40,50,60,62,64,66,68,70,72,74,76,78,80,85,90,95,100})</f>
        <v>76</v>
      </c>
      <c r="G602" s="12">
        <v>224</v>
      </c>
      <c r="H602" s="11">
        <f>LOOKUP(G602,{0,175,180,185,190,195,200,204,208,212,216,220,224,228,232,236,240,248,255,260,265},{0,10,20,30,40,50,60,62,64,66,68,70,72,74,76,78,80,85,90,95,100})</f>
        <v>72</v>
      </c>
      <c r="I602" s="12">
        <v>0</v>
      </c>
      <c r="J602" s="11">
        <f>LOOKUP(I602,{0,3,4,5,6,7,8,9,10,11,12,13,14,15,16,17},{0,10,20,30,40,50,60,64,68,72,76,80,85,90,95,100})</f>
        <v>0</v>
      </c>
      <c r="K602" s="12"/>
      <c r="L602" s="12"/>
      <c r="M602" s="12">
        <f t="shared" si="292"/>
        <v>0</v>
      </c>
      <c r="N602" s="12">
        <v>7.5</v>
      </c>
      <c r="O602" s="12">
        <f t="shared" si="293"/>
        <v>4.5</v>
      </c>
      <c r="P602" s="11">
        <f>LOOKUP(O602,{0,1.6,1.8,2,2.2,2.4,2.6,2.8,3,3.2,3.4,3.6,3.8,4,4.2,4.4,4.6,4.7,4.8,4.9,5},{0,10,20,30,40,50,60,62,64,66,68,70,72,74,76,78,80,85,90,95,100})</f>
        <v>78</v>
      </c>
      <c r="Q602" s="12">
        <v>4.1</v>
      </c>
      <c r="R602" s="12">
        <f t="shared" si="294"/>
        <v>5.9</v>
      </c>
      <c r="S602" s="11">
        <f>LOOKUP(R602,{0,3.8,4,4.6,4.8,5,5.6,5.65,5.7,5.75,5.8,5.85,5.9,5.95,6,6.45,6.5,6.58,6.65,6.7,6.75},{0,10,20,30,40,50,60,62,64,66,68,70,72,74,76,78,80,85,90,95,100})</f>
        <v>72</v>
      </c>
      <c r="T602" s="12"/>
      <c r="U602" s="12"/>
      <c r="V602" s="12">
        <f t="shared" si="295"/>
        <v>72</v>
      </c>
      <c r="W602" s="12"/>
      <c r="X602" s="20">
        <f t="shared" si="296"/>
        <v>44.8</v>
      </c>
      <c r="Y602" s="20">
        <f t="shared" si="297"/>
        <v>64</v>
      </c>
    </row>
    <row r="603" ht="15.6" hidden="1" outlineLevel="2" spans="1:25">
      <c r="A603" s="12">
        <v>213</v>
      </c>
      <c r="B603" s="12">
        <v>4</v>
      </c>
      <c r="C603" s="6" t="s">
        <v>669</v>
      </c>
      <c r="D603" s="6" t="s">
        <v>11</v>
      </c>
      <c r="E603" s="12">
        <v>16.6</v>
      </c>
      <c r="F603" s="11">
        <f>LOOKUP(E603,{0,-2.9,-1.9,-0.9,0.1,1.1,2.1,3.5,4.9,6.3,7.7,9.1,10.5,11.9,13.3,14.7,16.1,18.3,20.5,22.4,24.3},{0,10,20,30,40,50,60,62,64,66,68,70,72,74,76,78,80,85,90,95,100})</f>
        <v>80</v>
      </c>
      <c r="G603" s="12">
        <v>221</v>
      </c>
      <c r="H603" s="11">
        <f>LOOKUP(G603,{0,175,180,185,190,195,200,204,208,212,216,220,224,228,232,236,240,248,255,260,265},{0,10,20,30,40,50,60,62,64,66,68,70,72,74,76,78,80,85,90,95,100})</f>
        <v>70</v>
      </c>
      <c r="I603" s="12">
        <v>0</v>
      </c>
      <c r="J603" s="11">
        <f>LOOKUP(I603,{0,3,4,5,6,7,8,9,10,11,12,13,14,15,16,17},{0,10,20,30,40,50,60,64,68,72,76,80,85,90,95,100})</f>
        <v>0</v>
      </c>
      <c r="K603" s="12"/>
      <c r="L603" s="12"/>
      <c r="M603" s="12">
        <f t="shared" si="292"/>
        <v>0</v>
      </c>
      <c r="N603" s="12">
        <v>7.7</v>
      </c>
      <c r="O603" s="12">
        <f t="shared" si="293"/>
        <v>4.3</v>
      </c>
      <c r="P603" s="11">
        <f>LOOKUP(O603,{0,1.6,1.8,2,2.2,2.4,2.6,2.8,3,3.2,3.4,3.6,3.8,4,4.2,4.4,4.6,4.7,4.8,4.9,5},{0,10,20,30,40,50,60,62,64,66,68,70,72,74,76,78,80,85,90,95,100})</f>
        <v>76</v>
      </c>
      <c r="Q603" s="12">
        <v>3.57</v>
      </c>
      <c r="R603" s="12">
        <f t="shared" si="294"/>
        <v>6.43</v>
      </c>
      <c r="S603" s="11">
        <f>LOOKUP(R603,{0,3.8,4,4.6,4.8,5,5.6,5.65,5.7,5.75,5.8,5.85,5.9,5.95,6,6.45,6.5,6.58,6.65,6.7,6.75},{0,10,20,30,40,50,60,62,64,66,68,70,72,74,76,78,80,85,90,95,100})</f>
        <v>76</v>
      </c>
      <c r="T603" s="12"/>
      <c r="U603" s="12"/>
      <c r="V603" s="12">
        <f t="shared" si="295"/>
        <v>76</v>
      </c>
      <c r="W603" s="12"/>
      <c r="X603" s="20">
        <f t="shared" si="296"/>
        <v>45.4</v>
      </c>
      <c r="Y603" s="20">
        <f t="shared" si="297"/>
        <v>64.8571428571429</v>
      </c>
    </row>
    <row r="604" ht="15.6" hidden="1" outlineLevel="2" spans="1:25">
      <c r="A604" s="12">
        <v>213</v>
      </c>
      <c r="B604" s="12">
        <v>5</v>
      </c>
      <c r="C604" s="6" t="s">
        <v>670</v>
      </c>
      <c r="D604" s="6" t="s">
        <v>11</v>
      </c>
      <c r="E604" s="12">
        <v>16.9</v>
      </c>
      <c r="F604" s="11">
        <f>LOOKUP(E604,{0,-2.9,-1.9,-0.9,0.1,1.1,2.1,3.5,4.9,6.3,7.7,9.1,10.5,11.9,13.3,14.7,16.1,18.3,20.5,22.4,24.3},{0,10,20,30,40,50,60,62,64,66,68,70,72,74,76,78,80,85,90,95,100})</f>
        <v>80</v>
      </c>
      <c r="G604" s="12">
        <v>226</v>
      </c>
      <c r="H604" s="11">
        <f>LOOKUP(G604,{0,175,180,185,190,195,200,204,208,212,216,220,224,228,232,236,240,248,255,260,265},{0,10,20,30,40,50,60,62,64,66,68,70,72,74,76,78,80,85,90,95,100})</f>
        <v>72</v>
      </c>
      <c r="I604" s="12">
        <v>0</v>
      </c>
      <c r="J604" s="11">
        <f>LOOKUP(I604,{0,3,4,5,6,7,8,9,10,11,12,13,14,15,16,17},{0,10,20,30,40,50,60,64,68,72,76,80,85,90,95,100})</f>
        <v>0</v>
      </c>
      <c r="K604" s="12"/>
      <c r="L604" s="12"/>
      <c r="M604" s="12">
        <f t="shared" si="292"/>
        <v>0</v>
      </c>
      <c r="N604" s="12">
        <v>7.2</v>
      </c>
      <c r="O604" s="12">
        <f t="shared" si="293"/>
        <v>4.8</v>
      </c>
      <c r="P604" s="11">
        <f>LOOKUP(O604,{0,1.6,1.8,2,2.2,2.4,2.6,2.8,3,3.2,3.4,3.6,3.8,4,4.2,4.4,4.6,4.7,4.8,4.9,5},{0,10,20,30,40,50,60,62,64,66,68,70,72,74,76,78,80,85,90,95,100})</f>
        <v>90</v>
      </c>
      <c r="Q604" s="12">
        <v>4.15</v>
      </c>
      <c r="R604" s="12">
        <f t="shared" si="294"/>
        <v>5.85</v>
      </c>
      <c r="S604" s="11">
        <f>LOOKUP(R604,{0,3.8,4,4.6,4.8,5,5.6,5.65,5.7,5.75,5.8,5.85,5.9,5.95,6,6.45,6.5,6.58,6.65,6.7,6.75},{0,10,20,30,40,50,60,62,64,66,68,70,72,74,76,78,80,85,90,95,100})</f>
        <v>70</v>
      </c>
      <c r="T604" s="12"/>
      <c r="U604" s="12"/>
      <c r="V604" s="12">
        <f t="shared" si="295"/>
        <v>70</v>
      </c>
      <c r="W604" s="12"/>
      <c r="X604" s="20">
        <f t="shared" si="296"/>
        <v>47.2</v>
      </c>
      <c r="Y604" s="20">
        <f t="shared" si="297"/>
        <v>67.4285714285714</v>
      </c>
    </row>
    <row r="605" ht="15.6" hidden="1" outlineLevel="2" spans="1:25">
      <c r="A605" s="12">
        <v>213</v>
      </c>
      <c r="B605" s="12">
        <v>6</v>
      </c>
      <c r="C605" s="6" t="s">
        <v>671</v>
      </c>
      <c r="D605" s="6" t="s">
        <v>11</v>
      </c>
      <c r="E605" s="12">
        <v>3</v>
      </c>
      <c r="F605" s="11">
        <f>LOOKUP(E605,{0,-2.9,-1.9,-0.9,0.1,1.1,2.1,3.5,4.9,6.3,7.7,9.1,10.5,11.9,13.3,14.7,16.1,18.3,20.5,22.4,24.3},{0,10,20,30,40,50,60,62,64,66,68,70,72,74,76,78,80,85,90,95,100})</f>
        <v>60</v>
      </c>
      <c r="G605" s="12">
        <v>272</v>
      </c>
      <c r="H605" s="11">
        <f>LOOKUP(G605,{0,175,180,185,190,195,200,204,208,212,216,220,224,228,232,236,240,248,255,260,265},{0,10,20,30,40,50,60,62,64,66,68,70,72,74,76,78,80,85,90,95,100})</f>
        <v>100</v>
      </c>
      <c r="I605" s="12">
        <v>10</v>
      </c>
      <c r="J605" s="11">
        <f>LOOKUP(I605,{0,3,4,5,6,7,8,9,10,11,12,13,14,15,16,17},{0,10,20,30,40,50,60,64,68,72,76,80,85,90,95,100})</f>
        <v>68</v>
      </c>
      <c r="K605" s="12"/>
      <c r="L605" s="12"/>
      <c r="M605" s="12">
        <f t="shared" si="292"/>
        <v>68</v>
      </c>
      <c r="N605" s="12">
        <v>7.2</v>
      </c>
      <c r="O605" s="12">
        <f t="shared" si="293"/>
        <v>4.8</v>
      </c>
      <c r="P605" s="11">
        <f>LOOKUP(O605,{0,1.6,1.8,2,2.2,2.4,2.6,2.8,3,3.2,3.4,3.6,3.8,4,4.2,4.4,4.6,4.7,4.8,4.9,5},{0,10,20,30,40,50,60,62,64,66,68,70,72,74,76,78,80,85,90,95,100})</f>
        <v>90</v>
      </c>
      <c r="Q605" s="12">
        <v>3.23</v>
      </c>
      <c r="R605" s="12">
        <f t="shared" si="294"/>
        <v>6.77</v>
      </c>
      <c r="S605" s="11">
        <f>LOOKUP(R605,{0,3.8,4,4.6,4.8,5,5.6,5.65,5.7,5.75,5.8,5.85,5.9,5.95,6,6.45,6.5,6.58,6.65,6.7,6.75},{0,10,20,30,40,50,60,62,64,66,68,70,72,74,76,78,80,85,90,95,100})</f>
        <v>100</v>
      </c>
      <c r="T605" s="12">
        <f>3.25-Q605</f>
        <v>0.02</v>
      </c>
      <c r="U605" s="11">
        <f>LOOKUP(T605,{0,0.04,0.08,0.12,0.16,0.2,0.23,0.26,0.29,0.32,0.35},{0,1,2,3,4,5,6,7,8,9,10})</f>
        <v>0</v>
      </c>
      <c r="V605" s="12">
        <f t="shared" si="295"/>
        <v>100</v>
      </c>
      <c r="W605" s="12"/>
      <c r="X605" s="20">
        <f t="shared" si="296"/>
        <v>60.8</v>
      </c>
      <c r="Y605" s="20">
        <f t="shared" si="297"/>
        <v>86.8571428571429</v>
      </c>
    </row>
    <row r="606" ht="15.6" hidden="1" outlineLevel="2" spans="1:25">
      <c r="A606" s="12">
        <v>213</v>
      </c>
      <c r="B606" s="12">
        <v>7</v>
      </c>
      <c r="C606" s="6" t="s">
        <v>672</v>
      </c>
      <c r="D606" s="6" t="s">
        <v>11</v>
      </c>
      <c r="E606" s="12">
        <v>10.3</v>
      </c>
      <c r="F606" s="11">
        <f>LOOKUP(E606,{0,-2.9,-1.9,-0.9,0.1,1.1,2.1,3.5,4.9,6.3,7.7,9.1,10.5,11.9,13.3,14.7,16.1,18.3,20.5,22.4,24.3},{0,10,20,30,40,50,60,62,64,66,68,70,72,74,76,78,80,85,90,95,100})</f>
        <v>70</v>
      </c>
      <c r="G606" s="12">
        <v>243</v>
      </c>
      <c r="H606" s="11">
        <f>LOOKUP(G606,{0,175,180,185,190,195,200,204,208,212,216,220,224,228,232,236,240,248,255,260,265},{0,10,20,30,40,50,60,62,64,66,68,70,72,74,76,78,80,85,90,95,100})</f>
        <v>80</v>
      </c>
      <c r="I606" s="12">
        <v>0</v>
      </c>
      <c r="J606" s="11">
        <f>LOOKUP(I606,{0,3,4,5,6,7,8,9,10,11,12,13,14,15,16,17},{0,10,20,30,40,50,60,64,68,72,76,80,85,90,95,100})</f>
        <v>0</v>
      </c>
      <c r="K606" s="12"/>
      <c r="L606" s="12"/>
      <c r="M606" s="12">
        <f t="shared" si="292"/>
        <v>0</v>
      </c>
      <c r="N606" s="12">
        <v>7.4</v>
      </c>
      <c r="O606" s="12">
        <f t="shared" si="293"/>
        <v>4.6</v>
      </c>
      <c r="P606" s="11">
        <f>LOOKUP(O606,{0,1.6,1.8,2,2.2,2.4,2.6,2.8,3,3.2,3.4,3.6,3.8,4,4.2,4.4,4.6,4.7,4.8,4.9,5},{0,10,20,30,40,50,60,62,64,66,68,70,72,74,76,78,80,85,90,95,100})</f>
        <v>80</v>
      </c>
      <c r="Q606" s="12">
        <v>4.27</v>
      </c>
      <c r="R606" s="12">
        <f t="shared" si="294"/>
        <v>5.73</v>
      </c>
      <c r="S606" s="11">
        <f>LOOKUP(R606,{0,3.8,4,4.6,4.8,5,5.6,5.65,5.7,5.75,5.8,5.85,5.9,5.95,6,6.45,6.5,6.58,6.65,6.7,6.75},{0,10,20,30,40,50,60,62,64,66,68,70,72,74,76,78,80,85,90,95,100})</f>
        <v>64</v>
      </c>
      <c r="T606" s="12"/>
      <c r="U606" s="12"/>
      <c r="V606" s="12">
        <f t="shared" si="295"/>
        <v>64</v>
      </c>
      <c r="W606" s="12"/>
      <c r="X606" s="20">
        <f t="shared" si="296"/>
        <v>43.8</v>
      </c>
      <c r="Y606" s="20">
        <f t="shared" si="297"/>
        <v>62.5714285714286</v>
      </c>
    </row>
    <row r="607" ht="15.6" hidden="1" outlineLevel="2" spans="1:25">
      <c r="A607" s="12">
        <v>213</v>
      </c>
      <c r="B607" s="12">
        <v>8</v>
      </c>
      <c r="C607" s="6" t="s">
        <v>673</v>
      </c>
      <c r="D607" s="6" t="s">
        <v>11</v>
      </c>
      <c r="E607" s="12">
        <v>11.4</v>
      </c>
      <c r="F607" s="11">
        <f>LOOKUP(E607,{0,-2.9,-1.9,-0.9,0.1,1.1,2.1,3.5,4.9,6.3,7.7,9.1,10.5,11.9,13.3,14.7,16.1,18.3,20.5,22.4,24.3},{0,10,20,30,40,50,60,62,64,66,68,70,72,74,76,78,80,85,90,95,100})</f>
        <v>72</v>
      </c>
      <c r="G607" s="12">
        <v>157</v>
      </c>
      <c r="H607" s="11">
        <f>LOOKUP(G607,{0,175,180,185,190,195,200,204,208,212,216,220,224,228,232,236,240,248,255,260,265},{0,10,20,30,40,50,60,62,64,66,68,70,72,74,76,78,80,85,90,95,100})</f>
        <v>0</v>
      </c>
      <c r="I607" s="12">
        <v>0</v>
      </c>
      <c r="J607" s="11">
        <f>LOOKUP(I607,{0,3,4,5,6,7,8,9,10,11,12,13,14,15,16,17},{0,10,20,30,40,50,60,64,68,72,76,80,85,90,95,100})</f>
        <v>0</v>
      </c>
      <c r="K607" s="12"/>
      <c r="L607" s="12"/>
      <c r="M607" s="12">
        <f t="shared" si="292"/>
        <v>0</v>
      </c>
      <c r="N607" s="12">
        <v>8.8</v>
      </c>
      <c r="O607" s="12">
        <f t="shared" si="293"/>
        <v>3.2</v>
      </c>
      <c r="P607" s="11">
        <f>LOOKUP(O607,{0,1.6,1.8,2,2.2,2.4,2.6,2.8,3,3.2,3.4,3.6,3.8,4,4.2,4.4,4.6,4.7,4.8,4.9,5},{0,10,20,30,40,50,60,62,64,66,68,70,72,74,76,78,80,85,90,95,100})</f>
        <v>66</v>
      </c>
      <c r="Q607" s="12">
        <v>6.03</v>
      </c>
      <c r="R607" s="12">
        <f t="shared" si="294"/>
        <v>3.97</v>
      </c>
      <c r="S607" s="11">
        <f>LOOKUP(R607,{0,3.8,4,4.6,4.8,5,5.6,5.65,5.7,5.75,5.8,5.85,5.9,5.95,6,6.45,6.5,6.58,6.65,6.7,6.75},{0,10,20,30,40,50,60,62,64,66,68,70,72,74,76,78,80,85,90,95,100})</f>
        <v>10</v>
      </c>
      <c r="T607" s="12"/>
      <c r="U607" s="12"/>
      <c r="V607" s="12">
        <f t="shared" si="295"/>
        <v>10</v>
      </c>
      <c r="W607" s="12"/>
      <c r="X607" s="20">
        <f t="shared" si="296"/>
        <v>22.4</v>
      </c>
      <c r="Y607" s="20">
        <f t="shared" si="297"/>
        <v>32</v>
      </c>
    </row>
    <row r="608" s="1" customFormat="1" ht="15.6" hidden="1" outlineLevel="2" spans="1:25">
      <c r="A608" s="12">
        <v>213</v>
      </c>
      <c r="B608" s="12">
        <v>9</v>
      </c>
      <c r="C608" s="6" t="s">
        <v>674</v>
      </c>
      <c r="D608" s="6" t="s">
        <v>11</v>
      </c>
      <c r="E608" s="12">
        <v>9.7</v>
      </c>
      <c r="F608" s="11">
        <f>LOOKUP(E608,{0,-2.9,-1.9,-0.9,0.1,1.1,2.1,3.5,4.9,6.3,7.7,9.1,10.5,11.9,13.3,14.7,16.1,18.3,20.5,22.4,24.3},{0,10,20,30,40,50,60,62,64,66,68,70,72,74,76,78,80,85,90,95,100})</f>
        <v>70</v>
      </c>
      <c r="G608" s="12">
        <v>258</v>
      </c>
      <c r="H608" s="11">
        <f>LOOKUP(G608,{0,175,180,185,190,195,200,204,208,212,216,220,224,228,232,236,240,248,255,260,265},{0,10,20,30,40,50,60,62,64,66,68,70,72,74,76,78,80,85,90,95,100})</f>
        <v>90</v>
      </c>
      <c r="I608" s="12">
        <v>29</v>
      </c>
      <c r="J608" s="11">
        <f>LOOKUP(I608,{0,3,4,5,6,7,8,9,10,11,12,13,14,15,16,17},{0,10,20,30,40,50,60,64,68,72,76,80,85,90,95,100})</f>
        <v>100</v>
      </c>
      <c r="K608" s="12">
        <f>I608-17</f>
        <v>12</v>
      </c>
      <c r="L608" s="11">
        <f>LOOKUP(K608,{0,1,2,3,4,5,6,7,8,9,10},{0,1,2,3,4,5,6,7,8,9,10})</f>
        <v>10</v>
      </c>
      <c r="M608" s="12">
        <f t="shared" si="292"/>
        <v>110</v>
      </c>
      <c r="N608" s="12">
        <v>7</v>
      </c>
      <c r="O608" s="12">
        <f t="shared" si="293"/>
        <v>5</v>
      </c>
      <c r="P608" s="11">
        <f>LOOKUP(O608,{0,1.6,1.8,2,2.2,2.4,2.6,2.8,3,3.2,3.4,3.6,3.8,4,4.2,4.4,4.6,4.7,4.8,4.9,5},{0,10,20,30,40,50,60,62,64,66,68,70,72,74,76,78,80,85,90,95,100})</f>
        <v>100</v>
      </c>
      <c r="Q608" s="12">
        <v>3.46</v>
      </c>
      <c r="R608" s="12">
        <f t="shared" si="294"/>
        <v>6.54</v>
      </c>
      <c r="S608" s="11">
        <f>LOOKUP(R608,{0,3.8,4,4.6,4.8,5,5.6,5.65,5.7,5.75,5.8,5.85,5.9,5.95,6,6.45,6.5,6.58,6.65,6.7,6.75},{0,10,20,30,40,50,60,62,64,66,68,70,72,74,76,78,80,85,90,95,100})</f>
        <v>80</v>
      </c>
      <c r="T608" s="12"/>
      <c r="U608" s="12"/>
      <c r="V608" s="12">
        <f t="shared" si="295"/>
        <v>80</v>
      </c>
      <c r="W608" s="12"/>
      <c r="X608" s="20">
        <f t="shared" si="296"/>
        <v>62</v>
      </c>
      <c r="Y608" s="20">
        <f t="shared" si="297"/>
        <v>98.5714285714286</v>
      </c>
    </row>
    <row r="609" ht="15.6" hidden="1" outlineLevel="2" spans="1:25">
      <c r="A609" s="12">
        <v>213</v>
      </c>
      <c r="B609" s="12">
        <v>10</v>
      </c>
      <c r="C609" s="13" t="s">
        <v>676</v>
      </c>
      <c r="D609" s="6" t="s">
        <v>53</v>
      </c>
      <c r="E609" s="12">
        <v>26.3</v>
      </c>
      <c r="F609" s="11">
        <f>LOOKUP(E609,{0,1,1.8,2.6,3.4,4.2,5,6.3,7.6,8.9,10.2,11.5,12.8,14.1,15.4,16.7,18,19.7,21.4,23.1,24.8},{0,10,20,30,40,50,60,62,64,66,68,70,72,74,76,78,80,85,90,95,100})</f>
        <v>100</v>
      </c>
      <c r="G609" s="12">
        <v>177</v>
      </c>
      <c r="H609" s="11">
        <f>LOOKUP(G609,{0,124,129,134,139,144,149,152,155,158,161,164,167,170,173,176,179,186,193,199,205},{0,10,20,30,40,50,60,62,64,66,68,70,72,74,76,78,80,85,90,95,100})</f>
        <v>78</v>
      </c>
      <c r="I609" s="12">
        <v>46</v>
      </c>
      <c r="J609" s="11">
        <f>LOOKUP(I609,{0,14,16,18,20,22,24,26,28,30,32,34,36,38,40,42,44,47,50,52,54},{0,10,20,30,40,50,60,62,64,66,68,70,72,74,76,78,80,85,90,95,100})</f>
        <v>80</v>
      </c>
      <c r="K609" s="12"/>
      <c r="L609" s="12"/>
      <c r="M609" s="12">
        <f t="shared" si="292"/>
        <v>80</v>
      </c>
      <c r="N609" s="12">
        <v>8.5</v>
      </c>
      <c r="O609" s="12">
        <f t="shared" si="293"/>
        <v>3.5</v>
      </c>
      <c r="P609" s="11">
        <f>LOOKUP(O609,{0,0.5,0.7,0.9,1.1,1.3,1.5,1.7,1.9,2.1,2.3,2.5,2.7,2.9,3.1,3.3,3.5,3.8,4.1,4.2,4.3},{0,10,20,30,40,50,60,62,64,66,68,70,72,74,76,78,80,85,90,95,100})</f>
        <v>80</v>
      </c>
      <c r="Q609" s="12">
        <v>3.54</v>
      </c>
      <c r="R609" s="12">
        <f t="shared" si="294"/>
        <v>6.46</v>
      </c>
      <c r="S609" s="11">
        <f>LOOKUP(R609,{0,4.72,4.82,4.92,5.42,5.52,5.62,5.67,5.72,5.77,5.82,5.87,5.92,5.97,6.42,6.47,6.52,6.59,6.66,6.72,6.78},{0,10,20,30,40,50,60,62,64,66,68,70,72,74,76,78,80,85,90,95,100})</f>
        <v>76</v>
      </c>
      <c r="T609" s="12"/>
      <c r="U609" s="12"/>
      <c r="V609" s="12">
        <f t="shared" si="295"/>
        <v>76</v>
      </c>
      <c r="W609" s="12"/>
      <c r="X609" s="20">
        <f t="shared" si="296"/>
        <v>57</v>
      </c>
      <c r="Y609" s="20">
        <f t="shared" si="297"/>
        <v>81.4285714285714</v>
      </c>
    </row>
    <row r="610" ht="15.6" hidden="1" outlineLevel="2" spans="1:25">
      <c r="A610" s="12">
        <v>213</v>
      </c>
      <c r="B610" s="12">
        <v>11</v>
      </c>
      <c r="C610" s="6" t="s">
        <v>677</v>
      </c>
      <c r="D610" s="6" t="s">
        <v>53</v>
      </c>
      <c r="E610" s="12">
        <v>18</v>
      </c>
      <c r="F610" s="11">
        <f>LOOKUP(E610,{0,1,1.8,2.6,3.4,4.2,5,6.3,7.6,8.9,10.2,11.5,12.8,14.1,15.4,16.7,18,19.7,21.4,23.1,24.8},{0,10,20,30,40,50,60,62,64,66,68,70,72,74,76,78,80,85,90,95,100})</f>
        <v>80</v>
      </c>
      <c r="G610" s="12">
        <v>196</v>
      </c>
      <c r="H610" s="11">
        <f>LOOKUP(G610,{0,124,129,134,139,144,149,152,155,158,161,164,167,170,173,176,179,186,193,199,205},{0,10,20,30,40,50,60,62,64,66,68,70,72,74,76,78,80,85,90,95,100})</f>
        <v>90</v>
      </c>
      <c r="I610" s="12">
        <v>46</v>
      </c>
      <c r="J610" s="11">
        <f>LOOKUP(I610,{0,14,16,18,20,22,24,26,28,30,32,34,36,38,40,42,44,47,50,52,54},{0,10,20,30,40,50,60,62,64,66,68,70,72,74,76,78,80,85,90,95,100})</f>
        <v>80</v>
      </c>
      <c r="K610" s="12"/>
      <c r="L610" s="12"/>
      <c r="M610" s="12">
        <f t="shared" si="292"/>
        <v>80</v>
      </c>
      <c r="N610" s="12">
        <v>8.7</v>
      </c>
      <c r="O610" s="12">
        <f t="shared" si="293"/>
        <v>3.3</v>
      </c>
      <c r="P610" s="11">
        <f>LOOKUP(O610,{0,0.5,0.7,0.9,1.1,1.3,1.5,1.7,1.9,2.1,2.3,2.5,2.7,2.9,3.1,3.3,3.5,3.8,4.1,4.2,4.3},{0,10,20,30,40,50,60,62,64,66,68,70,72,74,76,78,80,85,90,95,100})</f>
        <v>78</v>
      </c>
      <c r="Q610" s="12">
        <v>3.41</v>
      </c>
      <c r="R610" s="12">
        <f t="shared" si="294"/>
        <v>6.59</v>
      </c>
      <c r="S610" s="11">
        <f>LOOKUP(R610,{0,4.72,4.82,4.92,5.42,5.52,5.62,5.67,5.72,5.77,5.82,5.87,5.92,5.97,6.42,6.47,6.52,6.59,6.66,6.72,6.78},{0,10,20,30,40,50,60,62,64,66,68,70,72,74,76,78,80,85,90,95,100})</f>
        <v>85</v>
      </c>
      <c r="T610" s="12"/>
      <c r="U610" s="12"/>
      <c r="V610" s="12">
        <f t="shared" si="295"/>
        <v>85</v>
      </c>
      <c r="W610" s="12"/>
      <c r="X610" s="20">
        <f t="shared" si="296"/>
        <v>57.6</v>
      </c>
      <c r="Y610" s="20">
        <f t="shared" si="297"/>
        <v>82.2857142857143</v>
      </c>
    </row>
    <row r="611" ht="15.6" hidden="1" outlineLevel="2" spans="1:25">
      <c r="A611" s="12">
        <v>213</v>
      </c>
      <c r="B611" s="12">
        <v>12</v>
      </c>
      <c r="C611" s="6" t="s">
        <v>678</v>
      </c>
      <c r="D611" s="6" t="s">
        <v>53</v>
      </c>
      <c r="E611" s="12">
        <v>14.5</v>
      </c>
      <c r="F611" s="11">
        <f>LOOKUP(E611,{0,1,1.8,2.6,3.4,4.2,5,6.3,7.6,8.9,10.2,11.5,12.8,14.1,15.4,16.7,18,19.7,21.4,23.1,24.8},{0,10,20,30,40,50,60,62,64,66,68,70,72,74,76,78,80,85,90,95,100})</f>
        <v>74</v>
      </c>
      <c r="G611" s="12">
        <v>160</v>
      </c>
      <c r="H611" s="11">
        <f>LOOKUP(G611,{0,124,129,134,139,144,149,152,155,158,161,164,167,170,173,176,179,186,193,199,205},{0,10,20,30,40,50,60,62,64,66,68,70,72,74,76,78,80,85,90,95,100})</f>
        <v>66</v>
      </c>
      <c r="I611" s="12">
        <v>44</v>
      </c>
      <c r="J611" s="11">
        <f>LOOKUP(I611,{0,14,16,18,20,22,24,26,28,30,32,34,36,38,40,42,44,47,50,52,54},{0,10,20,30,40,50,60,62,64,66,68,70,72,74,76,78,80,85,90,95,100})</f>
        <v>80</v>
      </c>
      <c r="K611" s="12"/>
      <c r="L611" s="12"/>
      <c r="M611" s="12">
        <f t="shared" si="292"/>
        <v>80</v>
      </c>
      <c r="N611" s="12">
        <v>8.4</v>
      </c>
      <c r="O611" s="12">
        <f t="shared" si="293"/>
        <v>3.6</v>
      </c>
      <c r="P611" s="11">
        <f>LOOKUP(O611,{0,0.5,0.7,0.9,1.1,1.3,1.5,1.7,1.9,2.1,2.3,2.5,2.7,2.9,3.1,3.3,3.5,3.8,4.1,4.2,4.3},{0,10,20,30,40,50,60,62,64,66,68,70,72,74,76,78,80,85,90,95,100})</f>
        <v>80</v>
      </c>
      <c r="Q611" s="12">
        <v>3.26</v>
      </c>
      <c r="R611" s="12">
        <f t="shared" si="294"/>
        <v>6.74</v>
      </c>
      <c r="S611" s="11">
        <f>LOOKUP(R611,{0,4.72,4.82,4.92,5.42,5.52,5.62,5.67,5.72,5.77,5.82,5.87,5.92,5.97,6.42,6.47,6.52,6.59,6.66,6.72,6.78},{0,10,20,30,40,50,60,62,64,66,68,70,72,74,76,78,80,85,90,95,100})</f>
        <v>95</v>
      </c>
      <c r="T611" s="12"/>
      <c r="U611" s="12"/>
      <c r="V611" s="12">
        <f t="shared" si="295"/>
        <v>95</v>
      </c>
      <c r="W611" s="12"/>
      <c r="X611" s="20">
        <f t="shared" si="296"/>
        <v>57</v>
      </c>
      <c r="Y611" s="20">
        <f t="shared" si="297"/>
        <v>81.4285714285714</v>
      </c>
    </row>
    <row r="612" ht="15.6" hidden="1" outlineLevel="2" spans="1:25">
      <c r="A612" s="12">
        <v>213</v>
      </c>
      <c r="B612" s="12">
        <v>13</v>
      </c>
      <c r="C612" s="6" t="s">
        <v>679</v>
      </c>
      <c r="D612" s="6" t="s">
        <v>53</v>
      </c>
      <c r="E612" s="12">
        <v>20</v>
      </c>
      <c r="F612" s="11">
        <f>LOOKUP(E612,{0,1,1.8,2.6,3.4,4.2,5,6.3,7.6,8.9,10.2,11.5,12.8,14.1,15.4,16.7,18,19.7,21.4,23.1,24.8},{0,10,20,30,40,50,60,62,64,66,68,70,72,74,76,78,80,85,90,95,100})</f>
        <v>85</v>
      </c>
      <c r="G612" s="12">
        <v>180</v>
      </c>
      <c r="H612" s="11">
        <f>LOOKUP(G612,{0,124,129,134,139,144,149,152,155,158,161,164,167,170,173,176,179,186,193,199,205},{0,10,20,30,40,50,60,62,64,66,68,70,72,74,76,78,80,85,90,95,100})</f>
        <v>80</v>
      </c>
      <c r="I612" s="12">
        <v>48</v>
      </c>
      <c r="J612" s="11">
        <f>LOOKUP(I612,{0,14,16,18,20,22,24,26,28,30,32,34,36,38,40,42,44,47,50,52,54},{0,10,20,30,40,50,60,62,64,66,68,70,72,74,76,78,80,85,90,95,100})</f>
        <v>85</v>
      </c>
      <c r="K612" s="12"/>
      <c r="L612" s="12"/>
      <c r="M612" s="12">
        <f t="shared" si="292"/>
        <v>85</v>
      </c>
      <c r="N612" s="12">
        <v>9</v>
      </c>
      <c r="O612" s="12">
        <f t="shared" si="293"/>
        <v>3</v>
      </c>
      <c r="P612" s="11">
        <f>LOOKUP(O612,{0,0.5,0.7,0.9,1.1,1.3,1.5,1.7,1.9,2.1,2.3,2.5,2.7,2.9,3.1,3.3,3.5,3.8,4.1,4.2,4.3},{0,10,20,30,40,50,60,62,64,66,68,70,72,74,76,78,80,85,90,95,100})</f>
        <v>74</v>
      </c>
      <c r="Q612" s="12">
        <v>3.45</v>
      </c>
      <c r="R612" s="12">
        <f t="shared" si="294"/>
        <v>6.55</v>
      </c>
      <c r="S612" s="11">
        <f>LOOKUP(R612,{0,4.72,4.82,4.92,5.42,5.52,5.62,5.67,5.72,5.77,5.82,5.87,5.92,5.97,6.42,6.47,6.52,6.59,6.66,6.72,6.78},{0,10,20,30,40,50,60,62,64,66,68,70,72,74,76,78,80,85,90,95,100})</f>
        <v>80</v>
      </c>
      <c r="T612" s="12"/>
      <c r="U612" s="12"/>
      <c r="V612" s="12">
        <f t="shared" si="295"/>
        <v>80</v>
      </c>
      <c r="W612" s="12"/>
      <c r="X612" s="20">
        <f t="shared" si="296"/>
        <v>55.8</v>
      </c>
      <c r="Y612" s="20">
        <f t="shared" si="297"/>
        <v>79.7142857142857</v>
      </c>
    </row>
    <row r="613" ht="15.6" hidden="1" outlineLevel="2" spans="1:25">
      <c r="A613" s="12">
        <v>213</v>
      </c>
      <c r="B613" s="12">
        <v>14</v>
      </c>
      <c r="C613" s="6" t="s">
        <v>680</v>
      </c>
      <c r="D613" s="6" t="s">
        <v>53</v>
      </c>
      <c r="E613" s="12">
        <v>16</v>
      </c>
      <c r="F613" s="11">
        <f>LOOKUP(E613,{0,1,1.8,2.6,3.4,4.2,5,6.3,7.6,8.9,10.2,11.5,12.8,14.1,15.4,16.7,18,19.7,21.4,23.1,24.8},{0,10,20,30,40,50,60,62,64,66,68,70,72,74,76,78,80,85,90,95,100})</f>
        <v>76</v>
      </c>
      <c r="G613" s="12">
        <v>184</v>
      </c>
      <c r="H613" s="11">
        <f>LOOKUP(G613,{0,124,129,134,139,144,149,152,155,158,161,164,167,170,173,176,179,186,193,199,205},{0,10,20,30,40,50,60,62,64,66,68,70,72,74,76,78,80,85,90,95,100})</f>
        <v>80</v>
      </c>
      <c r="I613" s="12">
        <v>42</v>
      </c>
      <c r="J613" s="11">
        <f>LOOKUP(I613,{0,14,16,18,20,22,24,26,28,30,32,34,36,38,40,42,44,47,50,52,54},{0,10,20,30,40,50,60,62,64,66,68,70,72,74,76,78,80,85,90,95,100})</f>
        <v>78</v>
      </c>
      <c r="K613" s="12"/>
      <c r="L613" s="12"/>
      <c r="M613" s="12">
        <f t="shared" si="292"/>
        <v>78</v>
      </c>
      <c r="N613" s="12">
        <v>8.8</v>
      </c>
      <c r="O613" s="12">
        <f t="shared" si="293"/>
        <v>3.2</v>
      </c>
      <c r="P613" s="11">
        <f>LOOKUP(O613,{0,0.5,0.7,0.9,1.1,1.3,1.5,1.7,1.9,2.1,2.3,2.5,2.7,2.9,3.1,3.3,3.5,3.8,4.1,4.2,4.3},{0,10,20,30,40,50,60,62,64,66,68,70,72,74,76,78,80,85,90,95,100})</f>
        <v>76</v>
      </c>
      <c r="Q613" s="12">
        <v>3.38</v>
      </c>
      <c r="R613" s="12">
        <f t="shared" si="294"/>
        <v>6.62</v>
      </c>
      <c r="S613" s="11">
        <f>LOOKUP(R613,{0,4.72,4.82,4.92,5.42,5.52,5.62,5.67,5.72,5.77,5.82,5.87,5.92,5.97,6.42,6.47,6.52,6.59,6.66,6.72,6.78},{0,10,20,30,40,50,60,62,64,66,68,70,72,74,76,78,80,85,90,95,100})</f>
        <v>85</v>
      </c>
      <c r="T613" s="12"/>
      <c r="U613" s="15"/>
      <c r="V613" s="12">
        <f t="shared" si="295"/>
        <v>85</v>
      </c>
      <c r="W613" s="12"/>
      <c r="X613" s="20">
        <f t="shared" si="296"/>
        <v>55.6</v>
      </c>
      <c r="Y613" s="20">
        <f t="shared" si="297"/>
        <v>79.4285714285714</v>
      </c>
    </row>
    <row r="614" ht="15.6" hidden="1" outlineLevel="2" spans="1:25">
      <c r="A614" s="12">
        <v>213</v>
      </c>
      <c r="B614" s="12">
        <v>15</v>
      </c>
      <c r="C614" s="6" t="s">
        <v>681</v>
      </c>
      <c r="D614" s="6" t="s">
        <v>53</v>
      </c>
      <c r="E614" s="12"/>
      <c r="F614" s="11"/>
      <c r="G614" s="12"/>
      <c r="H614" s="11"/>
      <c r="I614" s="12"/>
      <c r="J614" s="11"/>
      <c r="K614" s="12"/>
      <c r="L614" s="12"/>
      <c r="M614" s="12"/>
      <c r="N614" s="12"/>
      <c r="O614" s="12"/>
      <c r="P614" s="11"/>
      <c r="Q614" s="12"/>
      <c r="R614" s="12"/>
      <c r="S614" s="11"/>
      <c r="T614" s="21"/>
      <c r="U614" s="11"/>
      <c r="V614" s="12"/>
      <c r="W614" s="12"/>
      <c r="X614" s="20">
        <f t="shared" si="296"/>
        <v>0</v>
      </c>
      <c r="Y614" s="23">
        <v>50</v>
      </c>
    </row>
    <row r="615" ht="15.6" hidden="1" outlineLevel="2" spans="1:25">
      <c r="A615" s="12">
        <v>213</v>
      </c>
      <c r="B615" s="12">
        <v>16</v>
      </c>
      <c r="C615" s="6" t="s">
        <v>682</v>
      </c>
      <c r="D615" s="6" t="s">
        <v>53</v>
      </c>
      <c r="E615" s="12">
        <v>26</v>
      </c>
      <c r="F615" s="11">
        <f>LOOKUP(E615,{0,1,1.8,2.6,3.4,4.2,5,6.3,7.6,8.9,10.2,11.5,12.8,14.1,15.4,16.7,18,19.7,21.4,23.1,24.8},{0,10,20,30,40,50,60,62,64,66,68,70,72,74,76,78,80,85,90,95,100})</f>
        <v>100</v>
      </c>
      <c r="G615" s="12">
        <v>164</v>
      </c>
      <c r="H615" s="11">
        <f>LOOKUP(G615,{0,124,129,134,139,144,149,152,155,158,161,164,167,170,173,176,179,186,193,199,205},{0,10,20,30,40,50,60,62,64,66,68,70,72,74,76,78,80,85,90,95,100})</f>
        <v>70</v>
      </c>
      <c r="I615" s="12">
        <v>54</v>
      </c>
      <c r="J615" s="11">
        <f>LOOKUP(I615,{0,14,16,18,20,22,24,26,28,30,32,34,36,38,40,42,44,47,50,52,54},{0,10,20,30,40,50,60,62,64,66,68,70,72,74,76,78,80,85,90,95,100})</f>
        <v>100</v>
      </c>
      <c r="K615" s="12">
        <f t="shared" ref="K615:K617" si="298">I615-54</f>
        <v>0</v>
      </c>
      <c r="L615" s="11">
        <f>LOOKUP(K615,{0,2,4,6,7,8,9,10,11,12,13},{0,1,2,3,4,5,6,7,8,9,10})</f>
        <v>0</v>
      </c>
      <c r="M615" s="12">
        <f t="shared" ref="M615:M620" si="299">J615+L615</f>
        <v>100</v>
      </c>
      <c r="N615" s="12">
        <v>8.6</v>
      </c>
      <c r="O615" s="12">
        <f t="shared" ref="O615:O620" si="300">12-N615</f>
        <v>3.4</v>
      </c>
      <c r="P615" s="11">
        <f>LOOKUP(O615,{0,0.5,0.7,0.9,1.1,1.3,1.5,1.7,1.9,2.1,2.3,2.5,2.7,2.9,3.1,3.3,3.5,3.8,4.1,4.2,4.3},{0,10,20,30,40,50,60,62,64,66,68,70,72,74,76,78,80,85,90,95,100})</f>
        <v>78</v>
      </c>
      <c r="Q615" s="12">
        <v>3.37</v>
      </c>
      <c r="R615" s="12">
        <f t="shared" ref="R615:R620" si="301">10-Q615</f>
        <v>6.63</v>
      </c>
      <c r="S615" s="11">
        <f>LOOKUP(R615,{0,4.72,4.82,4.92,5.42,5.52,5.62,5.67,5.72,5.77,5.82,5.87,5.92,5.97,6.42,6.47,6.52,6.59,6.66,6.72,6.78},{0,10,20,30,40,50,60,62,64,66,68,70,72,74,76,78,80,85,90,95,100})</f>
        <v>85</v>
      </c>
      <c r="T615" s="12"/>
      <c r="U615" s="12"/>
      <c r="V615" s="12">
        <f t="shared" ref="V615:V620" si="302">S615+U615</f>
        <v>85</v>
      </c>
      <c r="W615" s="12"/>
      <c r="X615" s="20">
        <f t="shared" si="296"/>
        <v>59.6</v>
      </c>
      <c r="Y615" s="20">
        <f t="shared" ref="Y615:Y620" si="303">X615/0.7+L615+U615</f>
        <v>85.1428571428572</v>
      </c>
    </row>
    <row r="616" ht="15.6" hidden="1" outlineLevel="2" spans="1:25">
      <c r="A616" s="12">
        <v>213</v>
      </c>
      <c r="B616" s="12">
        <v>17</v>
      </c>
      <c r="C616" s="6" t="s">
        <v>683</v>
      </c>
      <c r="D616" s="6" t="s">
        <v>53</v>
      </c>
      <c r="E616" s="12">
        <v>12</v>
      </c>
      <c r="F616" s="11">
        <f>LOOKUP(E616,{0,1,1.8,2.6,3.4,4.2,5,6.3,7.6,8.9,10.2,11.5,12.8,14.1,15.4,16.7,18,19.7,21.4,23.1,24.8},{0,10,20,30,40,50,60,62,64,66,68,70,72,74,76,78,80,85,90,95,100})</f>
        <v>70</v>
      </c>
      <c r="G616" s="12">
        <v>145</v>
      </c>
      <c r="H616" s="11">
        <f>LOOKUP(G616,{0,124,129,134,139,144,149,152,155,158,161,164,167,170,173,176,179,186,193,199,205},{0,10,20,30,40,50,60,62,64,66,68,70,72,74,76,78,80,85,90,95,100})</f>
        <v>50</v>
      </c>
      <c r="I616" s="12">
        <v>59</v>
      </c>
      <c r="J616" s="11">
        <f>LOOKUP(I616,{0,14,16,18,20,22,24,26,28,30,32,34,36,38,40,42,44,47,50,52,54},{0,10,20,30,40,50,60,62,64,66,68,70,72,74,76,78,80,85,90,95,100})</f>
        <v>100</v>
      </c>
      <c r="K616" s="12">
        <f t="shared" si="298"/>
        <v>5</v>
      </c>
      <c r="L616" s="11">
        <f>LOOKUP(K616,{0,2,4,6,7,8,9,10,11,12,13},{0,1,2,3,4,5,6,7,8,9,10})</f>
        <v>2</v>
      </c>
      <c r="M616" s="12">
        <f t="shared" si="299"/>
        <v>102</v>
      </c>
      <c r="N616" s="12">
        <v>9.9</v>
      </c>
      <c r="O616" s="12">
        <f t="shared" si="300"/>
        <v>2.1</v>
      </c>
      <c r="P616" s="11">
        <f>LOOKUP(O616,{0,0.5,0.7,0.9,1.1,1.3,1.5,1.7,1.9,2.1,2.3,2.5,2.7,2.9,3.1,3.3,3.5,3.8,4.1,4.2,4.3},{0,10,20,30,40,50,60,62,64,66,68,70,72,74,76,78,80,85,90,95,100})</f>
        <v>66</v>
      </c>
      <c r="Q616" s="12">
        <v>3.57</v>
      </c>
      <c r="R616" s="12">
        <f t="shared" si="301"/>
        <v>6.43</v>
      </c>
      <c r="S616" s="11">
        <f>LOOKUP(R616,{0,4.72,4.82,4.92,5.42,5.52,5.62,5.67,5.72,5.77,5.82,5.87,5.92,5.97,6.42,6.47,6.52,6.59,6.66,6.72,6.78},{0,10,20,30,40,50,60,62,64,66,68,70,72,74,76,78,80,85,90,95,100})</f>
        <v>76</v>
      </c>
      <c r="T616" s="12"/>
      <c r="U616" s="12"/>
      <c r="V616" s="12">
        <f t="shared" si="302"/>
        <v>76</v>
      </c>
      <c r="W616" s="12"/>
      <c r="X616" s="20">
        <f t="shared" si="296"/>
        <v>50.4</v>
      </c>
      <c r="Y616" s="20">
        <f t="shared" si="303"/>
        <v>74</v>
      </c>
    </row>
    <row r="617" ht="15.6" hidden="1" outlineLevel="2" spans="1:25">
      <c r="A617" s="12">
        <v>213</v>
      </c>
      <c r="B617" s="12">
        <v>18</v>
      </c>
      <c r="C617" s="6" t="s">
        <v>684</v>
      </c>
      <c r="D617" s="6" t="s">
        <v>53</v>
      </c>
      <c r="E617" s="12">
        <v>10</v>
      </c>
      <c r="F617" s="11">
        <f>LOOKUP(E617,{0,1,1.8,2.6,3.4,4.2,5,6.3,7.6,8.9,10.2,11.5,12.8,14.1,15.4,16.7,18,19.7,21.4,23.1,24.8},{0,10,20,30,40,50,60,62,64,66,68,70,72,74,76,78,80,85,90,95,100})</f>
        <v>66</v>
      </c>
      <c r="G617" s="12">
        <v>212</v>
      </c>
      <c r="H617" s="11">
        <f>LOOKUP(G617,{0,124,129,134,139,144,149,152,155,158,161,164,167,170,173,176,179,186,193,199,205},{0,10,20,30,40,50,60,62,64,66,68,70,72,74,76,78,80,85,90,95,100})</f>
        <v>100</v>
      </c>
      <c r="I617" s="12">
        <v>55</v>
      </c>
      <c r="J617" s="11">
        <f>LOOKUP(I617,{0,14,16,18,20,22,24,26,28,30,32,34,36,38,40,42,44,47,50,52,54},{0,10,20,30,40,50,60,62,64,66,68,70,72,74,76,78,80,85,90,95,100})</f>
        <v>100</v>
      </c>
      <c r="K617" s="12">
        <f t="shared" si="298"/>
        <v>1</v>
      </c>
      <c r="L617" s="11">
        <f>LOOKUP(K617,{0,2,4,6,7,8,9,10,11,12,13},{0,1,2,3,4,5,6,7,8,9,10})</f>
        <v>0</v>
      </c>
      <c r="M617" s="12">
        <f t="shared" si="299"/>
        <v>100</v>
      </c>
      <c r="N617" s="12">
        <v>8.8</v>
      </c>
      <c r="O617" s="12">
        <f t="shared" si="300"/>
        <v>3.2</v>
      </c>
      <c r="P617" s="11">
        <f>LOOKUP(O617,{0,0.5,0.7,0.9,1.1,1.3,1.5,1.7,1.9,2.1,2.3,2.5,2.7,2.9,3.1,3.3,3.5,3.8,4.1,4.2,4.3},{0,10,20,30,40,50,60,62,64,66,68,70,72,74,76,78,80,85,90,95,100})</f>
        <v>76</v>
      </c>
      <c r="Q617" s="12">
        <v>3.4</v>
      </c>
      <c r="R617" s="12">
        <f t="shared" si="301"/>
        <v>6.6</v>
      </c>
      <c r="S617" s="11">
        <f>LOOKUP(R617,{0,4.72,4.82,4.92,5.42,5.52,5.62,5.67,5.72,5.77,5.82,5.87,5.92,5.97,6.42,6.47,6.52,6.59,6.66,6.72,6.78},{0,10,20,30,40,50,60,62,64,66,68,70,72,74,76,78,80,85,90,95,100})</f>
        <v>85</v>
      </c>
      <c r="T617" s="12"/>
      <c r="U617" s="12"/>
      <c r="V617" s="12">
        <f t="shared" si="302"/>
        <v>85</v>
      </c>
      <c r="W617" s="12"/>
      <c r="X617" s="20">
        <f t="shared" si="296"/>
        <v>58.8</v>
      </c>
      <c r="Y617" s="20">
        <f t="shared" si="303"/>
        <v>84</v>
      </c>
    </row>
    <row r="618" ht="15.6" hidden="1" outlineLevel="2" spans="1:25">
      <c r="A618" s="12">
        <v>213</v>
      </c>
      <c r="B618" s="12">
        <v>19</v>
      </c>
      <c r="C618" s="6" t="s">
        <v>685</v>
      </c>
      <c r="D618" s="6" t="s">
        <v>53</v>
      </c>
      <c r="E618" s="12">
        <v>14</v>
      </c>
      <c r="F618" s="11">
        <f>LOOKUP(E618,{0,1,1.8,2.6,3.4,4.2,5,6.3,7.6,8.9,10.2,11.5,12.8,14.1,15.4,16.7,18,19.7,21.4,23.1,24.8},{0,10,20,30,40,50,60,62,64,66,68,70,72,74,76,78,80,85,90,95,100})</f>
        <v>72</v>
      </c>
      <c r="G618" s="12">
        <v>175</v>
      </c>
      <c r="H618" s="11">
        <f>LOOKUP(G618,{0,124,129,134,139,144,149,152,155,158,161,164,167,170,173,176,179,186,193,199,205},{0,10,20,30,40,50,60,62,64,66,68,70,72,74,76,78,80,85,90,95,100})</f>
        <v>76</v>
      </c>
      <c r="I618" s="12">
        <v>41</v>
      </c>
      <c r="J618" s="11">
        <f>LOOKUP(I618,{0,14,16,18,20,22,24,26,28,30,32,34,36,38,40,42,44,47,50,52,54},{0,10,20,30,40,50,60,62,64,66,68,70,72,74,76,78,80,85,90,95,100})</f>
        <v>76</v>
      </c>
      <c r="K618" s="12"/>
      <c r="L618" s="12"/>
      <c r="M618" s="12">
        <f t="shared" si="299"/>
        <v>76</v>
      </c>
      <c r="N618" s="12">
        <v>8.7</v>
      </c>
      <c r="O618" s="12">
        <f t="shared" si="300"/>
        <v>3.3</v>
      </c>
      <c r="P618" s="11">
        <f>LOOKUP(O618,{0,0.5,0.7,0.9,1.1,1.3,1.5,1.7,1.9,2.1,2.3,2.5,2.7,2.9,3.1,3.3,3.5,3.8,4.1,4.2,4.3},{0,10,20,30,40,50,60,62,64,66,68,70,72,74,76,78,80,85,90,95,100})</f>
        <v>78</v>
      </c>
      <c r="Q618" s="12">
        <v>4.23</v>
      </c>
      <c r="R618" s="12">
        <f t="shared" si="301"/>
        <v>5.77</v>
      </c>
      <c r="S618" s="11">
        <f>LOOKUP(R618,{0,4.72,4.82,4.92,5.42,5.52,5.62,5.67,5.72,5.77,5.82,5.87,5.92,5.97,6.42,6.47,6.52,6.59,6.66,6.72,6.78},{0,10,20,30,40,50,60,62,64,66,68,70,72,74,76,78,80,85,90,95,100})</f>
        <v>66</v>
      </c>
      <c r="T618" s="12"/>
      <c r="U618" s="12"/>
      <c r="V618" s="12">
        <f t="shared" si="302"/>
        <v>66</v>
      </c>
      <c r="W618" s="12"/>
      <c r="X618" s="20">
        <f t="shared" si="296"/>
        <v>51.2</v>
      </c>
      <c r="Y618" s="20">
        <f t="shared" si="303"/>
        <v>73.1428571428572</v>
      </c>
    </row>
    <row r="619" ht="15.6" hidden="1" outlineLevel="2" spans="1:25">
      <c r="A619" s="12">
        <v>213</v>
      </c>
      <c r="B619" s="12">
        <v>20</v>
      </c>
      <c r="C619" s="6" t="s">
        <v>686</v>
      </c>
      <c r="D619" s="6" t="s">
        <v>53</v>
      </c>
      <c r="E619" s="12">
        <v>20</v>
      </c>
      <c r="F619" s="11">
        <f>LOOKUP(E619,{0,1,1.8,2.6,3.4,4.2,5,6.3,7.6,8.9,10.2,11.5,12.8,14.1,15.4,16.7,18,19.7,21.4,23.1,24.8},{0,10,20,30,40,50,60,62,64,66,68,70,72,74,76,78,80,85,90,95,100})</f>
        <v>85</v>
      </c>
      <c r="G619" s="12">
        <v>182</v>
      </c>
      <c r="H619" s="11">
        <f>LOOKUP(G619,{0,124,129,134,139,144,149,152,155,158,161,164,167,170,173,176,179,186,193,199,205},{0,10,20,30,40,50,60,62,64,66,68,70,72,74,76,78,80,85,90,95,100})</f>
        <v>80</v>
      </c>
      <c r="I619" s="12">
        <v>43</v>
      </c>
      <c r="J619" s="11">
        <f>LOOKUP(I619,{0,14,16,18,20,22,24,26,28,30,32,34,36,38,40,42,44,47,50,52,54},{0,10,20,30,40,50,60,62,64,66,68,70,72,74,76,78,80,85,90,95,100})</f>
        <v>78</v>
      </c>
      <c r="K619" s="12"/>
      <c r="L619" s="12"/>
      <c r="M619" s="12">
        <f t="shared" si="299"/>
        <v>78</v>
      </c>
      <c r="N619" s="12">
        <v>8.5</v>
      </c>
      <c r="O619" s="12">
        <f t="shared" si="300"/>
        <v>3.5</v>
      </c>
      <c r="P619" s="11">
        <f>LOOKUP(O619,{0,0.5,0.7,0.9,1.1,1.3,1.5,1.7,1.9,2.1,2.3,2.5,2.7,2.9,3.1,3.3,3.5,3.8,4.1,4.2,4.3},{0,10,20,30,40,50,60,62,64,66,68,70,72,74,76,78,80,85,90,95,100})</f>
        <v>80</v>
      </c>
      <c r="Q619" s="12">
        <v>3.52</v>
      </c>
      <c r="R619" s="12">
        <f t="shared" si="301"/>
        <v>6.48</v>
      </c>
      <c r="S619" s="11">
        <f>LOOKUP(R619,{0,4.72,4.82,4.92,5.42,5.52,5.62,5.67,5.72,5.77,5.82,5.87,5.92,5.97,6.42,6.47,6.52,6.59,6.66,6.72,6.78},{0,10,20,30,40,50,60,62,64,66,68,70,72,74,76,78,80,85,90,95,100})</f>
        <v>78</v>
      </c>
      <c r="T619" s="12"/>
      <c r="U619" s="12"/>
      <c r="V619" s="12">
        <f t="shared" si="302"/>
        <v>78</v>
      </c>
      <c r="W619" s="12"/>
      <c r="X619" s="20">
        <f t="shared" si="296"/>
        <v>55.9</v>
      </c>
      <c r="Y619" s="20">
        <f t="shared" si="303"/>
        <v>79.8571428571429</v>
      </c>
    </row>
    <row r="620" ht="15.6" hidden="1" outlineLevel="2" spans="1:25">
      <c r="A620" s="12">
        <v>213</v>
      </c>
      <c r="B620" s="12">
        <v>21</v>
      </c>
      <c r="C620" s="6" t="s">
        <v>687</v>
      </c>
      <c r="D620" s="6" t="s">
        <v>53</v>
      </c>
      <c r="E620" s="12">
        <v>14.3</v>
      </c>
      <c r="F620" s="11">
        <f>LOOKUP(E620,{0,1,1.8,2.6,3.4,4.2,5,6.3,7.6,8.9,10.2,11.5,12.8,14.1,15.4,16.7,18,19.7,21.4,23.1,24.8},{0,10,20,30,40,50,60,62,64,66,68,70,72,74,76,78,80,85,90,95,100})</f>
        <v>74</v>
      </c>
      <c r="G620" s="12">
        <v>176</v>
      </c>
      <c r="H620" s="11">
        <f>LOOKUP(G620,{0,124,129,134,139,144,149,152,155,158,161,164,167,170,173,176,179,186,193,199,205},{0,10,20,30,40,50,60,62,64,66,68,70,72,74,76,78,80,85,90,95,100})</f>
        <v>78</v>
      </c>
      <c r="I620" s="12">
        <v>41</v>
      </c>
      <c r="J620" s="11">
        <f>LOOKUP(I620,{0,14,16,18,20,22,24,26,28,30,32,34,36,38,40,42,44,47,50,52,54},{0,10,20,30,40,50,60,62,64,66,68,70,72,74,76,78,80,85,90,95,100})</f>
        <v>76</v>
      </c>
      <c r="K620" s="12"/>
      <c r="L620" s="12"/>
      <c r="M620" s="12">
        <f t="shared" si="299"/>
        <v>76</v>
      </c>
      <c r="N620" s="12">
        <v>8.8</v>
      </c>
      <c r="O620" s="12">
        <f t="shared" si="300"/>
        <v>3.2</v>
      </c>
      <c r="P620" s="11">
        <f>LOOKUP(O620,{0,0.5,0.7,0.9,1.1,1.3,1.5,1.7,1.9,2.1,2.3,2.5,2.7,2.9,3.1,3.3,3.5,3.8,4.1,4.2,4.3},{0,10,20,30,40,50,60,62,64,66,68,70,72,74,76,78,80,85,90,95,100})</f>
        <v>76</v>
      </c>
      <c r="Q620" s="12">
        <v>3.53</v>
      </c>
      <c r="R620" s="12">
        <f t="shared" si="301"/>
        <v>6.47</v>
      </c>
      <c r="S620" s="11">
        <f>LOOKUP(R620,{0,4.72,4.82,4.92,5.42,5.52,5.62,5.67,5.72,5.77,5.82,5.87,5.92,5.97,6.42,6.47,6.52,6.59,6.66,6.72,6.78},{0,10,20,30,40,50,60,62,64,66,68,70,72,74,76,78,80,85,90,95,100})</f>
        <v>78</v>
      </c>
      <c r="T620" s="12"/>
      <c r="U620" s="15"/>
      <c r="V620" s="12">
        <f t="shared" si="302"/>
        <v>78</v>
      </c>
      <c r="W620" s="12"/>
      <c r="X620" s="20">
        <f t="shared" si="296"/>
        <v>53.6</v>
      </c>
      <c r="Y620" s="20">
        <f t="shared" si="303"/>
        <v>76.5714285714286</v>
      </c>
    </row>
    <row r="621" ht="15.6" hidden="1" outlineLevel="2" spans="1:25">
      <c r="A621" s="12">
        <v>213</v>
      </c>
      <c r="B621" s="12">
        <v>22</v>
      </c>
      <c r="C621" s="13" t="s">
        <v>689</v>
      </c>
      <c r="D621" s="6" t="s">
        <v>53</v>
      </c>
      <c r="E621" s="12"/>
      <c r="F621" s="11"/>
      <c r="G621" s="12"/>
      <c r="H621" s="11"/>
      <c r="I621" s="12"/>
      <c r="J621" s="11"/>
      <c r="K621" s="12"/>
      <c r="L621" s="12"/>
      <c r="M621" s="12"/>
      <c r="N621" s="12"/>
      <c r="O621" s="12"/>
      <c r="P621" s="11"/>
      <c r="Q621" s="12"/>
      <c r="R621" s="12"/>
      <c r="S621" s="11"/>
      <c r="T621" s="21"/>
      <c r="U621" s="11"/>
      <c r="V621" s="12"/>
      <c r="W621" s="12" t="s">
        <v>617</v>
      </c>
      <c r="X621" s="20">
        <f t="shared" si="296"/>
        <v>0</v>
      </c>
      <c r="Y621" s="20">
        <v>50</v>
      </c>
    </row>
    <row r="622" ht="15.6" hidden="1" outlineLevel="2" spans="1:25">
      <c r="A622" s="12">
        <v>213</v>
      </c>
      <c r="B622" s="12">
        <v>23</v>
      </c>
      <c r="C622" s="6" t="s">
        <v>690</v>
      </c>
      <c r="D622" s="6" t="s">
        <v>53</v>
      </c>
      <c r="E622" s="12">
        <v>6.5</v>
      </c>
      <c r="F622" s="11">
        <f>LOOKUP(E622,{0,1,1.8,2.6,3.4,4.2,5,6.3,7.6,8.9,10.2,11.5,12.8,14.1,15.4,16.7,18,19.7,21.4,23.1,24.8},{0,10,20,30,40,50,60,62,64,66,68,70,72,74,76,78,80,85,90,95,100})</f>
        <v>62</v>
      </c>
      <c r="G622" s="12">
        <v>170</v>
      </c>
      <c r="H622" s="11">
        <f>LOOKUP(G622,{0,124,129,134,139,144,149,152,155,158,161,164,167,170,173,176,179,186,193,199,205},{0,10,20,30,40,50,60,62,64,66,68,70,72,74,76,78,80,85,90,95,100})</f>
        <v>74</v>
      </c>
      <c r="I622" s="12">
        <v>38</v>
      </c>
      <c r="J622" s="11">
        <f>LOOKUP(I622,{0,14,16,18,20,22,24,26,28,30,32,34,36,38,40,42,44,47,50,52,54},{0,10,20,30,40,50,60,62,64,66,68,70,72,74,76,78,80,85,90,95,100})</f>
        <v>74</v>
      </c>
      <c r="K622" s="12"/>
      <c r="L622" s="12"/>
      <c r="M622" s="12">
        <f t="shared" ref="M622:M625" si="304">J622+L622</f>
        <v>74</v>
      </c>
      <c r="N622" s="12">
        <v>8.8</v>
      </c>
      <c r="O622" s="12">
        <f t="shared" ref="O622:O625" si="305">12-N622</f>
        <v>3.2</v>
      </c>
      <c r="P622" s="11">
        <f>LOOKUP(O622,{0,0.5,0.7,0.9,1.1,1.3,1.5,1.7,1.9,2.1,2.3,2.5,2.7,2.9,3.1,3.3,3.5,3.8,4.1,4.2,4.3},{0,10,20,30,40,50,60,62,64,66,68,70,72,74,76,78,80,85,90,95,100})</f>
        <v>76</v>
      </c>
      <c r="Q622" s="12">
        <v>3.45</v>
      </c>
      <c r="R622" s="12">
        <f t="shared" ref="R622:R625" si="306">10-Q622</f>
        <v>6.55</v>
      </c>
      <c r="S622" s="11">
        <f>LOOKUP(R622,{0,4.72,4.82,4.92,5.42,5.52,5.62,5.67,5.72,5.77,5.82,5.87,5.92,5.97,6.42,6.47,6.52,6.59,6.66,6.72,6.78},{0,10,20,30,40,50,60,62,64,66,68,70,72,74,76,78,80,85,90,95,100})</f>
        <v>80</v>
      </c>
      <c r="T622" s="12"/>
      <c r="U622" s="12"/>
      <c r="V622" s="12">
        <f t="shared" ref="V622:V625" si="307">S622+U622</f>
        <v>80</v>
      </c>
      <c r="W622" s="12"/>
      <c r="X622" s="20">
        <f t="shared" si="296"/>
        <v>52.2</v>
      </c>
      <c r="Y622" s="20">
        <f t="shared" ref="Y622:Y625" si="308">X622/0.7+L622+U622</f>
        <v>74.5714285714286</v>
      </c>
    </row>
    <row r="623" ht="15.6" hidden="1" outlineLevel="2" spans="1:25">
      <c r="A623" s="12">
        <v>213</v>
      </c>
      <c r="B623" s="12">
        <v>24</v>
      </c>
      <c r="C623" s="6" t="s">
        <v>691</v>
      </c>
      <c r="D623" s="6" t="s">
        <v>53</v>
      </c>
      <c r="E623" s="12">
        <v>9.9</v>
      </c>
      <c r="F623" s="11">
        <f>LOOKUP(E623,{0,1,1.8,2.6,3.4,4.2,5,6.3,7.6,8.9,10.2,11.5,12.8,14.1,15.4,16.7,18,19.7,21.4,23.1,24.8},{0,10,20,30,40,50,60,62,64,66,68,70,72,74,76,78,80,85,90,95,100})</f>
        <v>66</v>
      </c>
      <c r="G623" s="12">
        <v>185</v>
      </c>
      <c r="H623" s="11">
        <f>LOOKUP(G623,{0,124,129,134,139,144,149,152,155,158,161,164,167,170,173,176,179,186,193,199,205},{0,10,20,30,40,50,60,62,64,66,68,70,72,74,76,78,80,85,90,95,100})</f>
        <v>80</v>
      </c>
      <c r="I623" s="12">
        <v>38</v>
      </c>
      <c r="J623" s="11">
        <f>LOOKUP(I623,{0,14,16,18,20,22,24,26,28,30,32,34,36,38,40,42,44,47,50,52,54},{0,10,20,30,40,50,60,62,64,66,68,70,72,74,76,78,80,85,90,95,100})</f>
        <v>74</v>
      </c>
      <c r="K623" s="12"/>
      <c r="L623" s="12"/>
      <c r="M623" s="12">
        <f t="shared" si="304"/>
        <v>74</v>
      </c>
      <c r="N623" s="12">
        <v>7.9</v>
      </c>
      <c r="O623" s="12">
        <f t="shared" si="305"/>
        <v>4.1</v>
      </c>
      <c r="P623" s="11">
        <f>LOOKUP(O623,{0,0.5,0.7,0.9,1.1,1.3,1.5,1.7,1.9,2.1,2.3,2.5,2.7,2.9,3.1,3.3,3.5,3.8,4.1,4.2,4.3},{0,10,20,30,40,50,60,62,64,66,68,70,72,74,76,78,80,85,90,95,100})</f>
        <v>90</v>
      </c>
      <c r="Q623" s="12">
        <v>3.34</v>
      </c>
      <c r="R623" s="12">
        <f t="shared" si="306"/>
        <v>6.66</v>
      </c>
      <c r="S623" s="11">
        <f>LOOKUP(R623,{0,4.72,4.82,4.92,5.42,5.52,5.62,5.67,5.72,5.77,5.82,5.87,5.92,5.97,6.42,6.47,6.52,6.59,6.66,6.72,6.78},{0,10,20,30,40,50,60,62,64,66,68,70,72,74,76,78,80,85,90,95,100})</f>
        <v>90</v>
      </c>
      <c r="T623" s="12"/>
      <c r="U623" s="12"/>
      <c r="V623" s="12">
        <f t="shared" si="307"/>
        <v>90</v>
      </c>
      <c r="W623" s="12"/>
      <c r="X623" s="20">
        <f t="shared" si="296"/>
        <v>58</v>
      </c>
      <c r="Y623" s="20">
        <f t="shared" si="308"/>
        <v>82.8571428571429</v>
      </c>
    </row>
    <row r="624" ht="15.6" hidden="1" outlineLevel="2" spans="1:25">
      <c r="A624" s="12">
        <v>213</v>
      </c>
      <c r="B624" s="12">
        <v>25</v>
      </c>
      <c r="C624" s="6" t="s">
        <v>692</v>
      </c>
      <c r="D624" s="6" t="s">
        <v>53</v>
      </c>
      <c r="E624" s="12">
        <v>18.5</v>
      </c>
      <c r="F624" s="11">
        <f>LOOKUP(E624,{0,1,1.8,2.6,3.4,4.2,5,6.3,7.6,8.9,10.2,11.5,12.8,14.1,15.4,16.7,18,19.7,21.4,23.1,24.8},{0,10,20,30,40,50,60,62,64,66,68,70,72,74,76,78,80,85,90,95,100})</f>
        <v>80</v>
      </c>
      <c r="G624" s="12">
        <v>169</v>
      </c>
      <c r="H624" s="11">
        <f>LOOKUP(G624,{0,124,129,134,139,144,149,152,155,158,161,164,167,170,173,176,179,186,193,199,205},{0,10,20,30,40,50,60,62,64,66,68,70,72,74,76,78,80,85,90,95,100})</f>
        <v>72</v>
      </c>
      <c r="I624" s="12">
        <v>54</v>
      </c>
      <c r="J624" s="11">
        <f>LOOKUP(I624,{0,14,16,18,20,22,24,26,28,30,32,34,36,38,40,42,44,47,50,52,54},{0,10,20,30,40,50,60,62,64,66,68,70,72,74,76,78,80,85,90,95,100})</f>
        <v>100</v>
      </c>
      <c r="K624" s="12">
        <f>I624-54</f>
        <v>0</v>
      </c>
      <c r="L624" s="11">
        <f>LOOKUP(K624,{0,2,4,6,7,8,9,10,11,12,13},{0,1,2,3,4,5,6,7,8,9,10})</f>
        <v>0</v>
      </c>
      <c r="M624" s="12">
        <f t="shared" si="304"/>
        <v>100</v>
      </c>
      <c r="N624" s="12">
        <v>8.9</v>
      </c>
      <c r="O624" s="12">
        <f t="shared" si="305"/>
        <v>3.1</v>
      </c>
      <c r="P624" s="11">
        <f>LOOKUP(O624,{0,0.5,0.7,0.9,1.1,1.3,1.5,1.7,1.9,2.1,2.3,2.5,2.7,2.9,3.1,3.3,3.5,3.8,4.1,4.2,4.3},{0,10,20,30,40,50,60,62,64,66,68,70,72,74,76,78,80,85,90,95,100})</f>
        <v>76</v>
      </c>
      <c r="Q624" s="12">
        <v>4.52</v>
      </c>
      <c r="R624" s="12">
        <f t="shared" si="306"/>
        <v>5.48</v>
      </c>
      <c r="S624" s="11">
        <f>LOOKUP(R624,{0,4.72,4.82,4.92,5.42,5.52,5.62,5.67,5.72,5.77,5.82,5.87,5.92,5.97,6.42,6.47,6.52,6.59,6.66,6.72,6.78},{0,10,20,30,40,50,60,62,64,66,68,70,72,74,76,78,80,85,90,95,100})</f>
        <v>40</v>
      </c>
      <c r="T624" s="12"/>
      <c r="U624" s="12"/>
      <c r="V624" s="12">
        <f t="shared" si="307"/>
        <v>40</v>
      </c>
      <c r="W624" s="12"/>
      <c r="X624" s="20">
        <f t="shared" si="296"/>
        <v>48.4</v>
      </c>
      <c r="Y624" s="20">
        <f t="shared" si="308"/>
        <v>69.1428571428571</v>
      </c>
    </row>
    <row r="625" ht="15.6" hidden="1" outlineLevel="2" spans="1:25">
      <c r="A625" s="12">
        <v>213</v>
      </c>
      <c r="B625" s="12">
        <v>26</v>
      </c>
      <c r="C625" s="6" t="s">
        <v>693</v>
      </c>
      <c r="D625" s="6" t="s">
        <v>53</v>
      </c>
      <c r="E625" s="12">
        <v>11.5</v>
      </c>
      <c r="F625" s="11">
        <f>LOOKUP(E625,{0,1,1.8,2.6,3.4,4.2,5,6.3,7.6,8.9,10.2,11.5,12.8,14.1,15.4,16.7,18,19.7,21.4,23.1,24.8},{0,10,20,30,40,50,60,62,64,66,68,70,72,74,76,78,80,85,90,95,100})</f>
        <v>70</v>
      </c>
      <c r="G625" s="12">
        <v>156</v>
      </c>
      <c r="H625" s="11">
        <f>LOOKUP(G625,{0,124,129,134,139,144,149,152,155,158,161,164,167,170,173,176,179,186,193,199,205},{0,10,20,30,40,50,60,62,64,66,68,70,72,74,76,78,80,85,90,95,100})</f>
        <v>64</v>
      </c>
      <c r="I625" s="12">
        <v>60</v>
      </c>
      <c r="J625" s="11">
        <f>LOOKUP(I625,{0,14,16,18,20,22,24,26,28,30,32,34,36,38,40,42,44,47,50,52,54},{0,10,20,30,40,50,60,62,64,66,68,70,72,74,76,78,80,85,90,95,100})</f>
        <v>100</v>
      </c>
      <c r="K625" s="12">
        <f>I625-54</f>
        <v>6</v>
      </c>
      <c r="L625" s="11">
        <f>LOOKUP(K625,{0,2,4,6,7,8,9,10,11,12,13},{0,1,2,3,4,5,6,7,8,9,10})</f>
        <v>3</v>
      </c>
      <c r="M625" s="12">
        <f t="shared" si="304"/>
        <v>103</v>
      </c>
      <c r="N625" s="12">
        <v>9.1</v>
      </c>
      <c r="O625" s="12">
        <f t="shared" si="305"/>
        <v>2.9</v>
      </c>
      <c r="P625" s="11">
        <f>LOOKUP(O625,{0,0.5,0.7,0.9,1.1,1.3,1.5,1.7,1.9,2.1,2.3,2.5,2.7,2.9,3.1,3.3,3.5,3.8,4.1,4.2,4.3},{0,10,20,30,40,50,60,62,64,66,68,70,72,74,76,78,80,85,90,95,100})</f>
        <v>74</v>
      </c>
      <c r="Q625" s="12">
        <v>3.54</v>
      </c>
      <c r="R625" s="12">
        <f t="shared" si="306"/>
        <v>6.46</v>
      </c>
      <c r="S625" s="11">
        <f>LOOKUP(R625,{0,4.72,4.82,4.92,5.42,5.52,5.62,5.67,5.72,5.77,5.82,5.87,5.92,5.97,6.42,6.47,6.52,6.59,6.66,6.72,6.78},{0,10,20,30,40,50,60,62,64,66,68,70,72,74,76,78,80,85,90,95,100})</f>
        <v>76</v>
      </c>
      <c r="T625" s="12"/>
      <c r="U625" s="12"/>
      <c r="V625" s="12">
        <f t="shared" si="307"/>
        <v>76</v>
      </c>
      <c r="W625" s="12"/>
      <c r="X625" s="20">
        <f t="shared" si="296"/>
        <v>53.4</v>
      </c>
      <c r="Y625" s="20">
        <f t="shared" si="308"/>
        <v>79.2857142857143</v>
      </c>
    </row>
    <row r="626" ht="15.6" hidden="1" outlineLevel="2" spans="1:25">
      <c r="A626" s="12">
        <v>213</v>
      </c>
      <c r="B626" s="12">
        <v>27</v>
      </c>
      <c r="C626" s="6" t="s">
        <v>694</v>
      </c>
      <c r="D626" s="6" t="s">
        <v>53</v>
      </c>
      <c r="E626" s="12"/>
      <c r="F626" s="11"/>
      <c r="G626" s="12"/>
      <c r="H626" s="11"/>
      <c r="I626" s="12"/>
      <c r="J626" s="11"/>
      <c r="K626" s="12"/>
      <c r="L626" s="12"/>
      <c r="M626" s="12"/>
      <c r="N626" s="12"/>
      <c r="O626" s="12"/>
      <c r="P626" s="11"/>
      <c r="Q626" s="12"/>
      <c r="R626" s="12"/>
      <c r="S626" s="11"/>
      <c r="T626" s="21"/>
      <c r="U626" s="16"/>
      <c r="V626" s="12"/>
      <c r="W626" s="12" t="s">
        <v>617</v>
      </c>
      <c r="X626" s="20">
        <f t="shared" si="296"/>
        <v>0</v>
      </c>
      <c r="Y626" s="20">
        <v>50</v>
      </c>
    </row>
    <row r="627" ht="15.6" hidden="1" outlineLevel="2" spans="1:25">
      <c r="A627" s="12">
        <v>213</v>
      </c>
      <c r="B627" s="12">
        <v>28</v>
      </c>
      <c r="C627" s="6" t="s">
        <v>695</v>
      </c>
      <c r="D627" s="6" t="s">
        <v>53</v>
      </c>
      <c r="E627" s="12">
        <v>22.5</v>
      </c>
      <c r="F627" s="11">
        <f>LOOKUP(E627,{0,1,1.8,2.6,3.4,4.2,5,6.3,7.6,8.9,10.2,11.5,12.8,14.1,15.4,16.7,18,19.7,21.4,23.1,24.8},{0,10,20,30,40,50,60,62,64,66,68,70,72,74,76,78,80,85,90,95,100})</f>
        <v>90</v>
      </c>
      <c r="G627" s="12">
        <v>200</v>
      </c>
      <c r="H627" s="11">
        <f>LOOKUP(G627,{0,124,129,134,139,144,149,152,155,158,161,164,167,170,173,176,179,186,193,199,205},{0,10,20,30,40,50,60,62,64,66,68,70,72,74,76,78,80,85,90,95,100})</f>
        <v>95</v>
      </c>
      <c r="I627" s="12">
        <v>25</v>
      </c>
      <c r="J627" s="11">
        <f>LOOKUP(I627,{0,14,16,18,20,22,24,26,28,30,32,34,36,38,40,42,44,47,50,52,54},{0,10,20,30,40,50,60,62,64,66,68,70,72,74,76,78,80,85,90,95,100})</f>
        <v>60</v>
      </c>
      <c r="K627" s="12"/>
      <c r="L627" s="12"/>
      <c r="M627" s="12">
        <f t="shared" ref="M627:M631" si="309">J627+L627</f>
        <v>60</v>
      </c>
      <c r="N627" s="12">
        <v>8.3</v>
      </c>
      <c r="O627" s="12">
        <f t="shared" ref="O627:O631" si="310">12-N627</f>
        <v>3.7</v>
      </c>
      <c r="P627" s="11">
        <f>LOOKUP(O627,{0,0.5,0.7,0.9,1.1,1.3,1.5,1.7,1.9,2.1,2.3,2.5,2.7,2.9,3.1,3.3,3.5,3.8,4.1,4.2,4.3},{0,10,20,30,40,50,60,62,64,66,68,70,72,74,76,78,80,85,90,95,100})</f>
        <v>80</v>
      </c>
      <c r="Q627" s="12">
        <v>3.39</v>
      </c>
      <c r="R627" s="12">
        <f t="shared" ref="R627:R631" si="311">10-Q627</f>
        <v>6.61</v>
      </c>
      <c r="S627" s="11">
        <f>LOOKUP(R627,{0,4.72,4.82,4.92,5.42,5.52,5.62,5.67,5.72,5.77,5.82,5.87,5.92,5.97,6.42,6.47,6.52,6.59,6.66,6.72,6.78},{0,10,20,30,40,50,60,62,64,66,68,70,72,74,76,78,80,85,90,95,100})</f>
        <v>85</v>
      </c>
      <c r="T627" s="12"/>
      <c r="U627" s="12"/>
      <c r="V627" s="12">
        <f t="shared" ref="V627:V631" si="312">S627+U627</f>
        <v>85</v>
      </c>
      <c r="W627" s="12"/>
      <c r="X627" s="20">
        <f t="shared" si="296"/>
        <v>57.5</v>
      </c>
      <c r="Y627" s="20">
        <f t="shared" ref="Y627:Y631" si="313">X627/0.7+L627+U627</f>
        <v>82.1428571428572</v>
      </c>
    </row>
    <row r="628" s="1" customFormat="1" ht="15.6" hidden="1" outlineLevel="2" spans="1:25">
      <c r="A628" s="12">
        <v>213</v>
      </c>
      <c r="B628" s="12">
        <v>29</v>
      </c>
      <c r="C628" s="6" t="s">
        <v>696</v>
      </c>
      <c r="D628" s="6" t="s">
        <v>53</v>
      </c>
      <c r="E628" s="12">
        <v>13.5</v>
      </c>
      <c r="F628" s="11">
        <f>LOOKUP(E628,{0,1,1.8,2.6,3.4,4.2,5,6.3,7.6,8.9,10.2,11.5,12.8,14.1,15.4,16.7,18,19.7,21.4,23.1,24.8},{0,10,20,30,40,50,60,62,64,66,68,70,72,74,76,78,80,85,90,95,100})</f>
        <v>72</v>
      </c>
      <c r="G628" s="12">
        <v>170</v>
      </c>
      <c r="H628" s="11">
        <f>LOOKUP(G628,{0,124,129,134,139,144,149,152,155,158,161,164,167,170,173,176,179,186,193,199,205},{0,10,20,30,40,50,60,62,64,66,68,70,72,74,76,78,80,85,90,95,100})</f>
        <v>74</v>
      </c>
      <c r="I628" s="12">
        <v>50</v>
      </c>
      <c r="J628" s="11">
        <f>LOOKUP(I628,{0,14,16,18,20,22,24,26,28,30,32,34,36,38,40,42,44,47,50,52,54},{0,10,20,30,40,50,60,62,64,66,68,70,72,74,76,78,80,85,90,95,100})</f>
        <v>90</v>
      </c>
      <c r="K628" s="12"/>
      <c r="L628" s="12"/>
      <c r="M628" s="12">
        <f t="shared" si="309"/>
        <v>90</v>
      </c>
      <c r="N628" s="12">
        <v>8.6</v>
      </c>
      <c r="O628" s="12">
        <f t="shared" si="310"/>
        <v>3.4</v>
      </c>
      <c r="P628" s="11">
        <f>LOOKUP(O628,{0,0.5,0.7,0.9,1.1,1.3,1.5,1.7,1.9,2.1,2.3,2.5,2.7,2.9,3.1,3.3,3.5,3.8,4.1,4.2,4.3},{0,10,20,30,40,50,60,62,64,66,68,70,72,74,76,78,80,85,90,95,100})</f>
        <v>78</v>
      </c>
      <c r="Q628" s="12">
        <v>3.25</v>
      </c>
      <c r="R628" s="12">
        <f t="shared" si="311"/>
        <v>6.75</v>
      </c>
      <c r="S628" s="11">
        <f>LOOKUP(R628,{0,4.72,4.82,4.92,5.42,5.52,5.62,5.67,5.72,5.77,5.82,5.87,5.92,5.97,6.42,6.47,6.52,6.59,6.66,6.72,6.78},{0,10,20,30,40,50,60,62,64,66,68,70,72,74,76,78,80,85,90,95,100})</f>
        <v>95</v>
      </c>
      <c r="T628" s="12"/>
      <c r="U628" s="12"/>
      <c r="V628" s="12">
        <f t="shared" si="312"/>
        <v>95</v>
      </c>
      <c r="W628" s="12"/>
      <c r="X628" s="20">
        <f t="shared" si="296"/>
        <v>58.2</v>
      </c>
      <c r="Y628" s="20">
        <f t="shared" si="313"/>
        <v>83.1428571428572</v>
      </c>
    </row>
    <row r="629" ht="15.6" hidden="1" outlineLevel="2" spans="1:25">
      <c r="A629" s="12">
        <v>213</v>
      </c>
      <c r="B629" s="12">
        <v>30</v>
      </c>
      <c r="C629" s="6" t="s">
        <v>697</v>
      </c>
      <c r="D629" s="6" t="s">
        <v>53</v>
      </c>
      <c r="E629" s="12">
        <v>23.2</v>
      </c>
      <c r="F629" s="11">
        <f>LOOKUP(E629,{0,1,1.8,2.6,3.4,4.2,5,6.3,7.6,8.9,10.2,11.5,12.8,14.1,15.4,16.7,18,19.7,21.4,23.1,24.8},{0,10,20,30,40,50,60,62,64,66,68,70,72,74,76,78,80,85,90,95,100})</f>
        <v>95</v>
      </c>
      <c r="G629" s="12">
        <v>180</v>
      </c>
      <c r="H629" s="11">
        <f>LOOKUP(G629,{0,124,129,134,139,144,149,152,155,158,161,164,167,170,173,176,179,186,193,199,205},{0,10,20,30,40,50,60,62,64,66,68,70,72,74,76,78,80,85,90,95,100})</f>
        <v>80</v>
      </c>
      <c r="I629" s="12">
        <v>51</v>
      </c>
      <c r="J629" s="11">
        <f>LOOKUP(I629,{0,14,16,18,20,22,24,26,28,30,32,34,36,38,40,42,44,47,50,52,54},{0,10,20,30,40,50,60,62,64,66,68,70,72,74,76,78,80,85,90,95,100})</f>
        <v>90</v>
      </c>
      <c r="K629" s="12"/>
      <c r="L629" s="12"/>
      <c r="M629" s="12">
        <f t="shared" si="309"/>
        <v>90</v>
      </c>
      <c r="N629" s="12">
        <v>7.6</v>
      </c>
      <c r="O629" s="12">
        <f t="shared" si="310"/>
        <v>4.4</v>
      </c>
      <c r="P629" s="11">
        <f>LOOKUP(O629,{0,0.5,0.7,0.9,1.1,1.3,1.5,1.7,1.9,2.1,2.3,2.5,2.7,2.9,3.1,3.3,3.5,3.8,4.1,4.2,4.3},{0,10,20,30,40,50,60,62,64,66,68,70,72,74,76,78,80,85,90,95,100})</f>
        <v>100</v>
      </c>
      <c r="Q629" s="12">
        <v>3.13</v>
      </c>
      <c r="R629" s="12">
        <f t="shared" si="311"/>
        <v>6.87</v>
      </c>
      <c r="S629" s="11">
        <f>LOOKUP(R629,{0,4.72,4.82,4.92,5.42,5.52,5.62,5.67,5.72,5.77,5.82,5.87,5.92,5.97,6.42,6.47,6.52,6.59,6.66,6.72,6.78},{0,10,20,30,40,50,60,62,64,66,68,70,72,74,76,78,80,85,90,95,100})</f>
        <v>100</v>
      </c>
      <c r="T629" s="21">
        <f t="shared" ref="T629:T635" si="314">3.22-Q629</f>
        <v>0.0900000000000003</v>
      </c>
      <c r="U629" s="16">
        <f>LOOKUP(T629,{0,0.05,0.1,0.15,0.2,0.25,0.3,0.35,0.4,0.45,0.5},{0,1,2,3,4,5,6,7,8,9,10})</f>
        <v>1</v>
      </c>
      <c r="V629" s="12">
        <f t="shared" si="312"/>
        <v>101</v>
      </c>
      <c r="W629" s="12"/>
      <c r="X629" s="20">
        <f t="shared" si="296"/>
        <v>66.5</v>
      </c>
      <c r="Y629" s="20">
        <f t="shared" si="313"/>
        <v>96</v>
      </c>
    </row>
    <row r="630" ht="15.6" hidden="1" outlineLevel="2" spans="1:25">
      <c r="A630" s="12">
        <v>213</v>
      </c>
      <c r="B630" s="12">
        <v>31</v>
      </c>
      <c r="C630" s="6" t="s">
        <v>698</v>
      </c>
      <c r="D630" s="6" t="s">
        <v>53</v>
      </c>
      <c r="E630" s="12">
        <v>19</v>
      </c>
      <c r="F630" s="11">
        <f>LOOKUP(E630,{0,1,1.8,2.6,3.4,4.2,5,6.3,7.6,8.9,10.2,11.5,12.8,14.1,15.4,16.7,18,19.7,21.4,23.1,24.8},{0,10,20,30,40,50,60,62,64,66,68,70,72,74,76,78,80,85,90,95,100})</f>
        <v>80</v>
      </c>
      <c r="G630" s="12">
        <v>206</v>
      </c>
      <c r="H630" s="11">
        <f>LOOKUP(G630,{0,124,129,134,139,144,149,152,155,158,161,164,167,170,173,176,179,186,193,199,205},{0,10,20,30,40,50,60,62,64,66,68,70,72,74,76,78,80,85,90,95,100})</f>
        <v>100</v>
      </c>
      <c r="I630" s="12">
        <v>55</v>
      </c>
      <c r="J630" s="11">
        <f>LOOKUP(I630,{0,14,16,18,20,22,24,26,28,30,32,34,36,38,40,42,44,47,50,52,54},{0,10,20,30,40,50,60,62,64,66,68,70,72,74,76,78,80,85,90,95,100})</f>
        <v>100</v>
      </c>
      <c r="K630" s="12">
        <f>I630-54</f>
        <v>1</v>
      </c>
      <c r="L630" s="11">
        <f>LOOKUP(K630,{0,2,4,6,7,8,9,10,11,12,13},{0,1,2,3,4,5,6,7,8,9,10})</f>
        <v>0</v>
      </c>
      <c r="M630" s="12">
        <f t="shared" si="309"/>
        <v>100</v>
      </c>
      <c r="N630" s="12">
        <v>8.1</v>
      </c>
      <c r="O630" s="12">
        <f t="shared" si="310"/>
        <v>3.9</v>
      </c>
      <c r="P630" s="11">
        <f>LOOKUP(O630,{0,0.5,0.7,0.9,1.1,1.3,1.5,1.7,1.9,2.1,2.3,2.5,2.7,2.9,3.1,3.3,3.5,3.8,4.1,4.2,4.3},{0,10,20,30,40,50,60,62,64,66,68,70,72,74,76,78,80,85,90,95,100})</f>
        <v>85</v>
      </c>
      <c r="Q630" s="12">
        <v>3.21</v>
      </c>
      <c r="R630" s="12">
        <f t="shared" si="311"/>
        <v>6.79</v>
      </c>
      <c r="S630" s="11">
        <f>LOOKUP(R630,{0,4.72,4.82,4.92,5.42,5.52,5.62,5.67,5.72,5.77,5.82,5.87,5.92,5.97,6.42,6.47,6.52,6.59,6.66,6.72,6.78},{0,10,20,30,40,50,60,62,64,66,68,70,72,74,76,78,80,85,90,95,100})</f>
        <v>100</v>
      </c>
      <c r="T630" s="21">
        <f t="shared" si="314"/>
        <v>0.0100000000000002</v>
      </c>
      <c r="U630" s="16">
        <f>LOOKUP(T630,{0,0.05,0.1,0.15,0.2,0.25,0.3,0.35,0.4,0.45,0.5},{0,1,2,3,4,5,6,7,8,9,10})</f>
        <v>0</v>
      </c>
      <c r="V630" s="12">
        <f t="shared" si="312"/>
        <v>100</v>
      </c>
      <c r="W630" s="12"/>
      <c r="X630" s="20">
        <f t="shared" si="296"/>
        <v>65</v>
      </c>
      <c r="Y630" s="20">
        <f t="shared" si="313"/>
        <v>92.8571428571429</v>
      </c>
    </row>
    <row r="631" ht="15.6" hidden="1" outlineLevel="2" spans="1:25">
      <c r="A631" s="12">
        <v>213</v>
      </c>
      <c r="B631" s="12">
        <v>32</v>
      </c>
      <c r="C631" s="6" t="s">
        <v>699</v>
      </c>
      <c r="D631" s="6" t="s">
        <v>53</v>
      </c>
      <c r="E631" s="12">
        <v>14.2</v>
      </c>
      <c r="F631" s="11">
        <f>LOOKUP(E631,{0,1,1.8,2.6,3.4,4.2,5,6.3,7.6,8.9,10.2,11.5,12.8,14.1,15.4,16.7,18,19.7,21.4,23.1,24.8},{0,10,20,30,40,50,60,62,64,66,68,70,72,74,76,78,80,85,90,95,100})</f>
        <v>74</v>
      </c>
      <c r="G631" s="12">
        <v>185</v>
      </c>
      <c r="H631" s="11">
        <f>LOOKUP(G631,{0,124,129,134,139,144,149,152,155,158,161,164,167,170,173,176,179,186,193,199,205},{0,10,20,30,40,50,60,62,64,66,68,70,72,74,76,78,80,85,90,95,100})</f>
        <v>80</v>
      </c>
      <c r="I631" s="12">
        <v>40</v>
      </c>
      <c r="J631" s="11">
        <f>LOOKUP(I631,{0,14,16,18,20,22,24,26,28,30,32,34,36,38,40,42,44,47,50,52,54},{0,10,20,30,40,50,60,62,64,66,68,70,72,74,76,78,80,85,90,95,100})</f>
        <v>76</v>
      </c>
      <c r="K631" s="12"/>
      <c r="L631" s="12"/>
      <c r="M631" s="12">
        <f t="shared" si="309"/>
        <v>76</v>
      </c>
      <c r="N631" s="12">
        <v>8.7</v>
      </c>
      <c r="O631" s="12">
        <f t="shared" si="310"/>
        <v>3.3</v>
      </c>
      <c r="P631" s="11">
        <f>LOOKUP(O631,{0,0.5,0.7,0.9,1.1,1.3,1.5,1.7,1.9,2.1,2.3,2.5,2.7,2.9,3.1,3.3,3.5,3.8,4.1,4.2,4.3},{0,10,20,30,40,50,60,62,64,66,68,70,72,74,76,78,80,85,90,95,100})</f>
        <v>78</v>
      </c>
      <c r="Q631" s="12">
        <v>3.48</v>
      </c>
      <c r="R631" s="12">
        <f t="shared" si="311"/>
        <v>6.52</v>
      </c>
      <c r="S631" s="11">
        <f>LOOKUP(R631,{0,4.72,4.82,4.92,5.42,5.52,5.62,5.67,5.72,5.77,5.82,5.87,5.92,5.97,6.42,6.47,6.52,6.59,6.66,6.72,6.78},{0,10,20,30,40,50,60,62,64,66,68,70,72,74,76,78,80,85,90,95,100})</f>
        <v>80</v>
      </c>
      <c r="T631" s="12"/>
      <c r="U631" s="12"/>
      <c r="V631" s="12">
        <f t="shared" si="312"/>
        <v>80</v>
      </c>
      <c r="W631" s="12"/>
      <c r="X631" s="20">
        <f t="shared" si="296"/>
        <v>54.6</v>
      </c>
      <c r="Y631" s="20">
        <f t="shared" si="313"/>
        <v>78</v>
      </c>
    </row>
    <row r="632" ht="15.6" hidden="1" outlineLevel="2" spans="1:25">
      <c r="A632" s="12">
        <v>213</v>
      </c>
      <c r="B632" s="12">
        <v>33</v>
      </c>
      <c r="C632" s="6" t="s">
        <v>700</v>
      </c>
      <c r="D632" s="6" t="s">
        <v>53</v>
      </c>
      <c r="E632" s="12"/>
      <c r="F632" s="11"/>
      <c r="G632" s="12"/>
      <c r="H632" s="11"/>
      <c r="I632" s="12"/>
      <c r="J632" s="11"/>
      <c r="K632" s="12"/>
      <c r="L632" s="12"/>
      <c r="M632" s="12"/>
      <c r="N632" s="12"/>
      <c r="O632" s="12"/>
      <c r="P632" s="11"/>
      <c r="Q632" s="12"/>
      <c r="R632" s="12"/>
      <c r="S632" s="11"/>
      <c r="T632" s="21"/>
      <c r="U632" s="11"/>
      <c r="V632" s="12"/>
      <c r="W632" s="12" t="s">
        <v>617</v>
      </c>
      <c r="X632" s="20">
        <f t="shared" si="296"/>
        <v>0</v>
      </c>
      <c r="Y632" s="20">
        <v>50</v>
      </c>
    </row>
    <row r="633" ht="15.6" hidden="1" outlineLevel="2" spans="1:25">
      <c r="A633" s="12">
        <v>213</v>
      </c>
      <c r="B633" s="12">
        <v>34</v>
      </c>
      <c r="C633" s="13" t="s">
        <v>702</v>
      </c>
      <c r="D633" s="6" t="s">
        <v>53</v>
      </c>
      <c r="E633" s="12">
        <v>21.4</v>
      </c>
      <c r="F633" s="11">
        <f>LOOKUP(E633,{0,1,1.8,2.6,3.4,4.2,5,6.3,7.6,8.9,10.2,11.5,12.8,14.1,15.4,16.7,18,19.7,21.4,23.1,24.8},{0,10,20,30,40,50,60,62,64,66,68,70,72,74,76,78,80,85,90,95,100})</f>
        <v>90</v>
      </c>
      <c r="G633" s="12">
        <v>167</v>
      </c>
      <c r="H633" s="11">
        <f>LOOKUP(G633,{0,124,129,134,139,144,149,152,155,158,161,164,167,170,173,176,179,186,193,199,205},{0,10,20,30,40,50,60,62,64,66,68,70,72,74,76,78,80,85,90,95,100})</f>
        <v>72</v>
      </c>
      <c r="I633" s="12">
        <v>53</v>
      </c>
      <c r="J633" s="11">
        <f>LOOKUP(I633,{0,14,16,18,20,22,24,26,28,30,32,34,36,38,40,42,44,47,50,52,54},{0,10,20,30,40,50,60,62,64,66,68,70,72,74,76,78,80,85,90,95,100})</f>
        <v>95</v>
      </c>
      <c r="K633" s="12"/>
      <c r="L633" s="12"/>
      <c r="M633" s="12">
        <f t="shared" ref="M633:M636" si="315">J633+L633</f>
        <v>95</v>
      </c>
      <c r="N633" s="12">
        <v>9.4</v>
      </c>
      <c r="O633" s="12">
        <f t="shared" ref="O633:O636" si="316">12-N633</f>
        <v>2.6</v>
      </c>
      <c r="P633" s="11">
        <f>LOOKUP(O633,{0,0.5,0.7,0.9,1.1,1.3,1.5,1.7,1.9,2.1,2.3,2.5,2.7,2.9,3.1,3.3,3.5,3.8,4.1,4.2,4.3},{0,10,20,30,40,50,60,62,64,66,68,70,72,74,76,78,80,85,90,95,100})</f>
        <v>70</v>
      </c>
      <c r="Q633" s="12">
        <v>3.32</v>
      </c>
      <c r="R633" s="12">
        <f t="shared" ref="R633:R636" si="317">10-Q633</f>
        <v>6.68</v>
      </c>
      <c r="S633" s="11">
        <f>LOOKUP(R633,{0,4.72,4.82,4.92,5.42,5.52,5.62,5.67,5.72,5.77,5.82,5.87,5.92,5.97,6.42,6.47,6.52,6.59,6.66,6.72,6.78},{0,10,20,30,40,50,60,62,64,66,68,70,72,74,76,78,80,85,90,95,100})</f>
        <v>90</v>
      </c>
      <c r="T633" s="12"/>
      <c r="U633" s="12"/>
      <c r="V633" s="12">
        <f t="shared" ref="V633:V636" si="318">S633+U633</f>
        <v>90</v>
      </c>
      <c r="W633" s="12"/>
      <c r="X633" s="20">
        <f t="shared" si="296"/>
        <v>57.7</v>
      </c>
      <c r="Y633" s="20">
        <f t="shared" ref="Y633:Y636" si="319">X633/0.7+L633+U633</f>
        <v>82.4285714285714</v>
      </c>
    </row>
    <row r="634" ht="15.6" hidden="1" outlineLevel="2" spans="1:25">
      <c r="A634" s="12">
        <v>213</v>
      </c>
      <c r="B634" s="12">
        <v>35</v>
      </c>
      <c r="C634" s="6" t="s">
        <v>703</v>
      </c>
      <c r="D634" s="6" t="s">
        <v>53</v>
      </c>
      <c r="E634" s="12">
        <v>12.4</v>
      </c>
      <c r="F634" s="11">
        <f>LOOKUP(E634,{0,1,1.8,2.6,3.4,4.2,5,6.3,7.6,8.9,10.2,11.5,12.8,14.1,15.4,16.7,18,19.7,21.4,23.1,24.8},{0,10,20,30,40,50,60,62,64,66,68,70,72,74,76,78,80,85,90,95,100})</f>
        <v>70</v>
      </c>
      <c r="G634" s="12">
        <v>215</v>
      </c>
      <c r="H634" s="11">
        <f>LOOKUP(G634,{0,124,129,134,139,144,149,152,155,158,161,164,167,170,173,176,179,186,193,199,205},{0,10,20,30,40,50,60,62,64,66,68,70,72,74,76,78,80,85,90,95,100})</f>
        <v>100</v>
      </c>
      <c r="I634" s="12">
        <v>55</v>
      </c>
      <c r="J634" s="11">
        <f>LOOKUP(I634,{0,14,16,18,20,22,24,26,28,30,32,34,36,38,40,42,44,47,50,52,54},{0,10,20,30,40,50,60,62,64,66,68,70,72,74,76,78,80,85,90,95,100})</f>
        <v>100</v>
      </c>
      <c r="K634" s="12">
        <f>I634-54</f>
        <v>1</v>
      </c>
      <c r="L634" s="11">
        <f>LOOKUP(K634,{0,2,4,6,7,8,9,10,11,12,13},{0,1,2,3,4,5,6,7,8,9,10})</f>
        <v>0</v>
      </c>
      <c r="M634" s="12">
        <f t="shared" si="315"/>
        <v>100</v>
      </c>
      <c r="N634" s="12">
        <v>7.9</v>
      </c>
      <c r="O634" s="12">
        <f t="shared" si="316"/>
        <v>4.1</v>
      </c>
      <c r="P634" s="11">
        <f>LOOKUP(O634,{0,0.5,0.7,0.9,1.1,1.3,1.5,1.7,1.9,2.1,2.3,2.5,2.7,2.9,3.1,3.3,3.5,3.8,4.1,4.2,4.3},{0,10,20,30,40,50,60,62,64,66,68,70,72,74,76,78,80,85,90,95,100})</f>
        <v>90</v>
      </c>
      <c r="Q634" s="12">
        <v>3.13</v>
      </c>
      <c r="R634" s="12">
        <f t="shared" si="317"/>
        <v>6.87</v>
      </c>
      <c r="S634" s="11">
        <f>LOOKUP(R634,{0,4.72,4.82,4.92,5.42,5.52,5.62,5.67,5.72,5.77,5.82,5.87,5.92,5.97,6.42,6.47,6.52,6.59,6.66,6.72,6.78},{0,10,20,30,40,50,60,62,64,66,68,70,72,74,76,78,80,85,90,95,100})</f>
        <v>100</v>
      </c>
      <c r="T634" s="21">
        <f t="shared" si="314"/>
        <v>0.0900000000000003</v>
      </c>
      <c r="U634" s="16">
        <f>LOOKUP(T634,{0,0.05,0.1,0.15,0.2,0.25,0.3,0.35,0.4,0.45,0.5},{0,1,2,3,4,5,6,7,8,9,10})</f>
        <v>1</v>
      </c>
      <c r="V634" s="12">
        <f t="shared" si="318"/>
        <v>101</v>
      </c>
      <c r="W634" s="12"/>
      <c r="X634" s="20">
        <f t="shared" si="296"/>
        <v>65</v>
      </c>
      <c r="Y634" s="20">
        <f t="shared" si="319"/>
        <v>93.8571428571429</v>
      </c>
    </row>
    <row r="635" ht="15.6" hidden="1" outlineLevel="2" spans="1:25">
      <c r="A635" s="12">
        <v>213</v>
      </c>
      <c r="B635" s="12">
        <v>36</v>
      </c>
      <c r="C635" s="6" t="s">
        <v>704</v>
      </c>
      <c r="D635" s="6" t="s">
        <v>53</v>
      </c>
      <c r="E635" s="12">
        <v>20.5</v>
      </c>
      <c r="F635" s="11">
        <f>LOOKUP(E635,{0,1,1.8,2.6,3.4,4.2,5,6.3,7.6,8.9,10.2,11.5,12.8,14.1,15.4,16.7,18,19.7,21.4,23.1,24.8},{0,10,20,30,40,50,60,62,64,66,68,70,72,74,76,78,80,85,90,95,100})</f>
        <v>85</v>
      </c>
      <c r="G635" s="12">
        <v>202</v>
      </c>
      <c r="H635" s="11">
        <f>LOOKUP(G635,{0,124,129,134,139,144,149,152,155,158,161,164,167,170,173,176,179,186,193,199,205},{0,10,20,30,40,50,60,62,64,66,68,70,72,74,76,78,80,85,90,95,100})</f>
        <v>95</v>
      </c>
      <c r="I635" s="12">
        <v>46</v>
      </c>
      <c r="J635" s="11">
        <f>LOOKUP(I635,{0,14,16,18,20,22,24,26,28,30,32,34,36,38,40,42,44,47,50,52,54},{0,10,20,30,40,50,60,62,64,66,68,70,72,74,76,78,80,85,90,95,100})</f>
        <v>80</v>
      </c>
      <c r="K635" s="12"/>
      <c r="L635" s="12"/>
      <c r="M635" s="12">
        <f t="shared" si="315"/>
        <v>80</v>
      </c>
      <c r="N635" s="12">
        <v>8</v>
      </c>
      <c r="O635" s="12">
        <f t="shared" si="316"/>
        <v>4</v>
      </c>
      <c r="P635" s="11">
        <f>LOOKUP(O635,{0,0.5,0.7,0.9,1.1,1.3,1.5,1.7,1.9,2.1,2.3,2.5,2.7,2.9,3.1,3.3,3.5,3.8,4.1,4.2,4.3},{0,10,20,30,40,50,60,62,64,66,68,70,72,74,76,78,80,85,90,95,100})</f>
        <v>85</v>
      </c>
      <c r="Q635" s="12">
        <v>3.14</v>
      </c>
      <c r="R635" s="12">
        <f t="shared" si="317"/>
        <v>6.86</v>
      </c>
      <c r="S635" s="11">
        <f>LOOKUP(R635,{0,4.72,4.82,4.92,5.42,5.52,5.62,5.67,5.72,5.77,5.82,5.87,5.92,5.97,6.42,6.47,6.52,6.59,6.66,6.72,6.78},{0,10,20,30,40,50,60,62,64,66,68,70,72,74,76,78,80,85,90,95,100})</f>
        <v>100</v>
      </c>
      <c r="T635" s="21">
        <f t="shared" si="314"/>
        <v>0.0800000000000001</v>
      </c>
      <c r="U635" s="11">
        <f>LOOKUP(T635,{0,0.05,0.1,0.15,0.2,0.25,0.3,0.35,0.4,0.45,0.5},{0,1,2,3,4,5,6,7,8,9,10})</f>
        <v>1</v>
      </c>
      <c r="V635" s="12">
        <f t="shared" si="318"/>
        <v>101</v>
      </c>
      <c r="W635" s="12"/>
      <c r="X635" s="20">
        <f t="shared" si="296"/>
        <v>63</v>
      </c>
      <c r="Y635" s="20">
        <f t="shared" si="319"/>
        <v>91</v>
      </c>
    </row>
    <row r="636" ht="15.6" hidden="1" outlineLevel="2" spans="1:25">
      <c r="A636" s="12">
        <v>213</v>
      </c>
      <c r="B636" s="12">
        <v>37</v>
      </c>
      <c r="C636" s="6" t="s">
        <v>705</v>
      </c>
      <c r="D636" s="6" t="s">
        <v>53</v>
      </c>
      <c r="E636" s="12">
        <v>26</v>
      </c>
      <c r="F636" s="11">
        <f>LOOKUP(E636,{0,1,1.8,2.6,3.4,4.2,5,6.3,7.6,8.9,10.2,11.5,12.8,14.1,15.4,16.7,18,19.7,21.4,23.1,24.8},{0,10,20,30,40,50,60,62,64,66,68,70,72,74,76,78,80,85,90,95,100})</f>
        <v>100</v>
      </c>
      <c r="G636" s="12">
        <v>146</v>
      </c>
      <c r="H636" s="11">
        <f>LOOKUP(G636,{0,124,129,134,139,144,149,152,155,158,161,164,167,170,173,176,179,186,193,199,205},{0,10,20,30,40,50,60,62,64,66,68,70,72,74,76,78,80,85,90,95,100})</f>
        <v>50</v>
      </c>
      <c r="I636" s="12">
        <v>42</v>
      </c>
      <c r="J636" s="11">
        <f>LOOKUP(I636,{0,14,16,18,20,22,24,26,28,30,32,34,36,38,40,42,44,47,50,52,54},{0,10,20,30,40,50,60,62,64,66,68,70,72,74,76,78,80,85,90,95,100})</f>
        <v>78</v>
      </c>
      <c r="K636" s="12"/>
      <c r="L636" s="12"/>
      <c r="M636" s="12">
        <f t="shared" si="315"/>
        <v>78</v>
      </c>
      <c r="N636" s="12">
        <v>9.7</v>
      </c>
      <c r="O636" s="12">
        <f t="shared" si="316"/>
        <v>2.3</v>
      </c>
      <c r="P636" s="11">
        <f>LOOKUP(O636,{0,0.5,0.7,0.9,1.1,1.3,1.5,1.7,1.9,2.1,2.3,2.5,2.7,2.9,3.1,3.3,3.5,3.8,4.1,4.2,4.3},{0,10,20,30,40,50,60,62,64,66,68,70,72,74,76,78,80,85,90,95,100})</f>
        <v>68</v>
      </c>
      <c r="Q636" s="12">
        <v>3.44</v>
      </c>
      <c r="R636" s="12">
        <f t="shared" si="317"/>
        <v>6.56</v>
      </c>
      <c r="S636" s="11">
        <f>LOOKUP(R636,{0,4.72,4.82,4.92,5.42,5.52,5.62,5.67,5.72,5.77,5.82,5.87,5.92,5.97,6.42,6.47,6.52,6.59,6.66,6.72,6.78},{0,10,20,30,40,50,60,62,64,66,68,70,72,74,76,78,80,85,90,95,100})</f>
        <v>80</v>
      </c>
      <c r="T636" s="12"/>
      <c r="U636" s="12"/>
      <c r="V636" s="12">
        <f t="shared" si="318"/>
        <v>80</v>
      </c>
      <c r="W636" s="12"/>
      <c r="X636" s="20">
        <f t="shared" si="296"/>
        <v>52.4</v>
      </c>
      <c r="Y636" s="20">
        <f t="shared" si="319"/>
        <v>74.8571428571429</v>
      </c>
    </row>
    <row r="637" ht="15.6" hidden="1" outlineLevel="2" spans="1:25">
      <c r="A637" s="12">
        <v>213</v>
      </c>
      <c r="B637" s="12">
        <v>38</v>
      </c>
      <c r="C637" s="6" t="s">
        <v>706</v>
      </c>
      <c r="D637" s="6" t="s">
        <v>53</v>
      </c>
      <c r="E637" s="12"/>
      <c r="F637" s="11"/>
      <c r="G637" s="12"/>
      <c r="H637" s="11"/>
      <c r="I637" s="12"/>
      <c r="J637" s="11"/>
      <c r="K637" s="12"/>
      <c r="L637" s="12"/>
      <c r="M637" s="12"/>
      <c r="N637" s="12"/>
      <c r="O637" s="12"/>
      <c r="P637" s="11"/>
      <c r="Q637" s="12"/>
      <c r="R637" s="12"/>
      <c r="S637" s="11"/>
      <c r="T637" s="21"/>
      <c r="U637" s="11"/>
      <c r="V637" s="12"/>
      <c r="W637" s="12" t="s">
        <v>617</v>
      </c>
      <c r="X637" s="20">
        <f t="shared" si="296"/>
        <v>0</v>
      </c>
      <c r="Y637" s="20">
        <v>50</v>
      </c>
    </row>
    <row r="638" ht="15.6" hidden="1" outlineLevel="2" spans="1:25">
      <c r="A638" s="12">
        <v>213</v>
      </c>
      <c r="B638" s="12">
        <v>39</v>
      </c>
      <c r="C638" s="6" t="s">
        <v>707</v>
      </c>
      <c r="D638" s="6" t="s">
        <v>53</v>
      </c>
      <c r="E638" s="12">
        <v>17.7</v>
      </c>
      <c r="F638" s="11">
        <f>LOOKUP(E638,{0,1,1.8,2.6,3.4,4.2,5,6.3,7.6,8.9,10.2,11.5,12.8,14.1,15.4,16.7,18,19.7,21.4,23.1,24.8},{0,10,20,30,40,50,60,62,64,66,68,70,72,74,76,78,80,85,90,95,100})</f>
        <v>78</v>
      </c>
      <c r="G638" s="12">
        <v>200</v>
      </c>
      <c r="H638" s="11">
        <f>LOOKUP(G638,{0,124,129,134,139,144,149,152,155,158,161,164,167,170,173,176,179,186,193,199,205},{0,10,20,30,40,50,60,62,64,66,68,70,72,74,76,78,80,85,90,95,100})</f>
        <v>95</v>
      </c>
      <c r="I638" s="12">
        <v>49</v>
      </c>
      <c r="J638" s="11">
        <f>LOOKUP(I638,{0,14,16,18,20,22,24,26,28,30,32,34,36,38,40,42,44,47,50,52,54},{0,10,20,30,40,50,60,62,64,66,68,70,72,74,76,78,80,85,90,95,100})</f>
        <v>85</v>
      </c>
      <c r="K638" s="12"/>
      <c r="L638" s="12"/>
      <c r="M638" s="12">
        <f t="shared" ref="M638:M641" si="320">J638+L638</f>
        <v>85</v>
      </c>
      <c r="N638" s="12">
        <v>7.9</v>
      </c>
      <c r="O638" s="12">
        <f t="shared" ref="O638:O641" si="321">12-N638</f>
        <v>4.1</v>
      </c>
      <c r="P638" s="11">
        <f>LOOKUP(O638,{0,0.5,0.7,0.9,1.1,1.3,1.5,1.7,1.9,2.1,2.3,2.5,2.7,2.9,3.1,3.3,3.5,3.8,4.1,4.2,4.3},{0,10,20,30,40,50,60,62,64,66,68,70,72,74,76,78,80,85,90,95,100})</f>
        <v>90</v>
      </c>
      <c r="Q638" s="12">
        <v>3.2</v>
      </c>
      <c r="R638" s="12">
        <f t="shared" ref="R638:R641" si="322">10-Q638</f>
        <v>6.8</v>
      </c>
      <c r="S638" s="11">
        <f>LOOKUP(R638,{0,4.72,4.82,4.92,5.42,5.52,5.62,5.67,5.72,5.77,5.82,5.87,5.92,5.97,6.42,6.47,6.52,6.59,6.66,6.72,6.78},{0,10,20,30,40,50,60,62,64,66,68,70,72,74,76,78,80,85,90,95,100})</f>
        <v>100</v>
      </c>
      <c r="T638" s="21">
        <f>3.22-Q638</f>
        <v>0.02</v>
      </c>
      <c r="U638" s="11">
        <f>LOOKUP(T638,{0,0.05,0.1,0.15,0.2,0.25,0.3,0.35,0.4,0.45,0.5},{0,1,2,3,4,5,6,7,8,9,10})</f>
        <v>0</v>
      </c>
      <c r="V638" s="12">
        <f t="shared" ref="V638:V641" si="323">S638+U638</f>
        <v>100</v>
      </c>
      <c r="W638" s="12"/>
      <c r="X638" s="20">
        <f t="shared" si="296"/>
        <v>63.8</v>
      </c>
      <c r="Y638" s="20">
        <f t="shared" ref="Y638:Y641" si="324">X638/0.7+L638+U638</f>
        <v>91.1428571428571</v>
      </c>
    </row>
    <row r="639" ht="15.6" hidden="1" outlineLevel="2" spans="1:25">
      <c r="A639" s="12">
        <v>213</v>
      </c>
      <c r="B639" s="12">
        <v>40</v>
      </c>
      <c r="C639" s="6" t="s">
        <v>708</v>
      </c>
      <c r="D639" s="6" t="s">
        <v>53</v>
      </c>
      <c r="E639" s="12">
        <v>23</v>
      </c>
      <c r="F639" s="11">
        <f>LOOKUP(E639,{0,1,1.8,2.6,3.4,4.2,5,6.3,7.6,8.9,10.2,11.5,12.8,14.1,15.4,16.7,18,19.7,21.4,23.1,24.8},{0,10,20,30,40,50,60,62,64,66,68,70,72,74,76,78,80,85,90,95,100})</f>
        <v>90</v>
      </c>
      <c r="G639" s="12">
        <v>160</v>
      </c>
      <c r="H639" s="11">
        <f>LOOKUP(G639,{0,124,129,134,139,144,149,152,155,158,161,164,167,170,173,176,179,186,193,199,205},{0,10,20,30,40,50,60,62,64,66,68,70,72,74,76,78,80,85,90,95,100})</f>
        <v>66</v>
      </c>
      <c r="I639" s="12">
        <v>47</v>
      </c>
      <c r="J639" s="11">
        <f>LOOKUP(I639,{0,14,16,18,20,22,24,26,28,30,32,34,36,38,40,42,44,47,50,52,54},{0,10,20,30,40,50,60,62,64,66,68,70,72,74,76,78,80,85,90,95,100})</f>
        <v>85</v>
      </c>
      <c r="K639" s="12"/>
      <c r="L639" s="12"/>
      <c r="M639" s="12">
        <f t="shared" si="320"/>
        <v>85</v>
      </c>
      <c r="N639" s="12">
        <v>8.9</v>
      </c>
      <c r="O639" s="12">
        <f t="shared" si="321"/>
        <v>3.1</v>
      </c>
      <c r="P639" s="11">
        <f>LOOKUP(O639,{0,0.5,0.7,0.9,1.1,1.3,1.5,1.7,1.9,2.1,2.3,2.5,2.7,2.9,3.1,3.3,3.5,3.8,4.1,4.2,4.3},{0,10,20,30,40,50,60,62,64,66,68,70,72,74,76,78,80,85,90,95,100})</f>
        <v>76</v>
      </c>
      <c r="Q639" s="12">
        <v>4.21</v>
      </c>
      <c r="R639" s="12">
        <f t="shared" si="322"/>
        <v>5.79</v>
      </c>
      <c r="S639" s="11">
        <f>LOOKUP(R639,{0,4.72,4.82,4.92,5.42,5.52,5.62,5.67,5.72,5.77,5.82,5.87,5.92,5.97,6.42,6.47,6.52,6.59,6.66,6.72,6.78},{0,10,20,30,40,50,60,62,64,66,68,70,72,74,76,78,80,85,90,95,100})</f>
        <v>66</v>
      </c>
      <c r="T639" s="12"/>
      <c r="U639" s="12"/>
      <c r="V639" s="12">
        <f t="shared" si="323"/>
        <v>66</v>
      </c>
      <c r="W639" s="12"/>
      <c r="X639" s="20">
        <f t="shared" si="296"/>
        <v>52.5</v>
      </c>
      <c r="Y639" s="20">
        <f t="shared" si="324"/>
        <v>75</v>
      </c>
    </row>
    <row r="640" ht="15.6" hidden="1" outlineLevel="2" spans="1:25">
      <c r="A640" s="12">
        <v>213</v>
      </c>
      <c r="B640" s="12">
        <v>41</v>
      </c>
      <c r="C640" s="6" t="s">
        <v>709</v>
      </c>
      <c r="D640" s="6" t="s">
        <v>53</v>
      </c>
      <c r="E640" s="12"/>
      <c r="F640" s="11"/>
      <c r="G640" s="12"/>
      <c r="H640" s="11"/>
      <c r="I640" s="12"/>
      <c r="J640" s="11"/>
      <c r="K640" s="12"/>
      <c r="L640" s="12"/>
      <c r="M640" s="12"/>
      <c r="N640" s="12"/>
      <c r="O640" s="12"/>
      <c r="P640" s="11"/>
      <c r="Q640" s="12"/>
      <c r="R640" s="12"/>
      <c r="S640" s="11"/>
      <c r="T640" s="21"/>
      <c r="U640" s="16"/>
      <c r="V640" s="12"/>
      <c r="W640" s="12" t="s">
        <v>617</v>
      </c>
      <c r="X640" s="20">
        <f t="shared" si="296"/>
        <v>0</v>
      </c>
      <c r="Y640" s="20">
        <v>50</v>
      </c>
    </row>
    <row r="641" ht="15.6" hidden="1" outlineLevel="2" spans="1:25">
      <c r="A641" s="12">
        <v>213</v>
      </c>
      <c r="B641" s="12">
        <v>42</v>
      </c>
      <c r="C641" s="6" t="s">
        <v>710</v>
      </c>
      <c r="D641" s="6" t="s">
        <v>53</v>
      </c>
      <c r="E641" s="12">
        <v>9.1</v>
      </c>
      <c r="F641" s="11">
        <f>LOOKUP(E641,{0,1,1.8,2.6,3.4,4.2,5,6.3,7.6,8.9,10.2,11.5,12.8,14.1,15.4,16.7,18,19.7,21.4,23.1,24.8},{0,10,20,30,40,50,60,62,64,66,68,70,72,74,76,78,80,85,90,95,100})</f>
        <v>66</v>
      </c>
      <c r="G641" s="12">
        <v>175</v>
      </c>
      <c r="H641" s="11">
        <f>LOOKUP(G641,{0,124,129,134,139,144,149,152,155,158,161,164,167,170,173,176,179,186,193,199,205},{0,10,20,30,40,50,60,62,64,66,68,70,72,74,76,78,80,85,90,95,100})</f>
        <v>76</v>
      </c>
      <c r="I641" s="12">
        <v>49</v>
      </c>
      <c r="J641" s="11">
        <f>LOOKUP(I641,{0,14,16,18,20,22,24,26,28,30,32,34,36,38,40,42,44,47,50,52,54},{0,10,20,30,40,50,60,62,64,66,68,70,72,74,76,78,80,85,90,95,100})</f>
        <v>85</v>
      </c>
      <c r="K641" s="12"/>
      <c r="L641" s="12"/>
      <c r="M641" s="12">
        <f t="shared" si="320"/>
        <v>85</v>
      </c>
      <c r="N641" s="12">
        <v>8.6</v>
      </c>
      <c r="O641" s="12">
        <f t="shared" si="321"/>
        <v>3.4</v>
      </c>
      <c r="P641" s="11">
        <f>LOOKUP(O641,{0,0.5,0.7,0.9,1.1,1.3,1.5,1.7,1.9,2.1,2.3,2.5,2.7,2.9,3.1,3.3,3.5,3.8,4.1,4.2,4.3},{0,10,20,30,40,50,60,62,64,66,68,70,72,74,76,78,80,85,90,95,100})</f>
        <v>78</v>
      </c>
      <c r="Q641" s="12">
        <v>3.5</v>
      </c>
      <c r="R641" s="12">
        <f t="shared" si="322"/>
        <v>6.5</v>
      </c>
      <c r="S641" s="11">
        <f>LOOKUP(R641,{0,4.72,4.82,4.92,5.42,5.52,5.62,5.67,5.72,5.77,5.82,5.87,5.92,5.97,6.42,6.47,6.52,6.59,6.66,6.72,6.78},{0,10,20,30,40,50,60,62,64,66,68,70,72,74,76,78,80,85,90,95,100})</f>
        <v>78</v>
      </c>
      <c r="T641" s="12"/>
      <c r="U641" s="12"/>
      <c r="V641" s="12">
        <f t="shared" si="323"/>
        <v>78</v>
      </c>
      <c r="W641" s="12"/>
      <c r="X641" s="20">
        <f t="shared" si="296"/>
        <v>53.9</v>
      </c>
      <c r="Y641" s="20">
        <f t="shared" si="324"/>
        <v>77</v>
      </c>
    </row>
    <row r="642" s="1" customFormat="1" ht="15.6" hidden="1" outlineLevel="2" spans="1:25">
      <c r="A642" s="12">
        <v>213</v>
      </c>
      <c r="B642" s="12">
        <v>43</v>
      </c>
      <c r="C642" s="6" t="s">
        <v>711</v>
      </c>
      <c r="D642" s="6" t="s">
        <v>53</v>
      </c>
      <c r="E642" s="12"/>
      <c r="F642" s="11"/>
      <c r="G642" s="12"/>
      <c r="H642" s="11"/>
      <c r="I642" s="12"/>
      <c r="J642" s="11"/>
      <c r="K642" s="12"/>
      <c r="L642" s="12"/>
      <c r="M642" s="12"/>
      <c r="N642" s="12"/>
      <c r="O642" s="12"/>
      <c r="P642" s="11"/>
      <c r="Q642" s="12"/>
      <c r="R642" s="12"/>
      <c r="S642" s="11"/>
      <c r="T642" s="21"/>
      <c r="U642" s="11"/>
      <c r="V642" s="12"/>
      <c r="W642" s="12" t="s">
        <v>617</v>
      </c>
      <c r="X642" s="20">
        <f t="shared" si="296"/>
        <v>0</v>
      </c>
      <c r="Y642" s="20">
        <v>50</v>
      </c>
    </row>
    <row r="643" ht="15.6" hidden="1" outlineLevel="2" spans="1:25">
      <c r="A643" s="12">
        <v>213</v>
      </c>
      <c r="B643" s="12">
        <v>44</v>
      </c>
      <c r="C643" s="6" t="s">
        <v>712</v>
      </c>
      <c r="D643" s="6" t="s">
        <v>53</v>
      </c>
      <c r="E643" s="12">
        <v>23</v>
      </c>
      <c r="F643" s="11">
        <f>LOOKUP(E643,{0,1,1.8,2.6,3.4,4.2,5,6.3,7.6,8.9,10.2,11.5,12.8,14.1,15.4,16.7,18,19.7,21.4,23.1,24.8},{0,10,20,30,40,50,60,62,64,66,68,70,72,74,76,78,80,85,90,95,100})</f>
        <v>90</v>
      </c>
      <c r="G643" s="12">
        <v>154</v>
      </c>
      <c r="H643" s="11">
        <f>LOOKUP(G643,{0,124,129,134,139,144,149,152,155,158,161,164,167,170,173,176,179,186,193,199,205},{0,10,20,30,40,50,60,62,64,66,68,70,72,74,76,78,80,85,90,95,100})</f>
        <v>62</v>
      </c>
      <c r="I643" s="12">
        <v>39</v>
      </c>
      <c r="J643" s="11">
        <f>LOOKUP(I643,{0,14,16,18,20,22,24,26,28,30,32,34,36,38,40,42,44,47,50,52,54},{0,10,20,30,40,50,60,62,64,66,68,70,72,74,76,78,80,85,90,95,100})</f>
        <v>74</v>
      </c>
      <c r="K643" s="12"/>
      <c r="L643" s="12"/>
      <c r="M643" s="12">
        <f t="shared" ref="M643:M647" si="325">J643+L643</f>
        <v>74</v>
      </c>
      <c r="N643" s="12">
        <v>10.2</v>
      </c>
      <c r="O643" s="12">
        <f t="shared" ref="O643:O647" si="326">12-N643</f>
        <v>1.8</v>
      </c>
      <c r="P643" s="11">
        <f>LOOKUP(O643,{0,0.5,0.7,0.9,1.1,1.3,1.5,1.7,1.9,2.1,2.3,2.5,2.7,2.9,3.1,3.3,3.5,3.8,4.1,4.2,4.3},{0,10,20,30,40,50,60,62,64,66,68,70,72,74,76,78,80,85,90,95,100})</f>
        <v>62</v>
      </c>
      <c r="Q643" s="12">
        <v>5.03</v>
      </c>
      <c r="R643" s="12">
        <f t="shared" ref="R643:R647" si="327">10-Q643</f>
        <v>4.97</v>
      </c>
      <c r="S643" s="11">
        <f>LOOKUP(R643,{0,4.72,4.82,4.92,5.42,5.52,5.62,5.67,5.72,5.77,5.82,5.87,5.92,5.97,6.42,6.47,6.52,6.59,6.66,6.72,6.78},{0,10,20,30,40,50,60,62,64,66,68,70,72,74,76,78,80,85,90,95,100})</f>
        <v>30</v>
      </c>
      <c r="T643" s="12"/>
      <c r="U643" s="12"/>
      <c r="V643" s="12">
        <f t="shared" ref="V643:V647" si="328">S643+U643</f>
        <v>30</v>
      </c>
      <c r="W643" s="12"/>
      <c r="X643" s="20">
        <f t="shared" si="296"/>
        <v>41</v>
      </c>
      <c r="Y643" s="20">
        <f t="shared" ref="Y643:Y647" si="329">X643/0.7+L643+U643</f>
        <v>58.5714285714286</v>
      </c>
    </row>
    <row r="644" ht="15.6" hidden="1" outlineLevel="2" spans="1:25">
      <c r="A644" s="12">
        <v>213</v>
      </c>
      <c r="B644" s="12">
        <v>45</v>
      </c>
      <c r="C644" s="6" t="s">
        <v>713</v>
      </c>
      <c r="D644" s="6" t="s">
        <v>53</v>
      </c>
      <c r="E644" s="12">
        <v>16.8</v>
      </c>
      <c r="F644" s="11">
        <f>LOOKUP(E644,{0,1,1.8,2.6,3.4,4.2,5,6.3,7.6,8.9,10.2,11.5,12.8,14.1,15.4,16.7,18,19.7,21.4,23.1,24.8},{0,10,20,30,40,50,60,62,64,66,68,70,72,74,76,78,80,85,90,95,100})</f>
        <v>78</v>
      </c>
      <c r="G644" s="12">
        <v>180</v>
      </c>
      <c r="H644" s="11">
        <f>LOOKUP(G644,{0,124,129,134,139,144,149,152,155,158,161,164,167,170,173,176,179,186,193,199,205},{0,10,20,30,40,50,60,62,64,66,68,70,72,74,76,78,80,85,90,95,100})</f>
        <v>80</v>
      </c>
      <c r="I644" s="12">
        <v>52</v>
      </c>
      <c r="J644" s="11">
        <f>LOOKUP(I644,{0,14,16,18,20,22,24,26,28,30,32,34,36,38,40,42,44,47,50,52,54},{0,10,20,30,40,50,60,62,64,66,68,70,72,74,76,78,80,85,90,95,100})</f>
        <v>95</v>
      </c>
      <c r="K644" s="12"/>
      <c r="L644" s="12"/>
      <c r="M644" s="12">
        <f t="shared" si="325"/>
        <v>95</v>
      </c>
      <c r="N644" s="12">
        <v>9.4</v>
      </c>
      <c r="O644" s="12">
        <f t="shared" si="326"/>
        <v>2.6</v>
      </c>
      <c r="P644" s="11">
        <f>LOOKUP(O644,{0,0.5,0.7,0.9,1.1,1.3,1.5,1.7,1.9,2.1,2.3,2.5,2.7,2.9,3.1,3.3,3.5,3.8,4.1,4.2,4.3},{0,10,20,30,40,50,60,62,64,66,68,70,72,74,76,78,80,85,90,95,100})</f>
        <v>70</v>
      </c>
      <c r="Q644" s="12">
        <v>3.32</v>
      </c>
      <c r="R644" s="12">
        <f t="shared" si="327"/>
        <v>6.68</v>
      </c>
      <c r="S644" s="11">
        <f>LOOKUP(R644,{0,4.72,4.82,4.92,5.42,5.52,5.62,5.67,5.72,5.77,5.82,5.87,5.92,5.97,6.42,6.47,6.52,6.59,6.66,6.72,6.78},{0,10,20,30,40,50,60,62,64,66,68,70,72,74,76,78,80,85,90,95,100})</f>
        <v>90</v>
      </c>
      <c r="T644" s="12"/>
      <c r="U644" s="12"/>
      <c r="V644" s="12">
        <f t="shared" si="328"/>
        <v>90</v>
      </c>
      <c r="W644" s="12"/>
      <c r="X644" s="20">
        <f t="shared" si="296"/>
        <v>57.3</v>
      </c>
      <c r="Y644" s="20">
        <f t="shared" si="329"/>
        <v>81.8571428571429</v>
      </c>
    </row>
    <row r="645" ht="15.6" hidden="1" outlineLevel="2" spans="1:25">
      <c r="A645" s="12">
        <v>213</v>
      </c>
      <c r="B645" s="12">
        <v>46</v>
      </c>
      <c r="C645" s="13" t="s">
        <v>715</v>
      </c>
      <c r="D645" s="6" t="s">
        <v>53</v>
      </c>
      <c r="E645" s="12">
        <v>17</v>
      </c>
      <c r="F645" s="11">
        <f>LOOKUP(E645,{0,1,1.8,2.6,3.4,4.2,5,6.3,7.6,8.9,10.2,11.5,12.8,14.1,15.4,16.7,18,19.7,21.4,23.1,24.8},{0,10,20,30,40,50,60,62,64,66,68,70,72,74,76,78,80,85,90,95,100})</f>
        <v>78</v>
      </c>
      <c r="G645" s="12">
        <v>175</v>
      </c>
      <c r="H645" s="11">
        <f>LOOKUP(G645,{0,124,129,134,139,144,149,152,155,158,161,164,167,170,173,176,179,186,193,199,205},{0,10,20,30,40,50,60,62,64,66,68,70,72,74,76,78,80,85,90,95,100})</f>
        <v>76</v>
      </c>
      <c r="I645" s="12">
        <v>50</v>
      </c>
      <c r="J645" s="11">
        <f>LOOKUP(I645,{0,14,16,18,20,22,24,26,28,30,32,34,36,38,40,42,44,47,50,52,54},{0,10,20,30,40,50,60,62,64,66,68,70,72,74,76,78,80,85,90,95,100})</f>
        <v>90</v>
      </c>
      <c r="K645" s="12"/>
      <c r="L645" s="12"/>
      <c r="M645" s="12">
        <f t="shared" si="325"/>
        <v>90</v>
      </c>
      <c r="N645" s="12">
        <v>8.4</v>
      </c>
      <c r="O645" s="12">
        <f t="shared" si="326"/>
        <v>3.6</v>
      </c>
      <c r="P645" s="11">
        <f>LOOKUP(O645,{0,0.5,0.7,0.9,1.1,1.3,1.5,1.7,1.9,2.1,2.3,2.5,2.7,2.9,3.1,3.3,3.5,3.8,4.1,4.2,4.3},{0,10,20,30,40,50,60,62,64,66,68,70,72,74,76,78,80,85,90,95,100})</f>
        <v>80</v>
      </c>
      <c r="Q645" s="12">
        <v>3.37</v>
      </c>
      <c r="R645" s="12">
        <f t="shared" si="327"/>
        <v>6.63</v>
      </c>
      <c r="S645" s="11">
        <f>LOOKUP(R645,{0,4.72,4.82,4.92,5.42,5.52,5.62,5.67,5.72,5.77,5.82,5.87,5.92,5.97,6.42,6.47,6.52,6.59,6.66,6.72,6.78},{0,10,20,30,40,50,60,62,64,66,68,70,72,74,76,78,80,85,90,95,100})</f>
        <v>85</v>
      </c>
      <c r="T645" s="12"/>
      <c r="U645" s="12"/>
      <c r="V645" s="12">
        <f t="shared" si="328"/>
        <v>85</v>
      </c>
      <c r="W645" s="12"/>
      <c r="X645" s="20">
        <f t="shared" si="296"/>
        <v>57.4</v>
      </c>
      <c r="Y645" s="20">
        <f t="shared" si="329"/>
        <v>82</v>
      </c>
    </row>
    <row r="646" ht="15.6" hidden="1" outlineLevel="2" spans="1:25">
      <c r="A646" s="12">
        <v>213</v>
      </c>
      <c r="B646" s="12">
        <v>47</v>
      </c>
      <c r="C646" s="6" t="s">
        <v>716</v>
      </c>
      <c r="D646" s="6" t="s">
        <v>53</v>
      </c>
      <c r="E646" s="12">
        <v>16.5</v>
      </c>
      <c r="F646" s="11">
        <f>LOOKUP(E646,{0,1,1.8,2.6,3.4,4.2,5,6.3,7.6,8.9,10.2,11.5,12.8,14.1,15.4,16.7,18,19.7,21.4,23.1,24.8},{0,10,20,30,40,50,60,62,64,66,68,70,72,74,76,78,80,85,90,95,100})</f>
        <v>76</v>
      </c>
      <c r="G646" s="12">
        <v>170</v>
      </c>
      <c r="H646" s="11">
        <f>LOOKUP(G646,{0,124,129,134,139,144,149,152,155,158,161,164,167,170,173,176,179,186,193,199,205},{0,10,20,30,40,50,60,62,64,66,68,70,72,74,76,78,80,85,90,95,100})</f>
        <v>74</v>
      </c>
      <c r="I646" s="12">
        <v>46</v>
      </c>
      <c r="J646" s="11">
        <f>LOOKUP(I646,{0,14,16,18,20,22,24,26,28,30,32,34,36,38,40,42,44,47,50,52,54},{0,10,20,30,40,50,60,62,64,66,68,70,72,74,76,78,80,85,90,95,100})</f>
        <v>80</v>
      </c>
      <c r="K646" s="12"/>
      <c r="L646" s="12"/>
      <c r="M646" s="12">
        <f t="shared" si="325"/>
        <v>80</v>
      </c>
      <c r="N646" s="12">
        <v>8.7</v>
      </c>
      <c r="O646" s="12">
        <f t="shared" si="326"/>
        <v>3.3</v>
      </c>
      <c r="P646" s="11">
        <f>LOOKUP(O646,{0,0.5,0.7,0.9,1.1,1.3,1.5,1.7,1.9,2.1,2.3,2.5,2.7,2.9,3.1,3.3,3.5,3.8,4.1,4.2,4.3},{0,10,20,30,40,50,60,62,64,66,68,70,72,74,76,78,80,85,90,95,100})</f>
        <v>78</v>
      </c>
      <c r="Q646" s="12">
        <v>4</v>
      </c>
      <c r="R646" s="12">
        <f t="shared" si="327"/>
        <v>6</v>
      </c>
      <c r="S646" s="11">
        <f>LOOKUP(R646,{0,4.72,4.82,4.92,5.42,5.52,5.62,5.67,5.72,5.77,5.82,5.87,5.92,5.97,6.42,6.47,6.52,6.59,6.66,6.72,6.78},{0,10,20,30,40,50,60,62,64,66,68,70,72,74,76,78,80,85,90,95,100})</f>
        <v>74</v>
      </c>
      <c r="T646" s="12"/>
      <c r="U646" s="12"/>
      <c r="V646" s="12">
        <f t="shared" si="328"/>
        <v>74</v>
      </c>
      <c r="W646" s="12"/>
      <c r="X646" s="20">
        <f t="shared" si="296"/>
        <v>53.4</v>
      </c>
      <c r="Y646" s="20">
        <f t="shared" si="329"/>
        <v>76.2857142857143</v>
      </c>
    </row>
    <row r="647" ht="15.6" hidden="1" outlineLevel="2" spans="1:25">
      <c r="A647" s="12">
        <v>213</v>
      </c>
      <c r="B647" s="12">
        <v>48</v>
      </c>
      <c r="C647" s="6" t="s">
        <v>717</v>
      </c>
      <c r="D647" s="6" t="s">
        <v>53</v>
      </c>
      <c r="E647" s="12">
        <v>31.5</v>
      </c>
      <c r="F647" s="11">
        <f>LOOKUP(E647,{0,1,1.8,2.6,3.4,4.2,5,6.3,7.6,8.9,10.2,11.5,12.8,14.1,15.4,16.7,18,19.7,21.4,23.1,24.8},{0,10,20,30,40,50,60,62,64,66,68,70,72,74,76,78,80,85,90,95,100})</f>
        <v>100</v>
      </c>
      <c r="G647" s="12">
        <v>193</v>
      </c>
      <c r="H647" s="11">
        <f>LOOKUP(G647,{0,124,129,134,139,144,149,152,155,158,161,164,167,170,173,176,179,186,193,199,205},{0,10,20,30,40,50,60,62,64,66,68,70,72,74,76,78,80,85,90,95,100})</f>
        <v>90</v>
      </c>
      <c r="I647" s="12">
        <v>49</v>
      </c>
      <c r="J647" s="11">
        <f>LOOKUP(I647,{0,14,16,18,20,22,24,26,28,30,32,34,36,38,40,42,44,47,50,52,54},{0,10,20,30,40,50,60,62,64,66,68,70,72,74,76,78,80,85,90,95,100})</f>
        <v>85</v>
      </c>
      <c r="K647" s="12"/>
      <c r="L647" s="12"/>
      <c r="M647" s="12">
        <f t="shared" si="325"/>
        <v>85</v>
      </c>
      <c r="N647" s="12">
        <v>8.6</v>
      </c>
      <c r="O647" s="12">
        <f t="shared" si="326"/>
        <v>3.4</v>
      </c>
      <c r="P647" s="11">
        <f>LOOKUP(O647,{0,0.5,0.7,0.9,1.1,1.3,1.5,1.7,1.9,2.1,2.3,2.5,2.7,2.9,3.1,3.3,3.5,3.8,4.1,4.2,4.3},{0,10,20,30,40,50,60,62,64,66,68,70,72,74,76,78,80,85,90,95,100})</f>
        <v>78</v>
      </c>
      <c r="Q647" s="12">
        <v>3.31</v>
      </c>
      <c r="R647" s="12">
        <f t="shared" si="327"/>
        <v>6.69</v>
      </c>
      <c r="S647" s="11">
        <f>LOOKUP(R647,{0,4.72,4.82,4.92,5.42,5.52,5.62,5.67,5.72,5.77,5.82,5.87,5.92,5.97,6.42,6.47,6.52,6.59,6.66,6.72,6.78},{0,10,20,30,40,50,60,62,64,66,68,70,72,74,76,78,80,85,90,95,100})</f>
        <v>90</v>
      </c>
      <c r="T647" s="12"/>
      <c r="U647" s="15"/>
      <c r="V647" s="12">
        <f t="shared" si="328"/>
        <v>90</v>
      </c>
      <c r="W647" s="12"/>
      <c r="X647" s="20">
        <f t="shared" si="296"/>
        <v>61.1</v>
      </c>
      <c r="Y647" s="20">
        <f t="shared" si="329"/>
        <v>87.2857142857143</v>
      </c>
    </row>
    <row r="648" ht="15.6" hidden="1" outlineLevel="2" spans="1:25">
      <c r="A648" s="12">
        <v>213</v>
      </c>
      <c r="B648" s="12">
        <v>49</v>
      </c>
      <c r="C648" s="6" t="s">
        <v>718</v>
      </c>
      <c r="D648" s="6" t="s">
        <v>53</v>
      </c>
      <c r="E648" s="12"/>
      <c r="F648" s="11"/>
      <c r="G648" s="12"/>
      <c r="H648" s="11"/>
      <c r="I648" s="12"/>
      <c r="J648" s="11"/>
      <c r="K648" s="12"/>
      <c r="L648" s="12"/>
      <c r="M648" s="12"/>
      <c r="N648" s="12"/>
      <c r="O648" s="12"/>
      <c r="P648" s="11"/>
      <c r="Q648" s="12"/>
      <c r="R648" s="12"/>
      <c r="S648" s="11"/>
      <c r="T648" s="21"/>
      <c r="U648" s="11"/>
      <c r="V648" s="12"/>
      <c r="W648" s="12"/>
      <c r="X648" s="20">
        <f t="shared" si="296"/>
        <v>0</v>
      </c>
      <c r="Y648" s="23">
        <v>50</v>
      </c>
    </row>
    <row r="649" ht="15.6" hidden="1" outlineLevel="2" spans="1:25">
      <c r="A649" s="12">
        <v>213</v>
      </c>
      <c r="B649" s="12">
        <v>50</v>
      </c>
      <c r="C649" s="6" t="s">
        <v>719</v>
      </c>
      <c r="D649" s="6" t="s">
        <v>53</v>
      </c>
      <c r="E649" s="12">
        <v>15.6</v>
      </c>
      <c r="F649" s="11">
        <f>LOOKUP(E649,{0,1,1.8,2.6,3.4,4.2,5,6.3,7.6,8.9,10.2,11.5,12.8,14.1,15.4,16.7,18,19.7,21.4,23.1,24.8},{0,10,20,30,40,50,60,62,64,66,68,70,72,74,76,78,80,85,90,95,100})</f>
        <v>76</v>
      </c>
      <c r="G649" s="12">
        <v>175</v>
      </c>
      <c r="H649" s="11">
        <f>LOOKUP(G649,{0,124,129,134,139,144,149,152,155,158,161,164,167,170,173,176,179,186,193,199,205},{0,10,20,30,40,50,60,62,64,66,68,70,72,74,76,78,80,85,90,95,100})</f>
        <v>76</v>
      </c>
      <c r="I649" s="12">
        <v>46</v>
      </c>
      <c r="J649" s="11">
        <f>LOOKUP(I649,{0,14,16,18,20,22,24,26,28,30,32,34,36,38,40,42,44,47,50,52,54},{0,10,20,30,40,50,60,62,64,66,68,70,72,74,76,78,80,85,90,95,100})</f>
        <v>80</v>
      </c>
      <c r="K649" s="12"/>
      <c r="L649" s="12"/>
      <c r="M649" s="12">
        <f t="shared" ref="M649:M657" si="330">J649+L649</f>
        <v>80</v>
      </c>
      <c r="N649" s="12">
        <v>8.7</v>
      </c>
      <c r="O649" s="12">
        <f t="shared" ref="O649:O657" si="331">12-N649</f>
        <v>3.3</v>
      </c>
      <c r="P649" s="11">
        <f>LOOKUP(O649,{0,0.5,0.7,0.9,1.1,1.3,1.5,1.7,1.9,2.1,2.3,2.5,2.7,2.9,3.1,3.3,3.5,3.8,4.1,4.2,4.3},{0,10,20,30,40,50,60,62,64,66,68,70,72,74,76,78,80,85,90,95,100})</f>
        <v>78</v>
      </c>
      <c r="Q649" s="12">
        <v>4.01</v>
      </c>
      <c r="R649" s="12">
        <f t="shared" ref="R649:R657" si="332">10-Q649</f>
        <v>5.99</v>
      </c>
      <c r="S649" s="11">
        <f>LOOKUP(R649,{0,4.72,4.82,4.92,5.42,5.52,5.62,5.67,5.72,5.77,5.82,5.87,5.92,5.97,6.42,6.47,6.52,6.59,6.66,6.72,6.78},{0,10,20,30,40,50,60,62,64,66,68,70,72,74,76,78,80,85,90,95,100})</f>
        <v>74</v>
      </c>
      <c r="T649" s="12"/>
      <c r="U649" s="12"/>
      <c r="V649" s="12">
        <f t="shared" ref="V649:V657" si="333">S649+U649</f>
        <v>74</v>
      </c>
      <c r="W649" s="12"/>
      <c r="X649" s="20">
        <f t="shared" si="296"/>
        <v>53.6</v>
      </c>
      <c r="Y649" s="20">
        <f t="shared" ref="Y649:Y657" si="334">X649/0.7+L649+U649</f>
        <v>76.5714285714286</v>
      </c>
    </row>
    <row r="650" ht="15.6" hidden="1" outlineLevel="2" spans="1:25">
      <c r="A650" s="12">
        <v>213</v>
      </c>
      <c r="B650" s="12">
        <v>51</v>
      </c>
      <c r="C650" s="6" t="s">
        <v>720</v>
      </c>
      <c r="D650" s="6" t="s">
        <v>53</v>
      </c>
      <c r="E650" s="12">
        <v>26.5</v>
      </c>
      <c r="F650" s="11">
        <f>LOOKUP(E650,{0,1,1.8,2.6,3.4,4.2,5,6.3,7.6,8.9,10.2,11.5,12.8,14.1,15.4,16.7,18,19.7,21.4,23.1,24.8},{0,10,20,30,40,50,60,62,64,66,68,70,72,74,76,78,80,85,90,95,100})</f>
        <v>100</v>
      </c>
      <c r="G650" s="12">
        <v>180</v>
      </c>
      <c r="H650" s="11">
        <f>LOOKUP(G650,{0,124,129,134,139,144,149,152,155,158,161,164,167,170,173,176,179,186,193,199,205},{0,10,20,30,40,50,60,62,64,66,68,70,72,74,76,78,80,85,90,95,100})</f>
        <v>80</v>
      </c>
      <c r="I650" s="12">
        <v>48</v>
      </c>
      <c r="J650" s="11">
        <f>LOOKUP(I650,{0,14,16,18,20,22,24,26,28,30,32,34,36,38,40,42,44,47,50,52,54},{0,10,20,30,40,50,60,62,64,66,68,70,72,74,76,78,80,85,90,95,100})</f>
        <v>85</v>
      </c>
      <c r="K650" s="12"/>
      <c r="L650" s="12"/>
      <c r="M650" s="12">
        <f t="shared" si="330"/>
        <v>85</v>
      </c>
      <c r="N650" s="12">
        <v>8.8</v>
      </c>
      <c r="O650" s="12">
        <f t="shared" si="331"/>
        <v>3.2</v>
      </c>
      <c r="P650" s="11">
        <f>LOOKUP(O650,{0,0.5,0.7,0.9,1.1,1.3,1.5,1.7,1.9,2.1,2.3,2.5,2.7,2.9,3.1,3.3,3.5,3.8,4.1,4.2,4.3},{0,10,20,30,40,50,60,62,64,66,68,70,72,74,76,78,80,85,90,95,100})</f>
        <v>76</v>
      </c>
      <c r="Q650" s="12">
        <v>3.24</v>
      </c>
      <c r="R650" s="12">
        <f t="shared" si="332"/>
        <v>6.76</v>
      </c>
      <c r="S650" s="11">
        <f>LOOKUP(R650,{0,4.72,4.82,4.92,5.42,5.52,5.62,5.67,5.72,5.77,5.82,5.87,5.92,5.97,6.42,6.47,6.52,6.59,6.66,6.72,6.78},{0,10,20,30,40,50,60,62,64,66,68,70,72,74,76,78,80,85,90,95,100})</f>
        <v>95</v>
      </c>
      <c r="T650" s="12"/>
      <c r="U650" s="12"/>
      <c r="V650" s="12">
        <f t="shared" si="333"/>
        <v>95</v>
      </c>
      <c r="W650" s="12"/>
      <c r="X650" s="20">
        <f t="shared" si="296"/>
        <v>60.7</v>
      </c>
      <c r="Y650" s="20">
        <f t="shared" si="334"/>
        <v>86.7142857142857</v>
      </c>
    </row>
    <row r="651" ht="15.6" hidden="1" outlineLevel="2" spans="1:25">
      <c r="A651" s="12">
        <v>213</v>
      </c>
      <c r="B651" s="12">
        <v>52</v>
      </c>
      <c r="C651" s="6" t="s">
        <v>721</v>
      </c>
      <c r="D651" s="6" t="s">
        <v>53</v>
      </c>
      <c r="E651" s="12">
        <v>19.7</v>
      </c>
      <c r="F651" s="11">
        <f>LOOKUP(E651,{0,1,1.8,2.6,3.4,4.2,5,6.3,7.6,8.9,10.2,11.5,12.8,14.1,15.4,16.7,18,19.7,21.4,23.1,24.8},{0,10,20,30,40,50,60,62,64,66,68,70,72,74,76,78,80,85,90,95,100})</f>
        <v>85</v>
      </c>
      <c r="G651" s="12">
        <v>203</v>
      </c>
      <c r="H651" s="11">
        <f>LOOKUP(G651,{0,124,129,134,139,144,149,152,155,158,161,164,167,170,173,176,179,186,193,199,205},{0,10,20,30,40,50,60,62,64,66,68,70,72,74,76,78,80,85,90,95,100})</f>
        <v>95</v>
      </c>
      <c r="I651" s="12">
        <v>57</v>
      </c>
      <c r="J651" s="11">
        <f>LOOKUP(I651,{0,14,16,18,20,22,24,26,28,30,32,34,36,38,40,42,44,47,50,52,54},{0,10,20,30,40,50,60,62,64,66,68,70,72,74,76,78,80,85,90,95,100})</f>
        <v>100</v>
      </c>
      <c r="K651" s="12">
        <f>I651-54</f>
        <v>3</v>
      </c>
      <c r="L651" s="11">
        <f>LOOKUP(K651,{0,2,4,6,7,8,9,10,11,12,13},{0,1,2,3,4,5,6,7,8,9,10})</f>
        <v>1</v>
      </c>
      <c r="M651" s="12">
        <f t="shared" si="330"/>
        <v>101</v>
      </c>
      <c r="N651" s="12"/>
      <c r="O651" s="12"/>
      <c r="P651" s="11"/>
      <c r="Q651" s="12">
        <v>4</v>
      </c>
      <c r="R651" s="12">
        <f t="shared" si="332"/>
        <v>6</v>
      </c>
      <c r="S651" s="11">
        <f>LOOKUP(R651,{0,4.72,4.82,4.92,5.42,5.52,5.62,5.67,5.72,5.77,5.82,5.87,5.92,5.97,6.42,6.47,6.52,6.59,6.66,6.72,6.78},{0,10,20,30,40,50,60,62,64,66,68,70,72,74,76,78,80,85,90,95,100})</f>
        <v>74</v>
      </c>
      <c r="T651" s="12"/>
      <c r="U651" s="12"/>
      <c r="V651" s="12">
        <f t="shared" si="333"/>
        <v>74</v>
      </c>
      <c r="W651" s="12"/>
      <c r="X651" s="20">
        <f t="shared" si="296"/>
        <v>42.8</v>
      </c>
      <c r="Y651" s="20">
        <f t="shared" si="334"/>
        <v>62.1428571428571</v>
      </c>
    </row>
    <row r="652" ht="15.6" hidden="1" outlineLevel="2" spans="1:25">
      <c r="A652" s="12">
        <v>213</v>
      </c>
      <c r="B652" s="12">
        <v>53</v>
      </c>
      <c r="C652" s="6" t="s">
        <v>722</v>
      </c>
      <c r="D652" s="6" t="s">
        <v>53</v>
      </c>
      <c r="E652" s="12">
        <v>11.2</v>
      </c>
      <c r="F652" s="11">
        <f>LOOKUP(E652,{0,1,1.8,2.6,3.4,4.2,5,6.3,7.6,8.9,10.2,11.5,12.8,14.1,15.4,16.7,18,19.7,21.4,23.1,24.8},{0,10,20,30,40,50,60,62,64,66,68,70,72,74,76,78,80,85,90,95,100})</f>
        <v>68</v>
      </c>
      <c r="G652" s="12">
        <v>197</v>
      </c>
      <c r="H652" s="11">
        <f>LOOKUP(G652,{0,124,129,134,139,144,149,152,155,158,161,164,167,170,173,176,179,186,193,199,205},{0,10,20,30,40,50,60,62,64,66,68,70,72,74,76,78,80,85,90,95,100})</f>
        <v>90</v>
      </c>
      <c r="I652" s="12">
        <v>50</v>
      </c>
      <c r="J652" s="11">
        <f>LOOKUP(I652,{0,14,16,18,20,22,24,26,28,30,32,34,36,38,40,42,44,47,50,52,54},{0,10,20,30,40,50,60,62,64,66,68,70,72,74,76,78,80,85,90,95,100})</f>
        <v>90</v>
      </c>
      <c r="K652" s="12"/>
      <c r="L652" s="12"/>
      <c r="M652" s="12">
        <f t="shared" si="330"/>
        <v>90</v>
      </c>
      <c r="N652" s="12">
        <v>8.2</v>
      </c>
      <c r="O652" s="12">
        <f t="shared" si="331"/>
        <v>3.8</v>
      </c>
      <c r="P652" s="11">
        <f>LOOKUP(O652,{0,0.5,0.7,0.9,1.1,1.3,1.5,1.7,1.9,2.1,2.3,2.5,2.7,2.9,3.1,3.3,3.5,3.8,4.1,4.2,4.3},{0,10,20,30,40,50,60,62,64,66,68,70,72,74,76,78,80,85,90,95,100})</f>
        <v>85</v>
      </c>
      <c r="Q652" s="12">
        <v>3.26</v>
      </c>
      <c r="R652" s="12">
        <f t="shared" si="332"/>
        <v>6.74</v>
      </c>
      <c r="S652" s="11">
        <f>LOOKUP(R652,{0,4.72,4.82,4.92,5.42,5.52,5.62,5.67,5.72,5.77,5.82,5.87,5.92,5.97,6.42,6.47,6.52,6.59,6.66,6.72,6.78},{0,10,20,30,40,50,60,62,64,66,68,70,72,74,76,78,80,85,90,95,100})</f>
        <v>95</v>
      </c>
      <c r="T652" s="12"/>
      <c r="U652" s="15"/>
      <c r="V652" s="12">
        <f t="shared" si="333"/>
        <v>95</v>
      </c>
      <c r="W652" s="12"/>
      <c r="X652" s="20">
        <f t="shared" si="296"/>
        <v>60.8</v>
      </c>
      <c r="Y652" s="20">
        <f t="shared" si="334"/>
        <v>86.8571428571429</v>
      </c>
    </row>
    <row r="653" ht="15.6" hidden="1" outlineLevel="2" spans="1:25">
      <c r="A653" s="12">
        <v>213</v>
      </c>
      <c r="B653" s="12">
        <v>54</v>
      </c>
      <c r="C653" s="6" t="s">
        <v>723</v>
      </c>
      <c r="D653" s="6" t="s">
        <v>53</v>
      </c>
      <c r="E653" s="12">
        <v>8.6</v>
      </c>
      <c r="F653" s="11">
        <f>LOOKUP(E653,{0,1,1.8,2.6,3.4,4.2,5,6.3,7.6,8.9,10.2,11.5,12.8,14.1,15.4,16.7,18,19.7,21.4,23.1,24.8},{0,10,20,30,40,50,60,62,64,66,68,70,72,74,76,78,80,85,90,95,100})</f>
        <v>64</v>
      </c>
      <c r="G653" s="12">
        <v>190</v>
      </c>
      <c r="H653" s="11">
        <f>LOOKUP(G653,{0,124,129,134,139,144,149,152,155,158,161,164,167,170,173,176,179,186,193,199,205},{0,10,20,30,40,50,60,62,64,66,68,70,72,74,76,78,80,85,90,95,100})</f>
        <v>85</v>
      </c>
      <c r="I653" s="12">
        <v>49</v>
      </c>
      <c r="J653" s="11">
        <f>LOOKUP(I653,{0,14,16,18,20,22,24,26,28,30,32,34,36,38,40,42,44,47,50,52,54},{0,10,20,30,40,50,60,62,64,66,68,70,72,74,76,78,80,85,90,95,100})</f>
        <v>85</v>
      </c>
      <c r="K653" s="12"/>
      <c r="L653" s="12"/>
      <c r="M653" s="12">
        <f t="shared" si="330"/>
        <v>85</v>
      </c>
      <c r="N653" s="12">
        <v>7.9</v>
      </c>
      <c r="O653" s="12">
        <f t="shared" si="331"/>
        <v>4.1</v>
      </c>
      <c r="P653" s="11">
        <f>LOOKUP(O653,{0,0.5,0.7,0.9,1.1,1.3,1.5,1.7,1.9,2.1,2.3,2.5,2.7,2.9,3.1,3.3,3.5,3.8,4.1,4.2,4.3},{0,10,20,30,40,50,60,62,64,66,68,70,72,74,76,78,80,85,90,95,100})</f>
        <v>90</v>
      </c>
      <c r="Q653" s="12">
        <v>3.29</v>
      </c>
      <c r="R653" s="12">
        <f t="shared" si="332"/>
        <v>6.71</v>
      </c>
      <c r="S653" s="11">
        <f>LOOKUP(R653,{0,4.72,4.82,4.92,5.42,5.52,5.62,5.67,5.72,5.77,5.82,5.87,5.92,5.97,6.42,6.47,6.52,6.59,6.66,6.72,6.78},{0,10,20,30,40,50,60,62,64,66,68,70,72,74,76,78,80,85,90,95,100})</f>
        <v>90</v>
      </c>
      <c r="T653" s="12"/>
      <c r="U653" s="12"/>
      <c r="V653" s="12">
        <f t="shared" si="333"/>
        <v>90</v>
      </c>
      <c r="W653" s="12"/>
      <c r="X653" s="20">
        <f t="shared" si="296"/>
        <v>59.4</v>
      </c>
      <c r="Y653" s="20">
        <f t="shared" si="334"/>
        <v>84.8571428571429</v>
      </c>
    </row>
    <row r="654" ht="15.6" hidden="1" outlineLevel="2" spans="1:25">
      <c r="A654" s="12">
        <v>213</v>
      </c>
      <c r="B654" s="12">
        <v>55</v>
      </c>
      <c r="C654" s="6" t="s">
        <v>724</v>
      </c>
      <c r="D654" s="6" t="s">
        <v>53</v>
      </c>
      <c r="E654" s="12">
        <v>19.5</v>
      </c>
      <c r="F654" s="11">
        <f>LOOKUP(E654,{0,1,1.8,2.6,3.4,4.2,5,6.3,7.6,8.9,10.2,11.5,12.8,14.1,15.4,16.7,18,19.7,21.4,23.1,24.8},{0,10,20,30,40,50,60,62,64,66,68,70,72,74,76,78,80,85,90,95,100})</f>
        <v>80</v>
      </c>
      <c r="G654" s="12">
        <v>190</v>
      </c>
      <c r="H654" s="11">
        <f>LOOKUP(G654,{0,124,129,134,139,144,149,152,155,158,161,164,167,170,173,176,179,186,193,199,205},{0,10,20,30,40,50,60,62,64,66,68,70,72,74,76,78,80,85,90,95,100})</f>
        <v>85</v>
      </c>
      <c r="I654" s="12">
        <v>49</v>
      </c>
      <c r="J654" s="11">
        <f>LOOKUP(I654,{0,14,16,18,20,22,24,26,28,30,32,34,36,38,40,42,44,47,50,52,54},{0,10,20,30,40,50,60,62,64,66,68,70,72,74,76,78,80,85,90,95,100})</f>
        <v>85</v>
      </c>
      <c r="K654" s="12"/>
      <c r="L654" s="12"/>
      <c r="M654" s="12">
        <f t="shared" si="330"/>
        <v>85</v>
      </c>
      <c r="N654" s="12">
        <v>8.7</v>
      </c>
      <c r="O654" s="12">
        <f t="shared" si="331"/>
        <v>3.3</v>
      </c>
      <c r="P654" s="11">
        <f>LOOKUP(O654,{0,0.5,0.7,0.9,1.1,1.3,1.5,1.7,1.9,2.1,2.3,2.5,2.7,2.9,3.1,3.3,3.5,3.8,4.1,4.2,4.3},{0,10,20,30,40,50,60,62,64,66,68,70,72,74,76,78,80,85,90,95,100})</f>
        <v>78</v>
      </c>
      <c r="Q654" s="12">
        <v>3.3</v>
      </c>
      <c r="R654" s="12">
        <f t="shared" si="332"/>
        <v>6.7</v>
      </c>
      <c r="S654" s="11">
        <f>LOOKUP(R654,{0,4.72,4.82,4.92,5.42,5.52,5.62,5.67,5.72,5.77,5.82,5.87,5.92,5.97,6.42,6.47,6.52,6.59,6.66,6.72,6.78},{0,10,20,30,40,50,60,62,64,66,68,70,72,74,76,78,80,85,90,95,100})</f>
        <v>90</v>
      </c>
      <c r="T654" s="12"/>
      <c r="U654" s="12"/>
      <c r="V654" s="12">
        <f t="shared" si="333"/>
        <v>90</v>
      </c>
      <c r="W654" s="12"/>
      <c r="X654" s="20">
        <f t="shared" si="296"/>
        <v>58.6</v>
      </c>
      <c r="Y654" s="20">
        <f t="shared" si="334"/>
        <v>83.7142857142857</v>
      </c>
    </row>
    <row r="655" ht="15.6" hidden="1" outlineLevel="2" spans="1:25">
      <c r="A655" s="12">
        <v>213</v>
      </c>
      <c r="B655" s="12">
        <v>56</v>
      </c>
      <c r="C655" s="6" t="s">
        <v>725</v>
      </c>
      <c r="D655" s="6" t="s">
        <v>53</v>
      </c>
      <c r="E655" s="12">
        <v>26</v>
      </c>
      <c r="F655" s="11">
        <f>LOOKUP(E655,{0,1,1.8,2.6,3.4,4.2,5,6.3,7.6,8.9,10.2,11.5,12.8,14.1,15.4,16.7,18,19.7,21.4,23.1,24.8},{0,10,20,30,40,50,60,62,64,66,68,70,72,74,76,78,80,85,90,95,100})</f>
        <v>100</v>
      </c>
      <c r="G655" s="12">
        <v>202</v>
      </c>
      <c r="H655" s="11">
        <f>LOOKUP(G655,{0,124,129,134,139,144,149,152,155,158,161,164,167,170,173,176,179,186,193,199,205},{0,10,20,30,40,50,60,62,64,66,68,70,72,74,76,78,80,85,90,95,100})</f>
        <v>95</v>
      </c>
      <c r="I655" s="12">
        <v>52</v>
      </c>
      <c r="J655" s="11">
        <f>LOOKUP(I655,{0,14,16,18,20,22,24,26,28,30,32,34,36,38,40,42,44,47,50,52,54},{0,10,20,30,40,50,60,62,64,66,68,70,72,74,76,78,80,85,90,95,100})</f>
        <v>95</v>
      </c>
      <c r="K655" s="12"/>
      <c r="L655" s="12"/>
      <c r="M655" s="12">
        <f t="shared" si="330"/>
        <v>95</v>
      </c>
      <c r="N655" s="12">
        <v>8.7</v>
      </c>
      <c r="O655" s="12">
        <f t="shared" si="331"/>
        <v>3.3</v>
      </c>
      <c r="P655" s="11">
        <f>LOOKUP(O655,{0,0.5,0.7,0.9,1.1,1.3,1.5,1.7,1.9,2.1,2.3,2.5,2.7,2.9,3.1,3.3,3.5,3.8,4.1,4.2,4.3},{0,10,20,30,40,50,60,62,64,66,68,70,72,74,76,78,80,85,90,95,100})</f>
        <v>78</v>
      </c>
      <c r="Q655" s="12">
        <v>3.16</v>
      </c>
      <c r="R655" s="12">
        <f t="shared" si="332"/>
        <v>6.84</v>
      </c>
      <c r="S655" s="11">
        <f>LOOKUP(R655,{0,4.72,4.82,4.92,5.42,5.52,5.62,5.67,5.72,5.77,5.82,5.87,5.92,5.97,6.42,6.47,6.52,6.59,6.66,6.72,6.78},{0,10,20,30,40,50,60,62,64,66,68,70,72,74,76,78,80,85,90,95,100})</f>
        <v>100</v>
      </c>
      <c r="T655" s="21">
        <f>3.22-Q655</f>
        <v>0.0600000000000001</v>
      </c>
      <c r="U655" s="16">
        <f>LOOKUP(T655,{0,0.05,0.1,0.15,0.2,0.25,0.3,0.35,0.4,0.45,0.5},{0,1,2,3,4,5,6,7,8,9,10})</f>
        <v>1</v>
      </c>
      <c r="V655" s="12">
        <f t="shared" si="333"/>
        <v>101</v>
      </c>
      <c r="W655" s="12"/>
      <c r="X655" s="20">
        <f t="shared" si="296"/>
        <v>64.6</v>
      </c>
      <c r="Y655" s="20">
        <f t="shared" si="334"/>
        <v>93.2857142857143</v>
      </c>
    </row>
    <row r="656" ht="15.6" outlineLevel="1" collapsed="1" spans="1:25">
      <c r="A656" s="14" t="s">
        <v>867</v>
      </c>
      <c r="B656" s="12"/>
      <c r="C656" s="6"/>
      <c r="D656" s="6"/>
      <c r="E656" s="12"/>
      <c r="F656" s="11">
        <f>SUBTOTAL(1,F600:F655)</f>
        <v>79.1458333333333</v>
      </c>
      <c r="G656" s="12"/>
      <c r="H656" s="11">
        <f>SUBTOTAL(1,H600:H655)</f>
        <v>78.3958333333333</v>
      </c>
      <c r="I656" s="12"/>
      <c r="J656" s="11">
        <f>SUBTOTAL(1,J600:J655)</f>
        <v>75.9791666666667</v>
      </c>
      <c r="K656" s="12"/>
      <c r="L656" s="12"/>
      <c r="M656" s="12">
        <f>SUBTOTAL(1,M600:M655)</f>
        <v>76.5208333333333</v>
      </c>
      <c r="N656" s="12"/>
      <c r="O656" s="12"/>
      <c r="P656" s="11">
        <f>SUBTOTAL(1,P600:P655)</f>
        <v>80.1914893617021</v>
      </c>
      <c r="Q656" s="12"/>
      <c r="R656" s="12"/>
      <c r="S656" s="11">
        <f>SUBTOTAL(1,S600:S655)</f>
        <v>81.1041666666667</v>
      </c>
      <c r="T656" s="21"/>
      <c r="U656" s="16"/>
      <c r="V656" s="12">
        <f>SUBTOTAL(1,V600:V655)</f>
        <v>81.2708333333333</v>
      </c>
      <c r="W656" s="12"/>
      <c r="X656" s="20">
        <f>SUBTOTAL(1,X600:X655)</f>
        <v>47.3803571428572</v>
      </c>
      <c r="Y656" s="20">
        <f>SUBTOTAL(1,Y600:Y655)</f>
        <v>75.4362244897959</v>
      </c>
    </row>
    <row r="657" ht="15.6" hidden="1" outlineLevel="2" spans="1:25">
      <c r="A657" s="12">
        <v>214</v>
      </c>
      <c r="B657" s="12">
        <v>1</v>
      </c>
      <c r="C657" s="13" t="s">
        <v>727</v>
      </c>
      <c r="D657" s="6" t="s">
        <v>11</v>
      </c>
      <c r="E657" s="12">
        <v>9.7</v>
      </c>
      <c r="F657" s="11">
        <f>LOOKUP(E657,{0,-2.9,-1.9,-0.9,0.1,1.1,2.1,3.5,4.9,6.3,7.7,9.1,10.5,11.9,13.3,14.7,16.1,18.3,20.5,22.4,24.3},{0,10,20,30,40,50,60,62,64,66,68,70,72,74,76,78,80,85,90,95,100})</f>
        <v>70</v>
      </c>
      <c r="G657" s="12">
        <v>226</v>
      </c>
      <c r="H657" s="11">
        <f>LOOKUP(G657,{0,175,180,185,190,195,200,204,208,212,216,220,224,228,232,236,240,248,255,260,265},{0,10,20,30,40,50,60,62,64,66,68,70,72,74,76,78,80,85,90,95,100})</f>
        <v>72</v>
      </c>
      <c r="I657" s="12">
        <v>4</v>
      </c>
      <c r="J657" s="11">
        <f>LOOKUP(I657,{0,3,4,5,6,7,8,9,10,11,12,13,14,15,16,17},{0,10,20,30,40,50,60,64,68,72,76,80,85,90,95,100})</f>
        <v>20</v>
      </c>
      <c r="K657" s="12"/>
      <c r="L657" s="12"/>
      <c r="M657" s="12">
        <f>J657+L657</f>
        <v>20</v>
      </c>
      <c r="N657" s="12">
        <v>7</v>
      </c>
      <c r="O657" s="12">
        <f>12-N657</f>
        <v>5</v>
      </c>
      <c r="P657" s="11">
        <f>LOOKUP(O657,{0,1.6,1.8,2,2.2,2.4,2.6,2.8,3,3.2,3.4,3.6,3.8,4,4.2,4.4,4.6,4.7,4.8,4.9,5},{0,10,20,30,40,50,60,62,64,66,68,70,72,74,76,78,80,85,90,95,100})</f>
        <v>100</v>
      </c>
      <c r="Q657" s="12">
        <v>3.28</v>
      </c>
      <c r="R657" s="12">
        <f>10-Q657</f>
        <v>6.72</v>
      </c>
      <c r="S657" s="11">
        <f>LOOKUP(R657,{0,3.8,4,4.6,4.8,5,5.6,5.65,5.7,5.75,5.8,5.85,5.9,5.95,6,6.45,6.5,6.58,6.65,6.7,6.75},{0,10,20,30,40,50,60,62,64,66,68,70,72,74,76,78,80,85,90,95,100})</f>
        <v>95</v>
      </c>
      <c r="T657" s="12"/>
      <c r="U657" s="15"/>
      <c r="V657" s="12">
        <f>S657+U657</f>
        <v>95</v>
      </c>
      <c r="W657" s="12"/>
      <c r="X657" s="20">
        <f t="shared" ref="X657:X717" si="335">F657*0.1+H657*0.1+J657*0.1+P657*0.2+S657*0.2</f>
        <v>55.2</v>
      </c>
      <c r="Y657" s="20">
        <f>X657/0.7+L657+U657</f>
        <v>78.8571428571429</v>
      </c>
    </row>
    <row r="658" ht="15.6" hidden="1" outlineLevel="2" spans="1:25">
      <c r="A658" s="12">
        <v>214</v>
      </c>
      <c r="B658" s="12">
        <v>2</v>
      </c>
      <c r="C658" s="6" t="s">
        <v>728</v>
      </c>
      <c r="D658" s="6" t="s">
        <v>11</v>
      </c>
      <c r="E658" s="12">
        <v>15.5</v>
      </c>
      <c r="F658" s="11">
        <f>LOOKUP(E658,{0,-2.9,-1.9,-0.9,0.1,1.1,2.1,3.5,4.9,6.3,7.7,9.1,10.5,11.9,13.3,14.7,16.1,18.3,20.5,22.4,24.3},{0,10,20,30,40,50,60,62,64,66,68,70,72,74,76,78,80,85,90,95,100})</f>
        <v>78</v>
      </c>
      <c r="G658" s="12">
        <v>230</v>
      </c>
      <c r="H658" s="11">
        <f>LOOKUP(G658,{0,175,180,185,190,195,200,204,208,212,216,220,224,228,232,236,240,248,255,260,265},{0,10,20,30,40,50,60,62,64,66,68,70,72,74,76,78,80,85,90,95,100})</f>
        <v>74</v>
      </c>
      <c r="I658" s="12">
        <v>14</v>
      </c>
      <c r="J658" s="11">
        <f>LOOKUP(I658,{0,3,4,5,6,7,8,9,10,11,12,13,14,15,16,17},{0,10,20,30,40,50,60,64,68,72,76,80,85,90,95,100})</f>
        <v>85</v>
      </c>
      <c r="K658" s="12"/>
      <c r="L658" s="12"/>
      <c r="M658" s="12">
        <f>J658+L658</f>
        <v>85</v>
      </c>
      <c r="N658" s="12">
        <v>7.5</v>
      </c>
      <c r="O658" s="12">
        <f>12-N658</f>
        <v>4.5</v>
      </c>
      <c r="P658" s="11">
        <f>LOOKUP(O658,{0,1.6,1.8,2,2.2,2.4,2.6,2.8,3,3.2,3.4,3.6,3.8,4,4.2,4.4,4.6,4.7,4.8,4.9,5},{0,10,20,30,40,50,60,62,64,66,68,70,72,74,76,78,80,85,90,95,100})</f>
        <v>78</v>
      </c>
      <c r="Q658" s="12">
        <v>3.32</v>
      </c>
      <c r="R658" s="12">
        <f>10-Q658</f>
        <v>6.68</v>
      </c>
      <c r="S658" s="11">
        <f>LOOKUP(R658,{0,3.8,4,4.6,4.8,5,5.6,5.65,5.7,5.75,5.8,5.85,5.9,5.95,6,6.45,6.5,6.58,6.65,6.7,6.75},{0,10,20,30,40,50,60,62,64,66,68,70,72,74,76,78,80,85,90,95,100})</f>
        <v>90</v>
      </c>
      <c r="T658" s="12"/>
      <c r="U658" s="12"/>
      <c r="V658" s="12">
        <f>S658+U658</f>
        <v>90</v>
      </c>
      <c r="W658" s="12"/>
      <c r="X658" s="20">
        <f t="shared" si="335"/>
        <v>57.3</v>
      </c>
      <c r="Y658" s="20">
        <f>X658/0.7+L658+U658</f>
        <v>81.8571428571429</v>
      </c>
    </row>
    <row r="659" ht="15.6" hidden="1" outlineLevel="2" spans="1:25">
      <c r="A659" s="12">
        <v>214</v>
      </c>
      <c r="B659" s="12">
        <v>3</v>
      </c>
      <c r="C659" s="6" t="s">
        <v>729</v>
      </c>
      <c r="D659" s="6" t="s">
        <v>11</v>
      </c>
      <c r="E659" s="12"/>
      <c r="F659" s="11"/>
      <c r="G659" s="12"/>
      <c r="H659" s="11"/>
      <c r="I659" s="12"/>
      <c r="J659" s="11"/>
      <c r="K659" s="12"/>
      <c r="L659" s="12"/>
      <c r="M659" s="12"/>
      <c r="N659" s="12"/>
      <c r="O659" s="12"/>
      <c r="P659" s="11"/>
      <c r="Q659" s="12"/>
      <c r="R659" s="12"/>
      <c r="S659" s="11"/>
      <c r="T659" s="12"/>
      <c r="U659" s="16"/>
      <c r="V659" s="12"/>
      <c r="W659" s="12"/>
      <c r="X659" s="20">
        <f t="shared" si="335"/>
        <v>0</v>
      </c>
      <c r="Y659" s="23">
        <v>50</v>
      </c>
    </row>
    <row r="660" ht="15.6" hidden="1" outlineLevel="2" spans="1:25">
      <c r="A660" s="12">
        <v>214</v>
      </c>
      <c r="B660" s="12">
        <v>4</v>
      </c>
      <c r="C660" s="6" t="s">
        <v>730</v>
      </c>
      <c r="D660" s="6" t="s">
        <v>11</v>
      </c>
      <c r="E660" s="12">
        <v>6.1</v>
      </c>
      <c r="F660" s="11">
        <f>LOOKUP(E660,{0,-2.9,-1.9,-0.9,0.1,1.1,2.1,3.5,4.9,6.3,7.7,9.1,10.5,11.9,13.3,14.7,16.1,18.3,20.5,22.4,24.3},{0,10,20,30,40,50,60,62,64,66,68,70,72,74,76,78,80,85,90,95,100})</f>
        <v>64</v>
      </c>
      <c r="G660" s="12">
        <v>185</v>
      </c>
      <c r="H660" s="11">
        <f>LOOKUP(G660,{0,175,180,185,190,195,200,204,208,212,216,220,224,228,232,236,240,248,255,260,265},{0,10,20,30,40,50,60,62,64,66,68,70,72,74,76,78,80,85,90,95,100})</f>
        <v>30</v>
      </c>
      <c r="I660" s="12">
        <v>13</v>
      </c>
      <c r="J660" s="11">
        <f>LOOKUP(I660,{0,3,4,5,6,7,8,9,10,11,12,13,14,15,16,17},{0,10,20,30,40,50,60,64,68,72,76,80,85,90,95,100})</f>
        <v>80</v>
      </c>
      <c r="K660" s="12"/>
      <c r="L660" s="12"/>
      <c r="M660" s="12">
        <f t="shared" ref="M660:M665" si="336">J660+L660</f>
        <v>80</v>
      </c>
      <c r="N660" s="12">
        <v>7.8</v>
      </c>
      <c r="O660" s="12">
        <f t="shared" ref="O660:O665" si="337">12-N660</f>
        <v>4.2</v>
      </c>
      <c r="P660" s="11">
        <f>LOOKUP(O660,{0,1.6,1.8,2,2.2,2.4,2.6,2.8,3,3.2,3.4,3.6,3.8,4,4.2,4.4,4.6,4.7,4.8,4.9,5},{0,10,20,30,40,50,60,62,64,66,68,70,72,74,76,78,80,85,90,95,100})</f>
        <v>76</v>
      </c>
      <c r="Q660" s="12">
        <v>3.5</v>
      </c>
      <c r="R660" s="12">
        <f t="shared" ref="R660:R665" si="338">10-Q660</f>
        <v>6.5</v>
      </c>
      <c r="S660" s="11">
        <f>LOOKUP(R660,{0,3.8,4,4.6,4.8,5,5.6,5.65,5.7,5.75,5.8,5.85,5.9,5.95,6,6.45,6.5,6.58,6.65,6.7,6.75},{0,10,20,30,40,50,60,62,64,66,68,70,72,74,76,78,80,85,90,95,100})</f>
        <v>80</v>
      </c>
      <c r="T660" s="12"/>
      <c r="U660" s="12"/>
      <c r="V660" s="12">
        <f t="shared" ref="V660:V665" si="339">S660+U660</f>
        <v>80</v>
      </c>
      <c r="W660" s="12"/>
      <c r="X660" s="20">
        <f t="shared" si="335"/>
        <v>48.6</v>
      </c>
      <c r="Y660" s="20">
        <f t="shared" ref="Y660:Y665" si="340">X660/0.7+L660+U660</f>
        <v>69.4285714285714</v>
      </c>
    </row>
    <row r="661" ht="15.6" hidden="1" outlineLevel="2" spans="1:25">
      <c r="A661" s="12">
        <v>214</v>
      </c>
      <c r="B661" s="12">
        <v>5</v>
      </c>
      <c r="C661" s="6" t="s">
        <v>731</v>
      </c>
      <c r="D661" s="6" t="s">
        <v>11</v>
      </c>
      <c r="E661" s="12">
        <v>18.3</v>
      </c>
      <c r="F661" s="11">
        <f>LOOKUP(E661,{0,-2.9,-1.9,-0.9,0.1,1.1,2.1,3.5,4.9,6.3,7.7,9.1,10.5,11.9,13.3,14.7,16.1,18.3,20.5,22.4,24.3},{0,10,20,30,40,50,60,62,64,66,68,70,72,74,76,78,80,85,90,95,100})</f>
        <v>85</v>
      </c>
      <c r="G661" s="12">
        <v>205</v>
      </c>
      <c r="H661" s="11">
        <f>LOOKUP(G661,{0,175,180,185,190,195,200,204,208,212,216,220,224,228,232,236,240,248,255,260,265},{0,10,20,30,40,50,60,62,64,66,68,70,72,74,76,78,80,85,90,95,100})</f>
        <v>62</v>
      </c>
      <c r="I661" s="12">
        <v>1</v>
      </c>
      <c r="J661" s="11">
        <f>LOOKUP(I661,{0,3,4,5,6,7,8,9,10,11,12,13,14,15,16,17},{0,10,20,30,40,50,60,64,68,72,76,80,85,90,95,100})</f>
        <v>0</v>
      </c>
      <c r="K661" s="12"/>
      <c r="L661" s="12"/>
      <c r="M661" s="12">
        <f t="shared" si="336"/>
        <v>0</v>
      </c>
      <c r="N661" s="12">
        <v>6.8</v>
      </c>
      <c r="O661" s="12">
        <f t="shared" si="337"/>
        <v>5.2</v>
      </c>
      <c r="P661" s="11">
        <f>LOOKUP(O661,{0,1.6,1.8,2,2.2,2.4,2.6,2.8,3,3.2,3.4,3.6,3.8,4,4.2,4.4,4.6,4.7,4.8,4.9,5},{0,10,20,30,40,50,60,62,64,66,68,70,72,74,76,78,80,85,90,95,100})</f>
        <v>100</v>
      </c>
      <c r="Q661" s="12">
        <v>3.44</v>
      </c>
      <c r="R661" s="12">
        <f t="shared" si="338"/>
        <v>6.56</v>
      </c>
      <c r="S661" s="11">
        <f>LOOKUP(R661,{0,3.8,4,4.6,4.8,5,5.6,5.65,5.7,5.75,5.8,5.85,5.9,5.95,6,6.45,6.5,6.58,6.65,6.7,6.75},{0,10,20,30,40,50,60,62,64,66,68,70,72,74,76,78,80,85,90,95,100})</f>
        <v>80</v>
      </c>
      <c r="T661" s="12"/>
      <c r="U661" s="15"/>
      <c r="V661" s="12">
        <f t="shared" si="339"/>
        <v>80</v>
      </c>
      <c r="W661" s="12"/>
      <c r="X661" s="20">
        <f t="shared" si="335"/>
        <v>50.7</v>
      </c>
      <c r="Y661" s="20">
        <f t="shared" si="340"/>
        <v>72.4285714285714</v>
      </c>
    </row>
    <row r="662" ht="15.6" hidden="1" outlineLevel="2" spans="1:25">
      <c r="A662" s="12">
        <v>214</v>
      </c>
      <c r="B662" s="12">
        <v>6</v>
      </c>
      <c r="C662" s="6" t="s">
        <v>732</v>
      </c>
      <c r="D662" s="6" t="s">
        <v>11</v>
      </c>
      <c r="E662" s="12">
        <v>3.7</v>
      </c>
      <c r="F662" s="11">
        <f>LOOKUP(E662,{0,-2.9,-1.9,-0.9,0.1,1.1,2.1,3.5,4.9,6.3,7.7,9.1,10.5,11.9,13.3,14.7,16.1,18.3,20.5,22.4,24.3},{0,10,20,30,40,50,60,62,64,66,68,70,72,74,76,78,80,85,90,95,100})</f>
        <v>62</v>
      </c>
      <c r="G662" s="12">
        <v>211</v>
      </c>
      <c r="H662" s="11">
        <f>LOOKUP(G662,{0,175,180,185,190,195,200,204,208,212,216,220,224,228,232,236,240,248,255,260,265},{0,10,20,30,40,50,60,62,64,66,68,70,72,74,76,78,80,85,90,95,100})</f>
        <v>64</v>
      </c>
      <c r="I662" s="12">
        <v>10</v>
      </c>
      <c r="J662" s="11">
        <f>LOOKUP(I662,{0,3,4,5,6,7,8,9,10,11,12,13,14,15,16,17},{0,10,20,30,40,50,60,64,68,72,76,80,85,90,95,100})</f>
        <v>68</v>
      </c>
      <c r="K662" s="12"/>
      <c r="L662" s="12"/>
      <c r="M662" s="12">
        <f t="shared" si="336"/>
        <v>68</v>
      </c>
      <c r="N662" s="12">
        <v>8</v>
      </c>
      <c r="O662" s="12">
        <f t="shared" si="337"/>
        <v>4</v>
      </c>
      <c r="P662" s="11">
        <f>LOOKUP(O662,{0,1.6,1.8,2,2.2,2.4,2.6,2.8,3,3.2,3.4,3.6,3.8,4,4.2,4.4,4.6,4.7,4.8,4.9,5},{0,10,20,30,40,50,60,62,64,66,68,70,72,74,76,78,80,85,90,95,100})</f>
        <v>74</v>
      </c>
      <c r="Q662" s="12">
        <v>4.26</v>
      </c>
      <c r="R662" s="12">
        <f t="shared" si="338"/>
        <v>5.74</v>
      </c>
      <c r="S662" s="11">
        <f>LOOKUP(R662,{0,3.8,4,4.6,4.8,5,5.6,5.65,5.7,5.75,5.8,5.85,5.9,5.95,6,6.45,6.5,6.58,6.65,6.7,6.75},{0,10,20,30,40,50,60,62,64,66,68,70,72,74,76,78,80,85,90,95,100})</f>
        <v>64</v>
      </c>
      <c r="T662" s="12"/>
      <c r="U662" s="15"/>
      <c r="V662" s="12">
        <f t="shared" si="339"/>
        <v>64</v>
      </c>
      <c r="W662" s="12"/>
      <c r="X662" s="20">
        <f t="shared" si="335"/>
        <v>47</v>
      </c>
      <c r="Y662" s="20">
        <f t="shared" si="340"/>
        <v>67.1428571428572</v>
      </c>
    </row>
    <row r="663" ht="15.6" hidden="1" outlineLevel="2" spans="1:25">
      <c r="A663" s="12">
        <v>214</v>
      </c>
      <c r="B663" s="12">
        <v>7</v>
      </c>
      <c r="C663" s="6" t="s">
        <v>733</v>
      </c>
      <c r="D663" s="6" t="s">
        <v>11</v>
      </c>
      <c r="E663" s="12">
        <v>12.7</v>
      </c>
      <c r="F663" s="11">
        <f>LOOKUP(E663,{0,-2.9,-1.9,-0.9,0.1,1.1,2.1,3.5,4.9,6.3,7.7,9.1,10.5,11.9,13.3,14.7,16.1,18.3,20.5,22.4,24.3},{0,10,20,30,40,50,60,62,64,66,68,70,72,74,76,78,80,85,90,95,100})</f>
        <v>74</v>
      </c>
      <c r="G663" s="12">
        <v>202</v>
      </c>
      <c r="H663" s="11">
        <f>LOOKUP(G663,{0,175,180,185,190,195,200,204,208,212,216,220,224,228,232,236,240,248,255,260,265},{0,10,20,30,40,50,60,62,64,66,68,70,72,74,76,78,80,85,90,95,100})</f>
        <v>60</v>
      </c>
      <c r="I663" s="12">
        <v>16</v>
      </c>
      <c r="J663" s="11">
        <f>LOOKUP(I663,{0,3,4,5,6,7,8,9,10,11,12,13,14,15,16,17},{0,10,20,30,40,50,60,64,68,72,76,80,85,90,95,100})</f>
        <v>95</v>
      </c>
      <c r="K663" s="12"/>
      <c r="L663" s="12"/>
      <c r="M663" s="12">
        <f t="shared" si="336"/>
        <v>95</v>
      </c>
      <c r="N663" s="12">
        <v>7.5</v>
      </c>
      <c r="O663" s="12">
        <f t="shared" si="337"/>
        <v>4.5</v>
      </c>
      <c r="P663" s="11">
        <f>LOOKUP(O663,{0,1.6,1.8,2,2.2,2.4,2.6,2.8,3,3.2,3.4,3.6,3.8,4,4.2,4.4,4.6,4.7,4.8,4.9,5},{0,10,20,30,40,50,60,62,64,66,68,70,72,74,76,78,80,85,90,95,100})</f>
        <v>78</v>
      </c>
      <c r="Q663" s="12">
        <v>3.54</v>
      </c>
      <c r="R663" s="12">
        <f t="shared" si="338"/>
        <v>6.46</v>
      </c>
      <c r="S663" s="11">
        <f>LOOKUP(R663,{0,3.8,4,4.6,4.8,5,5.6,5.65,5.7,5.75,5.8,5.85,5.9,5.95,6,6.45,6.5,6.58,6.65,6.7,6.75},{0,10,20,30,40,50,60,62,64,66,68,70,72,74,76,78,80,85,90,95,100})</f>
        <v>78</v>
      </c>
      <c r="T663" s="12"/>
      <c r="U663" s="12"/>
      <c r="V663" s="12">
        <f t="shared" si="339"/>
        <v>78</v>
      </c>
      <c r="W663" s="12"/>
      <c r="X663" s="20">
        <f t="shared" si="335"/>
        <v>54.1</v>
      </c>
      <c r="Y663" s="20">
        <f t="shared" si="340"/>
        <v>77.2857142857143</v>
      </c>
    </row>
    <row r="664" ht="15.6" hidden="1" outlineLevel="2" spans="1:25">
      <c r="A664" s="12">
        <v>214</v>
      </c>
      <c r="B664" s="12">
        <v>8</v>
      </c>
      <c r="C664" s="6" t="s">
        <v>734</v>
      </c>
      <c r="D664" s="6" t="s">
        <v>11</v>
      </c>
      <c r="E664" s="12">
        <v>15</v>
      </c>
      <c r="F664" s="11">
        <f>LOOKUP(E664,{0,-2.9,-1.9,-0.9,0.1,1.1,2.1,3.5,4.9,6.3,7.7,9.1,10.5,11.9,13.3,14.7,16.1,18.3,20.5,22.4,24.3},{0,10,20,30,40,50,60,62,64,66,68,70,72,74,76,78,80,85,90,95,100})</f>
        <v>78</v>
      </c>
      <c r="G664" s="12">
        <v>210</v>
      </c>
      <c r="H664" s="11">
        <f>LOOKUP(G664,{0,175,180,185,190,195,200,204,208,212,216,220,224,228,232,236,240,248,255,260,265},{0,10,20,30,40,50,60,62,64,66,68,70,72,74,76,78,80,85,90,95,100})</f>
        <v>64</v>
      </c>
      <c r="I664" s="12">
        <v>4</v>
      </c>
      <c r="J664" s="11">
        <f>LOOKUP(I664,{0,3,4,5,6,7,8,9,10,11,12,13,14,15,16,17},{0,10,20,30,40,50,60,64,68,72,76,80,85,90,95,100})</f>
        <v>20</v>
      </c>
      <c r="K664" s="12"/>
      <c r="L664" s="12"/>
      <c r="M664" s="12">
        <f t="shared" si="336"/>
        <v>20</v>
      </c>
      <c r="N664" s="12">
        <v>7.2</v>
      </c>
      <c r="O664" s="12">
        <f t="shared" si="337"/>
        <v>4.8</v>
      </c>
      <c r="P664" s="11">
        <f>LOOKUP(O664,{0,1.6,1.8,2,2.2,2.4,2.6,2.8,3,3.2,3.4,3.6,3.8,4,4.2,4.4,4.6,4.7,4.8,4.9,5},{0,10,20,30,40,50,60,62,64,66,68,70,72,74,76,78,80,85,90,95,100})</f>
        <v>90</v>
      </c>
      <c r="Q664" s="12">
        <v>3.31</v>
      </c>
      <c r="R664" s="12">
        <f t="shared" si="338"/>
        <v>6.69</v>
      </c>
      <c r="S664" s="11">
        <f>LOOKUP(R664,{0,3.8,4,4.6,4.8,5,5.6,5.65,5.7,5.75,5.8,5.85,5.9,5.95,6,6.45,6.5,6.58,6.65,6.7,6.75},{0,10,20,30,40,50,60,62,64,66,68,70,72,74,76,78,80,85,90,95,100})</f>
        <v>90</v>
      </c>
      <c r="T664" s="12"/>
      <c r="U664" s="15"/>
      <c r="V664" s="12">
        <f t="shared" si="339"/>
        <v>90</v>
      </c>
      <c r="W664" s="12"/>
      <c r="X664" s="20">
        <f t="shared" si="335"/>
        <v>52.2</v>
      </c>
      <c r="Y664" s="20">
        <f t="shared" si="340"/>
        <v>74.5714285714286</v>
      </c>
    </row>
    <row r="665" ht="15.6" hidden="1" outlineLevel="2" spans="1:25">
      <c r="A665" s="12">
        <v>214</v>
      </c>
      <c r="B665" s="12">
        <v>9</v>
      </c>
      <c r="C665" s="6" t="s">
        <v>735</v>
      </c>
      <c r="D665" s="6" t="s">
        <v>11</v>
      </c>
      <c r="E665" s="12">
        <v>17.4</v>
      </c>
      <c r="F665" s="11">
        <f>LOOKUP(E665,{0,-2.9,-1.9,-0.9,0.1,1.1,2.1,3.5,4.9,6.3,7.7,9.1,10.5,11.9,13.3,14.7,16.1,18.3,20.5,22.4,24.3},{0,10,20,30,40,50,60,62,64,66,68,70,72,74,76,78,80,85,90,95,100})</f>
        <v>80</v>
      </c>
      <c r="G665" s="12">
        <v>254</v>
      </c>
      <c r="H665" s="11">
        <f>LOOKUP(G665,{0,175,180,185,190,195,200,204,208,212,216,220,224,228,232,236,240,248,255,260,265},{0,10,20,30,40,50,60,62,64,66,68,70,72,74,76,78,80,85,90,95,100})</f>
        <v>85</v>
      </c>
      <c r="I665" s="12">
        <v>8</v>
      </c>
      <c r="J665" s="11">
        <f>LOOKUP(I665,{0,3,4,5,6,7,8,9,10,11,12,13,14,15,16,17},{0,10,20,30,40,50,60,64,68,72,76,80,85,90,95,100})</f>
        <v>60</v>
      </c>
      <c r="K665" s="12"/>
      <c r="L665" s="12"/>
      <c r="M665" s="12">
        <f t="shared" si="336"/>
        <v>60</v>
      </c>
      <c r="N665" s="12">
        <v>6.3</v>
      </c>
      <c r="O665" s="12">
        <f t="shared" si="337"/>
        <v>5.7</v>
      </c>
      <c r="P665" s="11">
        <f>LOOKUP(O665,{0,1.6,1.8,2,2.2,2.4,2.6,2.8,3,3.2,3.4,3.6,3.8,4,4.2,4.4,4.6,4.7,4.8,4.9,5},{0,10,20,30,40,50,60,62,64,66,68,70,72,74,76,78,80,85,90,95,100})</f>
        <v>100</v>
      </c>
      <c r="Q665" s="12">
        <v>3.4</v>
      </c>
      <c r="R665" s="12">
        <f t="shared" si="338"/>
        <v>6.6</v>
      </c>
      <c r="S665" s="11">
        <f>LOOKUP(R665,{0,3.8,4,4.6,4.8,5,5.6,5.65,5.7,5.75,5.8,5.85,5.9,5.95,6,6.45,6.5,6.58,6.65,6.7,6.75},{0,10,20,30,40,50,60,62,64,66,68,70,72,74,76,78,80,85,90,95,100})</f>
        <v>85</v>
      </c>
      <c r="T665" s="12"/>
      <c r="U665" s="15"/>
      <c r="V665" s="12">
        <f t="shared" si="339"/>
        <v>85</v>
      </c>
      <c r="W665" s="12"/>
      <c r="X665" s="20">
        <f t="shared" si="335"/>
        <v>59.5</v>
      </c>
      <c r="Y665" s="20">
        <f t="shared" si="340"/>
        <v>85</v>
      </c>
    </row>
    <row r="666" s="1" customFormat="1" ht="15.6" hidden="1" outlineLevel="2" spans="1:25">
      <c r="A666" s="12">
        <v>214</v>
      </c>
      <c r="B666" s="12">
        <v>10</v>
      </c>
      <c r="C666" s="6" t="s">
        <v>736</v>
      </c>
      <c r="D666" s="6" t="s">
        <v>11</v>
      </c>
      <c r="E666" s="12"/>
      <c r="F666" s="11"/>
      <c r="G666" s="12"/>
      <c r="H666" s="11"/>
      <c r="I666" s="12"/>
      <c r="J666" s="11"/>
      <c r="K666" s="12"/>
      <c r="L666" s="12"/>
      <c r="M666" s="12"/>
      <c r="N666" s="12"/>
      <c r="O666" s="12"/>
      <c r="P666" s="11"/>
      <c r="Q666" s="12"/>
      <c r="R666" s="12"/>
      <c r="S666" s="11"/>
      <c r="T666" s="12"/>
      <c r="U666" s="11"/>
      <c r="V666" s="12"/>
      <c r="W666" s="12"/>
      <c r="X666" s="20">
        <f t="shared" si="335"/>
        <v>0</v>
      </c>
      <c r="Y666" s="23">
        <v>50</v>
      </c>
    </row>
    <row r="667" ht="15.6" hidden="1" outlineLevel="2" spans="1:25">
      <c r="A667" s="12">
        <v>214</v>
      </c>
      <c r="B667" s="12">
        <v>11</v>
      </c>
      <c r="C667" s="6" t="s">
        <v>737</v>
      </c>
      <c r="D667" s="6" t="s">
        <v>11</v>
      </c>
      <c r="E667" s="12">
        <v>18.4</v>
      </c>
      <c r="F667" s="11">
        <f>LOOKUP(E667,{0,-2.9,-1.9,-0.9,0.1,1.1,2.1,3.5,4.9,6.3,7.7,9.1,10.5,11.9,13.3,14.7,16.1,18.3,20.5,22.4,24.3},{0,10,20,30,40,50,60,62,64,66,68,70,72,74,76,78,80,85,90,95,100})</f>
        <v>85</v>
      </c>
      <c r="G667" s="12">
        <v>236</v>
      </c>
      <c r="H667" s="11">
        <f>LOOKUP(G667,{0,175,180,185,190,195,200,204,208,212,216,220,224,228,232,236,240,248,255,260,265},{0,10,20,30,40,50,60,62,64,66,68,70,72,74,76,78,80,85,90,95,100})</f>
        <v>78</v>
      </c>
      <c r="I667" s="12">
        <v>2</v>
      </c>
      <c r="J667" s="11">
        <f>LOOKUP(I667,{0,3,4,5,6,7,8,9,10,11,12,13,14,15,16,17},{0,10,20,30,40,50,60,64,68,72,76,80,85,90,95,100})</f>
        <v>0</v>
      </c>
      <c r="K667" s="12"/>
      <c r="L667" s="12"/>
      <c r="M667" s="12">
        <f t="shared" ref="M667:M710" si="341">J667+L667</f>
        <v>0</v>
      </c>
      <c r="N667" s="12">
        <v>6.8</v>
      </c>
      <c r="O667" s="12">
        <f t="shared" ref="O667:O710" si="342">12-N667</f>
        <v>5.2</v>
      </c>
      <c r="P667" s="11">
        <f>LOOKUP(O667,{0,1.6,1.8,2,2.2,2.4,2.6,2.8,3,3.2,3.4,3.6,3.8,4,4.2,4.4,4.6,4.7,4.8,4.9,5},{0,10,20,30,40,50,60,62,64,66,68,70,72,74,76,78,80,85,90,95,100})</f>
        <v>100</v>
      </c>
      <c r="Q667" s="12">
        <v>4.01</v>
      </c>
      <c r="R667" s="12">
        <f t="shared" ref="R667:R710" si="343">10-Q667</f>
        <v>5.99</v>
      </c>
      <c r="S667" s="11">
        <f>LOOKUP(R667,{0,3.8,4,4.6,4.8,5,5.6,5.65,5.7,5.75,5.8,5.85,5.9,5.95,6,6.45,6.5,6.58,6.65,6.7,6.75},{0,10,20,30,40,50,60,62,64,66,68,70,72,74,76,78,80,85,90,95,100})</f>
        <v>74</v>
      </c>
      <c r="T667" s="12"/>
      <c r="U667" s="15"/>
      <c r="V667" s="12">
        <f t="shared" ref="V667:V710" si="344">S667+U667</f>
        <v>74</v>
      </c>
      <c r="W667" s="12"/>
      <c r="X667" s="20">
        <f t="shared" si="335"/>
        <v>51.1</v>
      </c>
      <c r="Y667" s="20">
        <f t="shared" ref="Y667:Y710" si="345">X667/0.7+L667+U667</f>
        <v>73</v>
      </c>
    </row>
    <row r="668" ht="15.6" hidden="1" outlineLevel="2" spans="1:25">
      <c r="A668" s="12">
        <v>214</v>
      </c>
      <c r="B668" s="12">
        <v>12</v>
      </c>
      <c r="C668" s="6" t="s">
        <v>738</v>
      </c>
      <c r="D668" s="6" t="s">
        <v>11</v>
      </c>
      <c r="E668" s="12">
        <v>-0.4</v>
      </c>
      <c r="F668" s="11">
        <f>LOOKUP(E668,{0,-2.9,-1.9,-0.9,0.1,1.1,2.1,3.5,4.9,6.3,7.7,9.1,10.5,11.9,13.3,14.7,16.1,18.3,20.5,22.4,24.3},{0,10,20,30,40,50,60,62,64,66,68,70,72,74,76,78,80,85,90,95,100})</f>
        <v>30</v>
      </c>
      <c r="G668" s="12">
        <v>141</v>
      </c>
      <c r="H668" s="11">
        <f>LOOKUP(G668,{0,175,180,185,190,195,200,204,208,212,216,220,224,228,232,236,240,248,255,260,265},{0,10,20,30,40,50,60,62,64,66,68,70,72,74,76,78,80,85,90,95,100})</f>
        <v>0</v>
      </c>
      <c r="I668" s="12">
        <v>0</v>
      </c>
      <c r="J668" s="11">
        <f>LOOKUP(I668,{0,3,4,5,6,7,8,9,10,11,12,13,14,15,16,17},{0,10,20,30,40,50,60,64,68,72,76,80,85,90,95,100})</f>
        <v>0</v>
      </c>
      <c r="K668" s="12"/>
      <c r="L668" s="12"/>
      <c r="M668" s="12">
        <f t="shared" si="341"/>
        <v>0</v>
      </c>
      <c r="N668" s="12">
        <v>10.7</v>
      </c>
      <c r="O668" s="12">
        <f t="shared" si="342"/>
        <v>1.3</v>
      </c>
      <c r="P668" s="11">
        <f>LOOKUP(O668,{0,1.6,1.8,2,2.2,2.4,2.6,2.8,3,3.2,3.4,3.6,3.8,4,4.2,4.4,4.6,4.7,4.8,4.9,5},{0,10,20,30,40,50,60,62,64,66,68,70,72,74,76,78,80,85,90,95,100})</f>
        <v>0</v>
      </c>
      <c r="Q668" s="12" t="s">
        <v>739</v>
      </c>
      <c r="R668" s="12" t="e">
        <f t="shared" si="343"/>
        <v>#VALUE!</v>
      </c>
      <c r="S668" s="11"/>
      <c r="T668" s="12"/>
      <c r="U668" s="12"/>
      <c r="V668" s="12"/>
      <c r="W668" s="12"/>
      <c r="X668" s="20">
        <f t="shared" si="335"/>
        <v>3</v>
      </c>
      <c r="Y668" s="23">
        <v>50</v>
      </c>
    </row>
    <row r="669" ht="15.6" hidden="1" outlineLevel="2" spans="1:25">
      <c r="A669" s="12">
        <v>214</v>
      </c>
      <c r="B669" s="12">
        <v>13</v>
      </c>
      <c r="C669" s="6" t="s">
        <v>740</v>
      </c>
      <c r="D669" s="6" t="s">
        <v>11</v>
      </c>
      <c r="E669" s="12">
        <v>11</v>
      </c>
      <c r="F669" s="11">
        <f>LOOKUP(E669,{0,-2.9,-1.9,-0.9,0.1,1.1,2.1,3.5,4.9,6.3,7.7,9.1,10.5,11.9,13.3,14.7,16.1,18.3,20.5,22.4,24.3},{0,10,20,30,40,50,60,62,64,66,68,70,72,74,76,78,80,85,90,95,100})</f>
        <v>72</v>
      </c>
      <c r="G669" s="12">
        <v>237</v>
      </c>
      <c r="H669" s="11">
        <f>LOOKUP(G669,{0,175,180,185,190,195,200,204,208,212,216,220,224,228,232,236,240,248,255,260,265},{0,10,20,30,40,50,60,62,64,66,68,70,72,74,76,78,80,85,90,95,100})</f>
        <v>78</v>
      </c>
      <c r="I669" s="12">
        <v>8</v>
      </c>
      <c r="J669" s="11">
        <f>LOOKUP(I669,{0,3,4,5,6,7,8,9,10,11,12,13,14,15,16,17},{0,10,20,30,40,50,60,64,68,72,76,80,85,90,95,100})</f>
        <v>60</v>
      </c>
      <c r="K669" s="12"/>
      <c r="L669" s="12"/>
      <c r="M669" s="12">
        <f t="shared" si="341"/>
        <v>60</v>
      </c>
      <c r="N669" s="12">
        <v>7.2</v>
      </c>
      <c r="O669" s="12">
        <f t="shared" si="342"/>
        <v>4.8</v>
      </c>
      <c r="P669" s="11">
        <f>LOOKUP(O669,{0,1.6,1.8,2,2.2,2.4,2.6,2.8,3,3.2,3.4,3.6,3.8,4,4.2,4.4,4.6,4.7,4.8,4.9,5},{0,10,20,30,40,50,60,62,64,66,68,70,72,74,76,78,80,85,90,95,100})</f>
        <v>90</v>
      </c>
      <c r="Q669" s="12">
        <v>4.22</v>
      </c>
      <c r="R669" s="12">
        <f t="shared" si="343"/>
        <v>5.78</v>
      </c>
      <c r="S669" s="11">
        <f>LOOKUP(R669,{0,3.8,4,4.6,4.8,5,5.6,5.65,5.7,5.75,5.8,5.85,5.9,5.95,6,6.45,6.5,6.58,6.65,6.7,6.75},{0,10,20,30,40,50,60,62,64,66,68,70,72,74,76,78,80,85,90,95,100})</f>
        <v>66</v>
      </c>
      <c r="T669" s="12"/>
      <c r="U669" s="15"/>
      <c r="V669" s="12">
        <f t="shared" si="344"/>
        <v>66</v>
      </c>
      <c r="W669" s="12"/>
      <c r="X669" s="20">
        <f t="shared" si="335"/>
        <v>52.2</v>
      </c>
      <c r="Y669" s="20">
        <f t="shared" si="345"/>
        <v>74.5714285714286</v>
      </c>
    </row>
    <row r="670" ht="15.6" hidden="1" outlineLevel="2" spans="1:25">
      <c r="A670" s="12">
        <v>214</v>
      </c>
      <c r="B670" s="12">
        <v>14</v>
      </c>
      <c r="C670" s="13" t="s">
        <v>742</v>
      </c>
      <c r="D670" s="6" t="s">
        <v>53</v>
      </c>
      <c r="E670" s="12">
        <v>26.5</v>
      </c>
      <c r="F670" s="11">
        <f>LOOKUP(E670,{0,1,1.8,2.6,3.4,4.2,5,6.3,7.6,8.9,10.2,11.5,12.8,14.1,15.4,16.7,18,19.7,21.4,23.1,24.8},{0,10,20,30,40,50,60,62,64,66,68,70,72,74,76,78,80,85,90,95,100})</f>
        <v>100</v>
      </c>
      <c r="G670" s="12">
        <v>180</v>
      </c>
      <c r="H670" s="11">
        <f>LOOKUP(G670,{0,124,129,134,139,144,149,152,155,158,161,164,167,170,173,176,179,186,193,199,205},{0,10,20,30,40,50,60,62,64,66,68,70,72,74,76,78,80,85,90,95,100})</f>
        <v>80</v>
      </c>
      <c r="I670" s="12">
        <v>40</v>
      </c>
      <c r="J670" s="11">
        <f>LOOKUP(I670,{0,14,16,18,20,22,24,26,28,30,32,34,36,38,40,42,44,47,50,52,54},{0,10,20,30,40,50,60,62,64,66,68,70,72,74,76,78,80,85,90,95,100})</f>
        <v>76</v>
      </c>
      <c r="K670" s="12"/>
      <c r="L670" s="12"/>
      <c r="M670" s="12">
        <f t="shared" si="341"/>
        <v>76</v>
      </c>
      <c r="N670" s="12">
        <v>9.3</v>
      </c>
      <c r="O670" s="12">
        <f t="shared" si="342"/>
        <v>2.7</v>
      </c>
      <c r="P670" s="11">
        <f>LOOKUP(O670,{0,0.5,0.7,0.9,1.1,1.3,1.5,1.7,1.9,2.1,2.3,2.5,2.7,2.9,3.1,3.3,3.5,3.8,4.1,4.2,4.3},{0,10,20,30,40,50,60,62,64,66,68,70,72,74,76,78,80,85,90,95,100})</f>
        <v>72</v>
      </c>
      <c r="Q670" s="12">
        <v>3.49</v>
      </c>
      <c r="R670" s="12">
        <f t="shared" si="343"/>
        <v>6.51</v>
      </c>
      <c r="S670" s="11">
        <f>LOOKUP(R670,{0,4.72,4.82,4.92,5.42,5.52,5.62,5.67,5.72,5.77,5.82,5.87,5.92,5.97,6.42,6.47,6.52,6.59,6.66,6.72,6.78},{0,10,20,30,40,50,60,62,64,66,68,70,72,74,76,78,80,85,90,95,100})</f>
        <v>78</v>
      </c>
      <c r="T670" s="12"/>
      <c r="U670" s="12"/>
      <c r="V670" s="12">
        <f t="shared" si="344"/>
        <v>78</v>
      </c>
      <c r="W670" s="12"/>
      <c r="X670" s="20">
        <f t="shared" si="335"/>
        <v>55.6</v>
      </c>
      <c r="Y670" s="20">
        <f t="shared" si="345"/>
        <v>79.4285714285714</v>
      </c>
    </row>
    <row r="671" ht="15.6" hidden="1" outlineLevel="2" spans="1:25">
      <c r="A671" s="12">
        <v>214</v>
      </c>
      <c r="B671" s="12">
        <v>15</v>
      </c>
      <c r="C671" s="6" t="s">
        <v>743</v>
      </c>
      <c r="D671" s="6" t="s">
        <v>53</v>
      </c>
      <c r="E671" s="12">
        <v>17</v>
      </c>
      <c r="F671" s="11">
        <f>LOOKUP(E671,{0,1,1.8,2.6,3.4,4.2,5,6.3,7.6,8.9,10.2,11.5,12.8,14.1,15.4,16.7,18,19.7,21.4,23.1,24.8},{0,10,20,30,40,50,60,62,64,66,68,70,72,74,76,78,80,85,90,95,100})</f>
        <v>78</v>
      </c>
      <c r="G671" s="12">
        <v>196</v>
      </c>
      <c r="H671" s="11">
        <f>LOOKUP(G671,{0,124,129,134,139,144,149,152,155,158,161,164,167,170,173,176,179,186,193,199,205},{0,10,20,30,40,50,60,62,64,66,68,70,72,74,76,78,80,85,90,95,100})</f>
        <v>90</v>
      </c>
      <c r="I671" s="12">
        <v>59</v>
      </c>
      <c r="J671" s="11">
        <f>LOOKUP(I671,{0,14,16,18,20,22,24,26,28,30,32,34,36,38,40,42,44,47,50,52,54},{0,10,20,30,40,50,60,62,64,66,68,70,72,74,76,78,80,85,90,95,100})</f>
        <v>100</v>
      </c>
      <c r="K671" s="12">
        <f>I671-54</f>
        <v>5</v>
      </c>
      <c r="L671" s="11">
        <f>LOOKUP(K671,{0,2,4,6,7,8,9,10,11,12,13},{0,1,2,3,4,5,6,7,8,9,10})</f>
        <v>2</v>
      </c>
      <c r="M671" s="12">
        <f t="shared" si="341"/>
        <v>102</v>
      </c>
      <c r="N671" s="12">
        <v>8.6</v>
      </c>
      <c r="O671" s="12">
        <f t="shared" si="342"/>
        <v>3.4</v>
      </c>
      <c r="P671" s="11">
        <f>LOOKUP(O671,{0,0.5,0.7,0.9,1.1,1.3,1.5,1.7,1.9,2.1,2.3,2.5,2.7,2.9,3.1,3.3,3.5,3.8,4.1,4.2,4.3},{0,10,20,30,40,50,60,62,64,66,68,70,72,74,76,78,80,85,90,95,100})</f>
        <v>78</v>
      </c>
      <c r="Q671" s="12">
        <v>3.18</v>
      </c>
      <c r="R671" s="12">
        <f t="shared" si="343"/>
        <v>6.82</v>
      </c>
      <c r="S671" s="11">
        <f>LOOKUP(R671,{0,4.72,4.82,4.92,5.42,5.52,5.62,5.67,5.72,5.77,5.82,5.87,5.92,5.97,6.42,6.47,6.52,6.59,6.66,6.72,6.78},{0,10,20,30,40,50,60,62,64,66,68,70,72,74,76,78,80,85,90,95,100})</f>
        <v>100</v>
      </c>
      <c r="T671" s="21">
        <f>3.22-Q671</f>
        <v>0.04</v>
      </c>
      <c r="U671" s="11">
        <f>LOOKUP(T671,{0,0.05,0.1,0.15,0.2,0.25,0.3,0.35,0.4,0.45,0.5},{0,1,2,3,4,5,6,7,8,9,10})</f>
        <v>0</v>
      </c>
      <c r="V671" s="12">
        <f t="shared" si="344"/>
        <v>100</v>
      </c>
      <c r="W671" s="12"/>
      <c r="X671" s="20">
        <f t="shared" si="335"/>
        <v>62.4</v>
      </c>
      <c r="Y671" s="20">
        <f t="shared" si="345"/>
        <v>91.1428571428572</v>
      </c>
    </row>
    <row r="672" ht="15.6" hidden="1" outlineLevel="2" spans="1:25">
      <c r="A672" s="12">
        <v>214</v>
      </c>
      <c r="B672" s="12">
        <v>16</v>
      </c>
      <c r="C672" s="6" t="s">
        <v>744</v>
      </c>
      <c r="D672" s="6" t="s">
        <v>53</v>
      </c>
      <c r="E672" s="12">
        <v>19.5</v>
      </c>
      <c r="F672" s="11">
        <f>LOOKUP(E672,{0,1,1.8,2.6,3.4,4.2,5,6.3,7.6,8.9,10.2,11.5,12.8,14.1,15.4,16.7,18,19.7,21.4,23.1,24.8},{0,10,20,30,40,50,60,62,64,66,68,70,72,74,76,78,80,85,90,95,100})</f>
        <v>80</v>
      </c>
      <c r="G672" s="12">
        <v>206</v>
      </c>
      <c r="H672" s="11">
        <f>LOOKUP(G672,{0,124,129,134,139,144,149,152,155,158,161,164,167,170,173,176,179,186,193,199,205},{0,10,20,30,40,50,60,62,64,66,68,70,72,74,76,78,80,85,90,95,100})</f>
        <v>100</v>
      </c>
      <c r="I672" s="12">
        <v>27</v>
      </c>
      <c r="J672" s="11">
        <f>LOOKUP(I672,{0,14,16,18,20,22,24,26,28,30,32,34,36,38,40,42,44,47,50,52,54},{0,10,20,30,40,50,60,62,64,66,68,70,72,74,76,78,80,85,90,95,100})</f>
        <v>62</v>
      </c>
      <c r="K672" s="12"/>
      <c r="L672" s="12"/>
      <c r="M672" s="12">
        <f t="shared" si="341"/>
        <v>62</v>
      </c>
      <c r="N672" s="12">
        <v>8.6</v>
      </c>
      <c r="O672" s="12">
        <f t="shared" si="342"/>
        <v>3.4</v>
      </c>
      <c r="P672" s="11">
        <f>LOOKUP(O672,{0,0.5,0.7,0.9,1.1,1.3,1.5,1.7,1.9,2.1,2.3,2.5,2.7,2.9,3.1,3.3,3.5,3.8,4.1,4.2,4.3},{0,10,20,30,40,50,60,62,64,66,68,70,72,74,76,78,80,85,90,95,100})</f>
        <v>78</v>
      </c>
      <c r="Q672" s="12">
        <v>3.37</v>
      </c>
      <c r="R672" s="12">
        <f t="shared" si="343"/>
        <v>6.63</v>
      </c>
      <c r="S672" s="11">
        <f>LOOKUP(R672,{0,4.72,4.82,4.92,5.42,5.52,5.62,5.67,5.72,5.77,5.82,5.87,5.92,5.97,6.42,6.47,6.52,6.59,6.66,6.72,6.78},{0,10,20,30,40,50,60,62,64,66,68,70,72,74,76,78,80,85,90,95,100})</f>
        <v>85</v>
      </c>
      <c r="T672" s="12"/>
      <c r="U672" s="12"/>
      <c r="V672" s="12">
        <f t="shared" si="344"/>
        <v>85</v>
      </c>
      <c r="W672" s="12"/>
      <c r="X672" s="20">
        <f t="shared" si="335"/>
        <v>56.8</v>
      </c>
      <c r="Y672" s="20">
        <f t="shared" si="345"/>
        <v>81.1428571428571</v>
      </c>
    </row>
    <row r="673" ht="15.6" hidden="1" outlineLevel="2" spans="1:25">
      <c r="A673" s="12">
        <v>214</v>
      </c>
      <c r="B673" s="12">
        <v>17</v>
      </c>
      <c r="C673" s="6" t="s">
        <v>745</v>
      </c>
      <c r="D673" s="6" t="s">
        <v>53</v>
      </c>
      <c r="E673" s="12">
        <v>16.5</v>
      </c>
      <c r="F673" s="11">
        <f>LOOKUP(E673,{0,1,1.8,2.6,3.4,4.2,5,6.3,7.6,8.9,10.2,11.5,12.8,14.1,15.4,16.7,18,19.7,21.4,23.1,24.8},{0,10,20,30,40,50,60,62,64,66,68,70,72,74,76,78,80,85,90,95,100})</f>
        <v>76</v>
      </c>
      <c r="G673" s="12">
        <v>201</v>
      </c>
      <c r="H673" s="11">
        <f>LOOKUP(G673,{0,124,129,134,139,144,149,152,155,158,161,164,167,170,173,176,179,186,193,199,205},{0,10,20,30,40,50,60,62,64,66,68,70,72,74,76,78,80,85,90,95,100})</f>
        <v>95</v>
      </c>
      <c r="I673" s="12">
        <v>41</v>
      </c>
      <c r="J673" s="11">
        <f>LOOKUP(I673,{0,14,16,18,20,22,24,26,28,30,32,34,36,38,40,42,44,47,50,52,54},{0,10,20,30,40,50,60,62,64,66,68,70,72,74,76,78,80,85,90,95,100})</f>
        <v>76</v>
      </c>
      <c r="K673" s="12"/>
      <c r="L673" s="12"/>
      <c r="M673" s="12">
        <f t="shared" si="341"/>
        <v>76</v>
      </c>
      <c r="N673" s="12">
        <v>8.6</v>
      </c>
      <c r="O673" s="12">
        <f t="shared" si="342"/>
        <v>3.4</v>
      </c>
      <c r="P673" s="11">
        <f>LOOKUP(O673,{0,0.5,0.7,0.9,1.1,1.3,1.5,1.7,1.9,2.1,2.3,2.5,2.7,2.9,3.1,3.3,3.5,3.8,4.1,4.2,4.3},{0,10,20,30,40,50,60,62,64,66,68,70,72,74,76,78,80,85,90,95,100})</f>
        <v>78</v>
      </c>
      <c r="Q673" s="12">
        <v>4.11</v>
      </c>
      <c r="R673" s="12">
        <f t="shared" si="343"/>
        <v>5.89</v>
      </c>
      <c r="S673" s="11">
        <f>LOOKUP(R673,{0,4.72,4.82,4.92,5.42,5.52,5.62,5.67,5.72,5.77,5.82,5.87,5.92,5.97,6.42,6.47,6.52,6.59,6.66,6.72,6.78},{0,10,20,30,40,50,60,62,64,66,68,70,72,74,76,78,80,85,90,95,100})</f>
        <v>70</v>
      </c>
      <c r="T673" s="12"/>
      <c r="U673" s="12"/>
      <c r="V673" s="12">
        <f t="shared" si="344"/>
        <v>70</v>
      </c>
      <c r="W673" s="12"/>
      <c r="X673" s="20">
        <f t="shared" si="335"/>
        <v>54.3</v>
      </c>
      <c r="Y673" s="20">
        <f t="shared" si="345"/>
        <v>77.5714285714286</v>
      </c>
    </row>
    <row r="674" ht="15.6" hidden="1" outlineLevel="2" spans="1:25">
      <c r="A674" s="12">
        <v>214</v>
      </c>
      <c r="B674" s="12">
        <v>18</v>
      </c>
      <c r="C674" s="6" t="s">
        <v>746</v>
      </c>
      <c r="D674" s="6" t="s">
        <v>53</v>
      </c>
      <c r="E674" s="12">
        <v>22.5</v>
      </c>
      <c r="F674" s="11">
        <f>LOOKUP(E674,{0,1,1.8,2.6,3.4,4.2,5,6.3,7.6,8.9,10.2,11.5,12.8,14.1,15.4,16.7,18,19.7,21.4,23.1,24.8},{0,10,20,30,40,50,60,62,64,66,68,70,72,74,76,78,80,85,90,95,100})</f>
        <v>90</v>
      </c>
      <c r="G674" s="12">
        <v>163</v>
      </c>
      <c r="H674" s="11">
        <f>LOOKUP(G674,{0,124,129,134,139,144,149,152,155,158,161,164,167,170,173,176,179,186,193,199,205},{0,10,20,30,40,50,60,62,64,66,68,70,72,74,76,78,80,85,90,95,100})</f>
        <v>68</v>
      </c>
      <c r="I674" s="12">
        <v>47</v>
      </c>
      <c r="J674" s="11">
        <f>LOOKUP(I674,{0,14,16,18,20,22,24,26,28,30,32,34,36,38,40,42,44,47,50,52,54},{0,10,20,30,40,50,60,62,64,66,68,70,72,74,76,78,80,85,90,95,100})</f>
        <v>85</v>
      </c>
      <c r="K674" s="12"/>
      <c r="L674" s="12"/>
      <c r="M674" s="12">
        <f t="shared" si="341"/>
        <v>85</v>
      </c>
      <c r="N674" s="12">
        <v>9.3</v>
      </c>
      <c r="O674" s="12">
        <f t="shared" si="342"/>
        <v>2.7</v>
      </c>
      <c r="P674" s="11">
        <f>LOOKUP(O674,{0,0.5,0.7,0.9,1.1,1.3,1.5,1.7,1.9,2.1,2.3,2.5,2.7,2.9,3.1,3.3,3.5,3.8,4.1,4.2,4.3},{0,10,20,30,40,50,60,62,64,66,68,70,72,74,76,78,80,85,90,95,100})</f>
        <v>72</v>
      </c>
      <c r="Q674" s="12">
        <v>4.03</v>
      </c>
      <c r="R674" s="12">
        <f t="shared" si="343"/>
        <v>5.97</v>
      </c>
      <c r="S674" s="11">
        <f>LOOKUP(R674,{0,4.72,4.82,4.92,5.42,5.52,5.62,5.67,5.72,5.77,5.82,5.87,5.92,5.97,6.42,6.47,6.52,6.59,6.66,6.72,6.78},{0,10,20,30,40,50,60,62,64,66,68,70,72,74,76,78,80,85,90,95,100})</f>
        <v>74</v>
      </c>
      <c r="T674" s="12"/>
      <c r="U674" s="12"/>
      <c r="V674" s="12">
        <f t="shared" si="344"/>
        <v>74</v>
      </c>
      <c r="W674" s="12"/>
      <c r="X674" s="20">
        <f t="shared" si="335"/>
        <v>53.5</v>
      </c>
      <c r="Y674" s="20">
        <f t="shared" si="345"/>
        <v>76.4285714285714</v>
      </c>
    </row>
    <row r="675" ht="15.6" hidden="1" outlineLevel="2" spans="1:25">
      <c r="A675" s="12">
        <v>214</v>
      </c>
      <c r="B675" s="12">
        <v>19</v>
      </c>
      <c r="C675" s="6" t="s">
        <v>747</v>
      </c>
      <c r="D675" s="6" t="s">
        <v>53</v>
      </c>
      <c r="E675" s="12">
        <v>14</v>
      </c>
      <c r="F675" s="11">
        <f>LOOKUP(E675,{0,1,1.8,2.6,3.4,4.2,5,6.3,7.6,8.9,10.2,11.5,12.8,14.1,15.4,16.7,18,19.7,21.4,23.1,24.8},{0,10,20,30,40,50,60,62,64,66,68,70,72,74,76,78,80,85,90,95,100})</f>
        <v>72</v>
      </c>
      <c r="G675" s="12">
        <v>162</v>
      </c>
      <c r="H675" s="11">
        <f>LOOKUP(G675,{0,124,129,134,139,144,149,152,155,158,161,164,167,170,173,176,179,186,193,199,205},{0,10,20,30,40,50,60,62,64,66,68,70,72,74,76,78,80,85,90,95,100})</f>
        <v>68</v>
      </c>
      <c r="I675" s="12">
        <v>39</v>
      </c>
      <c r="J675" s="11">
        <f>LOOKUP(I675,{0,14,16,18,20,22,24,26,28,30,32,34,36,38,40,42,44,47,50,52,54},{0,10,20,30,40,50,60,62,64,66,68,70,72,74,76,78,80,85,90,95,100})</f>
        <v>74</v>
      </c>
      <c r="K675" s="12"/>
      <c r="L675" s="12"/>
      <c r="M675" s="12">
        <f t="shared" si="341"/>
        <v>74</v>
      </c>
      <c r="N675" s="12">
        <v>8.8</v>
      </c>
      <c r="O675" s="12">
        <f t="shared" si="342"/>
        <v>3.2</v>
      </c>
      <c r="P675" s="11">
        <f>LOOKUP(O675,{0,0.5,0.7,0.9,1.1,1.3,1.5,1.7,1.9,2.1,2.3,2.5,2.7,2.9,3.1,3.3,3.5,3.8,4.1,4.2,4.3},{0,10,20,30,40,50,60,62,64,66,68,70,72,74,76,78,80,85,90,95,100})</f>
        <v>76</v>
      </c>
      <c r="Q675" s="12">
        <v>3.46</v>
      </c>
      <c r="R675" s="12">
        <f t="shared" si="343"/>
        <v>6.54</v>
      </c>
      <c r="S675" s="11">
        <f>LOOKUP(R675,{0,4.72,4.82,4.92,5.42,5.52,5.62,5.67,5.72,5.77,5.82,5.87,5.92,5.97,6.42,6.47,6.52,6.59,6.66,6.72,6.78},{0,10,20,30,40,50,60,62,64,66,68,70,72,74,76,78,80,85,90,95,100})</f>
        <v>80</v>
      </c>
      <c r="T675" s="12"/>
      <c r="U675" s="15"/>
      <c r="V675" s="12">
        <f t="shared" si="344"/>
        <v>80</v>
      </c>
      <c r="W675" s="12"/>
      <c r="X675" s="20">
        <f t="shared" si="335"/>
        <v>52.6</v>
      </c>
      <c r="Y675" s="20">
        <f t="shared" si="345"/>
        <v>75.1428571428572</v>
      </c>
    </row>
    <row r="676" ht="15.6" hidden="1" outlineLevel="2" spans="1:25">
      <c r="A676" s="12">
        <v>214</v>
      </c>
      <c r="B676" s="12">
        <v>20</v>
      </c>
      <c r="C676" s="6" t="s">
        <v>748</v>
      </c>
      <c r="D676" s="6" t="s">
        <v>53</v>
      </c>
      <c r="E676" s="12">
        <v>25.5</v>
      </c>
      <c r="F676" s="11">
        <f>LOOKUP(E676,{0,1,1.8,2.6,3.4,4.2,5,6.3,7.6,8.9,10.2,11.5,12.8,14.1,15.4,16.7,18,19.7,21.4,23.1,24.8},{0,10,20,30,40,50,60,62,64,66,68,70,72,74,76,78,80,85,90,95,100})</f>
        <v>100</v>
      </c>
      <c r="G676" s="12">
        <v>180</v>
      </c>
      <c r="H676" s="11">
        <f>LOOKUP(G676,{0,124,129,134,139,144,149,152,155,158,161,164,167,170,173,176,179,186,193,199,205},{0,10,20,30,40,50,60,62,64,66,68,70,72,74,76,78,80,85,90,95,100})</f>
        <v>80</v>
      </c>
      <c r="I676" s="12">
        <v>47</v>
      </c>
      <c r="J676" s="11">
        <f>LOOKUP(I676,{0,14,16,18,20,22,24,26,28,30,32,34,36,38,40,42,44,47,50,52,54},{0,10,20,30,40,50,60,62,64,66,68,70,72,74,76,78,80,85,90,95,100})</f>
        <v>85</v>
      </c>
      <c r="K676" s="12"/>
      <c r="L676" s="12"/>
      <c r="M676" s="12">
        <f t="shared" si="341"/>
        <v>85</v>
      </c>
      <c r="N676" s="12">
        <v>10.5</v>
      </c>
      <c r="O676" s="12">
        <f t="shared" si="342"/>
        <v>1.5</v>
      </c>
      <c r="P676" s="11">
        <f>LOOKUP(O676,{0,0.5,0.7,0.9,1.1,1.3,1.5,1.7,1.9,2.1,2.3,2.5,2.7,2.9,3.1,3.3,3.5,3.8,4.1,4.2,4.3},{0,10,20,30,40,50,60,62,64,66,68,70,72,74,76,78,80,85,90,95,100})</f>
        <v>60</v>
      </c>
      <c r="Q676" s="12">
        <v>4.13</v>
      </c>
      <c r="R676" s="12">
        <f t="shared" si="343"/>
        <v>5.87</v>
      </c>
      <c r="S676" s="11">
        <f>LOOKUP(R676,{0,4.72,4.82,4.92,5.42,5.52,5.62,5.67,5.72,5.77,5.82,5.87,5.92,5.97,6.42,6.47,6.52,6.59,6.66,6.72,6.78},{0,10,20,30,40,50,60,62,64,66,68,70,72,74,76,78,80,85,90,95,100})</f>
        <v>70</v>
      </c>
      <c r="T676" s="12"/>
      <c r="U676" s="12"/>
      <c r="V676" s="12">
        <f t="shared" si="344"/>
        <v>70</v>
      </c>
      <c r="W676" s="12"/>
      <c r="X676" s="20">
        <f t="shared" si="335"/>
        <v>52.5</v>
      </c>
      <c r="Y676" s="20">
        <f t="shared" si="345"/>
        <v>75</v>
      </c>
    </row>
    <row r="677" ht="15.6" hidden="1" outlineLevel="2" spans="1:25">
      <c r="A677" s="12">
        <v>214</v>
      </c>
      <c r="B677" s="12">
        <v>21</v>
      </c>
      <c r="C677" s="6" t="s">
        <v>749</v>
      </c>
      <c r="D677" s="6" t="s">
        <v>53</v>
      </c>
      <c r="E677" s="12">
        <v>27</v>
      </c>
      <c r="F677" s="11">
        <f>LOOKUP(E677,{0,1,1.8,2.6,3.4,4.2,5,6.3,7.6,8.9,10.2,11.5,12.8,14.1,15.4,16.7,18,19.7,21.4,23.1,24.8},{0,10,20,30,40,50,60,62,64,66,68,70,72,74,76,78,80,85,90,95,100})</f>
        <v>100</v>
      </c>
      <c r="G677" s="12">
        <v>148</v>
      </c>
      <c r="H677" s="11">
        <f>LOOKUP(G677,{0,124,129,134,139,144,149,152,155,158,161,164,167,170,173,176,179,186,193,199,205},{0,10,20,30,40,50,60,62,64,66,68,70,72,74,76,78,80,85,90,95,100})</f>
        <v>50</v>
      </c>
      <c r="I677" s="12">
        <v>32</v>
      </c>
      <c r="J677" s="11">
        <f>LOOKUP(I677,{0,14,16,18,20,22,24,26,28,30,32,34,36,38,40,42,44,47,50,52,54},{0,10,20,30,40,50,60,62,64,66,68,70,72,74,76,78,80,85,90,95,100})</f>
        <v>68</v>
      </c>
      <c r="K677" s="12"/>
      <c r="L677" s="12"/>
      <c r="M677" s="12">
        <f t="shared" si="341"/>
        <v>68</v>
      </c>
      <c r="N677" s="12">
        <v>10.1</v>
      </c>
      <c r="O677" s="12">
        <f t="shared" si="342"/>
        <v>1.9</v>
      </c>
      <c r="P677" s="11">
        <f>LOOKUP(O677,{0,0.5,0.7,0.9,1.1,1.3,1.5,1.7,1.9,2.1,2.3,2.5,2.7,2.9,3.1,3.3,3.5,3.8,4.1,4.2,4.3},{0,10,20,30,40,50,60,62,64,66,68,70,72,74,76,78,80,85,90,95,100})</f>
        <v>64</v>
      </c>
      <c r="Q677" s="12">
        <v>4.12</v>
      </c>
      <c r="R677" s="12">
        <f t="shared" si="343"/>
        <v>5.88</v>
      </c>
      <c r="S677" s="11">
        <f>LOOKUP(R677,{0,4.72,4.82,4.92,5.42,5.52,5.62,5.67,5.72,5.77,5.82,5.87,5.92,5.97,6.42,6.47,6.52,6.59,6.66,6.72,6.78},{0,10,20,30,40,50,60,62,64,66,68,70,72,74,76,78,80,85,90,95,100})</f>
        <v>70</v>
      </c>
      <c r="T677" s="12"/>
      <c r="U677" s="12"/>
      <c r="V677" s="12">
        <f t="shared" si="344"/>
        <v>70</v>
      </c>
      <c r="W677" s="12"/>
      <c r="X677" s="20">
        <f t="shared" si="335"/>
        <v>48.6</v>
      </c>
      <c r="Y677" s="20">
        <f t="shared" si="345"/>
        <v>69.4285714285714</v>
      </c>
    </row>
    <row r="678" ht="15.6" hidden="1" outlineLevel="2" spans="1:25">
      <c r="A678" s="12">
        <v>214</v>
      </c>
      <c r="B678" s="12">
        <v>22</v>
      </c>
      <c r="C678" s="6" t="s">
        <v>750</v>
      </c>
      <c r="D678" s="6" t="s">
        <v>53</v>
      </c>
      <c r="E678" s="12">
        <v>24.2</v>
      </c>
      <c r="F678" s="11">
        <f>LOOKUP(E678,{0,1,1.8,2.6,3.4,4.2,5,6.3,7.6,8.9,10.2,11.5,12.8,14.1,15.4,16.7,18,19.7,21.4,23.1,24.8},{0,10,20,30,40,50,60,62,64,66,68,70,72,74,76,78,80,85,90,95,100})</f>
        <v>95</v>
      </c>
      <c r="G678" s="12">
        <v>162</v>
      </c>
      <c r="H678" s="11">
        <f>LOOKUP(G678,{0,124,129,134,139,144,149,152,155,158,161,164,167,170,173,176,179,186,193,199,205},{0,10,20,30,40,50,60,62,64,66,68,70,72,74,76,78,80,85,90,95,100})</f>
        <v>68</v>
      </c>
      <c r="I678" s="12">
        <v>54</v>
      </c>
      <c r="J678" s="11">
        <f>LOOKUP(I678,{0,14,16,18,20,22,24,26,28,30,32,34,36,38,40,42,44,47,50,52,54},{0,10,20,30,40,50,60,62,64,66,68,70,72,74,76,78,80,85,90,95,100})</f>
        <v>100</v>
      </c>
      <c r="K678" s="12">
        <f>I678-54</f>
        <v>0</v>
      </c>
      <c r="L678" s="11">
        <f>LOOKUP(K678,{0,2,4,6,7,8,9,10,11,12,13},{0,1,2,3,4,5,6,7,8,9,10})</f>
        <v>0</v>
      </c>
      <c r="M678" s="12">
        <f t="shared" si="341"/>
        <v>100</v>
      </c>
      <c r="N678" s="12">
        <v>9.3</v>
      </c>
      <c r="O678" s="12">
        <f t="shared" si="342"/>
        <v>2.7</v>
      </c>
      <c r="P678" s="11">
        <f>LOOKUP(O678,{0,0.5,0.7,0.9,1.1,1.3,1.5,1.7,1.9,2.1,2.3,2.5,2.7,2.9,3.1,3.3,3.5,3.8,4.1,4.2,4.3},{0,10,20,30,40,50,60,62,64,66,68,70,72,74,76,78,80,85,90,95,100})</f>
        <v>72</v>
      </c>
      <c r="Q678" s="12">
        <v>3.58</v>
      </c>
      <c r="R678" s="12">
        <f t="shared" si="343"/>
        <v>6.42</v>
      </c>
      <c r="S678" s="11">
        <f>LOOKUP(R678,{0,4.72,4.82,4.92,5.42,5.52,5.62,5.67,5.72,5.77,5.82,5.87,5.92,5.97,6.42,6.47,6.52,6.59,6.66,6.72,6.78},{0,10,20,30,40,50,60,62,64,66,68,70,72,74,76,78,80,85,90,95,100})</f>
        <v>76</v>
      </c>
      <c r="T678" s="12"/>
      <c r="U678" s="12"/>
      <c r="V678" s="12">
        <f t="shared" si="344"/>
        <v>76</v>
      </c>
      <c r="W678" s="12"/>
      <c r="X678" s="20">
        <f t="shared" si="335"/>
        <v>55.9</v>
      </c>
      <c r="Y678" s="20">
        <f t="shared" si="345"/>
        <v>79.8571428571429</v>
      </c>
    </row>
    <row r="679" s="1" customFormat="1" ht="15.6" hidden="1" outlineLevel="2" spans="1:25">
      <c r="A679" s="12">
        <v>214</v>
      </c>
      <c r="B679" s="12">
        <v>23</v>
      </c>
      <c r="C679" s="6" t="s">
        <v>751</v>
      </c>
      <c r="D679" s="6" t="s">
        <v>53</v>
      </c>
      <c r="E679" s="12">
        <v>27.5</v>
      </c>
      <c r="F679" s="11">
        <f>LOOKUP(E679,{0,1,1.8,2.6,3.4,4.2,5,6.3,7.6,8.9,10.2,11.5,12.8,14.1,15.4,16.7,18,19.7,21.4,23.1,24.8},{0,10,20,30,40,50,60,62,64,66,68,70,72,74,76,78,80,85,90,95,100})</f>
        <v>100</v>
      </c>
      <c r="G679" s="12">
        <v>190</v>
      </c>
      <c r="H679" s="11">
        <f>LOOKUP(G679,{0,124,129,134,139,144,149,152,155,158,161,164,167,170,173,176,179,186,193,199,205},{0,10,20,30,40,50,60,62,64,66,68,70,72,74,76,78,80,85,90,95,100})</f>
        <v>85</v>
      </c>
      <c r="I679" s="12">
        <v>58</v>
      </c>
      <c r="J679" s="11">
        <f>LOOKUP(I679,{0,14,16,18,20,22,24,26,28,30,32,34,36,38,40,42,44,47,50,52,54},{0,10,20,30,40,50,60,62,64,66,68,70,72,74,76,78,80,85,90,95,100})</f>
        <v>100</v>
      </c>
      <c r="K679" s="12">
        <f>I679-54</f>
        <v>4</v>
      </c>
      <c r="L679" s="11">
        <f>LOOKUP(K679,{0,2,4,6,7,8,9,10,11,12,13},{0,1,2,3,4,5,6,7,8,9,10})</f>
        <v>2</v>
      </c>
      <c r="M679" s="12">
        <f t="shared" si="341"/>
        <v>102</v>
      </c>
      <c r="N679" s="12">
        <v>8.4</v>
      </c>
      <c r="O679" s="12">
        <f t="shared" si="342"/>
        <v>3.6</v>
      </c>
      <c r="P679" s="11">
        <f>LOOKUP(O679,{0,0.5,0.7,0.9,1.1,1.3,1.5,1.7,1.9,2.1,2.3,2.5,2.7,2.9,3.1,3.3,3.5,3.8,4.1,4.2,4.3},{0,10,20,30,40,50,60,62,64,66,68,70,72,74,76,78,80,85,90,95,100})</f>
        <v>80</v>
      </c>
      <c r="Q679" s="12">
        <v>3.17</v>
      </c>
      <c r="R679" s="12">
        <f t="shared" si="343"/>
        <v>6.83</v>
      </c>
      <c r="S679" s="11">
        <f>LOOKUP(R679,{0,4.72,4.82,4.92,5.42,5.52,5.62,5.67,5.72,5.77,5.82,5.87,5.92,5.97,6.42,6.47,6.52,6.59,6.66,6.72,6.78},{0,10,20,30,40,50,60,62,64,66,68,70,72,74,76,78,80,85,90,95,100})</f>
        <v>100</v>
      </c>
      <c r="T679" s="21">
        <f>3.22-Q679</f>
        <v>0.0500000000000003</v>
      </c>
      <c r="U679" s="11">
        <f>LOOKUP(T679,{0,0.05,0.1,0.15,0.2,0.25,0.3,0.35,0.4,0.45,0.5},{0,1,2,3,4,5,6,7,8,9,10})</f>
        <v>1</v>
      </c>
      <c r="V679" s="12">
        <f t="shared" si="344"/>
        <v>101</v>
      </c>
      <c r="W679" s="12"/>
      <c r="X679" s="20">
        <f t="shared" si="335"/>
        <v>64.5</v>
      </c>
      <c r="Y679" s="20">
        <f t="shared" si="345"/>
        <v>95.1428571428572</v>
      </c>
    </row>
    <row r="680" ht="15.6" hidden="1" outlineLevel="2" spans="1:25">
      <c r="A680" s="12">
        <v>214</v>
      </c>
      <c r="B680" s="12">
        <v>24</v>
      </c>
      <c r="C680" s="13" t="s">
        <v>753</v>
      </c>
      <c r="D680" s="6" t="s">
        <v>53</v>
      </c>
      <c r="E680" s="12">
        <v>19.1</v>
      </c>
      <c r="F680" s="11">
        <f>LOOKUP(E680,{0,1,1.8,2.6,3.4,4.2,5,6.3,7.6,8.9,10.2,11.5,12.8,14.1,15.4,16.7,18,19.7,21.4,23.1,24.8},{0,10,20,30,40,50,60,62,64,66,68,70,72,74,76,78,80,85,90,95,100})</f>
        <v>80</v>
      </c>
      <c r="G680" s="12">
        <v>165</v>
      </c>
      <c r="H680" s="11">
        <f>LOOKUP(G680,{0,124,129,134,139,144,149,152,155,158,161,164,167,170,173,176,179,186,193,199,205},{0,10,20,30,40,50,60,62,64,66,68,70,72,74,76,78,80,85,90,95,100})</f>
        <v>70</v>
      </c>
      <c r="I680" s="12">
        <v>52</v>
      </c>
      <c r="J680" s="11">
        <f>LOOKUP(I680,{0,14,16,18,20,22,24,26,28,30,32,34,36,38,40,42,44,47,50,52,54},{0,10,20,30,40,50,60,62,64,66,68,70,72,74,76,78,80,85,90,95,100})</f>
        <v>95</v>
      </c>
      <c r="K680" s="12"/>
      <c r="L680" s="12"/>
      <c r="M680" s="12">
        <f t="shared" si="341"/>
        <v>95</v>
      </c>
      <c r="N680" s="12">
        <v>8.9</v>
      </c>
      <c r="O680" s="12">
        <f t="shared" si="342"/>
        <v>3.1</v>
      </c>
      <c r="P680" s="11">
        <f>LOOKUP(O680,{0,0.5,0.7,0.9,1.1,1.3,1.5,1.7,1.9,2.1,2.3,2.5,2.7,2.9,3.1,3.3,3.5,3.8,4.1,4.2,4.3},{0,10,20,30,40,50,60,62,64,66,68,70,72,74,76,78,80,85,90,95,100})</f>
        <v>76</v>
      </c>
      <c r="Q680" s="12">
        <v>3.53</v>
      </c>
      <c r="R680" s="12">
        <f t="shared" si="343"/>
        <v>6.47</v>
      </c>
      <c r="S680" s="11">
        <f>LOOKUP(R680,{0,4.72,4.82,4.92,5.42,5.52,5.62,5.67,5.72,5.77,5.82,5.87,5.92,5.97,6.42,6.47,6.52,6.59,6.66,6.72,6.78},{0,10,20,30,40,50,60,62,64,66,68,70,72,74,76,78,80,85,90,95,100})</f>
        <v>78</v>
      </c>
      <c r="T680" s="12"/>
      <c r="U680" s="12"/>
      <c r="V680" s="12">
        <f t="shared" si="344"/>
        <v>78</v>
      </c>
      <c r="W680" s="12"/>
      <c r="X680" s="20">
        <f t="shared" si="335"/>
        <v>55.3</v>
      </c>
      <c r="Y680" s="20">
        <f t="shared" si="345"/>
        <v>79</v>
      </c>
    </row>
    <row r="681" ht="15.6" hidden="1" outlineLevel="2" spans="1:25">
      <c r="A681" s="12">
        <v>214</v>
      </c>
      <c r="B681" s="12">
        <v>25</v>
      </c>
      <c r="C681" s="6" t="s">
        <v>754</v>
      </c>
      <c r="D681" s="6" t="s">
        <v>53</v>
      </c>
      <c r="E681" s="12">
        <v>23</v>
      </c>
      <c r="F681" s="11">
        <f>LOOKUP(E681,{0,1,1.8,2.6,3.4,4.2,5,6.3,7.6,8.9,10.2,11.5,12.8,14.1,15.4,16.7,18,19.7,21.4,23.1,24.8},{0,10,20,30,40,50,60,62,64,66,68,70,72,74,76,78,80,85,90,95,100})</f>
        <v>90</v>
      </c>
      <c r="G681" s="12">
        <v>195</v>
      </c>
      <c r="H681" s="11">
        <f>LOOKUP(G681,{0,124,129,134,139,144,149,152,155,158,161,164,167,170,173,176,179,186,193,199,205},{0,10,20,30,40,50,60,62,64,66,68,70,72,74,76,78,80,85,90,95,100})</f>
        <v>90</v>
      </c>
      <c r="I681" s="12">
        <v>48</v>
      </c>
      <c r="J681" s="11">
        <f>LOOKUP(I681,{0,14,16,18,20,22,24,26,28,30,32,34,36,38,40,42,44,47,50,52,54},{0,10,20,30,40,50,60,62,64,66,68,70,72,74,76,78,80,85,90,95,100})</f>
        <v>85</v>
      </c>
      <c r="K681" s="12"/>
      <c r="L681" s="12"/>
      <c r="M681" s="12">
        <f t="shared" si="341"/>
        <v>85</v>
      </c>
      <c r="N681" s="12">
        <v>8.1</v>
      </c>
      <c r="O681" s="12">
        <f t="shared" si="342"/>
        <v>3.9</v>
      </c>
      <c r="P681" s="11">
        <f>LOOKUP(O681,{0,0.5,0.7,0.9,1.1,1.3,1.5,1.7,1.9,2.1,2.3,2.5,2.7,2.9,3.1,3.3,3.5,3.8,4.1,4.2,4.3},{0,10,20,30,40,50,60,62,64,66,68,70,72,74,76,78,80,85,90,95,100})</f>
        <v>85</v>
      </c>
      <c r="Q681" s="12">
        <v>3.39</v>
      </c>
      <c r="R681" s="12">
        <f t="shared" si="343"/>
        <v>6.61</v>
      </c>
      <c r="S681" s="11">
        <f>LOOKUP(R681,{0,4.72,4.82,4.92,5.42,5.52,5.62,5.67,5.72,5.77,5.82,5.87,5.92,5.97,6.42,6.47,6.52,6.59,6.66,6.72,6.78},{0,10,20,30,40,50,60,62,64,66,68,70,72,74,76,78,80,85,90,95,100})</f>
        <v>85</v>
      </c>
      <c r="T681" s="12"/>
      <c r="U681" s="12"/>
      <c r="V681" s="12">
        <f t="shared" si="344"/>
        <v>85</v>
      </c>
      <c r="W681" s="12"/>
      <c r="X681" s="20">
        <f t="shared" si="335"/>
        <v>60.5</v>
      </c>
      <c r="Y681" s="20">
        <f t="shared" si="345"/>
        <v>86.4285714285714</v>
      </c>
    </row>
    <row r="682" ht="15.6" hidden="1" outlineLevel="2" spans="1:25">
      <c r="A682" s="12">
        <v>214</v>
      </c>
      <c r="B682" s="12">
        <v>26</v>
      </c>
      <c r="C682" s="6" t="s">
        <v>755</v>
      </c>
      <c r="D682" s="6" t="s">
        <v>53</v>
      </c>
      <c r="E682" s="12">
        <v>23</v>
      </c>
      <c r="F682" s="11">
        <f>LOOKUP(E682,{0,1,1.8,2.6,3.4,4.2,5,6.3,7.6,8.9,10.2,11.5,12.8,14.1,15.4,16.7,18,19.7,21.4,23.1,24.8},{0,10,20,30,40,50,60,62,64,66,68,70,72,74,76,78,80,85,90,95,100})</f>
        <v>90</v>
      </c>
      <c r="G682" s="12">
        <v>150</v>
      </c>
      <c r="H682" s="11">
        <f>LOOKUP(G682,{0,124,129,134,139,144,149,152,155,158,161,164,167,170,173,176,179,186,193,199,205},{0,10,20,30,40,50,60,62,64,66,68,70,72,74,76,78,80,85,90,95,100})</f>
        <v>60</v>
      </c>
      <c r="I682" s="12">
        <v>36</v>
      </c>
      <c r="J682" s="11">
        <f>LOOKUP(I682,{0,14,16,18,20,22,24,26,28,30,32,34,36,38,40,42,44,47,50,52,54},{0,10,20,30,40,50,60,62,64,66,68,70,72,74,76,78,80,85,90,95,100})</f>
        <v>72</v>
      </c>
      <c r="K682" s="12"/>
      <c r="L682" s="12"/>
      <c r="M682" s="12">
        <f t="shared" si="341"/>
        <v>72</v>
      </c>
      <c r="N682" s="12">
        <v>9.2</v>
      </c>
      <c r="O682" s="12">
        <f t="shared" si="342"/>
        <v>2.8</v>
      </c>
      <c r="P682" s="11">
        <f>LOOKUP(O682,{0,0.5,0.7,0.9,1.1,1.3,1.5,1.7,1.9,2.1,2.3,2.5,2.7,2.9,3.1,3.3,3.5,3.8,4.1,4.2,4.3},{0,10,20,30,40,50,60,62,64,66,68,70,72,74,76,78,80,85,90,95,100})</f>
        <v>72</v>
      </c>
      <c r="Q682" s="12">
        <v>4.11</v>
      </c>
      <c r="R682" s="12">
        <f t="shared" si="343"/>
        <v>5.89</v>
      </c>
      <c r="S682" s="11">
        <f>LOOKUP(R682,{0,4.72,4.82,4.92,5.42,5.52,5.62,5.67,5.72,5.77,5.82,5.87,5.92,5.97,6.42,6.47,6.52,6.59,6.66,6.72,6.78},{0,10,20,30,40,50,60,62,64,66,68,70,72,74,76,78,80,85,90,95,100})</f>
        <v>70</v>
      </c>
      <c r="T682" s="12"/>
      <c r="U682" s="15"/>
      <c r="V682" s="12">
        <f t="shared" si="344"/>
        <v>70</v>
      </c>
      <c r="W682" s="12"/>
      <c r="X682" s="20">
        <f t="shared" si="335"/>
        <v>50.6</v>
      </c>
      <c r="Y682" s="20">
        <f t="shared" si="345"/>
        <v>72.2857142857143</v>
      </c>
    </row>
    <row r="683" ht="15.6" hidden="1" outlineLevel="2" spans="1:25">
      <c r="A683" s="12">
        <v>214</v>
      </c>
      <c r="B683" s="12">
        <v>27</v>
      </c>
      <c r="C683" s="6" t="s">
        <v>756</v>
      </c>
      <c r="D683" s="6" t="s">
        <v>53</v>
      </c>
      <c r="E683" s="12">
        <v>10</v>
      </c>
      <c r="F683" s="11">
        <f>LOOKUP(E683,{0,1,1.8,2.6,3.4,4.2,5,6.3,7.6,8.9,10.2,11.5,12.8,14.1,15.4,16.7,18,19.7,21.4,23.1,24.8},{0,10,20,30,40,50,60,62,64,66,68,70,72,74,76,78,80,85,90,95,100})</f>
        <v>66</v>
      </c>
      <c r="G683" s="12">
        <v>157</v>
      </c>
      <c r="H683" s="11">
        <f>LOOKUP(G683,{0,124,129,134,139,144,149,152,155,158,161,164,167,170,173,176,179,186,193,199,205},{0,10,20,30,40,50,60,62,64,66,68,70,72,74,76,78,80,85,90,95,100})</f>
        <v>64</v>
      </c>
      <c r="I683" s="12">
        <v>45</v>
      </c>
      <c r="J683" s="11">
        <f>LOOKUP(I683,{0,14,16,18,20,22,24,26,28,30,32,34,36,38,40,42,44,47,50,52,54},{0,10,20,30,40,50,60,62,64,66,68,70,72,74,76,78,80,85,90,95,100})</f>
        <v>80</v>
      </c>
      <c r="K683" s="12"/>
      <c r="L683" s="12"/>
      <c r="M683" s="12">
        <f t="shared" si="341"/>
        <v>80</v>
      </c>
      <c r="N683" s="12">
        <v>9</v>
      </c>
      <c r="O683" s="12">
        <f t="shared" si="342"/>
        <v>3</v>
      </c>
      <c r="P683" s="11">
        <f>LOOKUP(O683,{0,0.5,0.7,0.9,1.1,1.3,1.5,1.7,1.9,2.1,2.3,2.5,2.7,2.9,3.1,3.3,3.5,3.8,4.1,4.2,4.3},{0,10,20,30,40,50,60,62,64,66,68,70,72,74,76,78,80,85,90,95,100})</f>
        <v>74</v>
      </c>
      <c r="Q683" s="12">
        <v>4.1</v>
      </c>
      <c r="R683" s="12">
        <f t="shared" si="343"/>
        <v>5.9</v>
      </c>
      <c r="S683" s="11">
        <f>LOOKUP(R683,{0,4.72,4.82,4.92,5.42,5.52,5.62,5.67,5.72,5.77,5.82,5.87,5.92,5.97,6.42,6.47,6.52,6.59,6.66,6.72,6.78},{0,10,20,30,40,50,60,62,64,66,68,70,72,74,76,78,80,85,90,95,100})</f>
        <v>70</v>
      </c>
      <c r="T683" s="12"/>
      <c r="U683" s="12"/>
      <c r="V683" s="12">
        <f t="shared" si="344"/>
        <v>70</v>
      </c>
      <c r="W683" s="12"/>
      <c r="X683" s="20">
        <f t="shared" si="335"/>
        <v>49.8</v>
      </c>
      <c r="Y683" s="20">
        <f t="shared" si="345"/>
        <v>71.1428571428571</v>
      </c>
    </row>
    <row r="684" ht="15.6" hidden="1" outlineLevel="2" spans="1:25">
      <c r="A684" s="12">
        <v>214</v>
      </c>
      <c r="B684" s="12">
        <v>28</v>
      </c>
      <c r="C684" s="6" t="s">
        <v>757</v>
      </c>
      <c r="D684" s="6" t="s">
        <v>53</v>
      </c>
      <c r="E684" s="12">
        <v>26</v>
      </c>
      <c r="F684" s="11">
        <f>LOOKUP(E684,{0,1,1.8,2.6,3.4,4.2,5,6.3,7.6,8.9,10.2,11.5,12.8,14.1,15.4,16.7,18,19.7,21.4,23.1,24.8},{0,10,20,30,40,50,60,62,64,66,68,70,72,74,76,78,80,85,90,95,100})</f>
        <v>100</v>
      </c>
      <c r="G684" s="12">
        <v>189</v>
      </c>
      <c r="H684" s="11">
        <f>LOOKUP(G684,{0,124,129,134,139,144,149,152,155,158,161,164,167,170,173,176,179,186,193,199,205},{0,10,20,30,40,50,60,62,64,66,68,70,72,74,76,78,80,85,90,95,100})</f>
        <v>85</v>
      </c>
      <c r="I684" s="12">
        <v>46</v>
      </c>
      <c r="J684" s="11">
        <f>LOOKUP(I684,{0,14,16,18,20,22,24,26,28,30,32,34,36,38,40,42,44,47,50,52,54},{0,10,20,30,40,50,60,62,64,66,68,70,72,74,76,78,80,85,90,95,100})</f>
        <v>80</v>
      </c>
      <c r="K684" s="12"/>
      <c r="L684" s="12"/>
      <c r="M684" s="12">
        <f t="shared" si="341"/>
        <v>80</v>
      </c>
      <c r="N684" s="12">
        <v>8.6</v>
      </c>
      <c r="O684" s="12">
        <f t="shared" si="342"/>
        <v>3.4</v>
      </c>
      <c r="P684" s="11">
        <f>LOOKUP(O684,{0,0.5,0.7,0.9,1.1,1.3,1.5,1.7,1.9,2.1,2.3,2.5,2.7,2.9,3.1,3.3,3.5,3.8,4.1,4.2,4.3},{0,10,20,30,40,50,60,62,64,66,68,70,72,74,76,78,80,85,90,95,100})</f>
        <v>78</v>
      </c>
      <c r="Q684" s="12">
        <v>4.1</v>
      </c>
      <c r="R684" s="12">
        <f t="shared" si="343"/>
        <v>5.9</v>
      </c>
      <c r="S684" s="11">
        <f>LOOKUP(R684,{0,4.72,4.82,4.92,5.42,5.52,5.62,5.67,5.72,5.77,5.82,5.87,5.92,5.97,6.42,6.47,6.52,6.59,6.66,6.72,6.78},{0,10,20,30,40,50,60,62,64,66,68,70,72,74,76,78,80,85,90,95,100})</f>
        <v>70</v>
      </c>
      <c r="T684" s="12"/>
      <c r="U684" s="15"/>
      <c r="V684" s="12">
        <f t="shared" si="344"/>
        <v>70</v>
      </c>
      <c r="W684" s="12"/>
      <c r="X684" s="20">
        <f t="shared" si="335"/>
        <v>56.1</v>
      </c>
      <c r="Y684" s="20">
        <f t="shared" si="345"/>
        <v>80.1428571428572</v>
      </c>
    </row>
    <row r="685" ht="15.6" hidden="1" outlineLevel="2" spans="1:25">
      <c r="A685" s="12">
        <v>214</v>
      </c>
      <c r="B685" s="12">
        <v>29</v>
      </c>
      <c r="C685" s="6" t="s">
        <v>758</v>
      </c>
      <c r="D685" s="6" t="s">
        <v>53</v>
      </c>
      <c r="E685" s="12">
        <v>21.1</v>
      </c>
      <c r="F685" s="11">
        <f>LOOKUP(E685,{0,1,1.8,2.6,3.4,4.2,5,6.3,7.6,8.9,10.2,11.5,12.8,14.1,15.4,16.7,18,19.7,21.4,23.1,24.8},{0,10,20,30,40,50,60,62,64,66,68,70,72,74,76,78,80,85,90,95,100})</f>
        <v>85</v>
      </c>
      <c r="G685" s="12">
        <v>170</v>
      </c>
      <c r="H685" s="11">
        <f>LOOKUP(G685,{0,124,129,134,139,144,149,152,155,158,161,164,167,170,173,176,179,186,193,199,205},{0,10,20,30,40,50,60,62,64,66,68,70,72,74,76,78,80,85,90,95,100})</f>
        <v>74</v>
      </c>
      <c r="I685" s="12">
        <v>50</v>
      </c>
      <c r="J685" s="11">
        <f>LOOKUP(I685,{0,14,16,18,20,22,24,26,28,30,32,34,36,38,40,42,44,47,50,52,54},{0,10,20,30,40,50,60,62,64,66,68,70,72,74,76,78,80,85,90,95,100})</f>
        <v>90</v>
      </c>
      <c r="K685" s="12"/>
      <c r="L685" s="12"/>
      <c r="M685" s="12">
        <f t="shared" si="341"/>
        <v>90</v>
      </c>
      <c r="N685" s="12">
        <v>9.1</v>
      </c>
      <c r="O685" s="12">
        <f t="shared" si="342"/>
        <v>2.9</v>
      </c>
      <c r="P685" s="11">
        <f>LOOKUP(O685,{0,0.5,0.7,0.9,1.1,1.3,1.5,1.7,1.9,2.1,2.3,2.5,2.7,2.9,3.1,3.3,3.5,3.8,4.1,4.2,4.3},{0,10,20,30,40,50,60,62,64,66,68,70,72,74,76,78,80,85,90,95,100})</f>
        <v>74</v>
      </c>
      <c r="Q685" s="12">
        <v>4.02</v>
      </c>
      <c r="R685" s="12">
        <f t="shared" si="343"/>
        <v>5.98</v>
      </c>
      <c r="S685" s="11">
        <f>LOOKUP(R685,{0,4.72,4.82,4.92,5.42,5.52,5.62,5.67,5.72,5.77,5.82,5.87,5.92,5.97,6.42,6.47,6.52,6.59,6.66,6.72,6.78},{0,10,20,30,40,50,60,62,64,66,68,70,72,74,76,78,80,85,90,95,100})</f>
        <v>74</v>
      </c>
      <c r="T685" s="12"/>
      <c r="U685" s="12"/>
      <c r="V685" s="12">
        <f t="shared" si="344"/>
        <v>74</v>
      </c>
      <c r="W685" s="12"/>
      <c r="X685" s="20">
        <f t="shared" si="335"/>
        <v>54.5</v>
      </c>
      <c r="Y685" s="20">
        <f t="shared" si="345"/>
        <v>77.8571428571429</v>
      </c>
    </row>
    <row r="686" ht="15.6" hidden="1" outlineLevel="2" spans="1:25">
      <c r="A686" s="12">
        <v>214</v>
      </c>
      <c r="B686" s="12">
        <v>30</v>
      </c>
      <c r="C686" s="6" t="s">
        <v>759</v>
      </c>
      <c r="D686" s="6" t="s">
        <v>53</v>
      </c>
      <c r="E686" s="12">
        <v>19.6</v>
      </c>
      <c r="F686" s="11">
        <f>LOOKUP(E686,{0,1,1.8,2.6,3.4,4.2,5,6.3,7.6,8.9,10.2,11.5,12.8,14.1,15.4,16.7,18,19.7,21.4,23.1,24.8},{0,10,20,30,40,50,60,62,64,66,68,70,72,74,76,78,80,85,90,95,100})</f>
        <v>80</v>
      </c>
      <c r="G686" s="12">
        <v>153</v>
      </c>
      <c r="H686" s="11">
        <f>LOOKUP(G686,{0,124,129,134,139,144,149,152,155,158,161,164,167,170,173,176,179,186,193,199,205},{0,10,20,30,40,50,60,62,64,66,68,70,72,74,76,78,80,85,90,95,100})</f>
        <v>62</v>
      </c>
      <c r="I686" s="12">
        <v>50</v>
      </c>
      <c r="J686" s="11">
        <f>LOOKUP(I686,{0,14,16,18,20,22,24,26,28,30,32,34,36,38,40,42,44,47,50,52,54},{0,10,20,30,40,50,60,62,64,66,68,70,72,74,76,78,80,85,90,95,100})</f>
        <v>90</v>
      </c>
      <c r="K686" s="12"/>
      <c r="L686" s="12"/>
      <c r="M686" s="12">
        <f t="shared" si="341"/>
        <v>90</v>
      </c>
      <c r="N686" s="12">
        <v>9.1</v>
      </c>
      <c r="O686" s="12">
        <f t="shared" si="342"/>
        <v>2.9</v>
      </c>
      <c r="P686" s="11">
        <f>LOOKUP(O686,{0,0.5,0.7,0.9,1.1,1.3,1.5,1.7,1.9,2.1,2.3,2.5,2.7,2.9,3.1,3.3,3.5,3.8,4.1,4.2,4.3},{0,10,20,30,40,50,60,62,64,66,68,70,72,74,76,78,80,85,90,95,100})</f>
        <v>74</v>
      </c>
      <c r="Q686" s="12">
        <v>3.42</v>
      </c>
      <c r="R686" s="12">
        <f t="shared" si="343"/>
        <v>6.58</v>
      </c>
      <c r="S686" s="11">
        <f>LOOKUP(R686,{0,4.72,4.82,4.92,5.42,5.52,5.62,5.67,5.72,5.77,5.82,5.87,5.92,5.97,6.42,6.47,6.52,6.59,6.66,6.72,6.78},{0,10,20,30,40,50,60,62,64,66,68,70,72,74,76,78,80,85,90,95,100})</f>
        <v>80</v>
      </c>
      <c r="T686" s="12"/>
      <c r="U686" s="12"/>
      <c r="V686" s="12">
        <f t="shared" si="344"/>
        <v>80</v>
      </c>
      <c r="W686" s="12"/>
      <c r="X686" s="20">
        <f t="shared" si="335"/>
        <v>54</v>
      </c>
      <c r="Y686" s="20">
        <f t="shared" si="345"/>
        <v>77.1428571428572</v>
      </c>
    </row>
    <row r="687" ht="15.6" hidden="1" outlineLevel="2" spans="1:25">
      <c r="A687" s="12">
        <v>214</v>
      </c>
      <c r="B687" s="12">
        <v>31</v>
      </c>
      <c r="C687" s="6" t="s">
        <v>760</v>
      </c>
      <c r="D687" s="6" t="s">
        <v>53</v>
      </c>
      <c r="E687" s="12">
        <v>9.3</v>
      </c>
      <c r="F687" s="11">
        <f>LOOKUP(E687,{0,1,1.8,2.6,3.4,4.2,5,6.3,7.6,8.9,10.2,11.5,12.8,14.1,15.4,16.7,18,19.7,21.4,23.1,24.8},{0,10,20,30,40,50,60,62,64,66,68,70,72,74,76,78,80,85,90,95,100})</f>
        <v>66</v>
      </c>
      <c r="G687" s="12">
        <v>135</v>
      </c>
      <c r="H687" s="11">
        <f>LOOKUP(G687,{0,124,129,134,139,144,149,152,155,158,161,164,167,170,173,176,179,186,193,199,205},{0,10,20,30,40,50,60,62,64,66,68,70,72,74,76,78,80,85,90,95,100})</f>
        <v>30</v>
      </c>
      <c r="I687" s="12">
        <v>43</v>
      </c>
      <c r="J687" s="11">
        <f>LOOKUP(I687,{0,14,16,18,20,22,24,26,28,30,32,34,36,38,40,42,44,47,50,52,54},{0,10,20,30,40,50,60,62,64,66,68,70,72,74,76,78,80,85,90,95,100})</f>
        <v>78</v>
      </c>
      <c r="K687" s="12"/>
      <c r="L687" s="12"/>
      <c r="M687" s="12">
        <f t="shared" si="341"/>
        <v>78</v>
      </c>
      <c r="N687" s="12">
        <v>9.5</v>
      </c>
      <c r="O687" s="12">
        <f t="shared" si="342"/>
        <v>2.5</v>
      </c>
      <c r="P687" s="11">
        <f>LOOKUP(O687,{0,0.5,0.7,0.9,1.1,1.3,1.5,1.7,1.9,2.1,2.3,2.5,2.7,2.9,3.1,3.3,3.5,3.8,4.1,4.2,4.3},{0,10,20,30,40,50,60,62,64,66,68,70,72,74,76,78,80,85,90,95,100})</f>
        <v>70</v>
      </c>
      <c r="Q687" s="12">
        <v>4.1</v>
      </c>
      <c r="R687" s="12">
        <f t="shared" si="343"/>
        <v>5.9</v>
      </c>
      <c r="S687" s="11">
        <f>LOOKUP(R687,{0,4.72,4.82,4.92,5.42,5.52,5.62,5.67,5.72,5.77,5.82,5.87,5.92,5.97,6.42,6.47,6.52,6.59,6.66,6.72,6.78},{0,10,20,30,40,50,60,62,64,66,68,70,72,74,76,78,80,85,90,95,100})</f>
        <v>70</v>
      </c>
      <c r="T687" s="12"/>
      <c r="U687" s="12"/>
      <c r="V687" s="12">
        <f t="shared" si="344"/>
        <v>70</v>
      </c>
      <c r="W687" s="12"/>
      <c r="X687" s="20">
        <f t="shared" si="335"/>
        <v>45.4</v>
      </c>
      <c r="Y687" s="20">
        <f t="shared" si="345"/>
        <v>64.8571428571429</v>
      </c>
    </row>
    <row r="688" ht="15.6" hidden="1" outlineLevel="2" spans="1:25">
      <c r="A688" s="12">
        <v>214</v>
      </c>
      <c r="B688" s="12">
        <v>32</v>
      </c>
      <c r="C688" s="6" t="s">
        <v>761</v>
      </c>
      <c r="D688" s="6" t="s">
        <v>53</v>
      </c>
      <c r="E688" s="12">
        <v>22</v>
      </c>
      <c r="F688" s="11">
        <f>LOOKUP(E688,{0,1,1.8,2.6,3.4,4.2,5,6.3,7.6,8.9,10.2,11.5,12.8,14.1,15.4,16.7,18,19.7,21.4,23.1,24.8},{0,10,20,30,40,50,60,62,64,66,68,70,72,74,76,78,80,85,90,95,100})</f>
        <v>90</v>
      </c>
      <c r="G688" s="12">
        <v>187</v>
      </c>
      <c r="H688" s="11">
        <f>LOOKUP(G688,{0,124,129,134,139,144,149,152,155,158,161,164,167,170,173,176,179,186,193,199,205},{0,10,20,30,40,50,60,62,64,66,68,70,72,74,76,78,80,85,90,95,100})</f>
        <v>85</v>
      </c>
      <c r="I688" s="12">
        <v>50</v>
      </c>
      <c r="J688" s="11">
        <f>LOOKUP(I688,{0,14,16,18,20,22,24,26,28,30,32,34,36,38,40,42,44,47,50,52,54},{0,10,20,30,40,50,60,62,64,66,68,70,72,74,76,78,80,85,90,95,100})</f>
        <v>90</v>
      </c>
      <c r="K688" s="12"/>
      <c r="L688" s="12"/>
      <c r="M688" s="12">
        <f t="shared" si="341"/>
        <v>90</v>
      </c>
      <c r="N688" s="12">
        <v>8.3</v>
      </c>
      <c r="O688" s="12">
        <f t="shared" si="342"/>
        <v>3.7</v>
      </c>
      <c r="P688" s="11">
        <f>LOOKUP(O688,{0,0.5,0.7,0.9,1.1,1.3,1.5,1.7,1.9,2.1,2.3,2.5,2.7,2.9,3.1,3.3,3.5,3.8,4.1,4.2,4.3},{0,10,20,30,40,50,60,62,64,66,68,70,72,74,76,78,80,85,90,95,100})</f>
        <v>80</v>
      </c>
      <c r="Q688" s="12">
        <v>3.49</v>
      </c>
      <c r="R688" s="12">
        <f t="shared" si="343"/>
        <v>6.51</v>
      </c>
      <c r="S688" s="11">
        <f>LOOKUP(R688,{0,4.72,4.82,4.92,5.42,5.52,5.62,5.67,5.72,5.77,5.82,5.87,5.92,5.97,6.42,6.47,6.52,6.59,6.66,6.72,6.78},{0,10,20,30,40,50,60,62,64,66,68,70,72,74,76,78,80,85,90,95,100})</f>
        <v>78</v>
      </c>
      <c r="T688" s="12"/>
      <c r="U688" s="12"/>
      <c r="V688" s="12">
        <f t="shared" si="344"/>
        <v>78</v>
      </c>
      <c r="W688" s="12"/>
      <c r="X688" s="20">
        <f t="shared" si="335"/>
        <v>58.1</v>
      </c>
      <c r="Y688" s="20">
        <f t="shared" si="345"/>
        <v>83</v>
      </c>
    </row>
    <row r="689" ht="15.6" hidden="1" outlineLevel="2" spans="1:25">
      <c r="A689" s="12">
        <v>214</v>
      </c>
      <c r="B689" s="12">
        <v>33</v>
      </c>
      <c r="C689" s="6" t="s">
        <v>762</v>
      </c>
      <c r="D689" s="6" t="s">
        <v>53</v>
      </c>
      <c r="E689" s="12">
        <v>16.3</v>
      </c>
      <c r="F689" s="11">
        <f>LOOKUP(E689,{0,1,1.8,2.6,3.4,4.2,5,6.3,7.6,8.9,10.2,11.5,12.8,14.1,15.4,16.7,18,19.7,21.4,23.1,24.8},{0,10,20,30,40,50,60,62,64,66,68,70,72,74,76,78,80,85,90,95,100})</f>
        <v>76</v>
      </c>
      <c r="G689" s="12">
        <v>185</v>
      </c>
      <c r="H689" s="11">
        <f>LOOKUP(G689,{0,124,129,134,139,144,149,152,155,158,161,164,167,170,173,176,179,186,193,199,205},{0,10,20,30,40,50,60,62,64,66,68,70,72,74,76,78,80,85,90,95,100})</f>
        <v>80</v>
      </c>
      <c r="I689" s="12">
        <v>46</v>
      </c>
      <c r="J689" s="11">
        <f>LOOKUP(I689,{0,14,16,18,20,22,24,26,28,30,32,34,36,38,40,42,44,47,50,52,54},{0,10,20,30,40,50,60,62,64,66,68,70,72,74,76,78,80,85,90,95,100})</f>
        <v>80</v>
      </c>
      <c r="K689" s="12"/>
      <c r="L689" s="12"/>
      <c r="M689" s="12">
        <f t="shared" si="341"/>
        <v>80</v>
      </c>
      <c r="N689" s="12">
        <v>8.5</v>
      </c>
      <c r="O689" s="12">
        <f t="shared" si="342"/>
        <v>3.5</v>
      </c>
      <c r="P689" s="11">
        <f>LOOKUP(O689,{0,0.5,0.7,0.9,1.1,1.3,1.5,1.7,1.9,2.1,2.3,2.5,2.7,2.9,3.1,3.3,3.5,3.8,4.1,4.2,4.3},{0,10,20,30,40,50,60,62,64,66,68,70,72,74,76,78,80,85,90,95,100})</f>
        <v>80</v>
      </c>
      <c r="Q689" s="12">
        <v>3.43</v>
      </c>
      <c r="R689" s="12">
        <f t="shared" si="343"/>
        <v>6.57</v>
      </c>
      <c r="S689" s="11">
        <f>LOOKUP(R689,{0,4.72,4.82,4.92,5.42,5.52,5.62,5.67,5.72,5.77,5.82,5.87,5.92,5.97,6.42,6.47,6.52,6.59,6.66,6.72,6.78},{0,10,20,30,40,50,60,62,64,66,68,70,72,74,76,78,80,85,90,95,100})</f>
        <v>80</v>
      </c>
      <c r="T689" s="12"/>
      <c r="U689" s="12"/>
      <c r="V689" s="12">
        <f t="shared" si="344"/>
        <v>80</v>
      </c>
      <c r="W689" s="12"/>
      <c r="X689" s="20">
        <f t="shared" si="335"/>
        <v>55.6</v>
      </c>
      <c r="Y689" s="20">
        <f t="shared" si="345"/>
        <v>79.4285714285714</v>
      </c>
    </row>
    <row r="690" s="1" customFormat="1" ht="15.6" hidden="1" outlineLevel="2" spans="1:25">
      <c r="A690" s="12">
        <v>214</v>
      </c>
      <c r="B690" s="12">
        <v>34</v>
      </c>
      <c r="C690" s="13" t="s">
        <v>764</v>
      </c>
      <c r="D690" s="6" t="s">
        <v>53</v>
      </c>
      <c r="E690" s="12">
        <v>20.7</v>
      </c>
      <c r="F690" s="11">
        <f>LOOKUP(E690,{0,1,1.8,2.6,3.4,4.2,5,6.3,7.6,8.9,10.2,11.5,12.8,14.1,15.4,16.7,18,19.7,21.4,23.1,24.8},{0,10,20,30,40,50,60,62,64,66,68,70,72,74,76,78,80,85,90,95,100})</f>
        <v>85</v>
      </c>
      <c r="G690" s="12">
        <v>180</v>
      </c>
      <c r="H690" s="11">
        <f>LOOKUP(G690,{0,124,129,134,139,144,149,152,155,158,161,164,167,170,173,176,179,186,193,199,205},{0,10,20,30,40,50,60,62,64,66,68,70,72,74,76,78,80,85,90,95,100})</f>
        <v>80</v>
      </c>
      <c r="I690" s="12">
        <v>47</v>
      </c>
      <c r="J690" s="11">
        <f>LOOKUP(I690,{0,14,16,18,20,22,24,26,28,30,32,34,36,38,40,42,44,47,50,52,54},{0,10,20,30,40,50,60,62,64,66,68,70,72,74,76,78,80,85,90,95,100})</f>
        <v>85</v>
      </c>
      <c r="K690" s="12"/>
      <c r="L690" s="12"/>
      <c r="M690" s="12">
        <f t="shared" si="341"/>
        <v>85</v>
      </c>
      <c r="N690" s="12">
        <v>9.1</v>
      </c>
      <c r="O690" s="12">
        <f t="shared" si="342"/>
        <v>2.9</v>
      </c>
      <c r="P690" s="11">
        <f>LOOKUP(O690,{0,0.5,0.7,0.9,1.1,1.3,1.5,1.7,1.9,2.1,2.3,2.5,2.7,2.9,3.1,3.3,3.5,3.8,4.1,4.2,4.3},{0,10,20,30,40,50,60,62,64,66,68,70,72,74,76,78,80,85,90,95,100})</f>
        <v>74</v>
      </c>
      <c r="Q690" s="12">
        <v>3.44</v>
      </c>
      <c r="R690" s="12">
        <f t="shared" si="343"/>
        <v>6.56</v>
      </c>
      <c r="S690" s="11">
        <f>LOOKUP(R690,{0,4.72,4.82,4.92,5.42,5.52,5.62,5.67,5.72,5.77,5.82,5.87,5.92,5.97,6.42,6.47,6.52,6.59,6.66,6.72,6.78},{0,10,20,30,40,50,60,62,64,66,68,70,72,74,76,78,80,85,90,95,100})</f>
        <v>80</v>
      </c>
      <c r="T690" s="12"/>
      <c r="U690" s="12"/>
      <c r="V690" s="12">
        <f t="shared" si="344"/>
        <v>80</v>
      </c>
      <c r="W690" s="12"/>
      <c r="X690" s="20">
        <f t="shared" si="335"/>
        <v>55.8</v>
      </c>
      <c r="Y690" s="20">
        <f t="shared" si="345"/>
        <v>79.7142857142857</v>
      </c>
    </row>
    <row r="691" ht="15.6" hidden="1" outlineLevel="2" spans="1:25">
      <c r="A691" s="12">
        <v>214</v>
      </c>
      <c r="B691" s="12">
        <v>35</v>
      </c>
      <c r="C691" s="6" t="s">
        <v>765</v>
      </c>
      <c r="D691" s="6" t="s">
        <v>53</v>
      </c>
      <c r="E691" s="12">
        <v>12</v>
      </c>
      <c r="F691" s="11">
        <f>LOOKUP(E691,{0,1,1.8,2.6,3.4,4.2,5,6.3,7.6,8.9,10.2,11.5,12.8,14.1,15.4,16.7,18,19.7,21.4,23.1,24.8},{0,10,20,30,40,50,60,62,64,66,68,70,72,74,76,78,80,85,90,95,100})</f>
        <v>70</v>
      </c>
      <c r="G691" s="12">
        <v>175</v>
      </c>
      <c r="H691" s="11">
        <f>LOOKUP(G691,{0,124,129,134,139,144,149,152,155,158,161,164,167,170,173,176,179,186,193,199,205},{0,10,20,30,40,50,60,62,64,66,68,70,72,74,76,78,80,85,90,95,100})</f>
        <v>76</v>
      </c>
      <c r="I691" s="12">
        <v>42</v>
      </c>
      <c r="J691" s="11">
        <f>LOOKUP(I691,{0,14,16,18,20,22,24,26,28,30,32,34,36,38,40,42,44,47,50,52,54},{0,10,20,30,40,50,60,62,64,66,68,70,72,74,76,78,80,85,90,95,100})</f>
        <v>78</v>
      </c>
      <c r="K691" s="12"/>
      <c r="L691" s="12"/>
      <c r="M691" s="12">
        <f t="shared" si="341"/>
        <v>78</v>
      </c>
      <c r="N691" s="12">
        <v>9.2</v>
      </c>
      <c r="O691" s="12">
        <f t="shared" si="342"/>
        <v>2.8</v>
      </c>
      <c r="P691" s="11">
        <f>LOOKUP(O691,{0,0.5,0.7,0.9,1.1,1.3,1.5,1.7,1.9,2.1,2.3,2.5,2.7,2.9,3.1,3.3,3.5,3.8,4.1,4.2,4.3},{0,10,20,30,40,50,60,62,64,66,68,70,72,74,76,78,80,85,90,95,100})</f>
        <v>72</v>
      </c>
      <c r="Q691" s="12">
        <v>4.04</v>
      </c>
      <c r="R691" s="12">
        <f t="shared" si="343"/>
        <v>5.96</v>
      </c>
      <c r="S691" s="11">
        <f>LOOKUP(R691,{0,4.72,4.82,4.92,5.42,5.52,5.62,5.67,5.72,5.77,5.82,5.87,5.92,5.97,6.42,6.47,6.52,6.59,6.66,6.72,6.78},{0,10,20,30,40,50,60,62,64,66,68,70,72,74,76,78,80,85,90,95,100})</f>
        <v>72</v>
      </c>
      <c r="T691" s="12"/>
      <c r="U691" s="12"/>
      <c r="V691" s="12">
        <f t="shared" si="344"/>
        <v>72</v>
      </c>
      <c r="W691" s="12"/>
      <c r="X691" s="20">
        <f t="shared" si="335"/>
        <v>51.2</v>
      </c>
      <c r="Y691" s="20">
        <f t="shared" si="345"/>
        <v>73.1428571428572</v>
      </c>
    </row>
    <row r="692" ht="15.6" hidden="1" outlineLevel="2" spans="1:25">
      <c r="A692" s="12">
        <v>214</v>
      </c>
      <c r="B692" s="12">
        <v>36</v>
      </c>
      <c r="C692" s="6" t="s">
        <v>766</v>
      </c>
      <c r="D692" s="6" t="s">
        <v>53</v>
      </c>
      <c r="E692" s="12">
        <v>17</v>
      </c>
      <c r="F692" s="11">
        <f>LOOKUP(E692,{0,1,1.8,2.6,3.4,4.2,5,6.3,7.6,8.9,10.2,11.5,12.8,14.1,15.4,16.7,18,19.7,21.4,23.1,24.8},{0,10,20,30,40,50,60,62,64,66,68,70,72,74,76,78,80,85,90,95,100})</f>
        <v>78</v>
      </c>
      <c r="G692" s="12">
        <v>191</v>
      </c>
      <c r="H692" s="11">
        <f>LOOKUP(G692,{0,124,129,134,139,144,149,152,155,158,161,164,167,170,173,176,179,186,193,199,205},{0,10,20,30,40,50,60,62,64,66,68,70,72,74,76,78,80,85,90,95,100})</f>
        <v>85</v>
      </c>
      <c r="I692" s="12">
        <v>40</v>
      </c>
      <c r="J692" s="11">
        <f>LOOKUP(I692,{0,14,16,18,20,22,24,26,28,30,32,34,36,38,40,42,44,47,50,52,54},{0,10,20,30,40,50,60,62,64,66,68,70,72,74,76,78,80,85,90,95,100})</f>
        <v>76</v>
      </c>
      <c r="K692" s="12"/>
      <c r="L692" s="12"/>
      <c r="M692" s="12">
        <f t="shared" si="341"/>
        <v>76</v>
      </c>
      <c r="N692" s="12">
        <v>8.7</v>
      </c>
      <c r="O692" s="12">
        <f t="shared" si="342"/>
        <v>3.3</v>
      </c>
      <c r="P692" s="11">
        <f>LOOKUP(O692,{0,0.5,0.7,0.9,1.1,1.3,1.5,1.7,1.9,2.1,2.3,2.5,2.7,2.9,3.1,3.3,3.5,3.8,4.1,4.2,4.3},{0,10,20,30,40,50,60,62,64,66,68,70,72,74,76,78,80,85,90,95,100})</f>
        <v>78</v>
      </c>
      <c r="Q692" s="12">
        <v>3.39</v>
      </c>
      <c r="R692" s="12">
        <f t="shared" si="343"/>
        <v>6.61</v>
      </c>
      <c r="S692" s="11">
        <f>LOOKUP(R692,{0,4.72,4.82,4.92,5.42,5.52,5.62,5.67,5.72,5.77,5.82,5.87,5.92,5.97,6.42,6.47,6.52,6.59,6.66,6.72,6.78},{0,10,20,30,40,50,60,62,64,66,68,70,72,74,76,78,80,85,90,95,100})</f>
        <v>85</v>
      </c>
      <c r="T692" s="12"/>
      <c r="U692" s="15"/>
      <c r="V692" s="12">
        <f t="shared" si="344"/>
        <v>85</v>
      </c>
      <c r="W692" s="12"/>
      <c r="X692" s="20">
        <f t="shared" si="335"/>
        <v>56.5</v>
      </c>
      <c r="Y692" s="20">
        <f t="shared" si="345"/>
        <v>80.7142857142857</v>
      </c>
    </row>
    <row r="693" ht="15.6" hidden="1" outlineLevel="2" spans="1:25">
      <c r="A693" s="12">
        <v>214</v>
      </c>
      <c r="B693" s="12">
        <v>37</v>
      </c>
      <c r="C693" s="6" t="s">
        <v>767</v>
      </c>
      <c r="D693" s="6" t="s">
        <v>53</v>
      </c>
      <c r="E693" s="12">
        <v>20.2</v>
      </c>
      <c r="F693" s="11">
        <f>LOOKUP(E693,{0,1,1.8,2.6,3.4,4.2,5,6.3,7.6,8.9,10.2,11.5,12.8,14.1,15.4,16.7,18,19.7,21.4,23.1,24.8},{0,10,20,30,40,50,60,62,64,66,68,70,72,74,76,78,80,85,90,95,100})</f>
        <v>85</v>
      </c>
      <c r="G693" s="12">
        <v>190</v>
      </c>
      <c r="H693" s="11">
        <f>LOOKUP(G693,{0,124,129,134,139,144,149,152,155,158,161,164,167,170,173,176,179,186,193,199,205},{0,10,20,30,40,50,60,62,64,66,68,70,72,74,76,78,80,85,90,95,100})</f>
        <v>85</v>
      </c>
      <c r="I693" s="12">
        <v>46</v>
      </c>
      <c r="J693" s="11">
        <f>LOOKUP(I693,{0,14,16,18,20,22,24,26,28,30,32,34,36,38,40,42,44,47,50,52,54},{0,10,20,30,40,50,60,62,64,66,68,70,72,74,76,78,80,85,90,95,100})</f>
        <v>80</v>
      </c>
      <c r="K693" s="12"/>
      <c r="L693" s="12"/>
      <c r="M693" s="12">
        <f t="shared" si="341"/>
        <v>80</v>
      </c>
      <c r="N693" s="12">
        <v>8.7</v>
      </c>
      <c r="O693" s="12">
        <f t="shared" si="342"/>
        <v>3.3</v>
      </c>
      <c r="P693" s="11">
        <f>LOOKUP(O693,{0,0.5,0.7,0.9,1.1,1.3,1.5,1.7,1.9,2.1,2.3,2.5,2.7,2.9,3.1,3.3,3.5,3.8,4.1,4.2,4.3},{0,10,20,30,40,50,60,62,64,66,68,70,72,74,76,78,80,85,90,95,100})</f>
        <v>78</v>
      </c>
      <c r="Q693" s="12">
        <v>3.29</v>
      </c>
      <c r="R693" s="12">
        <f t="shared" si="343"/>
        <v>6.71</v>
      </c>
      <c r="S693" s="11">
        <f>LOOKUP(R693,{0,4.72,4.82,4.92,5.42,5.52,5.62,5.67,5.72,5.77,5.82,5.87,5.92,5.97,6.42,6.47,6.52,6.59,6.66,6.72,6.78},{0,10,20,30,40,50,60,62,64,66,68,70,72,74,76,78,80,85,90,95,100})</f>
        <v>90</v>
      </c>
      <c r="T693" s="12"/>
      <c r="U693" s="12"/>
      <c r="V693" s="12">
        <f t="shared" si="344"/>
        <v>90</v>
      </c>
      <c r="W693" s="12"/>
      <c r="X693" s="20">
        <f t="shared" si="335"/>
        <v>58.6</v>
      </c>
      <c r="Y693" s="20">
        <f t="shared" si="345"/>
        <v>83.7142857142857</v>
      </c>
    </row>
    <row r="694" ht="15.6" hidden="1" outlineLevel="2" spans="1:25">
      <c r="A694" s="12">
        <v>214</v>
      </c>
      <c r="B694" s="12">
        <v>38</v>
      </c>
      <c r="C694" s="6" t="s">
        <v>768</v>
      </c>
      <c r="D694" s="6" t="s">
        <v>53</v>
      </c>
      <c r="E694" s="12">
        <v>19.5</v>
      </c>
      <c r="F694" s="11">
        <f>LOOKUP(E694,{0,1,1.8,2.6,3.4,4.2,5,6.3,7.6,8.9,10.2,11.5,12.8,14.1,15.4,16.7,18,19.7,21.4,23.1,24.8},{0,10,20,30,40,50,60,62,64,66,68,70,72,74,76,78,80,85,90,95,100})</f>
        <v>80</v>
      </c>
      <c r="G694" s="12">
        <v>192</v>
      </c>
      <c r="H694" s="11">
        <f>LOOKUP(G694,{0,124,129,134,139,144,149,152,155,158,161,164,167,170,173,176,179,186,193,199,205},{0,10,20,30,40,50,60,62,64,66,68,70,72,74,76,78,80,85,90,95,100})</f>
        <v>85</v>
      </c>
      <c r="I694" s="12">
        <v>49</v>
      </c>
      <c r="J694" s="11">
        <f>LOOKUP(I694,{0,14,16,18,20,22,24,26,28,30,32,34,36,38,40,42,44,47,50,52,54},{0,10,20,30,40,50,60,62,64,66,68,70,72,74,76,78,80,85,90,95,100})</f>
        <v>85</v>
      </c>
      <c r="K694" s="12"/>
      <c r="L694" s="12"/>
      <c r="M694" s="12">
        <f t="shared" si="341"/>
        <v>85</v>
      </c>
      <c r="N694" s="12">
        <v>8.9</v>
      </c>
      <c r="O694" s="12">
        <f t="shared" si="342"/>
        <v>3.1</v>
      </c>
      <c r="P694" s="11">
        <f>LOOKUP(O694,{0,0.5,0.7,0.9,1.1,1.3,1.5,1.7,1.9,2.1,2.3,2.5,2.7,2.9,3.1,3.3,3.5,3.8,4.1,4.2,4.3},{0,10,20,30,40,50,60,62,64,66,68,70,72,74,76,78,80,85,90,95,100})</f>
        <v>76</v>
      </c>
      <c r="Q694" s="12">
        <v>3.3</v>
      </c>
      <c r="R694" s="12">
        <f t="shared" si="343"/>
        <v>6.7</v>
      </c>
      <c r="S694" s="11">
        <f>LOOKUP(R694,{0,4.72,4.82,4.92,5.42,5.52,5.62,5.67,5.72,5.77,5.82,5.87,5.92,5.97,6.42,6.47,6.52,6.59,6.66,6.72,6.78},{0,10,20,30,40,50,60,62,64,66,68,70,72,74,76,78,80,85,90,95,100})</f>
        <v>90</v>
      </c>
      <c r="T694" s="12"/>
      <c r="U694" s="12"/>
      <c r="V694" s="12">
        <f t="shared" si="344"/>
        <v>90</v>
      </c>
      <c r="W694" s="12"/>
      <c r="X694" s="20">
        <f t="shared" si="335"/>
        <v>58.2</v>
      </c>
      <c r="Y694" s="20">
        <f t="shared" si="345"/>
        <v>83.1428571428572</v>
      </c>
    </row>
    <row r="695" ht="15.6" hidden="1" outlineLevel="2" spans="1:25">
      <c r="A695" s="12">
        <v>214</v>
      </c>
      <c r="B695" s="12">
        <v>39</v>
      </c>
      <c r="C695" s="6" t="s">
        <v>769</v>
      </c>
      <c r="D695" s="6" t="s">
        <v>53</v>
      </c>
      <c r="E695" s="12">
        <v>14.8</v>
      </c>
      <c r="F695" s="11">
        <f>LOOKUP(E695,{0,1,1.8,2.6,3.4,4.2,5,6.3,7.6,8.9,10.2,11.5,12.8,14.1,15.4,16.7,18,19.7,21.4,23.1,24.8},{0,10,20,30,40,50,60,62,64,66,68,70,72,74,76,78,80,85,90,95,100})</f>
        <v>74</v>
      </c>
      <c r="G695" s="12">
        <v>186</v>
      </c>
      <c r="H695" s="11">
        <f>LOOKUP(G695,{0,124,129,134,139,144,149,152,155,158,161,164,167,170,173,176,179,186,193,199,205},{0,10,20,30,40,50,60,62,64,66,68,70,72,74,76,78,80,85,90,95,100})</f>
        <v>85</v>
      </c>
      <c r="I695" s="12">
        <v>56</v>
      </c>
      <c r="J695" s="11">
        <f>LOOKUP(I695,{0,14,16,18,20,22,24,26,28,30,32,34,36,38,40,42,44,47,50,52,54},{0,10,20,30,40,50,60,62,64,66,68,70,72,74,76,78,80,85,90,95,100})</f>
        <v>100</v>
      </c>
      <c r="K695" s="12">
        <f>I695-54</f>
        <v>2</v>
      </c>
      <c r="L695" s="11">
        <f>LOOKUP(K695,{0,2,4,6,7,8,9,10,11,12,13},{0,1,2,3,4,5,6,7,8,9,10})</f>
        <v>1</v>
      </c>
      <c r="M695" s="12">
        <f t="shared" si="341"/>
        <v>101</v>
      </c>
      <c r="N695" s="12">
        <v>9.3</v>
      </c>
      <c r="O695" s="12">
        <f t="shared" si="342"/>
        <v>2.7</v>
      </c>
      <c r="P695" s="11">
        <f>LOOKUP(O695,{0,0.5,0.7,0.9,1.1,1.3,1.5,1.7,1.9,2.1,2.3,2.5,2.7,2.9,3.1,3.3,3.5,3.8,4.1,4.2,4.3},{0,10,20,30,40,50,60,62,64,66,68,70,72,74,76,78,80,85,90,95,100})</f>
        <v>72</v>
      </c>
      <c r="Q695" s="12">
        <v>3.48</v>
      </c>
      <c r="R695" s="12">
        <f t="shared" si="343"/>
        <v>6.52</v>
      </c>
      <c r="S695" s="11">
        <f>LOOKUP(R695,{0,4.72,4.82,4.92,5.42,5.52,5.62,5.67,5.72,5.77,5.82,5.87,5.92,5.97,6.42,6.47,6.52,6.59,6.66,6.72,6.78},{0,10,20,30,40,50,60,62,64,66,68,70,72,74,76,78,80,85,90,95,100})</f>
        <v>80</v>
      </c>
      <c r="T695" s="12"/>
      <c r="U695" s="12"/>
      <c r="V695" s="12">
        <f t="shared" si="344"/>
        <v>80</v>
      </c>
      <c r="W695" s="12"/>
      <c r="X695" s="20">
        <f t="shared" si="335"/>
        <v>56.3</v>
      </c>
      <c r="Y695" s="20">
        <f t="shared" si="345"/>
        <v>81.4285714285714</v>
      </c>
    </row>
    <row r="696" ht="15.6" hidden="1" outlineLevel="2" spans="1:25">
      <c r="A696" s="12">
        <v>214</v>
      </c>
      <c r="B696" s="12">
        <v>40</v>
      </c>
      <c r="C696" s="6" t="s">
        <v>770</v>
      </c>
      <c r="D696" s="6" t="s">
        <v>53</v>
      </c>
      <c r="E696" s="12">
        <v>11.5</v>
      </c>
      <c r="F696" s="11">
        <f>LOOKUP(E696,{0,1,1.8,2.6,3.4,4.2,5,6.3,7.6,8.9,10.2,11.5,12.8,14.1,15.4,16.7,18,19.7,21.4,23.1,24.8},{0,10,20,30,40,50,60,62,64,66,68,70,72,74,76,78,80,85,90,95,100})</f>
        <v>70</v>
      </c>
      <c r="G696" s="12">
        <v>135</v>
      </c>
      <c r="H696" s="11">
        <f>LOOKUP(G696,{0,124,129,134,139,144,149,152,155,158,161,164,167,170,173,176,179,186,193,199,205},{0,10,20,30,40,50,60,62,64,66,68,70,72,74,76,78,80,85,90,95,100})</f>
        <v>30</v>
      </c>
      <c r="I696" s="12">
        <v>43</v>
      </c>
      <c r="J696" s="11">
        <f>LOOKUP(I696,{0,14,16,18,20,22,24,26,28,30,32,34,36,38,40,42,44,47,50,52,54},{0,10,20,30,40,50,60,62,64,66,68,70,72,74,76,78,80,85,90,95,100})</f>
        <v>78</v>
      </c>
      <c r="K696" s="12"/>
      <c r="L696" s="12"/>
      <c r="M696" s="12">
        <f t="shared" si="341"/>
        <v>78</v>
      </c>
      <c r="N696" s="12">
        <v>10</v>
      </c>
      <c r="O696" s="12">
        <f t="shared" si="342"/>
        <v>2</v>
      </c>
      <c r="P696" s="11">
        <f>LOOKUP(O696,{0,0.5,0.7,0.9,1.1,1.3,1.5,1.7,1.9,2.1,2.3,2.5,2.7,2.9,3.1,3.3,3.5,3.8,4.1,4.2,4.3},{0,10,20,30,40,50,60,62,64,66,68,70,72,74,76,78,80,85,90,95,100})</f>
        <v>64</v>
      </c>
      <c r="Q696" s="12">
        <v>4.15</v>
      </c>
      <c r="R696" s="12">
        <f t="shared" si="343"/>
        <v>5.85</v>
      </c>
      <c r="S696" s="11">
        <f>LOOKUP(R696,{0,4.72,4.82,4.92,5.42,5.52,5.62,5.67,5.72,5.77,5.82,5.87,5.92,5.97,6.42,6.47,6.52,6.59,6.66,6.72,6.78},{0,10,20,30,40,50,60,62,64,66,68,70,72,74,76,78,80,85,90,95,100})</f>
        <v>68</v>
      </c>
      <c r="T696" s="12"/>
      <c r="U696" s="12"/>
      <c r="V696" s="12">
        <f t="shared" si="344"/>
        <v>68</v>
      </c>
      <c r="W696" s="12"/>
      <c r="X696" s="20">
        <f t="shared" si="335"/>
        <v>44.2</v>
      </c>
      <c r="Y696" s="20">
        <f t="shared" si="345"/>
        <v>63.1428571428572</v>
      </c>
    </row>
    <row r="697" ht="15.6" hidden="1" outlineLevel="2" spans="1:25">
      <c r="A697" s="12">
        <v>214</v>
      </c>
      <c r="B697" s="12">
        <v>41</v>
      </c>
      <c r="C697" s="6" t="s">
        <v>771</v>
      </c>
      <c r="D697" s="6" t="s">
        <v>53</v>
      </c>
      <c r="E697" s="12">
        <v>22.4</v>
      </c>
      <c r="F697" s="11">
        <f>LOOKUP(E697,{0,1,1.8,2.6,3.4,4.2,5,6.3,7.6,8.9,10.2,11.5,12.8,14.1,15.4,16.7,18,19.7,21.4,23.1,24.8},{0,10,20,30,40,50,60,62,64,66,68,70,72,74,76,78,80,85,90,95,100})</f>
        <v>90</v>
      </c>
      <c r="G697" s="12">
        <v>203</v>
      </c>
      <c r="H697" s="11">
        <f>LOOKUP(G697,{0,124,129,134,139,144,149,152,155,158,161,164,167,170,173,176,179,186,193,199,205},{0,10,20,30,40,50,60,62,64,66,68,70,72,74,76,78,80,85,90,95,100})</f>
        <v>95</v>
      </c>
      <c r="I697" s="12">
        <v>53</v>
      </c>
      <c r="J697" s="11">
        <f>LOOKUP(I697,{0,14,16,18,20,22,24,26,28,30,32,34,36,38,40,42,44,47,50,52,54},{0,10,20,30,40,50,60,62,64,66,68,70,72,74,76,78,80,85,90,95,100})</f>
        <v>95</v>
      </c>
      <c r="K697" s="12"/>
      <c r="L697" s="12"/>
      <c r="M697" s="12">
        <f t="shared" si="341"/>
        <v>95</v>
      </c>
      <c r="N697" s="12">
        <v>8.6</v>
      </c>
      <c r="O697" s="12">
        <f t="shared" si="342"/>
        <v>3.4</v>
      </c>
      <c r="P697" s="11">
        <f>LOOKUP(O697,{0,0.5,0.7,0.9,1.1,1.3,1.5,1.7,1.9,2.1,2.3,2.5,2.7,2.9,3.1,3.3,3.5,3.8,4.1,4.2,4.3},{0,10,20,30,40,50,60,62,64,66,68,70,72,74,76,78,80,85,90,95,100})</f>
        <v>78</v>
      </c>
      <c r="Q697" s="12">
        <v>3.37</v>
      </c>
      <c r="R697" s="12">
        <f t="shared" si="343"/>
        <v>6.63</v>
      </c>
      <c r="S697" s="11">
        <f>LOOKUP(R697,{0,4.72,4.82,4.92,5.42,5.52,5.62,5.67,5.72,5.77,5.82,5.87,5.92,5.97,6.42,6.47,6.52,6.59,6.66,6.72,6.78},{0,10,20,30,40,50,60,62,64,66,68,70,72,74,76,78,80,85,90,95,100})</f>
        <v>85</v>
      </c>
      <c r="T697" s="12"/>
      <c r="U697" s="12"/>
      <c r="V697" s="12">
        <f t="shared" si="344"/>
        <v>85</v>
      </c>
      <c r="W697" s="12"/>
      <c r="X697" s="20">
        <f t="shared" si="335"/>
        <v>60.6</v>
      </c>
      <c r="Y697" s="20">
        <f t="shared" si="345"/>
        <v>86.5714285714286</v>
      </c>
    </row>
    <row r="698" ht="15.6" hidden="1" outlineLevel="2" spans="1:25">
      <c r="A698" s="12">
        <v>214</v>
      </c>
      <c r="B698" s="12">
        <v>42</v>
      </c>
      <c r="C698" s="6" t="s">
        <v>772</v>
      </c>
      <c r="D698" s="6" t="s">
        <v>53</v>
      </c>
      <c r="E698" s="12">
        <v>16.6</v>
      </c>
      <c r="F698" s="11">
        <f>LOOKUP(E698,{0,1,1.8,2.6,3.4,4.2,5,6.3,7.6,8.9,10.2,11.5,12.8,14.1,15.4,16.7,18,19.7,21.4,23.1,24.8},{0,10,20,30,40,50,60,62,64,66,68,70,72,74,76,78,80,85,90,95,100})</f>
        <v>76</v>
      </c>
      <c r="G698" s="12">
        <v>201</v>
      </c>
      <c r="H698" s="11">
        <f>LOOKUP(G698,{0,124,129,134,139,144,149,152,155,158,161,164,167,170,173,176,179,186,193,199,205},{0,10,20,30,40,50,60,62,64,66,68,70,72,74,76,78,80,85,90,95,100})</f>
        <v>95</v>
      </c>
      <c r="I698" s="12">
        <v>34</v>
      </c>
      <c r="J698" s="11">
        <f>LOOKUP(I698,{0,14,16,18,20,22,24,26,28,30,32,34,36,38,40,42,44,47,50,52,54},{0,10,20,30,40,50,60,62,64,66,68,70,72,74,76,78,80,85,90,95,100})</f>
        <v>70</v>
      </c>
      <c r="K698" s="12"/>
      <c r="L698" s="12"/>
      <c r="M698" s="12">
        <f t="shared" si="341"/>
        <v>70</v>
      </c>
      <c r="N698" s="12">
        <v>8.6</v>
      </c>
      <c r="O698" s="12">
        <f t="shared" si="342"/>
        <v>3.4</v>
      </c>
      <c r="P698" s="11">
        <f>LOOKUP(O698,{0,0.5,0.7,0.9,1.1,1.3,1.5,1.7,1.9,2.1,2.3,2.5,2.7,2.9,3.1,3.3,3.5,3.8,4.1,4.2,4.3},{0,10,20,30,40,50,60,62,64,66,68,70,72,74,76,78,80,85,90,95,100})</f>
        <v>78</v>
      </c>
      <c r="Q698" s="12">
        <v>3.34</v>
      </c>
      <c r="R698" s="12">
        <f t="shared" si="343"/>
        <v>6.66</v>
      </c>
      <c r="S698" s="11">
        <f>LOOKUP(R698,{0,4.72,4.82,4.92,5.42,5.52,5.62,5.67,5.72,5.77,5.82,5.87,5.92,5.97,6.42,6.47,6.52,6.59,6.66,6.72,6.78},{0,10,20,30,40,50,60,62,64,66,68,70,72,74,76,78,80,85,90,95,100})</f>
        <v>90</v>
      </c>
      <c r="T698" s="12"/>
      <c r="U698" s="12"/>
      <c r="V698" s="12">
        <f t="shared" si="344"/>
        <v>90</v>
      </c>
      <c r="W698" s="12"/>
      <c r="X698" s="20">
        <f t="shared" si="335"/>
        <v>57.7</v>
      </c>
      <c r="Y698" s="20">
        <f t="shared" si="345"/>
        <v>82.4285714285714</v>
      </c>
    </row>
    <row r="699" ht="15.6" hidden="1" outlineLevel="2" spans="1:25">
      <c r="A699" s="12">
        <v>214</v>
      </c>
      <c r="B699" s="12">
        <v>43</v>
      </c>
      <c r="C699" s="6" t="s">
        <v>773</v>
      </c>
      <c r="D699" s="6" t="s">
        <v>53</v>
      </c>
      <c r="E699" s="12">
        <v>19.1</v>
      </c>
      <c r="F699" s="11">
        <f>LOOKUP(E699,{0,1,1.8,2.6,3.4,4.2,5,6.3,7.6,8.9,10.2,11.5,12.8,14.1,15.4,16.7,18,19.7,21.4,23.1,24.8},{0,10,20,30,40,50,60,62,64,66,68,70,72,74,76,78,80,85,90,95,100})</f>
        <v>80</v>
      </c>
      <c r="G699" s="12">
        <v>165</v>
      </c>
      <c r="H699" s="11">
        <f>LOOKUP(G699,{0,124,129,134,139,144,149,152,155,158,161,164,167,170,173,176,179,186,193,199,205},{0,10,20,30,40,50,60,62,64,66,68,70,72,74,76,78,80,85,90,95,100})</f>
        <v>70</v>
      </c>
      <c r="I699" s="12">
        <v>48</v>
      </c>
      <c r="J699" s="11">
        <f>LOOKUP(I699,{0,14,16,18,20,22,24,26,28,30,32,34,36,38,40,42,44,47,50,52,54},{0,10,20,30,40,50,60,62,64,66,68,70,72,74,76,78,80,85,90,95,100})</f>
        <v>85</v>
      </c>
      <c r="K699" s="12"/>
      <c r="L699" s="12"/>
      <c r="M699" s="12">
        <f t="shared" si="341"/>
        <v>85</v>
      </c>
      <c r="N699" s="12">
        <v>8.7</v>
      </c>
      <c r="O699" s="12">
        <f t="shared" si="342"/>
        <v>3.3</v>
      </c>
      <c r="P699" s="11">
        <f>LOOKUP(O699,{0,0.5,0.7,0.9,1.1,1.3,1.5,1.7,1.9,2.1,2.3,2.5,2.7,2.9,3.1,3.3,3.5,3.8,4.1,4.2,4.3},{0,10,20,30,40,50,60,62,64,66,68,70,72,74,76,78,80,85,90,95,100})</f>
        <v>78</v>
      </c>
      <c r="Q699" s="12">
        <v>3.41</v>
      </c>
      <c r="R699" s="12">
        <f t="shared" si="343"/>
        <v>6.59</v>
      </c>
      <c r="S699" s="11">
        <f>LOOKUP(R699,{0,4.72,4.82,4.92,5.42,5.52,5.62,5.67,5.72,5.77,5.82,5.87,5.92,5.97,6.42,6.47,6.52,6.59,6.66,6.72,6.78},{0,10,20,30,40,50,60,62,64,66,68,70,72,74,76,78,80,85,90,95,100})</f>
        <v>85</v>
      </c>
      <c r="T699" s="12"/>
      <c r="U699" s="12"/>
      <c r="V699" s="12">
        <f t="shared" si="344"/>
        <v>85</v>
      </c>
      <c r="W699" s="12"/>
      <c r="X699" s="20">
        <f t="shared" si="335"/>
        <v>56.1</v>
      </c>
      <c r="Y699" s="20">
        <f t="shared" si="345"/>
        <v>80.1428571428572</v>
      </c>
    </row>
    <row r="700" ht="15.6" hidden="1" outlineLevel="2" spans="1:25">
      <c r="A700" s="12">
        <v>214</v>
      </c>
      <c r="B700" s="12">
        <v>44</v>
      </c>
      <c r="C700" s="6" t="s">
        <v>774</v>
      </c>
      <c r="D700" s="6" t="s">
        <v>53</v>
      </c>
      <c r="E700" s="12">
        <v>18.5</v>
      </c>
      <c r="F700" s="11">
        <f>LOOKUP(E700,{0,1,1.8,2.6,3.4,4.2,5,6.3,7.6,8.9,10.2,11.5,12.8,14.1,15.4,16.7,18,19.7,21.4,23.1,24.8},{0,10,20,30,40,50,60,62,64,66,68,70,72,74,76,78,80,85,90,95,100})</f>
        <v>80</v>
      </c>
      <c r="G700" s="12">
        <v>206</v>
      </c>
      <c r="H700" s="11">
        <f>LOOKUP(G700,{0,124,129,134,139,144,149,152,155,158,161,164,167,170,173,176,179,186,193,199,205},{0,10,20,30,40,50,60,62,64,66,68,70,72,74,76,78,80,85,90,95,100})</f>
        <v>100</v>
      </c>
      <c r="I700" s="12">
        <v>50</v>
      </c>
      <c r="J700" s="11">
        <f>LOOKUP(I700,{0,14,16,18,20,22,24,26,28,30,32,34,36,38,40,42,44,47,50,52,54},{0,10,20,30,40,50,60,62,64,66,68,70,72,74,76,78,80,85,90,95,100})</f>
        <v>90</v>
      </c>
      <c r="K700" s="12"/>
      <c r="L700" s="12"/>
      <c r="M700" s="12">
        <f t="shared" si="341"/>
        <v>90</v>
      </c>
      <c r="N700" s="12">
        <v>7.7</v>
      </c>
      <c r="O700" s="12">
        <f t="shared" si="342"/>
        <v>4.3</v>
      </c>
      <c r="P700" s="11">
        <f>LOOKUP(O700,{0,0.5,0.7,0.9,1.1,1.3,1.5,1.7,1.9,2.1,2.3,2.5,2.7,2.9,3.1,3.3,3.5,3.8,4.1,4.2,4.3},{0,10,20,30,40,50,60,62,64,66,68,70,72,74,76,78,80,85,90,95,100})</f>
        <v>100</v>
      </c>
      <c r="Q700" s="12">
        <v>3.2</v>
      </c>
      <c r="R700" s="12">
        <f t="shared" si="343"/>
        <v>6.8</v>
      </c>
      <c r="S700" s="11">
        <f>LOOKUP(R700,{0,4.72,4.82,4.92,5.42,5.52,5.62,5.67,5.72,5.77,5.82,5.87,5.92,5.97,6.42,6.47,6.52,6.59,6.66,6.72,6.78},{0,10,20,30,40,50,60,62,64,66,68,70,72,74,76,78,80,85,90,95,100})</f>
        <v>100</v>
      </c>
      <c r="T700" s="21">
        <f>3.22-Q700</f>
        <v>0.02</v>
      </c>
      <c r="U700" s="11">
        <f>LOOKUP(T700,{0,0.05,0.1,0.15,0.2,0.25,0.3,0.35,0.4,0.45,0.5},{0,1,2,3,4,5,6,7,8,9,10})</f>
        <v>0</v>
      </c>
      <c r="V700" s="12">
        <f t="shared" si="344"/>
        <v>100</v>
      </c>
      <c r="W700" s="12"/>
      <c r="X700" s="20">
        <f t="shared" si="335"/>
        <v>67</v>
      </c>
      <c r="Y700" s="20">
        <f t="shared" si="345"/>
        <v>95.7142857142857</v>
      </c>
    </row>
    <row r="701" s="1" customFormat="1" ht="15.6" hidden="1" outlineLevel="2" spans="1:25">
      <c r="A701" s="12">
        <v>214</v>
      </c>
      <c r="B701" s="12">
        <v>45</v>
      </c>
      <c r="C701" s="13" t="s">
        <v>776</v>
      </c>
      <c r="D701" s="6" t="s">
        <v>53</v>
      </c>
      <c r="E701" s="12">
        <v>17.8</v>
      </c>
      <c r="F701" s="11">
        <f>LOOKUP(E701,{0,1,1.8,2.6,3.4,4.2,5,6.3,7.6,8.9,10.2,11.5,12.8,14.1,15.4,16.7,18,19.7,21.4,23.1,24.8},{0,10,20,30,40,50,60,62,64,66,68,70,72,74,76,78,80,85,90,95,100})</f>
        <v>78</v>
      </c>
      <c r="G701" s="12">
        <v>171</v>
      </c>
      <c r="H701" s="11">
        <f>LOOKUP(G701,{0,124,129,134,139,144,149,152,155,158,161,164,167,170,173,176,179,186,193,199,205},{0,10,20,30,40,50,60,62,64,66,68,70,72,74,76,78,80,85,90,95,100})</f>
        <v>74</v>
      </c>
      <c r="I701" s="12">
        <v>29</v>
      </c>
      <c r="J701" s="11">
        <f>LOOKUP(I701,{0,14,16,18,20,22,24,26,28,30,32,34,36,38,40,42,44,47,50,52,54},{0,10,20,30,40,50,60,62,64,66,68,70,72,74,76,78,80,85,90,95,100})</f>
        <v>64</v>
      </c>
      <c r="K701" s="12"/>
      <c r="L701" s="12"/>
      <c r="M701" s="12">
        <f t="shared" si="341"/>
        <v>64</v>
      </c>
      <c r="N701" s="12">
        <v>9.4</v>
      </c>
      <c r="O701" s="12">
        <f t="shared" si="342"/>
        <v>2.6</v>
      </c>
      <c r="P701" s="11">
        <f>LOOKUP(O701,{0,0.5,0.7,0.9,1.1,1.3,1.5,1.7,1.9,2.1,2.3,2.5,2.7,2.9,3.1,3.3,3.5,3.8,4.1,4.2,4.3},{0,10,20,30,40,50,60,62,64,66,68,70,72,74,76,78,80,85,90,95,100})</f>
        <v>70</v>
      </c>
      <c r="Q701" s="12">
        <v>3.43</v>
      </c>
      <c r="R701" s="12">
        <f t="shared" si="343"/>
        <v>6.57</v>
      </c>
      <c r="S701" s="11">
        <f>LOOKUP(R701,{0,4.72,4.82,4.92,5.42,5.52,5.62,5.67,5.72,5.77,5.82,5.87,5.92,5.97,6.42,6.47,6.52,6.59,6.66,6.72,6.78},{0,10,20,30,40,50,60,62,64,66,68,70,72,74,76,78,80,85,90,95,100})</f>
        <v>80</v>
      </c>
      <c r="T701" s="12"/>
      <c r="U701" s="12"/>
      <c r="V701" s="12">
        <f t="shared" si="344"/>
        <v>80</v>
      </c>
      <c r="W701" s="12"/>
      <c r="X701" s="20">
        <f t="shared" si="335"/>
        <v>51.6</v>
      </c>
      <c r="Y701" s="20">
        <f t="shared" si="345"/>
        <v>73.7142857142857</v>
      </c>
    </row>
    <row r="702" ht="15.6" hidden="1" outlineLevel="2" spans="1:25">
      <c r="A702" s="12">
        <v>214</v>
      </c>
      <c r="B702" s="12">
        <v>46</v>
      </c>
      <c r="C702" s="6" t="s">
        <v>777</v>
      </c>
      <c r="D702" s="6" t="s">
        <v>53</v>
      </c>
      <c r="E702" s="12">
        <v>15.4</v>
      </c>
      <c r="F702" s="11">
        <f>LOOKUP(E702,{0,1,1.8,2.6,3.4,4.2,5,6.3,7.6,8.9,10.2,11.5,12.8,14.1,15.4,16.7,18,19.7,21.4,23.1,24.8},{0,10,20,30,40,50,60,62,64,66,68,70,72,74,76,78,80,85,90,95,100})</f>
        <v>76</v>
      </c>
      <c r="G702" s="12">
        <v>192</v>
      </c>
      <c r="H702" s="11">
        <f>LOOKUP(G702,{0,124,129,134,139,144,149,152,155,158,161,164,167,170,173,176,179,186,193,199,205},{0,10,20,30,40,50,60,62,64,66,68,70,72,74,76,78,80,85,90,95,100})</f>
        <v>85</v>
      </c>
      <c r="I702" s="12">
        <v>56</v>
      </c>
      <c r="J702" s="11">
        <f>LOOKUP(I702,{0,14,16,18,20,22,24,26,28,30,32,34,36,38,40,42,44,47,50,52,54},{0,10,20,30,40,50,60,62,64,66,68,70,72,74,76,78,80,85,90,95,100})</f>
        <v>100</v>
      </c>
      <c r="K702" s="12">
        <f t="shared" ref="K702:K705" si="346">I702-54</f>
        <v>2</v>
      </c>
      <c r="L702" s="11">
        <f>LOOKUP(K702,{0,2,4,6,7,8,9,10,11,12,13},{0,1,2,3,4,5,6,7,8,9,10})</f>
        <v>1</v>
      </c>
      <c r="M702" s="12">
        <f t="shared" si="341"/>
        <v>101</v>
      </c>
      <c r="N702" s="12">
        <v>7.4</v>
      </c>
      <c r="O702" s="12">
        <f t="shared" si="342"/>
        <v>4.6</v>
      </c>
      <c r="P702" s="11">
        <f>LOOKUP(O702,{0,0.5,0.7,0.9,1.1,1.3,1.5,1.7,1.9,2.1,2.3,2.5,2.7,2.9,3.1,3.3,3.5,3.8,4.1,4.2,4.3},{0,10,20,30,40,50,60,62,64,66,68,70,72,74,76,78,80,85,90,95,100})</f>
        <v>100</v>
      </c>
      <c r="Q702" s="12">
        <v>3.46</v>
      </c>
      <c r="R702" s="12">
        <f t="shared" si="343"/>
        <v>6.54</v>
      </c>
      <c r="S702" s="11">
        <f>LOOKUP(R702,{0,4.72,4.82,4.92,5.42,5.52,5.62,5.67,5.72,5.77,5.82,5.87,5.92,5.97,6.42,6.47,6.52,6.59,6.66,6.72,6.78},{0,10,20,30,40,50,60,62,64,66,68,70,72,74,76,78,80,85,90,95,100})</f>
        <v>80</v>
      </c>
      <c r="T702" s="12"/>
      <c r="U702" s="12"/>
      <c r="V702" s="12">
        <f t="shared" si="344"/>
        <v>80</v>
      </c>
      <c r="W702" s="12"/>
      <c r="X702" s="20">
        <f t="shared" si="335"/>
        <v>62.1</v>
      </c>
      <c r="Y702" s="20">
        <f t="shared" si="345"/>
        <v>89.7142857142857</v>
      </c>
    </row>
    <row r="703" ht="15.6" hidden="1" outlineLevel="2" spans="1:25">
      <c r="A703" s="12">
        <v>214</v>
      </c>
      <c r="B703" s="12">
        <v>47</v>
      </c>
      <c r="C703" s="6" t="s">
        <v>778</v>
      </c>
      <c r="D703" s="6" t="s">
        <v>53</v>
      </c>
      <c r="E703" s="12">
        <v>19.9</v>
      </c>
      <c r="F703" s="11">
        <f>LOOKUP(E703,{0,1,1.8,2.6,3.4,4.2,5,6.3,7.6,8.9,10.2,11.5,12.8,14.1,15.4,16.7,18,19.7,21.4,23.1,24.8},{0,10,20,30,40,50,60,62,64,66,68,70,72,74,76,78,80,85,90,95,100})</f>
        <v>85</v>
      </c>
      <c r="G703" s="12">
        <v>165</v>
      </c>
      <c r="H703" s="11">
        <f>LOOKUP(G703,{0,124,129,134,139,144,149,152,155,158,161,164,167,170,173,176,179,186,193,199,205},{0,10,20,30,40,50,60,62,64,66,68,70,72,74,76,78,80,85,90,95,100})</f>
        <v>70</v>
      </c>
      <c r="I703" s="12">
        <v>55</v>
      </c>
      <c r="J703" s="11">
        <f>LOOKUP(I703,{0,14,16,18,20,22,24,26,28,30,32,34,36,38,40,42,44,47,50,52,54},{0,10,20,30,40,50,60,62,64,66,68,70,72,74,76,78,80,85,90,95,100})</f>
        <v>100</v>
      </c>
      <c r="K703" s="12">
        <f t="shared" si="346"/>
        <v>1</v>
      </c>
      <c r="L703" s="11">
        <f>LOOKUP(K703,{0,2,4,6,7,8,9,10,11,12,13},{0,1,2,3,4,5,6,7,8,9,10})</f>
        <v>0</v>
      </c>
      <c r="M703" s="12">
        <f t="shared" si="341"/>
        <v>100</v>
      </c>
      <c r="N703" s="12">
        <v>9.4</v>
      </c>
      <c r="O703" s="12">
        <f t="shared" si="342"/>
        <v>2.6</v>
      </c>
      <c r="P703" s="11">
        <f>LOOKUP(O703,{0,0.5,0.7,0.9,1.1,1.3,1.5,1.7,1.9,2.1,2.3,2.5,2.7,2.9,3.1,3.3,3.5,3.8,4.1,4.2,4.3},{0,10,20,30,40,50,60,62,64,66,68,70,72,74,76,78,80,85,90,95,100})</f>
        <v>70</v>
      </c>
      <c r="Q703" s="12">
        <v>3.28</v>
      </c>
      <c r="R703" s="12">
        <f t="shared" si="343"/>
        <v>6.72</v>
      </c>
      <c r="S703" s="11">
        <f>LOOKUP(R703,{0,4.72,4.82,4.92,5.42,5.52,5.62,5.67,5.72,5.77,5.82,5.87,5.92,5.97,6.42,6.47,6.52,6.59,6.66,6.72,6.78},{0,10,20,30,40,50,60,62,64,66,68,70,72,74,76,78,80,85,90,95,100})</f>
        <v>95</v>
      </c>
      <c r="T703" s="12"/>
      <c r="U703" s="12"/>
      <c r="V703" s="12">
        <f t="shared" si="344"/>
        <v>95</v>
      </c>
      <c r="W703" s="12"/>
      <c r="X703" s="20">
        <f t="shared" si="335"/>
        <v>58.5</v>
      </c>
      <c r="Y703" s="20">
        <f t="shared" si="345"/>
        <v>83.5714285714286</v>
      </c>
    </row>
    <row r="704" ht="15.6" hidden="1" outlineLevel="2" spans="1:25">
      <c r="A704" s="12">
        <v>214</v>
      </c>
      <c r="B704" s="12">
        <v>48</v>
      </c>
      <c r="C704" s="6" t="s">
        <v>779</v>
      </c>
      <c r="D704" s="6" t="s">
        <v>53</v>
      </c>
      <c r="E704" s="12">
        <v>18.1</v>
      </c>
      <c r="F704" s="11">
        <f>LOOKUP(E704,{0,1,1.8,2.6,3.4,4.2,5,6.3,7.6,8.9,10.2,11.5,12.8,14.1,15.4,16.7,18,19.7,21.4,23.1,24.8},{0,10,20,30,40,50,60,62,64,66,68,70,72,74,76,78,80,85,90,95,100})</f>
        <v>80</v>
      </c>
      <c r="G704" s="12">
        <v>196</v>
      </c>
      <c r="H704" s="11">
        <f>LOOKUP(G704,{0,124,129,134,139,144,149,152,155,158,161,164,167,170,173,176,179,186,193,199,205},{0,10,20,30,40,50,60,62,64,66,68,70,72,74,76,78,80,85,90,95,100})</f>
        <v>90</v>
      </c>
      <c r="I704" s="12">
        <v>35</v>
      </c>
      <c r="J704" s="11">
        <f>LOOKUP(I704,{0,14,16,18,20,22,24,26,28,30,32,34,36,38,40,42,44,47,50,52,54},{0,10,20,30,40,50,60,62,64,66,68,70,72,74,76,78,80,85,90,95,100})</f>
        <v>70</v>
      </c>
      <c r="K704" s="12"/>
      <c r="L704" s="12"/>
      <c r="M704" s="12">
        <f t="shared" si="341"/>
        <v>70</v>
      </c>
      <c r="N704" s="12">
        <v>8.8</v>
      </c>
      <c r="O704" s="12">
        <f t="shared" si="342"/>
        <v>3.2</v>
      </c>
      <c r="P704" s="11">
        <f>LOOKUP(O704,{0,0.5,0.7,0.9,1.1,1.3,1.5,1.7,1.9,2.1,2.3,2.5,2.7,2.9,3.1,3.3,3.5,3.8,4.1,4.2,4.3},{0,10,20,30,40,50,60,62,64,66,68,70,72,74,76,78,80,85,90,95,100})</f>
        <v>76</v>
      </c>
      <c r="Q704" s="12">
        <v>3.48</v>
      </c>
      <c r="R704" s="12">
        <f t="shared" si="343"/>
        <v>6.52</v>
      </c>
      <c r="S704" s="11">
        <f>LOOKUP(R704,{0,4.72,4.82,4.92,5.42,5.52,5.62,5.67,5.72,5.77,5.82,5.87,5.92,5.97,6.42,6.47,6.52,6.59,6.66,6.72,6.78},{0,10,20,30,40,50,60,62,64,66,68,70,72,74,76,78,80,85,90,95,100})</f>
        <v>80</v>
      </c>
      <c r="T704" s="12"/>
      <c r="U704" s="12"/>
      <c r="V704" s="12">
        <f t="shared" si="344"/>
        <v>80</v>
      </c>
      <c r="W704" s="12"/>
      <c r="X704" s="20">
        <f t="shared" si="335"/>
        <v>55.2</v>
      </c>
      <c r="Y704" s="20">
        <f t="shared" si="345"/>
        <v>78.8571428571429</v>
      </c>
    </row>
    <row r="705" ht="15.6" hidden="1" outlineLevel="2" spans="1:25">
      <c r="A705" s="12">
        <v>214</v>
      </c>
      <c r="B705" s="12">
        <v>49</v>
      </c>
      <c r="C705" s="6" t="s">
        <v>780</v>
      </c>
      <c r="D705" s="6" t="s">
        <v>53</v>
      </c>
      <c r="E705" s="12">
        <v>13</v>
      </c>
      <c r="F705" s="11">
        <f>LOOKUP(E705,{0,1,1.8,2.6,3.4,4.2,5,6.3,7.6,8.9,10.2,11.5,12.8,14.1,15.4,16.7,18,19.7,21.4,23.1,24.8},{0,10,20,30,40,50,60,62,64,66,68,70,72,74,76,78,80,85,90,95,100})</f>
        <v>72</v>
      </c>
      <c r="G705" s="12">
        <v>187</v>
      </c>
      <c r="H705" s="11">
        <f>LOOKUP(G705,{0,124,129,134,139,144,149,152,155,158,161,164,167,170,173,176,179,186,193,199,205},{0,10,20,30,40,50,60,62,64,66,68,70,72,74,76,78,80,85,90,95,100})</f>
        <v>85</v>
      </c>
      <c r="I705" s="12">
        <v>57</v>
      </c>
      <c r="J705" s="11">
        <f>LOOKUP(I705,{0,14,16,18,20,22,24,26,28,30,32,34,36,38,40,42,44,47,50,52,54},{0,10,20,30,40,50,60,62,64,66,68,70,72,74,76,78,80,85,90,95,100})</f>
        <v>100</v>
      </c>
      <c r="K705" s="12">
        <f t="shared" si="346"/>
        <v>3</v>
      </c>
      <c r="L705" s="11">
        <f>LOOKUP(K705,{0,2,4,6,7,8,9,10,11,12,13},{0,1,2,3,4,5,6,7,8,9,10})</f>
        <v>1</v>
      </c>
      <c r="M705" s="12">
        <f t="shared" si="341"/>
        <v>101</v>
      </c>
      <c r="N705" s="12">
        <v>8.3</v>
      </c>
      <c r="O705" s="12">
        <f t="shared" si="342"/>
        <v>3.7</v>
      </c>
      <c r="P705" s="11">
        <f>LOOKUP(O705,{0,0.5,0.7,0.9,1.1,1.3,1.5,1.7,1.9,2.1,2.3,2.5,2.7,2.9,3.1,3.3,3.5,3.8,4.1,4.2,4.3},{0,10,20,30,40,50,60,62,64,66,68,70,72,74,76,78,80,85,90,95,100})</f>
        <v>80</v>
      </c>
      <c r="Q705" s="12">
        <v>3.13</v>
      </c>
      <c r="R705" s="12">
        <f t="shared" si="343"/>
        <v>6.87</v>
      </c>
      <c r="S705" s="11">
        <f>LOOKUP(R705,{0,4.72,4.82,4.92,5.42,5.52,5.62,5.67,5.72,5.77,5.82,5.87,5.92,5.97,6.42,6.47,6.52,6.59,6.66,6.72,6.78},{0,10,20,30,40,50,60,62,64,66,68,70,72,74,76,78,80,85,90,95,100})</f>
        <v>100</v>
      </c>
      <c r="T705" s="21">
        <f>3.22-Q705</f>
        <v>0.0900000000000003</v>
      </c>
      <c r="U705" s="11">
        <f>LOOKUP(T705,{0,0.05,0.1,0.15,0.2,0.25,0.3,0.35,0.4,0.45,0.5},{0,1,2,3,4,5,6,7,8,9,10})</f>
        <v>1</v>
      </c>
      <c r="V705" s="12">
        <f t="shared" si="344"/>
        <v>101</v>
      </c>
      <c r="W705" s="12"/>
      <c r="X705" s="20">
        <f t="shared" si="335"/>
        <v>61.7</v>
      </c>
      <c r="Y705" s="20">
        <f t="shared" si="345"/>
        <v>90.1428571428572</v>
      </c>
    </row>
    <row r="706" ht="15.6" hidden="1" outlineLevel="2" spans="1:25">
      <c r="A706" s="12">
        <v>214</v>
      </c>
      <c r="B706" s="12">
        <v>50</v>
      </c>
      <c r="C706" s="6" t="s">
        <v>781</v>
      </c>
      <c r="D706" s="6" t="s">
        <v>53</v>
      </c>
      <c r="E706" s="12">
        <v>7.7</v>
      </c>
      <c r="F706" s="11">
        <f>LOOKUP(E706,{0,1,1.8,2.6,3.4,4.2,5,6.3,7.6,8.9,10.2,11.5,12.8,14.1,15.4,16.7,18,19.7,21.4,23.1,24.8},{0,10,20,30,40,50,60,62,64,66,68,70,72,74,76,78,80,85,90,95,100})</f>
        <v>64</v>
      </c>
      <c r="G706" s="12">
        <v>166</v>
      </c>
      <c r="H706" s="11">
        <f>LOOKUP(G706,{0,124,129,134,139,144,149,152,155,158,161,164,167,170,173,176,179,186,193,199,205},{0,10,20,30,40,50,60,62,64,66,68,70,72,74,76,78,80,85,90,95,100})</f>
        <v>70</v>
      </c>
      <c r="I706" s="12">
        <v>44</v>
      </c>
      <c r="J706" s="11">
        <f>LOOKUP(I706,{0,14,16,18,20,22,24,26,28,30,32,34,36,38,40,42,44,47,50,52,54},{0,10,20,30,40,50,60,62,64,66,68,70,72,74,76,78,80,85,90,95,100})</f>
        <v>80</v>
      </c>
      <c r="K706" s="12"/>
      <c r="L706" s="12"/>
      <c r="M706" s="12">
        <f t="shared" si="341"/>
        <v>80</v>
      </c>
      <c r="N706" s="12">
        <v>8.8</v>
      </c>
      <c r="O706" s="12">
        <f t="shared" si="342"/>
        <v>3.2</v>
      </c>
      <c r="P706" s="11">
        <f>LOOKUP(O706,{0,0.5,0.7,0.9,1.1,1.3,1.5,1.7,1.9,2.1,2.3,2.5,2.7,2.9,3.1,3.3,3.5,3.8,4.1,4.2,4.3},{0,10,20,30,40,50,60,62,64,66,68,70,72,74,76,78,80,85,90,95,100})</f>
        <v>76</v>
      </c>
      <c r="Q706" s="12">
        <v>3.46</v>
      </c>
      <c r="R706" s="12">
        <f t="shared" si="343"/>
        <v>6.54</v>
      </c>
      <c r="S706" s="11">
        <f>LOOKUP(R706,{0,4.72,4.82,4.92,5.42,5.52,5.62,5.67,5.72,5.77,5.82,5.87,5.92,5.97,6.42,6.47,6.52,6.59,6.66,6.72,6.78},{0,10,20,30,40,50,60,62,64,66,68,70,72,74,76,78,80,85,90,95,100})</f>
        <v>80</v>
      </c>
      <c r="T706" s="12"/>
      <c r="U706" s="12"/>
      <c r="V706" s="12">
        <f t="shared" si="344"/>
        <v>80</v>
      </c>
      <c r="W706" s="12"/>
      <c r="X706" s="20">
        <f t="shared" si="335"/>
        <v>52.6</v>
      </c>
      <c r="Y706" s="20">
        <f t="shared" si="345"/>
        <v>75.1428571428572</v>
      </c>
    </row>
    <row r="707" ht="15.6" hidden="1" outlineLevel="2" spans="1:25">
      <c r="A707" s="12">
        <v>214</v>
      </c>
      <c r="B707" s="12">
        <v>51</v>
      </c>
      <c r="C707" s="6" t="s">
        <v>782</v>
      </c>
      <c r="D707" s="6" t="s">
        <v>53</v>
      </c>
      <c r="E707" s="12">
        <v>10</v>
      </c>
      <c r="F707" s="11">
        <f>LOOKUP(E707,{0,1,1.8,2.6,3.4,4.2,5,6.3,7.6,8.9,10.2,11.5,12.8,14.1,15.4,16.7,18,19.7,21.4,23.1,24.8},{0,10,20,30,40,50,60,62,64,66,68,70,72,74,76,78,80,85,90,95,100})</f>
        <v>66</v>
      </c>
      <c r="G707" s="12">
        <v>185</v>
      </c>
      <c r="H707" s="11">
        <f>LOOKUP(G707,{0,124,129,134,139,144,149,152,155,158,161,164,167,170,173,176,179,186,193,199,205},{0,10,20,30,40,50,60,62,64,66,68,70,72,74,76,78,80,85,90,95,100})</f>
        <v>80</v>
      </c>
      <c r="I707" s="12">
        <v>38</v>
      </c>
      <c r="J707" s="11">
        <f>LOOKUP(I707,{0,14,16,18,20,22,24,26,28,30,32,34,36,38,40,42,44,47,50,52,54},{0,10,20,30,40,50,60,62,64,66,68,70,72,74,76,78,80,85,90,95,100})</f>
        <v>74</v>
      </c>
      <c r="K707" s="12"/>
      <c r="L707" s="12"/>
      <c r="M707" s="12">
        <f t="shared" si="341"/>
        <v>74</v>
      </c>
      <c r="N707" s="12">
        <v>8.6</v>
      </c>
      <c r="O707" s="12">
        <f t="shared" si="342"/>
        <v>3.4</v>
      </c>
      <c r="P707" s="11">
        <f>LOOKUP(O707,{0,0.5,0.7,0.9,1.1,1.3,1.5,1.7,1.9,2.1,2.3,2.5,2.7,2.9,3.1,3.3,3.5,3.8,4.1,4.2,4.3},{0,10,20,30,40,50,60,62,64,66,68,70,72,74,76,78,80,85,90,95,100})</f>
        <v>78</v>
      </c>
      <c r="Q707" s="12">
        <v>3.32</v>
      </c>
      <c r="R707" s="12">
        <f t="shared" si="343"/>
        <v>6.68</v>
      </c>
      <c r="S707" s="11">
        <f>LOOKUP(R707,{0,4.72,4.82,4.92,5.42,5.52,5.62,5.67,5.72,5.77,5.82,5.87,5.92,5.97,6.42,6.47,6.52,6.59,6.66,6.72,6.78},{0,10,20,30,40,50,60,62,64,66,68,70,72,74,76,78,80,85,90,95,100})</f>
        <v>90</v>
      </c>
      <c r="T707" s="12"/>
      <c r="U707" s="12"/>
      <c r="V707" s="12">
        <f t="shared" si="344"/>
        <v>90</v>
      </c>
      <c r="W707" s="12"/>
      <c r="X707" s="20">
        <f t="shared" si="335"/>
        <v>55.6</v>
      </c>
      <c r="Y707" s="20">
        <f t="shared" si="345"/>
        <v>79.4285714285714</v>
      </c>
    </row>
    <row r="708" ht="15.6" hidden="1" outlineLevel="2" spans="1:25">
      <c r="A708" s="12">
        <v>214</v>
      </c>
      <c r="B708" s="12">
        <v>52</v>
      </c>
      <c r="C708" s="6" t="s">
        <v>783</v>
      </c>
      <c r="D708" s="6" t="s">
        <v>53</v>
      </c>
      <c r="E708" s="12">
        <v>7.9</v>
      </c>
      <c r="F708" s="11">
        <f>LOOKUP(E708,{0,1,1.8,2.6,3.4,4.2,5,6.3,7.6,8.9,10.2,11.5,12.8,14.1,15.4,16.7,18,19.7,21.4,23.1,24.8},{0,10,20,30,40,50,60,62,64,66,68,70,72,74,76,78,80,85,90,95,100})</f>
        <v>64</v>
      </c>
      <c r="G708" s="12">
        <v>206</v>
      </c>
      <c r="H708" s="11">
        <f>LOOKUP(G708,{0,124,129,134,139,144,149,152,155,158,161,164,167,170,173,176,179,186,193,199,205},{0,10,20,30,40,50,60,62,64,66,68,70,72,74,76,78,80,85,90,95,100})</f>
        <v>100</v>
      </c>
      <c r="I708" s="12">
        <v>57</v>
      </c>
      <c r="J708" s="11">
        <f>LOOKUP(I708,{0,14,16,18,20,22,24,26,28,30,32,34,36,38,40,42,44,47,50,52,54},{0,10,20,30,40,50,60,62,64,66,68,70,72,74,76,78,80,85,90,95,100})</f>
        <v>100</v>
      </c>
      <c r="K708" s="12">
        <f>I708-54</f>
        <v>3</v>
      </c>
      <c r="L708" s="11">
        <f>LOOKUP(K708,{0,2,4,6,7,8,9,10,11,12,13},{0,1,2,3,4,5,6,7,8,9,10})</f>
        <v>1</v>
      </c>
      <c r="M708" s="12">
        <f t="shared" si="341"/>
        <v>101</v>
      </c>
      <c r="N708" s="12">
        <v>8.6</v>
      </c>
      <c r="O708" s="12">
        <f t="shared" si="342"/>
        <v>3.4</v>
      </c>
      <c r="P708" s="11">
        <f>LOOKUP(O708,{0,0.5,0.7,0.9,1.1,1.3,1.5,1.7,1.9,2.1,2.3,2.5,2.7,2.9,3.1,3.3,3.5,3.8,4.1,4.2,4.3},{0,10,20,30,40,50,60,62,64,66,68,70,72,74,76,78,80,85,90,95,100})</f>
        <v>78</v>
      </c>
      <c r="Q708" s="12">
        <v>3.2</v>
      </c>
      <c r="R708" s="12">
        <f t="shared" si="343"/>
        <v>6.8</v>
      </c>
      <c r="S708" s="11">
        <f>LOOKUP(R708,{0,4.72,4.82,4.92,5.42,5.52,5.62,5.67,5.72,5.77,5.82,5.87,5.92,5.97,6.42,6.47,6.52,6.59,6.66,6.72,6.78},{0,10,20,30,40,50,60,62,64,66,68,70,72,74,76,78,80,85,90,95,100})</f>
        <v>100</v>
      </c>
      <c r="T708" s="21">
        <f>3.22-Q708</f>
        <v>0.02</v>
      </c>
      <c r="U708" s="11">
        <f>LOOKUP(T708,{0,0.05,0.1,0.15,0.2,0.25,0.3,0.35,0.4,0.45,0.5},{0,1,2,3,4,5,6,7,8,9,10})</f>
        <v>0</v>
      </c>
      <c r="V708" s="12">
        <f t="shared" si="344"/>
        <v>100</v>
      </c>
      <c r="W708" s="12"/>
      <c r="X708" s="20">
        <f t="shared" si="335"/>
        <v>62</v>
      </c>
      <c r="Y708" s="20">
        <f t="shared" si="345"/>
        <v>89.5714285714286</v>
      </c>
    </row>
    <row r="709" ht="15.6" hidden="1" outlineLevel="2" spans="1:25">
      <c r="A709" s="12">
        <v>214</v>
      </c>
      <c r="B709" s="12">
        <v>54</v>
      </c>
      <c r="C709" s="6" t="s">
        <v>786</v>
      </c>
      <c r="D709" s="6" t="s">
        <v>53</v>
      </c>
      <c r="E709" s="12">
        <v>21.5</v>
      </c>
      <c r="F709" s="11">
        <f>LOOKUP(E709,{0,1,1.8,2.6,3.4,4.2,5,6.3,7.6,8.9,10.2,11.5,12.8,14.1,15.4,16.7,18,19.7,21.4,23.1,24.8},{0,10,20,30,40,50,60,62,64,66,68,70,72,74,76,78,80,85,90,95,100})</f>
        <v>90</v>
      </c>
      <c r="G709" s="12">
        <v>171</v>
      </c>
      <c r="H709" s="11">
        <f>LOOKUP(G709,{0,124,129,134,139,144,149,152,155,158,161,164,167,170,173,176,179,186,193,199,205},{0,10,20,30,40,50,60,62,64,66,68,70,72,74,76,78,80,85,90,95,100})</f>
        <v>74</v>
      </c>
      <c r="I709" s="12">
        <v>43</v>
      </c>
      <c r="J709" s="11">
        <f>LOOKUP(I709,{0,14,16,18,20,22,24,26,28,30,32,34,36,38,40,42,44,47,50,52,54},{0,10,20,30,40,50,60,62,64,66,68,70,72,74,76,78,80,85,90,95,100})</f>
        <v>78</v>
      </c>
      <c r="K709" s="12"/>
      <c r="L709" s="12"/>
      <c r="M709" s="12">
        <f t="shared" si="341"/>
        <v>78</v>
      </c>
      <c r="N709" s="12">
        <v>9.1</v>
      </c>
      <c r="O709" s="12">
        <f t="shared" si="342"/>
        <v>2.9</v>
      </c>
      <c r="P709" s="11">
        <f>LOOKUP(O709,{0,0.5,0.7,0.9,1.1,1.3,1.5,1.7,1.9,2.1,2.3,2.5,2.7,2.9,3.1,3.3,3.5,3.8,4.1,4.2,4.3},{0,10,20,30,40,50,60,62,64,66,68,70,72,74,76,78,80,85,90,95,100})</f>
        <v>74</v>
      </c>
      <c r="Q709" s="12">
        <v>3.46</v>
      </c>
      <c r="R709" s="12">
        <f t="shared" si="343"/>
        <v>6.54</v>
      </c>
      <c r="S709" s="11">
        <f>LOOKUP(R709,{0,4.72,4.82,4.92,5.42,5.52,5.62,5.67,5.72,5.77,5.82,5.87,5.92,5.97,6.42,6.47,6.52,6.59,6.66,6.72,6.78},{0,10,20,30,40,50,60,62,64,66,68,70,72,74,76,78,80,85,90,95,100})</f>
        <v>80</v>
      </c>
      <c r="T709" s="12"/>
      <c r="U709" s="12"/>
      <c r="V709" s="12">
        <f t="shared" si="344"/>
        <v>80</v>
      </c>
      <c r="W709" s="12"/>
      <c r="X709" s="20">
        <f t="shared" si="335"/>
        <v>55</v>
      </c>
      <c r="Y709" s="20">
        <f t="shared" si="345"/>
        <v>78.5714285714286</v>
      </c>
    </row>
    <row r="710" ht="15.6" hidden="1" outlineLevel="2" spans="1:25">
      <c r="A710" s="12">
        <v>214</v>
      </c>
      <c r="B710" s="12">
        <v>55</v>
      </c>
      <c r="C710" s="6" t="s">
        <v>787</v>
      </c>
      <c r="D710" s="6" t="s">
        <v>53</v>
      </c>
      <c r="E710" s="12">
        <v>26.5</v>
      </c>
      <c r="F710" s="11">
        <f>LOOKUP(E710,{0,1,1.8,2.6,3.4,4.2,5,6.3,7.6,8.9,10.2,11.5,12.8,14.1,15.4,16.7,18,19.7,21.4,23.1,24.8},{0,10,20,30,40,50,60,62,64,66,68,70,72,74,76,78,80,85,90,95,100})</f>
        <v>100</v>
      </c>
      <c r="G710" s="12">
        <v>207</v>
      </c>
      <c r="H710" s="11">
        <f>LOOKUP(G710,{0,124,129,134,139,144,149,152,155,158,161,164,167,170,173,176,179,186,193,199,205},{0,10,20,30,40,50,60,62,64,66,68,70,72,74,76,78,80,85,90,95,100})</f>
        <v>100</v>
      </c>
      <c r="I710" s="12">
        <v>55</v>
      </c>
      <c r="J710" s="11">
        <f>LOOKUP(I710,{0,14,16,18,20,22,24,26,28,30,32,34,36,38,40,42,44,47,50,52,54},{0,10,20,30,40,50,60,62,64,66,68,70,72,74,76,78,80,85,90,95,100})</f>
        <v>100</v>
      </c>
      <c r="K710" s="12">
        <f>I710-54</f>
        <v>1</v>
      </c>
      <c r="L710" s="11">
        <f>LOOKUP(K710,{0,2,4,6,7,8,9,10,11,12,13},{0,1,2,3,4,5,6,7,8,9,10})</f>
        <v>0</v>
      </c>
      <c r="M710" s="12">
        <f t="shared" si="341"/>
        <v>100</v>
      </c>
      <c r="N710" s="12">
        <v>8.5</v>
      </c>
      <c r="O710" s="12">
        <f t="shared" si="342"/>
        <v>3.5</v>
      </c>
      <c r="P710" s="11">
        <f>LOOKUP(O710,{0,0.5,0.7,0.9,1.1,1.3,1.5,1.7,1.9,2.1,2.3,2.5,2.7,2.9,3.1,3.3,3.5,3.8,4.1,4.2,4.3},{0,10,20,30,40,50,60,62,64,66,68,70,72,74,76,78,80,85,90,95,100})</f>
        <v>80</v>
      </c>
      <c r="Q710" s="12">
        <v>3.17</v>
      </c>
      <c r="R710" s="12">
        <f t="shared" si="343"/>
        <v>6.83</v>
      </c>
      <c r="S710" s="11">
        <f>LOOKUP(R710,{0,4.72,4.82,4.92,5.42,5.52,5.62,5.67,5.72,5.77,5.82,5.87,5.92,5.97,6.42,6.47,6.52,6.59,6.66,6.72,6.78},{0,10,20,30,40,50,60,62,64,66,68,70,72,74,76,78,80,85,90,95,100})</f>
        <v>100</v>
      </c>
      <c r="T710" s="21">
        <f>3.22-Q710</f>
        <v>0.0500000000000003</v>
      </c>
      <c r="U710" s="11">
        <f>LOOKUP(T710,{0,0.05,0.1,0.15,0.2,0.25,0.3,0.35,0.4,0.45,0.5},{0,1,2,3,4,5,6,7,8,9,10})</f>
        <v>1</v>
      </c>
      <c r="V710" s="12">
        <f t="shared" si="344"/>
        <v>101</v>
      </c>
      <c r="W710" s="12"/>
      <c r="X710" s="20">
        <f t="shared" si="335"/>
        <v>66</v>
      </c>
      <c r="Y710" s="20">
        <f t="shared" si="345"/>
        <v>95.2857142857143</v>
      </c>
    </row>
    <row r="711" ht="15.6" outlineLevel="1" collapsed="1" spans="1:25">
      <c r="A711" s="14" t="s">
        <v>868</v>
      </c>
      <c r="B711" s="12"/>
      <c r="C711" s="6"/>
      <c r="D711" s="6"/>
      <c r="E711" s="12"/>
      <c r="F711" s="11">
        <f>SUBTOTAL(1,F657:F710)</f>
        <v>79.5192307692308</v>
      </c>
      <c r="G711" s="12"/>
      <c r="H711" s="11">
        <f>SUBTOTAL(1,H657:H710)</f>
        <v>74.3269230769231</v>
      </c>
      <c r="I711" s="12"/>
      <c r="J711" s="11">
        <f>SUBTOTAL(1,J657:J710)</f>
        <v>75.8076923076923</v>
      </c>
      <c r="K711" s="12"/>
      <c r="L711" s="11"/>
      <c r="M711" s="12">
        <f>SUBTOTAL(1,M657:M710)</f>
        <v>75.9615384615385</v>
      </c>
      <c r="N711" s="12"/>
      <c r="O711" s="12"/>
      <c r="P711" s="11">
        <f>SUBTOTAL(1,P657:P710)</f>
        <v>77.0961538461538</v>
      </c>
      <c r="Q711" s="12"/>
      <c r="R711" s="12"/>
      <c r="S711" s="11">
        <f>SUBTOTAL(1,S657:S710)</f>
        <v>81.7647058823529</v>
      </c>
      <c r="T711" s="21"/>
      <c r="U711" s="11"/>
      <c r="V711" s="12">
        <f>SUBTOTAL(1,V657:V710)</f>
        <v>81.8235294117647</v>
      </c>
      <c r="W711" s="12"/>
      <c r="X711" s="20">
        <f>SUBTOTAL(1,X657:X710)</f>
        <v>52.4074074074074</v>
      </c>
      <c r="Y711" s="20">
        <f>SUBTOTAL(1,Y657:Y710)</f>
        <v>77.7698412698413</v>
      </c>
    </row>
    <row r="712" ht="15.6" hidden="1" outlineLevel="2" spans="1:25">
      <c r="A712" s="12">
        <v>215</v>
      </c>
      <c r="B712" s="12">
        <v>1</v>
      </c>
      <c r="C712" s="13" t="s">
        <v>789</v>
      </c>
      <c r="D712" s="6" t="s">
        <v>11</v>
      </c>
      <c r="E712" s="12">
        <v>14.2</v>
      </c>
      <c r="F712" s="11">
        <f>LOOKUP(E712,{0,-2.9,-1.9,-0.9,0.1,1.1,2.1,3.5,4.9,6.3,7.7,9.1,10.5,11.9,13.3,14.7,16.1,18.3,20.5,22.4,24.3},{0,10,20,30,40,50,60,62,64,66,68,70,72,74,76,78,80,85,90,95,100})</f>
        <v>76</v>
      </c>
      <c r="G712" s="12">
        <v>240</v>
      </c>
      <c r="H712" s="11">
        <f>LOOKUP(G712,{0,175,180,185,190,195,200,204,208,212,216,220,224,228,232,236,240,248,255,260,265},{0,10,20,30,40,50,60,62,64,66,68,70,72,74,76,78,80,85,90,95,100})</f>
        <v>80</v>
      </c>
      <c r="I712" s="12">
        <v>8</v>
      </c>
      <c r="J712" s="11">
        <f>LOOKUP(I712,{0,3,4,5,6,7,8,9,10,11,12,13,14,15,16,17},{0,10,20,30,40,50,60,64,68,72,76,80,85,90,95,100})</f>
        <v>60</v>
      </c>
      <c r="K712" s="12"/>
      <c r="L712" s="12"/>
      <c r="M712" s="12">
        <f t="shared" ref="M712:M744" si="347">J712+L712</f>
        <v>60</v>
      </c>
      <c r="N712" s="12">
        <v>7</v>
      </c>
      <c r="O712" s="12">
        <f t="shared" ref="O712:O742" si="348">12-N712</f>
        <v>5</v>
      </c>
      <c r="P712" s="11">
        <f>LOOKUP(O712,{0,1.6,1.8,2,2.2,2.4,2.6,2.8,3,3.2,3.4,3.6,3.8,4,4.2,4.4,4.6,4.7,4.8,4.9,5},{0,10,20,30,40,50,60,62,64,66,68,70,72,74,76,78,80,85,90,95,100})</f>
        <v>100</v>
      </c>
      <c r="Q712" s="12">
        <v>4.02</v>
      </c>
      <c r="R712" s="12">
        <f t="shared" ref="R712:R744" si="349">10-Q712</f>
        <v>5.98</v>
      </c>
      <c r="S712" s="11">
        <f>LOOKUP(R712,{0,3.8,4,4.6,4.8,5,5.6,5.65,5.7,5.75,5.8,5.85,5.9,5.95,6,6.45,6.5,6.58,6.65,6.7,6.75},{0,10,20,30,40,50,60,62,64,66,68,70,72,74,76,78,80,85,90,95,100})</f>
        <v>74</v>
      </c>
      <c r="T712" s="12"/>
      <c r="U712" s="12"/>
      <c r="V712" s="12">
        <f t="shared" ref="V712:V744" si="350">S712+U712</f>
        <v>74</v>
      </c>
      <c r="W712" s="12"/>
      <c r="X712" s="20">
        <f t="shared" ref="X712:X717" si="351">F712*0.1+H712*0.1+J712*0.1+P712*0.2+S712*0.2</f>
        <v>56.4</v>
      </c>
      <c r="Y712" s="20">
        <f t="shared" ref="Y712:Y744" si="352">X712/0.7+L712+U712</f>
        <v>80.5714285714286</v>
      </c>
    </row>
    <row r="713" ht="15.6" hidden="1" outlineLevel="2" spans="1:25">
      <c r="A713" s="12">
        <v>215</v>
      </c>
      <c r="B713" s="12">
        <v>2</v>
      </c>
      <c r="C713" s="6" t="s">
        <v>790</v>
      </c>
      <c r="D713" s="6" t="s">
        <v>11</v>
      </c>
      <c r="E713" s="12">
        <v>-11</v>
      </c>
      <c r="F713" s="11">
        <v>0</v>
      </c>
      <c r="G713" s="12">
        <v>242</v>
      </c>
      <c r="H713" s="11">
        <f>LOOKUP(G713,{0,175,180,185,190,195,200,204,208,212,216,220,224,228,232,236,240,248,255,260,265},{0,10,20,30,40,50,60,62,64,66,68,70,72,74,76,78,80,85,90,95,100})</f>
        <v>80</v>
      </c>
      <c r="I713" s="12">
        <v>15</v>
      </c>
      <c r="J713" s="11">
        <f>LOOKUP(I713,{0,3,4,5,6,7,8,9,10,11,12,13,14,15,16,17},{0,10,20,30,40,50,60,64,68,72,76,80,85,90,95,100})</f>
        <v>90</v>
      </c>
      <c r="K713" s="12"/>
      <c r="L713" s="12"/>
      <c r="M713" s="12">
        <f t="shared" si="347"/>
        <v>90</v>
      </c>
      <c r="N713" s="12">
        <v>7.2</v>
      </c>
      <c r="O713" s="12">
        <f t="shared" si="348"/>
        <v>4.8</v>
      </c>
      <c r="P713" s="11">
        <f>LOOKUP(O713,{0,1.6,1.8,2,2.2,2.4,2.6,2.8,3,3.2,3.4,3.6,3.8,4,4.2,4.4,4.6,4.7,4.8,4.9,5},{0,10,20,30,40,50,60,62,64,66,68,70,72,74,76,78,80,85,90,95,100})</f>
        <v>90</v>
      </c>
      <c r="Q713" s="12">
        <v>4.05</v>
      </c>
      <c r="R713" s="12">
        <f t="shared" si="349"/>
        <v>5.95</v>
      </c>
      <c r="S713" s="11">
        <f>LOOKUP(R713,{0,3.8,4,4.6,4.8,5,5.6,5.65,5.7,5.75,5.8,5.85,5.9,5.95,6,6.45,6.5,6.58,6.65,6.7,6.75},{0,10,20,30,40,50,60,62,64,66,68,70,72,74,76,78,80,85,90,95,100})</f>
        <v>74</v>
      </c>
      <c r="T713" s="12"/>
      <c r="U713" s="15"/>
      <c r="V713" s="12">
        <f t="shared" si="350"/>
        <v>74</v>
      </c>
      <c r="W713" s="12"/>
      <c r="X713" s="20">
        <f t="shared" si="351"/>
        <v>49.8</v>
      </c>
      <c r="Y713" s="20">
        <f t="shared" si="352"/>
        <v>71.1428571428571</v>
      </c>
    </row>
    <row r="714" s="1" customFormat="1" ht="15.6" hidden="1" outlineLevel="2" spans="1:25">
      <c r="A714" s="12">
        <v>215</v>
      </c>
      <c r="B714" s="12">
        <v>3</v>
      </c>
      <c r="C714" s="6" t="s">
        <v>791</v>
      </c>
      <c r="D714" s="6" t="s">
        <v>11</v>
      </c>
      <c r="E714" s="12">
        <v>18.3</v>
      </c>
      <c r="F714" s="11">
        <f>LOOKUP(E714,{0,-2.9,-1.9,-0.9,0.1,1.1,2.1,3.5,4.9,6.3,7.7,9.1,10.5,11.9,13.3,14.7,16.1,18.3,20.5,22.4,24.3},{0,10,20,30,40,50,60,62,64,66,68,70,72,74,76,78,80,85,90,95,100})</f>
        <v>85</v>
      </c>
      <c r="G714" s="12">
        <v>241</v>
      </c>
      <c r="H714" s="11">
        <f>LOOKUP(G714,{0,175,180,185,190,195,200,204,208,212,216,220,224,228,232,236,240,248,255,260,265},{0,10,20,30,40,50,60,62,64,66,68,70,72,74,76,78,80,85,90,95,100})</f>
        <v>80</v>
      </c>
      <c r="I714" s="12">
        <v>0</v>
      </c>
      <c r="J714" s="11">
        <f>LOOKUP(I714,{0,3,4,5,6,7,8,9,10,11,12,13,14,15,16,17},{0,10,20,30,40,50,60,64,68,72,76,80,85,90,95,100})</f>
        <v>0</v>
      </c>
      <c r="K714" s="12"/>
      <c r="L714" s="12"/>
      <c r="M714" s="12">
        <f t="shared" si="347"/>
        <v>0</v>
      </c>
      <c r="N714" s="12">
        <v>7.1</v>
      </c>
      <c r="O714" s="12">
        <f t="shared" si="348"/>
        <v>4.9</v>
      </c>
      <c r="P714" s="11">
        <f>LOOKUP(O714,{0,1.6,1.8,2,2.2,2.4,2.6,2.8,3,3.2,3.4,3.6,3.8,4,4.2,4.4,4.6,4.7,4.8,4.9,5},{0,10,20,30,40,50,60,62,64,66,68,70,72,74,76,78,80,85,90,95,100})</f>
        <v>95</v>
      </c>
      <c r="Q714" s="12">
        <v>4.11</v>
      </c>
      <c r="R714" s="12">
        <f t="shared" si="349"/>
        <v>5.89</v>
      </c>
      <c r="S714" s="11">
        <f>LOOKUP(R714,{0,3.8,4,4.6,4.8,5,5.6,5.65,5.7,5.75,5.8,5.85,5.9,5.95,6,6.45,6.5,6.58,6.65,6.7,6.75},{0,10,20,30,40,50,60,62,64,66,68,70,72,74,76,78,80,85,90,95,100})</f>
        <v>70</v>
      </c>
      <c r="T714" s="12"/>
      <c r="U714" s="12"/>
      <c r="V714" s="12">
        <f t="shared" si="350"/>
        <v>70</v>
      </c>
      <c r="W714" s="12"/>
      <c r="X714" s="20">
        <f t="shared" si="351"/>
        <v>49.5</v>
      </c>
      <c r="Y714" s="20">
        <f t="shared" si="352"/>
        <v>70.7142857142857</v>
      </c>
    </row>
    <row r="715" ht="15.6" hidden="1" outlineLevel="2" spans="1:25">
      <c r="A715" s="12">
        <v>215</v>
      </c>
      <c r="B715" s="12">
        <v>4</v>
      </c>
      <c r="C715" s="6" t="s">
        <v>792</v>
      </c>
      <c r="D715" s="6" t="s">
        <v>11</v>
      </c>
      <c r="E715" s="12">
        <v>4.3</v>
      </c>
      <c r="F715" s="11">
        <f>LOOKUP(E715,{0,-2.9,-1.9,-0.9,0.1,1.1,2.1,3.5,4.9,6.3,7.7,9.1,10.5,11.9,13.3,14.7,16.1,18.3,20.5,22.4,24.3},{0,10,20,30,40,50,60,62,64,66,68,70,72,74,76,78,80,85,90,95,100})</f>
        <v>62</v>
      </c>
      <c r="G715" s="12">
        <v>225</v>
      </c>
      <c r="H715" s="11">
        <f>LOOKUP(G715,{0,175,180,185,190,195,200,204,208,212,216,220,224,228,232,236,240,248,255,260,265},{0,10,20,30,40,50,60,62,64,66,68,70,72,74,76,78,80,85,90,95,100})</f>
        <v>72</v>
      </c>
      <c r="I715" s="12">
        <v>5</v>
      </c>
      <c r="J715" s="11">
        <f>LOOKUP(I715,{0,3,4,5,6,7,8,9,10,11,12,13,14,15,16,17},{0,10,20,30,40,50,60,64,68,72,76,80,85,90,95,100})</f>
        <v>30</v>
      </c>
      <c r="K715" s="12"/>
      <c r="L715" s="12"/>
      <c r="M715" s="12">
        <f t="shared" si="347"/>
        <v>30</v>
      </c>
      <c r="N715" s="12">
        <v>7.2</v>
      </c>
      <c r="O715" s="12">
        <f t="shared" si="348"/>
        <v>4.8</v>
      </c>
      <c r="P715" s="11">
        <f>LOOKUP(O715,{0,1.6,1.8,2,2.2,2.4,2.6,2.8,3,3.2,3.4,3.6,3.8,4,4.2,4.4,4.6,4.7,4.8,4.9,5},{0,10,20,30,40,50,60,62,64,66,68,70,72,74,76,78,80,85,90,95,100})</f>
        <v>90</v>
      </c>
      <c r="Q715" s="12">
        <v>3.56</v>
      </c>
      <c r="R715" s="12">
        <f t="shared" si="349"/>
        <v>6.44</v>
      </c>
      <c r="S715" s="11">
        <f>LOOKUP(R715,{0,3.8,4,4.6,4.8,5,5.6,5.65,5.7,5.75,5.8,5.85,5.9,5.95,6,6.45,6.5,6.58,6.65,6.7,6.75},{0,10,20,30,40,50,60,62,64,66,68,70,72,74,76,78,80,85,90,95,100})</f>
        <v>76</v>
      </c>
      <c r="T715" s="12"/>
      <c r="U715" s="12"/>
      <c r="V715" s="12">
        <f t="shared" si="350"/>
        <v>76</v>
      </c>
      <c r="W715" s="12"/>
      <c r="X715" s="20">
        <f t="shared" si="351"/>
        <v>49.6</v>
      </c>
      <c r="Y715" s="20">
        <f t="shared" si="352"/>
        <v>70.8571428571429</v>
      </c>
    </row>
    <row r="716" ht="15.6" hidden="1" outlineLevel="2" spans="1:25">
      <c r="A716" s="12">
        <v>215</v>
      </c>
      <c r="B716" s="12">
        <v>5</v>
      </c>
      <c r="C716" s="6" t="s">
        <v>793</v>
      </c>
      <c r="D716" s="6" t="s">
        <v>11</v>
      </c>
      <c r="E716" s="12">
        <v>8.4</v>
      </c>
      <c r="F716" s="11">
        <f>LOOKUP(E716,{0,-2.9,-1.9,-0.9,0.1,1.1,2.1,3.5,4.9,6.3,7.7,9.1,10.5,11.9,13.3,14.7,16.1,18.3,20.5,22.4,24.3},{0,10,20,30,40,50,60,62,64,66,68,70,72,74,76,78,80,85,90,95,100})</f>
        <v>68</v>
      </c>
      <c r="G716" s="12">
        <v>218</v>
      </c>
      <c r="H716" s="11">
        <f>LOOKUP(G716,{0,175,180,185,190,195,200,204,208,212,216,220,224,228,232,236,240,248,255,260,265},{0,10,20,30,40,50,60,62,64,66,68,70,72,74,76,78,80,85,90,95,100})</f>
        <v>68</v>
      </c>
      <c r="I716" s="12">
        <v>8</v>
      </c>
      <c r="J716" s="11">
        <f>LOOKUP(I716,{0,3,4,5,6,7,8,9,10,11,12,13,14,15,16,17},{0,10,20,30,40,50,60,64,68,72,76,80,85,90,95,100})</f>
        <v>60</v>
      </c>
      <c r="K716" s="12"/>
      <c r="L716" s="12"/>
      <c r="M716" s="12">
        <f t="shared" si="347"/>
        <v>60</v>
      </c>
      <c r="N716" s="12">
        <v>7.7</v>
      </c>
      <c r="O716" s="12">
        <f t="shared" si="348"/>
        <v>4.3</v>
      </c>
      <c r="P716" s="11">
        <f>LOOKUP(O716,{0,1.6,1.8,2,2.2,2.4,2.6,2.8,3,3.2,3.4,3.6,3.8,4,4.2,4.4,4.6,4.7,4.8,4.9,5},{0,10,20,30,40,50,60,62,64,66,68,70,72,74,76,78,80,85,90,95,100})</f>
        <v>76</v>
      </c>
      <c r="Q716" s="12">
        <v>4.2</v>
      </c>
      <c r="R716" s="12">
        <f t="shared" si="349"/>
        <v>5.8</v>
      </c>
      <c r="S716" s="11">
        <f>LOOKUP(R716,{0,3.8,4,4.6,4.8,5,5.6,5.65,5.7,5.75,5.8,5.85,5.9,5.95,6,6.45,6.5,6.58,6.65,6.7,6.75},{0,10,20,30,40,50,60,62,64,66,68,70,72,74,76,78,80,85,90,95,100})</f>
        <v>68</v>
      </c>
      <c r="T716" s="12"/>
      <c r="U716" s="12"/>
      <c r="V716" s="12">
        <f t="shared" si="350"/>
        <v>68</v>
      </c>
      <c r="W716" s="12"/>
      <c r="X716" s="20">
        <f t="shared" si="351"/>
        <v>48.4</v>
      </c>
      <c r="Y716" s="20">
        <f t="shared" si="352"/>
        <v>69.1428571428572</v>
      </c>
    </row>
    <row r="717" ht="15.6" hidden="1" outlineLevel="2" spans="1:25">
      <c r="A717" s="12">
        <v>215</v>
      </c>
      <c r="B717" s="12">
        <v>6</v>
      </c>
      <c r="C717" s="6" t="s">
        <v>794</v>
      </c>
      <c r="D717" s="6" t="s">
        <v>11</v>
      </c>
      <c r="E717" s="12">
        <v>7</v>
      </c>
      <c r="F717" s="11">
        <f>LOOKUP(E717,{0,-2.9,-1.9,-0.9,0.1,1.1,2.1,3.5,4.9,6.3,7.7,9.1,10.5,11.9,13.3,14.7,16.1,18.3,20.5,22.4,24.3},{0,10,20,30,40,50,60,62,64,66,68,70,72,74,76,78,80,85,90,95,100})</f>
        <v>66</v>
      </c>
      <c r="G717" s="12">
        <v>197</v>
      </c>
      <c r="H717" s="11">
        <f>LOOKUP(G717,{0,175,180,185,190,195,200,204,208,212,216,220,224,228,232,236,240,248,255,260,265},{0,10,20,30,40,50,60,62,64,66,68,70,72,74,76,78,80,85,90,95,100})</f>
        <v>50</v>
      </c>
      <c r="I717" s="12">
        <v>6</v>
      </c>
      <c r="J717" s="11">
        <f>LOOKUP(I717,{0,3,4,5,6,7,8,9,10,11,12,13,14,15,16,17},{0,10,20,30,40,50,60,64,68,72,76,80,85,90,95,100})</f>
        <v>40</v>
      </c>
      <c r="K717" s="12"/>
      <c r="L717" s="12"/>
      <c r="M717" s="12">
        <f t="shared" si="347"/>
        <v>40</v>
      </c>
      <c r="N717" s="12">
        <v>7.3</v>
      </c>
      <c r="O717" s="12">
        <f t="shared" si="348"/>
        <v>4.7</v>
      </c>
      <c r="P717" s="11">
        <f>LOOKUP(O717,{0,1.6,1.8,2,2.2,2.4,2.6,2.8,3,3.2,3.4,3.6,3.8,4,4.2,4.4,4.6,4.7,4.8,4.9,5},{0,10,20,30,40,50,60,62,64,66,68,70,72,74,76,78,80,85,90,95,100})</f>
        <v>85</v>
      </c>
      <c r="Q717" s="12">
        <v>3.38</v>
      </c>
      <c r="R717" s="12">
        <f t="shared" si="349"/>
        <v>6.62</v>
      </c>
      <c r="S717" s="11">
        <f>LOOKUP(R717,{0,3.8,4,4.6,4.8,5,5.6,5.65,5.7,5.75,5.8,5.85,5.9,5.95,6,6.45,6.5,6.58,6.65,6.7,6.75},{0,10,20,30,40,50,60,62,64,66,68,70,72,74,76,78,80,85,90,95,100})</f>
        <v>85</v>
      </c>
      <c r="T717" s="12"/>
      <c r="U717" s="12"/>
      <c r="V717" s="12">
        <f t="shared" si="350"/>
        <v>85</v>
      </c>
      <c r="W717" s="12"/>
      <c r="X717" s="20">
        <f t="shared" si="351"/>
        <v>49.6</v>
      </c>
      <c r="Y717" s="20">
        <f t="shared" si="352"/>
        <v>70.8571428571429</v>
      </c>
    </row>
    <row r="718" ht="15.6" hidden="1" outlineLevel="2" spans="1:25">
      <c r="A718" s="12">
        <v>215</v>
      </c>
      <c r="B718" s="12">
        <v>7</v>
      </c>
      <c r="C718" s="6" t="s">
        <v>795</v>
      </c>
      <c r="D718" s="6" t="s">
        <v>11</v>
      </c>
      <c r="E718" s="12">
        <v>17.4</v>
      </c>
      <c r="F718" s="11">
        <f>LOOKUP(E718,{0,-2.9,-1.9,-0.9,0.1,1.1,2.1,3.5,4.9,6.3,7.7,9.1,10.5,11.9,13.3,14.7,16.1,18.3,20.5,22.4,24.3},{0,10,20,30,40,50,60,62,64,66,68,70,72,74,76,78,80,85,90,95,100})</f>
        <v>80</v>
      </c>
      <c r="G718" s="12">
        <v>210</v>
      </c>
      <c r="H718" s="11">
        <f>LOOKUP(G718,{0,175,180,185,190,195,200,204,208,212,216,220,224,228,232,236,240,248,255,260,265},{0,10,20,30,40,50,60,62,64,66,68,70,72,74,76,78,80,85,90,95,100})</f>
        <v>64</v>
      </c>
      <c r="I718" s="12">
        <v>1</v>
      </c>
      <c r="J718" s="11">
        <f>LOOKUP(I718,{0,3,4,5,6,7,8,9,10,11,12,13,14,15,16,17},{0,10,20,30,40,50,60,64,68,72,76,80,85,90,95,100})</f>
        <v>0</v>
      </c>
      <c r="K718" s="12"/>
      <c r="L718" s="12"/>
      <c r="M718" s="12">
        <f t="shared" si="347"/>
        <v>0</v>
      </c>
      <c r="N718" s="12">
        <v>7.7</v>
      </c>
      <c r="O718" s="12">
        <f t="shared" si="348"/>
        <v>4.3</v>
      </c>
      <c r="P718" s="11">
        <f>LOOKUP(O718,{0,1.6,1.8,2,2.2,2.4,2.6,2.8,3,3.2,3.4,3.6,3.8,4,4.2,4.4,4.6,4.7,4.8,4.9,5},{0,10,20,30,40,50,60,62,64,66,68,70,72,74,76,78,80,85,90,95,100})</f>
        <v>76</v>
      </c>
      <c r="Q718" s="12">
        <v>3.34</v>
      </c>
      <c r="R718" s="12">
        <f t="shared" si="349"/>
        <v>6.66</v>
      </c>
      <c r="S718" s="11">
        <f>LOOKUP(R718,{0,3.8,4,4.6,4.8,5,5.6,5.65,5.7,5.75,5.8,5.85,5.9,5.95,6,6.45,6.5,6.58,6.65,6.7,6.75},{0,10,20,30,40,50,60,62,64,66,68,70,72,74,76,78,80,85,90,95,100})</f>
        <v>90</v>
      </c>
      <c r="T718" s="12"/>
      <c r="U718" s="15"/>
      <c r="V718" s="12">
        <f t="shared" si="350"/>
        <v>90</v>
      </c>
      <c r="W718" s="12"/>
      <c r="X718" s="20">
        <f t="shared" ref="X718:X767" si="353">F718*0.1+H718*0.1+J718*0.1+P718*0.2+S718*0.2</f>
        <v>47.6</v>
      </c>
      <c r="Y718" s="20">
        <f t="shared" si="352"/>
        <v>68</v>
      </c>
    </row>
    <row r="719" ht="15.6" hidden="1" outlineLevel="2" spans="1:25">
      <c r="A719" s="12">
        <v>215</v>
      </c>
      <c r="B719" s="12">
        <v>8</v>
      </c>
      <c r="C719" s="6" t="s">
        <v>796</v>
      </c>
      <c r="D719" s="6" t="s">
        <v>11</v>
      </c>
      <c r="E719" s="12">
        <v>6.1</v>
      </c>
      <c r="F719" s="11">
        <f>LOOKUP(E719,{0,-2.9,-1.9,-0.9,0.1,1.1,2.1,3.5,4.9,6.3,7.7,9.1,10.5,11.9,13.3,14.7,16.1,18.3,20.5,22.4,24.3},{0,10,20,30,40,50,60,62,64,66,68,70,72,74,76,78,80,85,90,95,100})</f>
        <v>64</v>
      </c>
      <c r="G719" s="12">
        <v>251</v>
      </c>
      <c r="H719" s="11">
        <f>LOOKUP(G719,{0,175,180,185,190,195,200,204,208,212,216,220,224,228,232,236,240,248,255,260,265},{0,10,20,30,40,50,60,62,64,66,68,70,72,74,76,78,80,85,90,95,100})</f>
        <v>85</v>
      </c>
      <c r="I719" s="12">
        <v>11</v>
      </c>
      <c r="J719" s="11">
        <f>LOOKUP(I719,{0,3,4,5,6,7,8,9,10,11,12,13,14,15,16,17},{0,10,20,30,40,50,60,64,68,72,76,80,85,90,95,100})</f>
        <v>72</v>
      </c>
      <c r="K719" s="12"/>
      <c r="L719" s="12"/>
      <c r="M719" s="12">
        <f t="shared" si="347"/>
        <v>72</v>
      </c>
      <c r="N719" s="12">
        <v>7.9</v>
      </c>
      <c r="O719" s="12">
        <f t="shared" si="348"/>
        <v>4.1</v>
      </c>
      <c r="P719" s="11">
        <f>LOOKUP(O719,{0,1.6,1.8,2,2.2,2.4,2.6,2.8,3,3.2,3.4,3.6,3.8,4,4.2,4.4,4.6,4.7,4.8,4.9,5},{0,10,20,30,40,50,60,62,64,66,68,70,72,74,76,78,80,85,90,95,100})</f>
        <v>74</v>
      </c>
      <c r="Q719" s="12">
        <v>3.49</v>
      </c>
      <c r="R719" s="12">
        <f t="shared" si="349"/>
        <v>6.51</v>
      </c>
      <c r="S719" s="11">
        <f>LOOKUP(R719,{0,3.8,4,4.6,4.8,5,5.6,5.65,5.7,5.75,5.8,5.85,5.9,5.95,6,6.45,6.5,6.58,6.65,6.7,6.75},{0,10,20,30,40,50,60,62,64,66,68,70,72,74,76,78,80,85,90,95,100})</f>
        <v>80</v>
      </c>
      <c r="T719" s="12"/>
      <c r="U719" s="12"/>
      <c r="V719" s="12">
        <f t="shared" si="350"/>
        <v>80</v>
      </c>
      <c r="W719" s="12"/>
      <c r="X719" s="20">
        <f t="shared" si="353"/>
        <v>52.9</v>
      </c>
      <c r="Y719" s="20">
        <f t="shared" si="352"/>
        <v>75.5714285714286</v>
      </c>
    </row>
    <row r="720" ht="15.6" hidden="1" outlineLevel="2" spans="1:25">
      <c r="A720" s="12">
        <v>215</v>
      </c>
      <c r="B720" s="12">
        <v>9</v>
      </c>
      <c r="C720" s="6" t="s">
        <v>797</v>
      </c>
      <c r="D720" s="6" t="s">
        <v>11</v>
      </c>
      <c r="E720" s="12">
        <v>7.3</v>
      </c>
      <c r="F720" s="11">
        <f>LOOKUP(E720,{0,-2.9,-1.9,-0.9,0.1,1.1,2.1,3.5,4.9,6.3,7.7,9.1,10.5,11.9,13.3,14.7,16.1,18.3,20.5,22.4,24.3},{0,10,20,30,40,50,60,62,64,66,68,70,72,74,76,78,80,85,90,95,100})</f>
        <v>66</v>
      </c>
      <c r="G720" s="12">
        <v>201</v>
      </c>
      <c r="H720" s="11">
        <f>LOOKUP(G720,{0,175,180,185,190,195,200,204,208,212,216,220,224,228,232,236,240,248,255,260,265},{0,10,20,30,40,50,60,62,64,66,68,70,72,74,76,78,80,85,90,95,100})</f>
        <v>60</v>
      </c>
      <c r="I720" s="12">
        <v>6</v>
      </c>
      <c r="J720" s="11">
        <f>LOOKUP(I720,{0,3,4,5,6,7,8,9,10,11,12,13,14,15,16,17},{0,10,20,30,40,50,60,64,68,72,76,80,85,90,95,100})</f>
        <v>40</v>
      </c>
      <c r="K720" s="12"/>
      <c r="L720" s="12"/>
      <c r="M720" s="12">
        <f t="shared" si="347"/>
        <v>40</v>
      </c>
      <c r="N720" s="12">
        <v>7.1</v>
      </c>
      <c r="O720" s="12">
        <f t="shared" si="348"/>
        <v>4.9</v>
      </c>
      <c r="P720" s="11">
        <f>LOOKUP(O720,{0,1.6,1.8,2,2.2,2.4,2.6,2.8,3,3.2,3.4,3.6,3.8,4,4.2,4.4,4.6,4.7,4.8,4.9,5},{0,10,20,30,40,50,60,62,64,66,68,70,72,74,76,78,80,85,90,95,100})</f>
        <v>95</v>
      </c>
      <c r="Q720" s="12">
        <v>3.59</v>
      </c>
      <c r="R720" s="12">
        <f t="shared" si="349"/>
        <v>6.41</v>
      </c>
      <c r="S720" s="11">
        <f>LOOKUP(R720,{0,3.8,4,4.6,4.8,5,5.6,5.65,5.7,5.75,5.8,5.85,5.9,5.95,6,6.45,6.5,6.58,6.65,6.7,6.75},{0,10,20,30,40,50,60,62,64,66,68,70,72,74,76,78,80,85,90,95,100})</f>
        <v>76</v>
      </c>
      <c r="T720" s="12"/>
      <c r="U720" s="12"/>
      <c r="V720" s="12">
        <f t="shared" si="350"/>
        <v>76</v>
      </c>
      <c r="W720" s="12"/>
      <c r="X720" s="20">
        <f t="shared" si="353"/>
        <v>50.8</v>
      </c>
      <c r="Y720" s="20">
        <f t="shared" si="352"/>
        <v>72.5714285714286</v>
      </c>
    </row>
    <row r="721" ht="15.6" hidden="1" outlineLevel="2" spans="1:25">
      <c r="A721" s="12">
        <v>215</v>
      </c>
      <c r="B721" s="12">
        <v>10</v>
      </c>
      <c r="C721" s="6" t="s">
        <v>798</v>
      </c>
      <c r="D721" s="6" t="s">
        <v>11</v>
      </c>
      <c r="E721" s="12">
        <v>12</v>
      </c>
      <c r="F721" s="11">
        <f>LOOKUP(E721,{0,-2.9,-1.9,-0.9,0.1,1.1,2.1,3.5,4.9,6.3,7.7,9.1,10.5,11.9,13.3,14.7,16.1,18.3,20.5,22.4,24.3},{0,10,20,30,40,50,60,62,64,66,68,70,72,74,76,78,80,85,90,95,100})</f>
        <v>74</v>
      </c>
      <c r="G721" s="12">
        <v>225</v>
      </c>
      <c r="H721" s="11">
        <f>LOOKUP(G721,{0,175,180,185,190,195,200,204,208,212,216,220,224,228,232,236,240,248,255,260,265},{0,10,20,30,40,50,60,62,64,66,68,70,72,74,76,78,80,85,90,95,100})</f>
        <v>72</v>
      </c>
      <c r="I721" s="12">
        <v>1</v>
      </c>
      <c r="J721" s="11">
        <f>LOOKUP(I721,{0,3,4,5,6,7,8,9,10,11,12,13,14,15,16,17},{0,10,20,30,40,50,60,64,68,72,76,80,85,90,95,100})</f>
        <v>0</v>
      </c>
      <c r="K721" s="12"/>
      <c r="L721" s="12"/>
      <c r="M721" s="12">
        <f t="shared" si="347"/>
        <v>0</v>
      </c>
      <c r="N721" s="12">
        <v>7.5</v>
      </c>
      <c r="O721" s="12">
        <f t="shared" si="348"/>
        <v>4.5</v>
      </c>
      <c r="P721" s="11">
        <f>LOOKUP(O721,{0,1.6,1.8,2,2.2,2.4,2.6,2.8,3,3.2,3.4,3.6,3.8,4,4.2,4.4,4.6,4.7,4.8,4.9,5},{0,10,20,30,40,50,60,62,64,66,68,70,72,74,76,78,80,85,90,95,100})</f>
        <v>78</v>
      </c>
      <c r="Q721" s="12">
        <v>4.24</v>
      </c>
      <c r="R721" s="12">
        <f t="shared" si="349"/>
        <v>5.76</v>
      </c>
      <c r="S721" s="11">
        <f>LOOKUP(R721,{0,3.8,4,4.6,4.8,5,5.6,5.65,5.7,5.75,5.8,5.85,5.9,5.95,6,6.45,6.5,6.58,6.65,6.7,6.75},{0,10,20,30,40,50,60,62,64,66,68,70,72,74,76,78,80,85,90,95,100})</f>
        <v>66</v>
      </c>
      <c r="T721" s="12"/>
      <c r="U721" s="15"/>
      <c r="V721" s="12">
        <f t="shared" si="350"/>
        <v>66</v>
      </c>
      <c r="W721" s="12"/>
      <c r="X721" s="20">
        <f t="shared" si="353"/>
        <v>43.4</v>
      </c>
      <c r="Y721" s="20">
        <f t="shared" si="352"/>
        <v>62</v>
      </c>
    </row>
    <row r="722" ht="15.6" hidden="1" outlineLevel="2" spans="1:25">
      <c r="A722" s="12">
        <v>215</v>
      </c>
      <c r="B722" s="12">
        <v>11</v>
      </c>
      <c r="C722" s="6" t="s">
        <v>799</v>
      </c>
      <c r="D722" s="6" t="s">
        <v>11</v>
      </c>
      <c r="E722" s="12">
        <v>8.3</v>
      </c>
      <c r="F722" s="11">
        <f>LOOKUP(E722,{0,-2.9,-1.9,-0.9,0.1,1.1,2.1,3.5,4.9,6.3,7.7,9.1,10.5,11.9,13.3,14.7,16.1,18.3,20.5,22.4,24.3},{0,10,20,30,40,50,60,62,64,66,68,70,72,74,76,78,80,85,90,95,100})</f>
        <v>68</v>
      </c>
      <c r="G722" s="12">
        <v>249</v>
      </c>
      <c r="H722" s="11">
        <f>LOOKUP(G722,{0,175,180,185,190,195,200,204,208,212,216,220,224,228,232,236,240,248,255,260,265},{0,10,20,30,40,50,60,62,64,66,68,70,72,74,76,78,80,85,90,95,100})</f>
        <v>85</v>
      </c>
      <c r="I722" s="12">
        <v>17</v>
      </c>
      <c r="J722" s="11">
        <f>LOOKUP(I722,{0,3,4,5,6,7,8,9,10,11,12,13,14,15,16,17},{0,10,20,30,40,50,60,64,68,72,76,80,85,90,95,100})</f>
        <v>100</v>
      </c>
      <c r="K722" s="12">
        <f>I722-17</f>
        <v>0</v>
      </c>
      <c r="L722" s="11">
        <f>LOOKUP(K722,{0,1,2,3,4,5,6,7,8,9,10},{0,1,2,3,4,5,6,7,8,9,10})</f>
        <v>0</v>
      </c>
      <c r="M722" s="12">
        <f t="shared" si="347"/>
        <v>100</v>
      </c>
      <c r="N722" s="12">
        <v>6.6</v>
      </c>
      <c r="O722" s="12">
        <f t="shared" si="348"/>
        <v>5.4</v>
      </c>
      <c r="P722" s="11">
        <f>LOOKUP(O722,{0,1.6,1.8,2,2.2,2.4,2.6,2.8,3,3.2,3.4,3.6,3.8,4,4.2,4.4,4.6,4.7,4.8,4.9,5},{0,10,20,30,40,50,60,62,64,66,68,70,72,74,76,78,80,85,90,95,100})</f>
        <v>100</v>
      </c>
      <c r="Q722" s="12">
        <v>3.04</v>
      </c>
      <c r="R722" s="12">
        <f t="shared" si="349"/>
        <v>6.96</v>
      </c>
      <c r="S722" s="11">
        <f>LOOKUP(R722,{0,3.8,4,4.6,4.8,5,5.6,5.65,5.7,5.75,5.8,5.85,5.9,5.95,6,6.45,6.5,6.58,6.65,6.7,6.75},{0,10,20,30,40,50,60,62,64,66,68,70,72,74,76,78,80,85,90,95,100})</f>
        <v>100</v>
      </c>
      <c r="T722" s="12">
        <f>3.25-Q722</f>
        <v>0.21</v>
      </c>
      <c r="U722" s="16">
        <f>LOOKUP(T722,{0,0.04,0.08,0.12,0.16,0.2,0.23,0.26,0.29,0.32,0.35},{0,1,2,3,4,5,6,7,8,9,10})</f>
        <v>5</v>
      </c>
      <c r="V722" s="12">
        <f t="shared" si="350"/>
        <v>105</v>
      </c>
      <c r="W722" s="12"/>
      <c r="X722" s="20">
        <f t="shared" si="353"/>
        <v>65.3</v>
      </c>
      <c r="Y722" s="20">
        <f t="shared" si="352"/>
        <v>98.2857142857143</v>
      </c>
    </row>
    <row r="723" ht="15.6" hidden="1" outlineLevel="2" spans="1:25">
      <c r="A723" s="12">
        <v>215</v>
      </c>
      <c r="B723" s="12">
        <v>12</v>
      </c>
      <c r="C723" s="6" t="s">
        <v>800</v>
      </c>
      <c r="D723" s="6" t="s">
        <v>11</v>
      </c>
      <c r="E723" s="12">
        <v>3.4</v>
      </c>
      <c r="F723" s="11">
        <f>LOOKUP(E723,{0,-2.9,-1.9,-0.9,0.1,1.1,2.1,3.5,4.9,6.3,7.7,9.1,10.5,11.9,13.3,14.7,16.1,18.3,20.5,22.4,24.3},{0,10,20,30,40,50,60,62,64,66,68,70,72,74,76,78,80,85,90,95,100})</f>
        <v>60</v>
      </c>
      <c r="G723" s="12">
        <v>192</v>
      </c>
      <c r="H723" s="11">
        <f>LOOKUP(G723,{0,175,180,185,190,195,200,204,208,212,216,220,224,228,232,236,240,248,255,260,265},{0,10,20,30,40,50,60,62,64,66,68,70,72,74,76,78,80,85,90,95,100})</f>
        <v>40</v>
      </c>
      <c r="I723" s="12">
        <v>7</v>
      </c>
      <c r="J723" s="11">
        <f>LOOKUP(I723,{0,3,4,5,6,7,8,9,10,11,12,13,14,15,16,17},{0,10,20,30,40,50,60,64,68,72,76,80,85,90,95,100})</f>
        <v>50</v>
      </c>
      <c r="K723" s="12"/>
      <c r="L723" s="12"/>
      <c r="M723" s="12">
        <f t="shared" si="347"/>
        <v>50</v>
      </c>
      <c r="N723" s="12">
        <v>7.2</v>
      </c>
      <c r="O723" s="12">
        <f t="shared" si="348"/>
        <v>4.8</v>
      </c>
      <c r="P723" s="11">
        <f>LOOKUP(O723,{0,1.6,1.8,2,2.2,2.4,2.6,2.8,3,3.2,3.4,3.6,3.8,4,4.2,4.4,4.6,4.7,4.8,4.9,5},{0,10,20,30,40,50,60,62,64,66,68,70,72,74,76,78,80,85,90,95,100})</f>
        <v>90</v>
      </c>
      <c r="Q723" s="12">
        <v>3.29</v>
      </c>
      <c r="R723" s="12">
        <f t="shared" si="349"/>
        <v>6.71</v>
      </c>
      <c r="S723" s="11">
        <f>LOOKUP(R723,{0,3.8,4,4.6,4.8,5,5.6,5.65,5.7,5.75,5.8,5.85,5.9,5.95,6,6.45,6.5,6.58,6.65,6.7,6.75},{0,10,20,30,40,50,60,62,64,66,68,70,72,74,76,78,80,85,90,95,100})</f>
        <v>95</v>
      </c>
      <c r="T723" s="12"/>
      <c r="U723" s="12"/>
      <c r="V723" s="12">
        <f t="shared" si="350"/>
        <v>95</v>
      </c>
      <c r="W723" s="12"/>
      <c r="X723" s="20">
        <f t="shared" si="353"/>
        <v>52</v>
      </c>
      <c r="Y723" s="20">
        <f t="shared" si="352"/>
        <v>74.2857142857143</v>
      </c>
    </row>
    <row r="724" ht="15.6" hidden="1" outlineLevel="2" spans="1:25">
      <c r="A724" s="12">
        <v>215</v>
      </c>
      <c r="B724" s="12">
        <v>13</v>
      </c>
      <c r="C724" s="6" t="s">
        <v>801</v>
      </c>
      <c r="D724" s="6" t="s">
        <v>11</v>
      </c>
      <c r="E724" s="12">
        <v>23.6</v>
      </c>
      <c r="F724" s="11">
        <f>LOOKUP(E724,{0,-2.9,-1.9,-0.9,0.1,1.1,2.1,3.5,4.9,6.3,7.7,9.1,10.5,11.9,13.3,14.7,16.1,18.3,20.5,22.4,24.3},{0,10,20,30,40,50,60,62,64,66,68,70,72,74,76,78,80,85,90,95,100})</f>
        <v>95</v>
      </c>
      <c r="G724" s="12">
        <v>211</v>
      </c>
      <c r="H724" s="11">
        <f>LOOKUP(G724,{0,175,180,185,190,195,200,204,208,212,216,220,224,228,232,236,240,248,255,260,265},{0,10,20,30,40,50,60,62,64,66,68,70,72,74,76,78,80,85,90,95,100})</f>
        <v>64</v>
      </c>
      <c r="I724" s="12">
        <v>18</v>
      </c>
      <c r="J724" s="11">
        <f>LOOKUP(I724,{0,3,4,5,6,7,8,9,10,11,12,13,14,15,16,17},{0,10,20,30,40,50,60,64,68,72,76,80,85,90,95,100})</f>
        <v>100</v>
      </c>
      <c r="K724" s="12">
        <f>I724-17</f>
        <v>1</v>
      </c>
      <c r="L724" s="11">
        <f>LOOKUP(K724,{0,1,2,3,4,5,6,7,8,9,10},{0,1,2,3,4,5,6,7,8,9,10})</f>
        <v>1</v>
      </c>
      <c r="M724" s="12">
        <f t="shared" si="347"/>
        <v>101</v>
      </c>
      <c r="N724" s="12">
        <v>7.2</v>
      </c>
      <c r="O724" s="12">
        <f t="shared" si="348"/>
        <v>4.8</v>
      </c>
      <c r="P724" s="11">
        <f>LOOKUP(O724,{0,1.6,1.8,2,2.2,2.4,2.6,2.8,3,3.2,3.4,3.6,3.8,4,4.2,4.4,4.6,4.7,4.8,4.9,5},{0,10,20,30,40,50,60,62,64,66,68,70,72,74,76,78,80,85,90,95,100})</f>
        <v>90</v>
      </c>
      <c r="Q724" s="12">
        <v>3.33</v>
      </c>
      <c r="R724" s="12">
        <f t="shared" si="349"/>
        <v>6.67</v>
      </c>
      <c r="S724" s="11">
        <f>LOOKUP(R724,{0,3.8,4,4.6,4.8,5,5.6,5.65,5.7,5.75,5.8,5.85,5.9,5.95,6,6.45,6.5,6.58,6.65,6.7,6.75},{0,10,20,30,40,50,60,62,64,66,68,70,72,74,76,78,80,85,90,95,100})</f>
        <v>90</v>
      </c>
      <c r="T724" s="12"/>
      <c r="U724" s="15"/>
      <c r="V724" s="12">
        <f t="shared" si="350"/>
        <v>90</v>
      </c>
      <c r="W724" s="12"/>
      <c r="X724" s="20">
        <f t="shared" si="353"/>
        <v>61.9</v>
      </c>
      <c r="Y724" s="20">
        <f t="shared" si="352"/>
        <v>89.4285714285714</v>
      </c>
    </row>
    <row r="725" ht="15.6" hidden="1" outlineLevel="2" spans="1:25">
      <c r="A725" s="12">
        <v>215</v>
      </c>
      <c r="B725" s="12">
        <v>14</v>
      </c>
      <c r="C725" s="13" t="s">
        <v>803</v>
      </c>
      <c r="D725" s="6" t="s">
        <v>53</v>
      </c>
      <c r="E725" s="12">
        <v>21.7</v>
      </c>
      <c r="F725" s="11">
        <f>LOOKUP(E725,{0,1,1.8,2.6,3.4,4.2,5,6.3,7.6,8.9,10.2,11.5,12.8,14.1,15.4,16.7,18,19.7,21.4,23.1,24.8},{0,10,20,30,40,50,60,62,64,66,68,70,72,74,76,78,80,85,90,95,100})</f>
        <v>90</v>
      </c>
      <c r="G725" s="12">
        <v>206</v>
      </c>
      <c r="H725" s="11">
        <f>LOOKUP(G725,{0,124,129,134,139,144,149,152,155,158,161,164,167,170,173,176,179,186,193,199,205},{0,10,20,30,40,50,60,62,64,66,68,70,72,74,76,78,80,85,90,95,100})</f>
        <v>100</v>
      </c>
      <c r="I725" s="12">
        <v>49</v>
      </c>
      <c r="J725" s="11">
        <f>LOOKUP(I725,{0,14,16,18,20,22,24,26,28,30,32,34,36,38,40,42,44,47,50,52,54},{0,10,20,30,40,50,60,62,64,66,68,70,72,74,76,78,80,85,90,95,100})</f>
        <v>85</v>
      </c>
      <c r="K725" s="12"/>
      <c r="L725" s="12"/>
      <c r="M725" s="12">
        <f t="shared" si="347"/>
        <v>85</v>
      </c>
      <c r="N725" s="12">
        <v>8</v>
      </c>
      <c r="O725" s="12">
        <f t="shared" si="348"/>
        <v>4</v>
      </c>
      <c r="P725" s="11">
        <f>LOOKUP(O725,{0,0.5,0.7,0.9,1.1,1.3,1.5,1.7,1.9,2.1,2.3,2.5,2.7,2.9,3.1,3.3,3.5,3.8,4.1,4.2,4.3},{0,10,20,30,40,50,60,62,64,66,68,70,72,74,76,78,80,85,90,95,100})</f>
        <v>85</v>
      </c>
      <c r="Q725" s="12">
        <v>3.46</v>
      </c>
      <c r="R725" s="12">
        <f t="shared" si="349"/>
        <v>6.54</v>
      </c>
      <c r="S725" s="11">
        <f>LOOKUP(R725,{0,4.72,4.82,4.92,5.42,5.52,5.62,5.67,5.72,5.77,5.82,5.87,5.92,5.97,6.42,6.47,6.52,6.59,6.66,6.72,6.78},{0,10,20,30,40,50,60,62,64,66,68,70,72,74,76,78,80,85,90,95,100})</f>
        <v>80</v>
      </c>
      <c r="T725" s="12"/>
      <c r="U725" s="12"/>
      <c r="V725" s="12">
        <f t="shared" si="350"/>
        <v>80</v>
      </c>
      <c r="W725" s="12"/>
      <c r="X725" s="20">
        <f t="shared" si="353"/>
        <v>60.5</v>
      </c>
      <c r="Y725" s="20">
        <f t="shared" si="352"/>
        <v>86.4285714285714</v>
      </c>
    </row>
    <row r="726" ht="15.6" hidden="1" outlineLevel="2" spans="1:25">
      <c r="A726" s="12">
        <v>215</v>
      </c>
      <c r="B726" s="12">
        <v>15</v>
      </c>
      <c r="C726" s="6" t="s">
        <v>804</v>
      </c>
      <c r="D726" s="6" t="s">
        <v>53</v>
      </c>
      <c r="E726" s="12">
        <v>31.1</v>
      </c>
      <c r="F726" s="11">
        <f>LOOKUP(E726,{0,1,1.8,2.6,3.4,4.2,5,6.3,7.6,8.9,10.2,11.5,12.8,14.1,15.4,16.7,18,19.7,21.4,23.1,24.8},{0,10,20,30,40,50,60,62,64,66,68,70,72,74,76,78,80,85,90,95,100})</f>
        <v>100</v>
      </c>
      <c r="G726" s="12">
        <v>156</v>
      </c>
      <c r="H726" s="11">
        <f>LOOKUP(G726,{0,124,129,134,139,144,149,152,155,158,161,164,167,170,173,176,179,186,193,199,205},{0,10,20,30,40,50,60,62,64,66,68,70,72,74,76,78,80,85,90,95,100})</f>
        <v>64</v>
      </c>
      <c r="I726" s="12">
        <v>51</v>
      </c>
      <c r="J726" s="11">
        <f>LOOKUP(I726,{0,14,16,18,20,22,24,26,28,30,32,34,36,38,40,42,44,47,50,52,54},{0,10,20,30,40,50,60,62,64,66,68,70,72,74,76,78,80,85,90,95,100})</f>
        <v>90</v>
      </c>
      <c r="K726" s="12"/>
      <c r="L726" s="12"/>
      <c r="M726" s="12">
        <f t="shared" si="347"/>
        <v>90</v>
      </c>
      <c r="N726" s="12">
        <v>9.1</v>
      </c>
      <c r="O726" s="12">
        <f t="shared" si="348"/>
        <v>2.9</v>
      </c>
      <c r="P726" s="11">
        <f>LOOKUP(O726,{0,0.5,0.7,0.9,1.1,1.3,1.5,1.7,1.9,2.1,2.3,2.5,2.7,2.9,3.1,3.3,3.5,3.8,4.1,4.2,4.3},{0,10,20,30,40,50,60,62,64,66,68,70,72,74,76,78,80,85,90,95,100})</f>
        <v>74</v>
      </c>
      <c r="Q726" s="12">
        <v>4.23</v>
      </c>
      <c r="R726" s="12">
        <f t="shared" si="349"/>
        <v>5.77</v>
      </c>
      <c r="S726" s="11">
        <f>LOOKUP(R726,{0,4.72,4.82,4.92,5.42,5.52,5.62,5.67,5.72,5.77,5.82,5.87,5.92,5.97,6.42,6.47,6.52,6.59,6.66,6.72,6.78},{0,10,20,30,40,50,60,62,64,66,68,70,72,74,76,78,80,85,90,95,100})</f>
        <v>66</v>
      </c>
      <c r="T726" s="12"/>
      <c r="U726" s="12"/>
      <c r="V726" s="12">
        <f t="shared" si="350"/>
        <v>66</v>
      </c>
      <c r="W726" s="12"/>
      <c r="X726" s="20">
        <f t="shared" si="353"/>
        <v>53.4</v>
      </c>
      <c r="Y726" s="20">
        <f t="shared" si="352"/>
        <v>76.2857142857143</v>
      </c>
    </row>
    <row r="727" ht="15.6" hidden="1" outlineLevel="2" spans="1:25">
      <c r="A727" s="12">
        <v>215</v>
      </c>
      <c r="B727" s="12">
        <v>16</v>
      </c>
      <c r="C727" s="6" t="s">
        <v>805</v>
      </c>
      <c r="D727" s="6" t="s">
        <v>53</v>
      </c>
      <c r="E727" s="12">
        <v>17</v>
      </c>
      <c r="F727" s="11">
        <f>LOOKUP(E727,{0,1,1.8,2.6,3.4,4.2,5,6.3,7.6,8.9,10.2,11.5,12.8,14.1,15.4,16.7,18,19.7,21.4,23.1,24.8},{0,10,20,30,40,50,60,62,64,66,68,70,72,74,76,78,80,85,90,95,100})</f>
        <v>78</v>
      </c>
      <c r="G727" s="12">
        <v>148</v>
      </c>
      <c r="H727" s="11">
        <f>LOOKUP(G727,{0,124,129,134,139,144,149,152,155,158,161,164,167,170,173,176,179,186,193,199,205},{0,10,20,30,40,50,60,62,64,66,68,70,72,74,76,78,80,85,90,95,100})</f>
        <v>50</v>
      </c>
      <c r="I727" s="12">
        <v>50</v>
      </c>
      <c r="J727" s="11">
        <f>LOOKUP(I727,{0,14,16,18,20,22,24,26,28,30,32,34,36,38,40,42,44,47,50,52,54},{0,10,20,30,40,50,60,62,64,66,68,70,72,74,76,78,80,85,90,95,100})</f>
        <v>90</v>
      </c>
      <c r="K727" s="12"/>
      <c r="L727" s="12"/>
      <c r="M727" s="12">
        <f t="shared" si="347"/>
        <v>90</v>
      </c>
      <c r="N727" s="12">
        <v>10</v>
      </c>
      <c r="O727" s="12">
        <f t="shared" si="348"/>
        <v>2</v>
      </c>
      <c r="P727" s="11">
        <f>LOOKUP(O727,{0,0.5,0.7,0.9,1.1,1.3,1.5,1.7,1.9,2.1,2.3,2.5,2.7,2.9,3.1,3.3,3.5,3.8,4.1,4.2,4.3},{0,10,20,30,40,50,60,62,64,66,68,70,72,74,76,78,80,85,90,95,100})</f>
        <v>64</v>
      </c>
      <c r="Q727" s="12">
        <v>4.4</v>
      </c>
      <c r="R727" s="12">
        <f t="shared" si="349"/>
        <v>5.6</v>
      </c>
      <c r="S727" s="11">
        <f>LOOKUP(R727,{0,4.72,4.82,4.92,5.42,5.52,5.62,5.67,5.72,5.77,5.82,5.87,5.92,5.97,6.42,6.47,6.52,6.59,6.66,6.72,6.78},{0,10,20,30,40,50,60,62,64,66,68,70,72,74,76,78,80,85,90,95,100})</f>
        <v>50</v>
      </c>
      <c r="T727" s="12"/>
      <c r="U727" s="12"/>
      <c r="V727" s="12">
        <f t="shared" si="350"/>
        <v>50</v>
      </c>
      <c r="W727" s="12"/>
      <c r="X727" s="20">
        <f t="shared" si="353"/>
        <v>44.6</v>
      </c>
      <c r="Y727" s="20">
        <f t="shared" si="352"/>
        <v>63.7142857142857</v>
      </c>
    </row>
    <row r="728" ht="15.6" hidden="1" outlineLevel="2" spans="1:25">
      <c r="A728" s="12">
        <v>215</v>
      </c>
      <c r="B728" s="12">
        <v>17</v>
      </c>
      <c r="C728" s="6" t="s">
        <v>806</v>
      </c>
      <c r="D728" s="6" t="s">
        <v>53</v>
      </c>
      <c r="E728" s="12">
        <v>17.3</v>
      </c>
      <c r="F728" s="11">
        <f>LOOKUP(E728,{0,1,1.8,2.6,3.4,4.2,5,6.3,7.6,8.9,10.2,11.5,12.8,14.1,15.4,16.7,18,19.7,21.4,23.1,24.8},{0,10,20,30,40,50,60,62,64,66,68,70,72,74,76,78,80,85,90,95,100})</f>
        <v>78</v>
      </c>
      <c r="G728" s="12">
        <v>187</v>
      </c>
      <c r="H728" s="11">
        <f>LOOKUP(G728,{0,124,129,134,139,144,149,152,155,158,161,164,167,170,173,176,179,186,193,199,205},{0,10,20,30,40,50,60,62,64,66,68,70,72,74,76,78,80,85,90,95,100})</f>
        <v>85</v>
      </c>
      <c r="I728" s="12">
        <v>49</v>
      </c>
      <c r="J728" s="11">
        <f>LOOKUP(I728,{0,14,16,18,20,22,24,26,28,30,32,34,36,38,40,42,44,47,50,52,54},{0,10,20,30,40,50,60,62,64,66,68,70,72,74,76,78,80,85,90,95,100})</f>
        <v>85</v>
      </c>
      <c r="K728" s="12"/>
      <c r="L728" s="12"/>
      <c r="M728" s="12">
        <f t="shared" si="347"/>
        <v>85</v>
      </c>
      <c r="N728" s="12">
        <v>8.7</v>
      </c>
      <c r="O728" s="12">
        <f t="shared" si="348"/>
        <v>3.3</v>
      </c>
      <c r="P728" s="11">
        <f>LOOKUP(O728,{0,0.5,0.7,0.9,1.1,1.3,1.5,1.7,1.9,2.1,2.3,2.5,2.7,2.9,3.1,3.3,3.5,3.8,4.1,4.2,4.3},{0,10,20,30,40,50,60,62,64,66,68,70,72,74,76,78,80,85,90,95,100})</f>
        <v>78</v>
      </c>
      <c r="Q728" s="12">
        <v>3.43</v>
      </c>
      <c r="R728" s="12">
        <f t="shared" si="349"/>
        <v>6.57</v>
      </c>
      <c r="S728" s="11">
        <f>LOOKUP(R728,{0,4.72,4.82,4.92,5.42,5.52,5.62,5.67,5.72,5.77,5.82,5.87,5.92,5.97,6.42,6.47,6.52,6.59,6.66,6.72,6.78},{0,10,20,30,40,50,60,62,64,66,68,70,72,74,76,78,80,85,90,95,100})</f>
        <v>80</v>
      </c>
      <c r="T728" s="12"/>
      <c r="U728" s="12"/>
      <c r="V728" s="12">
        <f t="shared" si="350"/>
        <v>80</v>
      </c>
      <c r="W728" s="12"/>
      <c r="X728" s="20">
        <f t="shared" si="353"/>
        <v>56.4</v>
      </c>
      <c r="Y728" s="20">
        <f t="shared" si="352"/>
        <v>80.5714285714286</v>
      </c>
    </row>
    <row r="729" ht="15.6" hidden="1" outlineLevel="2" spans="1:25">
      <c r="A729" s="12">
        <v>215</v>
      </c>
      <c r="B729" s="12">
        <v>18</v>
      </c>
      <c r="C729" s="6" t="s">
        <v>807</v>
      </c>
      <c r="D729" s="6" t="s">
        <v>53</v>
      </c>
      <c r="E729" s="12">
        <v>19.1</v>
      </c>
      <c r="F729" s="11">
        <f>LOOKUP(E729,{0,1,1.8,2.6,3.4,4.2,5,6.3,7.6,8.9,10.2,11.5,12.8,14.1,15.4,16.7,18,19.7,21.4,23.1,24.8},{0,10,20,30,40,50,60,62,64,66,68,70,72,74,76,78,80,85,90,95,100})</f>
        <v>80</v>
      </c>
      <c r="G729" s="12">
        <v>170</v>
      </c>
      <c r="H729" s="11">
        <f>LOOKUP(G729,{0,124,129,134,139,144,149,152,155,158,161,164,167,170,173,176,179,186,193,199,205},{0,10,20,30,40,50,60,62,64,66,68,70,72,74,76,78,80,85,90,95,100})</f>
        <v>74</v>
      </c>
      <c r="I729" s="12">
        <v>47</v>
      </c>
      <c r="J729" s="11">
        <f>LOOKUP(I729,{0,14,16,18,20,22,24,26,28,30,32,34,36,38,40,42,44,47,50,52,54},{0,10,20,30,40,50,60,62,64,66,68,70,72,74,76,78,80,85,90,95,100})</f>
        <v>85</v>
      </c>
      <c r="K729" s="12"/>
      <c r="L729" s="12"/>
      <c r="M729" s="12">
        <f t="shared" si="347"/>
        <v>85</v>
      </c>
      <c r="N729" s="12">
        <v>9</v>
      </c>
      <c r="O729" s="12">
        <f t="shared" si="348"/>
        <v>3</v>
      </c>
      <c r="P729" s="11">
        <f>LOOKUP(O729,{0,0.5,0.7,0.9,1.1,1.3,1.5,1.7,1.9,2.1,2.3,2.5,2.7,2.9,3.1,3.3,3.5,3.8,4.1,4.2,4.3},{0,10,20,30,40,50,60,62,64,66,68,70,72,74,76,78,80,85,90,95,100})</f>
        <v>74</v>
      </c>
      <c r="Q729" s="12">
        <v>3.45</v>
      </c>
      <c r="R729" s="12">
        <f t="shared" si="349"/>
        <v>6.55</v>
      </c>
      <c r="S729" s="11">
        <f>LOOKUP(R729,{0,4.72,4.82,4.92,5.42,5.52,5.62,5.67,5.72,5.77,5.82,5.87,5.92,5.97,6.42,6.47,6.52,6.59,6.66,6.72,6.78},{0,10,20,30,40,50,60,62,64,66,68,70,72,74,76,78,80,85,90,95,100})</f>
        <v>80</v>
      </c>
      <c r="T729" s="12"/>
      <c r="U729" s="12"/>
      <c r="V729" s="12">
        <f t="shared" si="350"/>
        <v>80</v>
      </c>
      <c r="W729" s="12"/>
      <c r="X729" s="20">
        <f t="shared" si="353"/>
        <v>54.7</v>
      </c>
      <c r="Y729" s="20">
        <f t="shared" si="352"/>
        <v>78.1428571428572</v>
      </c>
    </row>
    <row r="730" ht="15.6" hidden="1" outlineLevel="2" spans="1:25">
      <c r="A730" s="12">
        <v>215</v>
      </c>
      <c r="B730" s="12">
        <v>19</v>
      </c>
      <c r="C730" s="6" t="s">
        <v>808</v>
      </c>
      <c r="D730" s="6" t="s">
        <v>53</v>
      </c>
      <c r="E730" s="12">
        <v>27.1</v>
      </c>
      <c r="F730" s="11">
        <f>LOOKUP(E730,{0,1,1.8,2.6,3.4,4.2,5,6.3,7.6,8.9,10.2,11.5,12.8,14.1,15.4,16.7,18,19.7,21.4,23.1,24.8},{0,10,20,30,40,50,60,62,64,66,68,70,72,74,76,78,80,85,90,95,100})</f>
        <v>100</v>
      </c>
      <c r="G730" s="12">
        <v>161</v>
      </c>
      <c r="H730" s="11">
        <f>LOOKUP(G730,{0,124,129,134,139,144,149,152,155,158,161,164,167,170,173,176,179,186,193,199,205},{0,10,20,30,40,50,60,62,64,66,68,70,72,74,76,78,80,85,90,95,100})</f>
        <v>68</v>
      </c>
      <c r="I730" s="12">
        <v>51</v>
      </c>
      <c r="J730" s="11">
        <f>LOOKUP(I730,{0,14,16,18,20,22,24,26,28,30,32,34,36,38,40,42,44,47,50,52,54},{0,10,20,30,40,50,60,62,64,66,68,70,72,74,76,78,80,85,90,95,100})</f>
        <v>90</v>
      </c>
      <c r="K730" s="12"/>
      <c r="L730" s="12"/>
      <c r="M730" s="12">
        <f t="shared" si="347"/>
        <v>90</v>
      </c>
      <c r="N730" s="12">
        <v>8.3</v>
      </c>
      <c r="O730" s="12">
        <f t="shared" si="348"/>
        <v>3.7</v>
      </c>
      <c r="P730" s="11">
        <f>LOOKUP(O730,{0,0.5,0.7,0.9,1.1,1.3,1.5,1.7,1.9,2.1,2.3,2.5,2.7,2.9,3.1,3.3,3.5,3.8,4.1,4.2,4.3},{0,10,20,30,40,50,60,62,64,66,68,70,72,74,76,78,80,85,90,95,100})</f>
        <v>80</v>
      </c>
      <c r="Q730" s="12">
        <v>3.4</v>
      </c>
      <c r="R730" s="12">
        <f t="shared" si="349"/>
        <v>6.6</v>
      </c>
      <c r="S730" s="11">
        <f>LOOKUP(R730,{0,4.72,4.82,4.92,5.42,5.52,5.62,5.67,5.72,5.77,5.82,5.87,5.92,5.97,6.42,6.47,6.52,6.59,6.66,6.72,6.78},{0,10,20,30,40,50,60,62,64,66,68,70,72,74,76,78,80,85,90,95,100})</f>
        <v>85</v>
      </c>
      <c r="T730" s="12"/>
      <c r="U730" s="12"/>
      <c r="V730" s="12">
        <f t="shared" si="350"/>
        <v>85</v>
      </c>
      <c r="W730" s="12"/>
      <c r="X730" s="20">
        <f t="shared" si="353"/>
        <v>58.8</v>
      </c>
      <c r="Y730" s="20">
        <f t="shared" si="352"/>
        <v>84</v>
      </c>
    </row>
    <row r="731" ht="15.6" hidden="1" outlineLevel="2" spans="1:25">
      <c r="A731" s="12">
        <v>215</v>
      </c>
      <c r="B731" s="12">
        <v>20</v>
      </c>
      <c r="C731" s="6" t="s">
        <v>809</v>
      </c>
      <c r="D731" s="6" t="s">
        <v>53</v>
      </c>
      <c r="E731" s="12">
        <v>19</v>
      </c>
      <c r="F731" s="11">
        <f>LOOKUP(E731,{0,1,1.8,2.6,3.4,4.2,5,6.3,7.6,8.9,10.2,11.5,12.8,14.1,15.4,16.7,18,19.7,21.4,23.1,24.8},{0,10,20,30,40,50,60,62,64,66,68,70,72,74,76,78,80,85,90,95,100})</f>
        <v>80</v>
      </c>
      <c r="G731" s="12">
        <v>165</v>
      </c>
      <c r="H731" s="11">
        <f>LOOKUP(G731,{0,124,129,134,139,144,149,152,155,158,161,164,167,170,173,176,179,186,193,199,205},{0,10,20,30,40,50,60,62,64,66,68,70,72,74,76,78,80,85,90,95,100})</f>
        <v>70</v>
      </c>
      <c r="I731" s="12">
        <v>30</v>
      </c>
      <c r="J731" s="11">
        <f>LOOKUP(I731,{0,14,16,18,20,22,24,26,28,30,32,34,36,38,40,42,44,47,50,52,54},{0,10,20,30,40,50,60,62,64,66,68,70,72,74,76,78,80,85,90,95,100})</f>
        <v>66</v>
      </c>
      <c r="K731" s="12"/>
      <c r="L731" s="12"/>
      <c r="M731" s="12">
        <f t="shared" si="347"/>
        <v>66</v>
      </c>
      <c r="N731" s="12">
        <v>9.4</v>
      </c>
      <c r="O731" s="12">
        <f t="shared" si="348"/>
        <v>2.6</v>
      </c>
      <c r="P731" s="11">
        <f>LOOKUP(O731,{0,0.5,0.7,0.9,1.1,1.3,1.5,1.7,1.9,2.1,2.3,2.5,2.7,2.9,3.1,3.3,3.5,3.8,4.1,4.2,4.3},{0,10,20,30,40,50,60,62,64,66,68,70,72,74,76,78,80,85,90,95,100})</f>
        <v>70</v>
      </c>
      <c r="Q731" s="12">
        <v>3.45</v>
      </c>
      <c r="R731" s="12">
        <f t="shared" si="349"/>
        <v>6.55</v>
      </c>
      <c r="S731" s="11">
        <f>LOOKUP(R731,{0,4.72,4.82,4.92,5.42,5.52,5.62,5.67,5.72,5.77,5.82,5.87,5.92,5.97,6.42,6.47,6.52,6.59,6.66,6.72,6.78},{0,10,20,30,40,50,60,62,64,66,68,70,72,74,76,78,80,85,90,95,100})</f>
        <v>80</v>
      </c>
      <c r="T731" s="12"/>
      <c r="U731" s="12"/>
      <c r="V731" s="12">
        <f t="shared" si="350"/>
        <v>80</v>
      </c>
      <c r="W731" s="12"/>
      <c r="X731" s="20">
        <f t="shared" si="353"/>
        <v>51.6</v>
      </c>
      <c r="Y731" s="20">
        <f t="shared" si="352"/>
        <v>73.7142857142857</v>
      </c>
    </row>
    <row r="732" ht="15.6" hidden="1" outlineLevel="2" spans="1:25">
      <c r="A732" s="12">
        <v>215</v>
      </c>
      <c r="B732" s="12">
        <v>21</v>
      </c>
      <c r="C732" s="6" t="s">
        <v>810</v>
      </c>
      <c r="D732" s="6" t="s">
        <v>53</v>
      </c>
      <c r="E732" s="12">
        <v>15.6</v>
      </c>
      <c r="F732" s="11">
        <f>LOOKUP(E732,{0,1,1.8,2.6,3.4,4.2,5,6.3,7.6,8.9,10.2,11.5,12.8,14.1,15.4,16.7,18,19.7,21.4,23.1,24.8},{0,10,20,30,40,50,60,62,64,66,68,70,72,74,76,78,80,85,90,95,100})</f>
        <v>76</v>
      </c>
      <c r="G732" s="12">
        <v>195</v>
      </c>
      <c r="H732" s="11">
        <f>LOOKUP(G732,{0,124,129,134,139,144,149,152,155,158,161,164,167,170,173,176,179,186,193,199,205},{0,10,20,30,40,50,60,62,64,66,68,70,72,74,76,78,80,85,90,95,100})</f>
        <v>90</v>
      </c>
      <c r="I732" s="12">
        <v>45</v>
      </c>
      <c r="J732" s="11">
        <f>LOOKUP(I732,{0,14,16,18,20,22,24,26,28,30,32,34,36,38,40,42,44,47,50,52,54},{0,10,20,30,40,50,60,62,64,66,68,70,72,74,76,78,80,85,90,95,100})</f>
        <v>80</v>
      </c>
      <c r="K732" s="12"/>
      <c r="L732" s="12"/>
      <c r="M732" s="12">
        <f t="shared" si="347"/>
        <v>80</v>
      </c>
      <c r="N732" s="12">
        <v>8.9</v>
      </c>
      <c r="O732" s="12">
        <f t="shared" si="348"/>
        <v>3.1</v>
      </c>
      <c r="P732" s="11">
        <f>LOOKUP(O732,{0,0.5,0.7,0.9,1.1,1.3,1.5,1.7,1.9,2.1,2.3,2.5,2.7,2.9,3.1,3.3,3.5,3.8,4.1,4.2,4.3},{0,10,20,30,40,50,60,62,64,66,68,70,72,74,76,78,80,85,90,95,100})</f>
        <v>76</v>
      </c>
      <c r="Q732" s="12">
        <v>4.35</v>
      </c>
      <c r="R732" s="12">
        <f t="shared" si="349"/>
        <v>5.65</v>
      </c>
      <c r="S732" s="11">
        <f>LOOKUP(R732,{0,4.72,4.82,4.92,5.42,5.52,5.62,5.67,5.72,5.77,5.82,5.87,5.92,5.97,6.42,6.47,6.52,6.59,6.66,6.72,6.78},{0,10,20,30,40,50,60,62,64,66,68,70,72,74,76,78,80,85,90,95,100})</f>
        <v>60</v>
      </c>
      <c r="T732" s="12"/>
      <c r="U732" s="12"/>
      <c r="V732" s="12">
        <f t="shared" si="350"/>
        <v>60</v>
      </c>
      <c r="W732" s="12"/>
      <c r="X732" s="20">
        <f t="shared" si="353"/>
        <v>51.8</v>
      </c>
      <c r="Y732" s="20">
        <f t="shared" si="352"/>
        <v>74</v>
      </c>
    </row>
    <row r="733" ht="15.6" hidden="1" outlineLevel="2" spans="1:25">
      <c r="A733" s="12">
        <v>215</v>
      </c>
      <c r="B733" s="12">
        <v>22</v>
      </c>
      <c r="C733" s="6" t="s">
        <v>811</v>
      </c>
      <c r="D733" s="6" t="s">
        <v>53</v>
      </c>
      <c r="E733" s="12">
        <v>15.5</v>
      </c>
      <c r="F733" s="11">
        <f>LOOKUP(E733,{0,1,1.8,2.6,3.4,4.2,5,6.3,7.6,8.9,10.2,11.5,12.8,14.1,15.4,16.7,18,19.7,21.4,23.1,24.8},{0,10,20,30,40,50,60,62,64,66,68,70,72,74,76,78,80,85,90,95,100})</f>
        <v>76</v>
      </c>
      <c r="G733" s="12">
        <v>144</v>
      </c>
      <c r="H733" s="11">
        <f>LOOKUP(G733,{0,124,129,134,139,144,149,152,155,158,161,164,167,170,173,176,179,186,193,199,205},{0,10,20,30,40,50,60,62,64,66,68,70,72,74,76,78,80,85,90,95,100})</f>
        <v>50</v>
      </c>
      <c r="I733" s="12">
        <v>46</v>
      </c>
      <c r="J733" s="11">
        <f>LOOKUP(I733,{0,14,16,18,20,22,24,26,28,30,32,34,36,38,40,42,44,47,50,52,54},{0,10,20,30,40,50,60,62,64,66,68,70,72,74,76,78,80,85,90,95,100})</f>
        <v>80</v>
      </c>
      <c r="K733" s="12"/>
      <c r="L733" s="12"/>
      <c r="M733" s="12">
        <f t="shared" si="347"/>
        <v>80</v>
      </c>
      <c r="N733" s="12">
        <v>9.6</v>
      </c>
      <c r="O733" s="12">
        <f t="shared" si="348"/>
        <v>2.4</v>
      </c>
      <c r="P733" s="11">
        <f>LOOKUP(O733,{0,0.5,0.7,0.9,1.1,1.3,1.5,1.7,1.9,2.1,2.3,2.5,2.7,2.9,3.1,3.3,3.5,3.8,4.1,4.2,4.3},{0,10,20,30,40,50,60,62,64,66,68,70,72,74,76,78,80,85,90,95,100})</f>
        <v>68</v>
      </c>
      <c r="Q733" s="12">
        <v>4.42</v>
      </c>
      <c r="R733" s="12">
        <f t="shared" si="349"/>
        <v>5.58</v>
      </c>
      <c r="S733" s="11">
        <f>LOOKUP(R733,{0,4.72,4.82,4.92,5.42,5.52,5.62,5.67,5.72,5.77,5.82,5.87,5.92,5.97,6.42,6.47,6.52,6.59,6.66,6.72,6.78},{0,10,20,30,40,50,60,62,64,66,68,70,72,74,76,78,80,85,90,95,100})</f>
        <v>50</v>
      </c>
      <c r="T733" s="12"/>
      <c r="U733" s="12"/>
      <c r="V733" s="12">
        <f t="shared" si="350"/>
        <v>50</v>
      </c>
      <c r="W733" s="12"/>
      <c r="X733" s="20">
        <f t="shared" si="353"/>
        <v>44.2</v>
      </c>
      <c r="Y733" s="20">
        <f t="shared" si="352"/>
        <v>63.1428571428572</v>
      </c>
    </row>
    <row r="734" ht="15.6" hidden="1" outlineLevel="2" spans="1:25">
      <c r="A734" s="12">
        <v>215</v>
      </c>
      <c r="B734" s="12">
        <v>23</v>
      </c>
      <c r="C734" s="6" t="s">
        <v>812</v>
      </c>
      <c r="D734" s="6" t="s">
        <v>53</v>
      </c>
      <c r="E734" s="12">
        <v>28.8</v>
      </c>
      <c r="F734" s="11">
        <f>LOOKUP(E734,{0,1,1.8,2.6,3.4,4.2,5,6.3,7.6,8.9,10.2,11.5,12.8,14.1,15.4,16.7,18,19.7,21.4,23.1,24.8},{0,10,20,30,40,50,60,62,64,66,68,70,72,74,76,78,80,85,90,95,100})</f>
        <v>100</v>
      </c>
      <c r="G734" s="12">
        <v>178</v>
      </c>
      <c r="H734" s="11">
        <f>LOOKUP(G734,{0,124,129,134,139,144,149,152,155,158,161,164,167,170,173,176,179,186,193,199,205},{0,10,20,30,40,50,60,62,64,66,68,70,72,74,76,78,80,85,90,95,100})</f>
        <v>78</v>
      </c>
      <c r="I734" s="12">
        <v>44</v>
      </c>
      <c r="J734" s="11">
        <f>LOOKUP(I734,{0,14,16,18,20,22,24,26,28,30,32,34,36,38,40,42,44,47,50,52,54},{0,10,20,30,40,50,60,62,64,66,68,70,72,74,76,78,80,85,90,95,100})</f>
        <v>80</v>
      </c>
      <c r="K734" s="12"/>
      <c r="L734" s="12"/>
      <c r="M734" s="12">
        <f t="shared" si="347"/>
        <v>80</v>
      </c>
      <c r="N734" s="12">
        <v>9</v>
      </c>
      <c r="O734" s="12">
        <f t="shared" si="348"/>
        <v>3</v>
      </c>
      <c r="P734" s="11">
        <f>LOOKUP(O734,{0,0.5,0.7,0.9,1.1,1.3,1.5,1.7,1.9,2.1,2.3,2.5,2.7,2.9,3.1,3.3,3.5,3.8,4.1,4.2,4.3},{0,10,20,30,40,50,60,62,64,66,68,70,72,74,76,78,80,85,90,95,100})</f>
        <v>74</v>
      </c>
      <c r="Q734" s="12">
        <v>4.4</v>
      </c>
      <c r="R734" s="12">
        <f t="shared" si="349"/>
        <v>5.6</v>
      </c>
      <c r="S734" s="11">
        <f>LOOKUP(R734,{0,4.72,4.82,4.92,5.42,5.52,5.62,5.67,5.72,5.77,5.82,5.87,5.92,5.97,6.42,6.47,6.52,6.59,6.66,6.72,6.78},{0,10,20,30,40,50,60,62,64,66,68,70,72,74,76,78,80,85,90,95,100})</f>
        <v>50</v>
      </c>
      <c r="T734" s="12"/>
      <c r="U734" s="12"/>
      <c r="V734" s="12">
        <f t="shared" si="350"/>
        <v>50</v>
      </c>
      <c r="W734" s="12"/>
      <c r="X734" s="20">
        <f t="shared" si="353"/>
        <v>50.6</v>
      </c>
      <c r="Y734" s="20">
        <f t="shared" si="352"/>
        <v>72.2857142857143</v>
      </c>
    </row>
    <row r="735" ht="15.6" hidden="1" outlineLevel="2" spans="1:25">
      <c r="A735" s="12">
        <v>215</v>
      </c>
      <c r="B735" s="12">
        <v>24</v>
      </c>
      <c r="C735" s="13" t="s">
        <v>814</v>
      </c>
      <c r="D735" s="6" t="s">
        <v>53</v>
      </c>
      <c r="E735" s="12">
        <v>16</v>
      </c>
      <c r="F735" s="11">
        <f>LOOKUP(E735,{0,1,1.8,2.6,3.4,4.2,5,6.3,7.6,8.9,10.2,11.5,12.8,14.1,15.4,16.7,18,19.7,21.4,23.1,24.8},{0,10,20,30,40,50,60,62,64,66,68,70,72,74,76,78,80,85,90,95,100})</f>
        <v>76</v>
      </c>
      <c r="G735" s="12">
        <v>170</v>
      </c>
      <c r="H735" s="11">
        <f>LOOKUP(G735,{0,124,129,134,139,144,149,152,155,158,161,164,167,170,173,176,179,186,193,199,205},{0,10,20,30,40,50,60,62,64,66,68,70,72,74,76,78,80,85,90,95,100})</f>
        <v>74</v>
      </c>
      <c r="I735" s="12">
        <v>43</v>
      </c>
      <c r="J735" s="11">
        <f>LOOKUP(I735,{0,14,16,18,20,22,24,26,28,30,32,34,36,38,40,42,44,47,50,52,54},{0,10,20,30,40,50,60,62,64,66,68,70,72,74,76,78,80,85,90,95,100})</f>
        <v>78</v>
      </c>
      <c r="K735" s="12"/>
      <c r="L735" s="12"/>
      <c r="M735" s="12">
        <f t="shared" si="347"/>
        <v>78</v>
      </c>
      <c r="N735" s="12">
        <v>9.5</v>
      </c>
      <c r="O735" s="12">
        <f t="shared" si="348"/>
        <v>2.5</v>
      </c>
      <c r="P735" s="11">
        <f>LOOKUP(O735,{0,0.5,0.7,0.9,1.1,1.3,1.5,1.7,1.9,2.1,2.3,2.5,2.7,2.9,3.1,3.3,3.5,3.8,4.1,4.2,4.3},{0,10,20,30,40,50,60,62,64,66,68,70,72,74,76,78,80,85,90,95,100})</f>
        <v>70</v>
      </c>
      <c r="Q735" s="12">
        <v>3.42</v>
      </c>
      <c r="R735" s="12">
        <f t="shared" si="349"/>
        <v>6.58</v>
      </c>
      <c r="S735" s="11">
        <f>LOOKUP(R735,{0,4.72,4.82,4.92,5.42,5.52,5.62,5.67,5.72,5.77,5.82,5.87,5.92,5.97,6.42,6.47,6.52,6.59,6.66,6.72,6.78},{0,10,20,30,40,50,60,62,64,66,68,70,72,74,76,78,80,85,90,95,100})</f>
        <v>80</v>
      </c>
      <c r="T735" s="12"/>
      <c r="U735" s="12"/>
      <c r="V735" s="12">
        <f t="shared" si="350"/>
        <v>80</v>
      </c>
      <c r="W735" s="12"/>
      <c r="X735" s="20">
        <f t="shared" si="353"/>
        <v>52.8</v>
      </c>
      <c r="Y735" s="20">
        <f t="shared" si="352"/>
        <v>75.4285714285714</v>
      </c>
    </row>
    <row r="736" s="1" customFormat="1" ht="15.6" hidden="1" outlineLevel="2" spans="1:25">
      <c r="A736" s="12">
        <v>215</v>
      </c>
      <c r="B736" s="12">
        <v>25</v>
      </c>
      <c r="C736" s="6" t="s">
        <v>815</v>
      </c>
      <c r="D736" s="6" t="s">
        <v>53</v>
      </c>
      <c r="E736" s="12">
        <v>18</v>
      </c>
      <c r="F736" s="11">
        <f>LOOKUP(E736,{0,1,1.8,2.6,3.4,4.2,5,6.3,7.6,8.9,10.2,11.5,12.8,14.1,15.4,16.7,18,19.7,21.4,23.1,24.8},{0,10,20,30,40,50,60,62,64,66,68,70,72,74,76,78,80,85,90,95,100})</f>
        <v>80</v>
      </c>
      <c r="G736" s="12">
        <v>172</v>
      </c>
      <c r="H736" s="11">
        <f>LOOKUP(G736,{0,124,129,134,139,144,149,152,155,158,161,164,167,170,173,176,179,186,193,199,205},{0,10,20,30,40,50,60,62,64,66,68,70,72,74,76,78,80,85,90,95,100})</f>
        <v>74</v>
      </c>
      <c r="I736" s="12">
        <v>52</v>
      </c>
      <c r="J736" s="11">
        <f>LOOKUP(I736,{0,14,16,18,20,22,24,26,28,30,32,34,36,38,40,42,44,47,50,52,54},{0,10,20,30,40,50,60,62,64,66,68,70,72,74,76,78,80,85,90,95,100})</f>
        <v>95</v>
      </c>
      <c r="K736" s="12"/>
      <c r="L736" s="12"/>
      <c r="M736" s="12">
        <f t="shared" si="347"/>
        <v>95</v>
      </c>
      <c r="N736" s="12">
        <v>8.9</v>
      </c>
      <c r="O736" s="12">
        <f t="shared" si="348"/>
        <v>3.1</v>
      </c>
      <c r="P736" s="11">
        <f>LOOKUP(O736,{0,0.5,0.7,0.9,1.1,1.3,1.5,1.7,1.9,2.1,2.3,2.5,2.7,2.9,3.1,3.3,3.5,3.8,4.1,4.2,4.3},{0,10,20,30,40,50,60,62,64,66,68,70,72,74,76,78,80,85,90,95,100})</f>
        <v>76</v>
      </c>
      <c r="Q736" s="12">
        <v>3.38</v>
      </c>
      <c r="R736" s="12">
        <f t="shared" si="349"/>
        <v>6.62</v>
      </c>
      <c r="S736" s="11">
        <f>LOOKUP(R736,{0,4.72,4.82,4.92,5.42,5.52,5.62,5.67,5.72,5.77,5.82,5.87,5.92,5.97,6.42,6.47,6.52,6.59,6.66,6.72,6.78},{0,10,20,30,40,50,60,62,64,66,68,70,72,74,76,78,80,85,90,95,100})</f>
        <v>85</v>
      </c>
      <c r="T736" s="12"/>
      <c r="U736" s="12"/>
      <c r="V736" s="12">
        <f t="shared" si="350"/>
        <v>85</v>
      </c>
      <c r="W736" s="12"/>
      <c r="X736" s="20">
        <f t="shared" si="353"/>
        <v>57.1</v>
      </c>
      <c r="Y736" s="20">
        <f t="shared" si="352"/>
        <v>81.5714285714286</v>
      </c>
    </row>
    <row r="737" ht="15.6" hidden="1" outlineLevel="2" spans="1:25">
      <c r="A737" s="12">
        <v>215</v>
      </c>
      <c r="B737" s="12">
        <v>26</v>
      </c>
      <c r="C737" s="6" t="s">
        <v>816</v>
      </c>
      <c r="D737" s="6" t="s">
        <v>53</v>
      </c>
      <c r="E737" s="12">
        <v>26</v>
      </c>
      <c r="F737" s="11">
        <f>LOOKUP(E737,{0,1,1.8,2.6,3.4,4.2,5,6.3,7.6,8.9,10.2,11.5,12.8,14.1,15.4,16.7,18,19.7,21.4,23.1,24.8},{0,10,20,30,40,50,60,62,64,66,68,70,72,74,76,78,80,85,90,95,100})</f>
        <v>100</v>
      </c>
      <c r="G737" s="12">
        <v>194</v>
      </c>
      <c r="H737" s="11">
        <f>LOOKUP(G737,{0,124,129,134,139,144,149,152,155,158,161,164,167,170,173,176,179,186,193,199,205},{0,10,20,30,40,50,60,62,64,66,68,70,72,74,76,78,80,85,90,95,100})</f>
        <v>90</v>
      </c>
      <c r="I737" s="12">
        <v>50</v>
      </c>
      <c r="J737" s="11">
        <f>LOOKUP(I737,{0,14,16,18,20,22,24,26,28,30,32,34,36,38,40,42,44,47,50,52,54},{0,10,20,30,40,50,60,62,64,66,68,70,72,74,76,78,80,85,90,95,100})</f>
        <v>90</v>
      </c>
      <c r="K737" s="12"/>
      <c r="L737" s="12"/>
      <c r="M737" s="12">
        <f t="shared" si="347"/>
        <v>90</v>
      </c>
      <c r="N737" s="12">
        <v>9</v>
      </c>
      <c r="O737" s="12">
        <f t="shared" si="348"/>
        <v>3</v>
      </c>
      <c r="P737" s="11">
        <f>LOOKUP(O737,{0,0.5,0.7,0.9,1.1,1.3,1.5,1.7,1.9,2.1,2.3,2.5,2.7,2.9,3.1,3.3,3.5,3.8,4.1,4.2,4.3},{0,10,20,30,40,50,60,62,64,66,68,70,72,74,76,78,80,85,90,95,100})</f>
        <v>74</v>
      </c>
      <c r="Q737" s="12">
        <v>3.46</v>
      </c>
      <c r="R737" s="12">
        <f t="shared" si="349"/>
        <v>6.54</v>
      </c>
      <c r="S737" s="11">
        <f>LOOKUP(R737,{0,4.72,4.82,4.92,5.42,5.52,5.62,5.67,5.72,5.77,5.82,5.87,5.92,5.97,6.42,6.47,6.52,6.59,6.66,6.72,6.78},{0,10,20,30,40,50,60,62,64,66,68,70,72,74,76,78,80,85,90,95,100})</f>
        <v>80</v>
      </c>
      <c r="T737" s="12"/>
      <c r="U737" s="12"/>
      <c r="V737" s="12">
        <f t="shared" si="350"/>
        <v>80</v>
      </c>
      <c r="W737" s="12"/>
      <c r="X737" s="20">
        <f t="shared" si="353"/>
        <v>58.8</v>
      </c>
      <c r="Y737" s="20">
        <f t="shared" si="352"/>
        <v>84</v>
      </c>
    </row>
    <row r="738" ht="15.6" hidden="1" outlineLevel="2" spans="1:25">
      <c r="A738" s="12">
        <v>215</v>
      </c>
      <c r="B738" s="12">
        <v>27</v>
      </c>
      <c r="C738" s="6" t="s">
        <v>817</v>
      </c>
      <c r="D738" s="6" t="s">
        <v>53</v>
      </c>
      <c r="E738" s="12">
        <v>16</v>
      </c>
      <c r="F738" s="11">
        <f>LOOKUP(E738,{0,1,1.8,2.6,3.4,4.2,5,6.3,7.6,8.9,10.2,11.5,12.8,14.1,15.4,16.7,18,19.7,21.4,23.1,24.8},{0,10,20,30,40,50,60,62,64,66,68,70,72,74,76,78,80,85,90,95,100})</f>
        <v>76</v>
      </c>
      <c r="G738" s="12">
        <v>205</v>
      </c>
      <c r="H738" s="11">
        <f>LOOKUP(G738,{0,124,129,134,139,144,149,152,155,158,161,164,167,170,173,176,179,186,193,199,205},{0,10,20,30,40,50,60,62,64,66,68,70,72,74,76,78,80,85,90,95,100})</f>
        <v>100</v>
      </c>
      <c r="I738" s="12">
        <v>40</v>
      </c>
      <c r="J738" s="11">
        <f>LOOKUP(I738,{0,14,16,18,20,22,24,26,28,30,32,34,36,38,40,42,44,47,50,52,54},{0,10,20,30,40,50,60,62,64,66,68,70,72,74,76,78,80,85,90,95,100})</f>
        <v>76</v>
      </c>
      <c r="K738" s="12"/>
      <c r="L738" s="12"/>
      <c r="M738" s="12">
        <f t="shared" si="347"/>
        <v>76</v>
      </c>
      <c r="N738" s="12">
        <v>8.2</v>
      </c>
      <c r="O738" s="12">
        <f t="shared" si="348"/>
        <v>3.8</v>
      </c>
      <c r="P738" s="11">
        <f>LOOKUP(O738,{0,0.5,0.7,0.9,1.1,1.3,1.5,1.7,1.9,2.1,2.3,2.5,2.7,2.9,3.1,3.3,3.5,3.8,4.1,4.2,4.3},{0,10,20,30,40,50,60,62,64,66,68,70,72,74,76,78,80,85,90,95,100})</f>
        <v>85</v>
      </c>
      <c r="Q738" s="12">
        <v>3.44</v>
      </c>
      <c r="R738" s="12">
        <f t="shared" si="349"/>
        <v>6.56</v>
      </c>
      <c r="S738" s="11">
        <f>LOOKUP(R738,{0,4.72,4.82,4.92,5.42,5.52,5.62,5.67,5.72,5.77,5.82,5.87,5.92,5.97,6.42,6.47,6.52,6.59,6.66,6.72,6.78},{0,10,20,30,40,50,60,62,64,66,68,70,72,74,76,78,80,85,90,95,100})</f>
        <v>80</v>
      </c>
      <c r="T738" s="12"/>
      <c r="U738" s="12"/>
      <c r="V738" s="12">
        <f t="shared" si="350"/>
        <v>80</v>
      </c>
      <c r="W738" s="12"/>
      <c r="X738" s="20">
        <f t="shared" si="353"/>
        <v>58.2</v>
      </c>
      <c r="Y738" s="20">
        <f t="shared" si="352"/>
        <v>83.1428571428572</v>
      </c>
    </row>
    <row r="739" ht="15.6" hidden="1" outlineLevel="2" spans="1:25">
      <c r="A739" s="12">
        <v>215</v>
      </c>
      <c r="B739" s="12">
        <v>28</v>
      </c>
      <c r="C739" s="6" t="s">
        <v>818</v>
      </c>
      <c r="D739" s="6" t="s">
        <v>53</v>
      </c>
      <c r="E739" s="12">
        <v>14</v>
      </c>
      <c r="F739" s="11">
        <f>LOOKUP(E739,{0,1,1.8,2.6,3.4,4.2,5,6.3,7.6,8.9,10.2,11.5,12.8,14.1,15.4,16.7,18,19.7,21.4,23.1,24.8},{0,10,20,30,40,50,60,62,64,66,68,70,72,74,76,78,80,85,90,95,100})</f>
        <v>72</v>
      </c>
      <c r="G739" s="12">
        <v>180</v>
      </c>
      <c r="H739" s="11">
        <f>LOOKUP(G739,{0,124,129,134,139,144,149,152,155,158,161,164,167,170,173,176,179,186,193,199,205},{0,10,20,30,40,50,60,62,64,66,68,70,72,74,76,78,80,85,90,95,100})</f>
        <v>80</v>
      </c>
      <c r="I739" s="12">
        <v>51</v>
      </c>
      <c r="J739" s="11">
        <f>LOOKUP(I739,{0,14,16,18,20,22,24,26,28,30,32,34,36,38,40,42,44,47,50,52,54},{0,10,20,30,40,50,60,62,64,66,68,70,72,74,76,78,80,85,90,95,100})</f>
        <v>90</v>
      </c>
      <c r="K739" s="12"/>
      <c r="L739" s="12"/>
      <c r="M739" s="12">
        <f t="shared" si="347"/>
        <v>90</v>
      </c>
      <c r="N739" s="12">
        <v>8.3</v>
      </c>
      <c r="O739" s="12">
        <f t="shared" si="348"/>
        <v>3.7</v>
      </c>
      <c r="P739" s="11">
        <f>LOOKUP(O739,{0,0.5,0.7,0.9,1.1,1.3,1.5,1.7,1.9,2.1,2.3,2.5,2.7,2.9,3.1,3.3,3.5,3.8,4.1,4.2,4.3},{0,10,20,30,40,50,60,62,64,66,68,70,72,74,76,78,80,85,90,95,100})</f>
        <v>80</v>
      </c>
      <c r="Q739" s="12">
        <v>3.41</v>
      </c>
      <c r="R739" s="12">
        <f t="shared" si="349"/>
        <v>6.59</v>
      </c>
      <c r="S739" s="11">
        <f>LOOKUP(R739,{0,4.72,4.82,4.92,5.42,5.52,5.62,5.67,5.72,5.77,5.82,5.87,5.92,5.97,6.42,6.47,6.52,6.59,6.66,6.72,6.78},{0,10,20,30,40,50,60,62,64,66,68,70,72,74,76,78,80,85,90,95,100})</f>
        <v>85</v>
      </c>
      <c r="T739" s="12"/>
      <c r="U739" s="12"/>
      <c r="V739" s="12">
        <f t="shared" si="350"/>
        <v>85</v>
      </c>
      <c r="W739" s="12"/>
      <c r="X739" s="20">
        <f t="shared" si="353"/>
        <v>57.2</v>
      </c>
      <c r="Y739" s="20">
        <f t="shared" si="352"/>
        <v>81.7142857142857</v>
      </c>
    </row>
    <row r="740" ht="15.6" hidden="1" outlineLevel="2" spans="1:25">
      <c r="A740" s="12">
        <v>215</v>
      </c>
      <c r="B740" s="12">
        <v>29</v>
      </c>
      <c r="C740" s="6" t="s">
        <v>819</v>
      </c>
      <c r="D740" s="6" t="s">
        <v>53</v>
      </c>
      <c r="E740" s="12">
        <v>26</v>
      </c>
      <c r="F740" s="11">
        <f>LOOKUP(E740,{0,1,1.8,2.6,3.4,4.2,5,6.3,7.6,8.9,10.2,11.5,12.8,14.1,15.4,16.7,18,19.7,21.4,23.1,24.8},{0,10,20,30,40,50,60,62,64,66,68,70,72,74,76,78,80,85,90,95,100})</f>
        <v>100</v>
      </c>
      <c r="G740" s="12">
        <v>140</v>
      </c>
      <c r="H740" s="11">
        <f>LOOKUP(G740,{0,124,129,134,139,144,149,152,155,158,161,164,167,170,173,176,179,186,193,199,205},{0,10,20,30,40,50,60,62,64,66,68,70,72,74,76,78,80,85,90,95,100})</f>
        <v>40</v>
      </c>
      <c r="I740" s="12">
        <v>44</v>
      </c>
      <c r="J740" s="11">
        <f>LOOKUP(I740,{0,14,16,18,20,22,24,26,28,30,32,34,36,38,40,42,44,47,50,52,54},{0,10,20,30,40,50,60,62,64,66,68,70,72,74,76,78,80,85,90,95,100})</f>
        <v>80</v>
      </c>
      <c r="K740" s="12"/>
      <c r="L740" s="12"/>
      <c r="M740" s="12">
        <f t="shared" si="347"/>
        <v>80</v>
      </c>
      <c r="N740" s="12">
        <v>9.3</v>
      </c>
      <c r="O740" s="12">
        <f t="shared" si="348"/>
        <v>2.7</v>
      </c>
      <c r="P740" s="11">
        <f>LOOKUP(O740,{0,0.5,0.7,0.9,1.1,1.3,1.5,1.7,1.9,2.1,2.3,2.5,2.7,2.9,3.1,3.3,3.5,3.8,4.1,4.2,4.3},{0,10,20,30,40,50,60,62,64,66,68,70,72,74,76,78,80,85,90,95,100})</f>
        <v>72</v>
      </c>
      <c r="Q740" s="12">
        <v>3.39</v>
      </c>
      <c r="R740" s="12">
        <f t="shared" si="349"/>
        <v>6.61</v>
      </c>
      <c r="S740" s="11">
        <f>LOOKUP(R740,{0,4.72,4.82,4.92,5.42,5.52,5.62,5.67,5.72,5.77,5.82,5.87,5.92,5.97,6.42,6.47,6.52,6.59,6.66,6.72,6.78},{0,10,20,30,40,50,60,62,64,66,68,70,72,74,76,78,80,85,90,95,100})</f>
        <v>85</v>
      </c>
      <c r="T740" s="12"/>
      <c r="U740" s="12"/>
      <c r="V740" s="12">
        <f t="shared" si="350"/>
        <v>85</v>
      </c>
      <c r="W740" s="12"/>
      <c r="X740" s="20">
        <f t="shared" si="353"/>
        <v>53.4</v>
      </c>
      <c r="Y740" s="20">
        <f t="shared" si="352"/>
        <v>76.2857142857143</v>
      </c>
    </row>
    <row r="741" ht="15.6" hidden="1" outlineLevel="2" spans="1:25">
      <c r="A741" s="12">
        <v>215</v>
      </c>
      <c r="B741" s="12">
        <v>30</v>
      </c>
      <c r="C741" s="6" t="s">
        <v>820</v>
      </c>
      <c r="D741" s="6" t="s">
        <v>53</v>
      </c>
      <c r="E741" s="12">
        <v>17</v>
      </c>
      <c r="F741" s="11">
        <f>LOOKUP(E741,{0,1,1.8,2.6,3.4,4.2,5,6.3,7.6,8.9,10.2,11.5,12.8,14.1,15.4,16.7,18,19.7,21.4,23.1,24.8},{0,10,20,30,40,50,60,62,64,66,68,70,72,74,76,78,80,85,90,95,100})</f>
        <v>78</v>
      </c>
      <c r="G741" s="12">
        <v>173</v>
      </c>
      <c r="H741" s="11">
        <f>LOOKUP(G741,{0,124,129,134,139,144,149,152,155,158,161,164,167,170,173,176,179,186,193,199,205},{0,10,20,30,40,50,60,62,64,66,68,70,72,74,76,78,80,85,90,95,100})</f>
        <v>76</v>
      </c>
      <c r="I741" s="12">
        <v>53</v>
      </c>
      <c r="J741" s="11">
        <f>LOOKUP(I741,{0,14,16,18,20,22,24,26,28,30,32,34,36,38,40,42,44,47,50,52,54},{0,10,20,30,40,50,60,62,64,66,68,70,72,74,76,78,80,85,90,95,100})</f>
        <v>95</v>
      </c>
      <c r="K741" s="12"/>
      <c r="L741" s="12"/>
      <c r="M741" s="12">
        <f t="shared" si="347"/>
        <v>95</v>
      </c>
      <c r="N741" s="12">
        <v>8.9</v>
      </c>
      <c r="O741" s="12">
        <f t="shared" si="348"/>
        <v>3.1</v>
      </c>
      <c r="P741" s="11">
        <f>LOOKUP(O741,{0,0.5,0.7,0.9,1.1,1.3,1.5,1.7,1.9,2.1,2.3,2.5,2.7,2.9,3.1,3.3,3.5,3.8,4.1,4.2,4.3},{0,10,20,30,40,50,60,62,64,66,68,70,72,74,76,78,80,85,90,95,100})</f>
        <v>76</v>
      </c>
      <c r="Q741" s="12">
        <v>3.28</v>
      </c>
      <c r="R741" s="12">
        <f t="shared" si="349"/>
        <v>6.72</v>
      </c>
      <c r="S741" s="11">
        <f>LOOKUP(R741,{0,4.72,4.82,4.92,5.42,5.52,5.62,5.67,5.72,5.77,5.82,5.87,5.92,5.97,6.42,6.47,6.52,6.59,6.66,6.72,6.78},{0,10,20,30,40,50,60,62,64,66,68,70,72,74,76,78,80,85,90,95,100})</f>
        <v>95</v>
      </c>
      <c r="T741" s="12"/>
      <c r="U741" s="12"/>
      <c r="V741" s="12">
        <f t="shared" si="350"/>
        <v>95</v>
      </c>
      <c r="W741" s="12"/>
      <c r="X741" s="20">
        <f t="shared" si="353"/>
        <v>59.1</v>
      </c>
      <c r="Y741" s="20">
        <f t="shared" si="352"/>
        <v>84.4285714285714</v>
      </c>
    </row>
    <row r="742" ht="15.6" hidden="1" outlineLevel="2" spans="1:25">
      <c r="A742" s="12">
        <v>215</v>
      </c>
      <c r="B742" s="12">
        <v>31</v>
      </c>
      <c r="C742" s="6" t="s">
        <v>821</v>
      </c>
      <c r="D742" s="6" t="s">
        <v>53</v>
      </c>
      <c r="E742" s="12">
        <v>20</v>
      </c>
      <c r="F742" s="11">
        <f>LOOKUP(E742,{0,1,1.8,2.6,3.4,4.2,5,6.3,7.6,8.9,10.2,11.5,12.8,14.1,15.4,16.7,18,19.7,21.4,23.1,24.8},{0,10,20,30,40,50,60,62,64,66,68,70,72,74,76,78,80,85,90,95,100})</f>
        <v>85</v>
      </c>
      <c r="G742" s="12">
        <v>186</v>
      </c>
      <c r="H742" s="11">
        <f>LOOKUP(G742,{0,124,129,134,139,144,149,152,155,158,161,164,167,170,173,176,179,186,193,199,205},{0,10,20,30,40,50,60,62,64,66,68,70,72,74,76,78,80,85,90,95,100})</f>
        <v>85</v>
      </c>
      <c r="I742" s="12">
        <v>58</v>
      </c>
      <c r="J742" s="11">
        <f>LOOKUP(I742,{0,14,16,18,20,22,24,26,28,30,32,34,36,38,40,42,44,47,50,52,54},{0,10,20,30,40,50,60,62,64,66,68,70,72,74,76,78,80,85,90,95,100})</f>
        <v>100</v>
      </c>
      <c r="K742" s="12">
        <f>I742-54</f>
        <v>4</v>
      </c>
      <c r="L742" s="11">
        <f>LOOKUP(K742,{0,2,4,6,7,8,9,10,11,12,13},{0,1,2,3,4,5,6,7,8,9,10})</f>
        <v>2</v>
      </c>
      <c r="M742" s="12">
        <f t="shared" si="347"/>
        <v>102</v>
      </c>
      <c r="N742" s="12">
        <v>8.6</v>
      </c>
      <c r="O742" s="12">
        <f t="shared" si="348"/>
        <v>3.4</v>
      </c>
      <c r="P742" s="11">
        <f>LOOKUP(O742,{0,0.5,0.7,0.9,1.1,1.3,1.5,1.7,1.9,2.1,2.3,2.5,2.7,2.9,3.1,3.3,3.5,3.8,4.1,4.2,4.3},{0,10,20,30,40,50,60,62,64,66,68,70,72,74,76,78,80,85,90,95,100})</f>
        <v>78</v>
      </c>
      <c r="Q742" s="12">
        <v>3.2</v>
      </c>
      <c r="R742" s="12">
        <f t="shared" si="349"/>
        <v>6.8</v>
      </c>
      <c r="S742" s="11">
        <f>LOOKUP(R742,{0,4.72,4.82,4.92,5.42,5.52,5.62,5.67,5.72,5.77,5.82,5.87,5.92,5.97,6.42,6.47,6.52,6.59,6.66,6.72,6.78},{0,10,20,30,40,50,60,62,64,66,68,70,72,74,76,78,80,85,90,95,100})</f>
        <v>100</v>
      </c>
      <c r="T742" s="21">
        <f>3.22-Q742</f>
        <v>0.02</v>
      </c>
      <c r="U742" s="16">
        <f>LOOKUP(T742,{0,0.05,0.1,0.15,0.2,0.25,0.3,0.35,0.4,0.45,0.5},{0,1,2,3,4,5,6,7,8,9,10})</f>
        <v>0</v>
      </c>
      <c r="V742" s="12">
        <f t="shared" si="350"/>
        <v>100</v>
      </c>
      <c r="W742" s="12"/>
      <c r="X742" s="20">
        <f t="shared" si="353"/>
        <v>62.6</v>
      </c>
      <c r="Y742" s="20">
        <f t="shared" si="352"/>
        <v>91.4285714285714</v>
      </c>
    </row>
    <row r="743" ht="15.6" hidden="1" outlineLevel="2" spans="1:25">
      <c r="A743" s="12">
        <v>215</v>
      </c>
      <c r="B743" s="12">
        <v>32</v>
      </c>
      <c r="C743" s="6" t="s">
        <v>822</v>
      </c>
      <c r="D743" s="6" t="s">
        <v>53</v>
      </c>
      <c r="E743" s="12">
        <v>22.5</v>
      </c>
      <c r="F743" s="11">
        <f>LOOKUP(E743,{0,1,1.8,2.6,3.4,4.2,5,6.3,7.6,8.9,10.2,11.5,12.8,14.1,15.4,16.7,18,19.7,21.4,23.1,24.8},{0,10,20,30,40,50,60,62,64,66,68,70,72,74,76,78,80,85,90,95,100})</f>
        <v>90</v>
      </c>
      <c r="G743" s="12">
        <v>175</v>
      </c>
      <c r="H743" s="11">
        <f>LOOKUP(G743,{0,124,129,134,139,144,149,152,155,158,161,164,167,170,173,176,179,186,193,199,205},{0,10,20,30,40,50,60,62,64,66,68,70,72,74,76,78,80,85,90,95,100})</f>
        <v>76</v>
      </c>
      <c r="I743" s="12">
        <v>51</v>
      </c>
      <c r="J743" s="11">
        <f>LOOKUP(I743,{0,14,16,18,20,22,24,26,28,30,32,34,36,38,40,42,44,47,50,52,54},{0,10,20,30,40,50,60,62,64,66,68,70,72,74,76,78,80,85,90,95,100})</f>
        <v>90</v>
      </c>
      <c r="K743" s="12"/>
      <c r="L743" s="12"/>
      <c r="M743" s="12">
        <f t="shared" si="347"/>
        <v>90</v>
      </c>
      <c r="N743" s="12"/>
      <c r="O743" s="12"/>
      <c r="P743" s="11"/>
      <c r="Q743" s="12">
        <v>3.47</v>
      </c>
      <c r="R743" s="12">
        <f t="shared" si="349"/>
        <v>6.53</v>
      </c>
      <c r="S743" s="11">
        <f>LOOKUP(R743,{0,4.72,4.82,4.92,5.42,5.52,5.62,5.67,5.72,5.77,5.82,5.87,5.92,5.97,6.42,6.47,6.52,6.59,6.66,6.72,6.78},{0,10,20,30,40,50,60,62,64,66,68,70,72,74,76,78,80,85,90,95,100})</f>
        <v>80</v>
      </c>
      <c r="T743" s="12"/>
      <c r="U743" s="12"/>
      <c r="V743" s="12">
        <f t="shared" si="350"/>
        <v>80</v>
      </c>
      <c r="W743" s="12"/>
      <c r="X743" s="20">
        <f t="shared" si="353"/>
        <v>41.6</v>
      </c>
      <c r="Y743" s="20">
        <f t="shared" si="352"/>
        <v>59.4285714285714</v>
      </c>
    </row>
    <row r="744" ht="15.6" hidden="1" outlineLevel="2" spans="1:25">
      <c r="A744" s="12">
        <v>215</v>
      </c>
      <c r="B744" s="12">
        <v>33</v>
      </c>
      <c r="C744" s="6" t="s">
        <v>823</v>
      </c>
      <c r="D744" s="6" t="s">
        <v>53</v>
      </c>
      <c r="E744" s="12">
        <v>28.5</v>
      </c>
      <c r="F744" s="11">
        <f>LOOKUP(E744,{0,1,1.8,2.6,3.4,4.2,5,6.3,7.6,8.9,10.2,11.5,12.8,14.1,15.4,16.7,18,19.7,21.4,23.1,24.8},{0,10,20,30,40,50,60,62,64,66,68,70,72,74,76,78,80,85,90,95,100})</f>
        <v>100</v>
      </c>
      <c r="G744" s="12">
        <v>180</v>
      </c>
      <c r="H744" s="11">
        <f>LOOKUP(G744,{0,124,129,134,139,144,149,152,155,158,161,164,167,170,173,176,179,186,193,199,205},{0,10,20,30,40,50,60,62,64,66,68,70,72,74,76,78,80,85,90,95,100})</f>
        <v>80</v>
      </c>
      <c r="I744" s="12">
        <v>47</v>
      </c>
      <c r="J744" s="11">
        <f>LOOKUP(I744,{0,14,16,18,20,22,24,26,28,30,32,34,36,38,40,42,44,47,50,52,54},{0,10,20,30,40,50,60,62,64,66,68,70,72,74,76,78,80,85,90,95,100})</f>
        <v>85</v>
      </c>
      <c r="K744" s="12"/>
      <c r="L744" s="12"/>
      <c r="M744" s="12">
        <f t="shared" si="347"/>
        <v>85</v>
      </c>
      <c r="N744" s="12">
        <v>8</v>
      </c>
      <c r="O744" s="12">
        <f t="shared" ref="O744:O761" si="354">12-N744</f>
        <v>4</v>
      </c>
      <c r="P744" s="11">
        <f>LOOKUP(O744,{0,0.5,0.7,0.9,1.1,1.3,1.5,1.7,1.9,2.1,2.3,2.5,2.7,2.9,3.1,3.3,3.5,3.8,4.1,4.2,4.3},{0,10,20,30,40,50,60,62,64,66,68,70,72,74,76,78,80,85,90,95,100})</f>
        <v>85</v>
      </c>
      <c r="Q744" s="12">
        <v>3.23</v>
      </c>
      <c r="R744" s="12">
        <f t="shared" si="349"/>
        <v>6.77</v>
      </c>
      <c r="S744" s="11">
        <f>LOOKUP(R744,{0,4.72,4.82,4.92,5.42,5.52,5.62,5.67,5.72,5.77,5.82,5.87,5.92,5.97,6.42,6.47,6.52,6.59,6.66,6.72,6.78},{0,10,20,30,40,50,60,62,64,66,68,70,72,74,76,78,80,85,90,95,100})</f>
        <v>95</v>
      </c>
      <c r="T744" s="12"/>
      <c r="U744" s="12"/>
      <c r="V744" s="12">
        <f t="shared" si="350"/>
        <v>95</v>
      </c>
      <c r="W744" s="12"/>
      <c r="X744" s="20">
        <f t="shared" si="353"/>
        <v>62.5</v>
      </c>
      <c r="Y744" s="20">
        <f t="shared" si="352"/>
        <v>89.2857142857143</v>
      </c>
    </row>
    <row r="745" ht="15.6" hidden="1" outlineLevel="2" spans="1:25">
      <c r="A745" s="12">
        <v>215</v>
      </c>
      <c r="B745" s="12">
        <v>34</v>
      </c>
      <c r="C745" s="6" t="s">
        <v>824</v>
      </c>
      <c r="D745" s="6" t="s">
        <v>53</v>
      </c>
      <c r="E745" s="12"/>
      <c r="F745" s="11"/>
      <c r="G745" s="12"/>
      <c r="H745" s="11"/>
      <c r="I745" s="12"/>
      <c r="J745" s="11"/>
      <c r="K745" s="12"/>
      <c r="L745" s="12"/>
      <c r="M745" s="12"/>
      <c r="N745" s="12"/>
      <c r="O745" s="12"/>
      <c r="P745" s="11"/>
      <c r="Q745" s="12"/>
      <c r="R745" s="12"/>
      <c r="S745" s="11"/>
      <c r="T745" s="21"/>
      <c r="U745" s="16"/>
      <c r="V745" s="12"/>
      <c r="W745" s="12"/>
      <c r="X745" s="20">
        <f t="shared" si="353"/>
        <v>0</v>
      </c>
      <c r="Y745" s="23">
        <v>50</v>
      </c>
    </row>
    <row r="746" ht="15.6" hidden="1" outlineLevel="2" spans="1:25">
      <c r="A746" s="12">
        <v>215</v>
      </c>
      <c r="B746" s="12">
        <v>35</v>
      </c>
      <c r="C746" s="13" t="s">
        <v>192</v>
      </c>
      <c r="D746" s="6" t="s">
        <v>53</v>
      </c>
      <c r="E746" s="12">
        <v>7.5</v>
      </c>
      <c r="F746" s="11">
        <f>LOOKUP(E746,{0,1,1.8,2.6,3.4,4.2,5,6.3,7.6,8.9,10.2,11.5,12.8,14.1,15.4,16.7,18,19.7,21.4,23.1,24.8},{0,10,20,30,40,50,60,62,64,66,68,70,72,74,76,78,80,85,90,95,100})</f>
        <v>62</v>
      </c>
      <c r="G746" s="12">
        <v>165</v>
      </c>
      <c r="H746" s="11">
        <f>LOOKUP(G746,{0,124,129,134,139,144,149,152,155,158,161,164,167,170,173,176,179,186,193,199,205},{0,10,20,30,40,50,60,62,64,66,68,70,72,74,76,78,80,85,90,95,100})</f>
        <v>70</v>
      </c>
      <c r="I746" s="12">
        <v>34</v>
      </c>
      <c r="J746" s="11">
        <f>LOOKUP(I746,{0,14,16,18,20,22,24,26,28,30,32,34,36,38,40,42,44,47,50,52,54},{0,10,20,30,40,50,60,62,64,66,68,70,72,74,76,78,80,85,90,95,100})</f>
        <v>70</v>
      </c>
      <c r="K746" s="12"/>
      <c r="L746" s="12"/>
      <c r="M746" s="12">
        <f t="shared" ref="M746:M761" si="355">J746+L746</f>
        <v>70</v>
      </c>
      <c r="N746" s="12">
        <v>8.8</v>
      </c>
      <c r="O746" s="12">
        <f t="shared" si="354"/>
        <v>3.2</v>
      </c>
      <c r="P746" s="11">
        <f>LOOKUP(O746,{0,0.5,0.7,0.9,1.1,1.3,1.5,1.7,1.9,2.1,2.3,2.5,2.7,2.9,3.1,3.3,3.5,3.8,4.1,4.2,4.3},{0,10,20,30,40,50,60,62,64,66,68,70,72,74,76,78,80,85,90,95,100})</f>
        <v>76</v>
      </c>
      <c r="Q746" s="12">
        <v>3.49</v>
      </c>
      <c r="R746" s="12">
        <f t="shared" ref="R746:R761" si="356">10-Q746</f>
        <v>6.51</v>
      </c>
      <c r="S746" s="11">
        <f>LOOKUP(R746,{0,4.72,4.82,4.92,5.42,5.52,5.62,5.67,5.72,5.77,5.82,5.87,5.92,5.97,6.42,6.47,6.52,6.59,6.66,6.72,6.78},{0,10,20,30,40,50,60,62,64,66,68,70,72,74,76,78,80,85,90,95,100})</f>
        <v>78</v>
      </c>
      <c r="T746" s="12"/>
      <c r="U746" s="12"/>
      <c r="V746" s="12">
        <f t="shared" ref="V746:V761" si="357">S746+U746</f>
        <v>78</v>
      </c>
      <c r="W746" s="12"/>
      <c r="X746" s="20">
        <f t="shared" si="353"/>
        <v>51</v>
      </c>
      <c r="Y746" s="20">
        <f t="shared" ref="Y746:Y761" si="358">X746/0.7+L746+U746</f>
        <v>72.8571428571429</v>
      </c>
    </row>
    <row r="747" ht="15.6" hidden="1" outlineLevel="2" spans="1:25">
      <c r="A747" s="12">
        <v>215</v>
      </c>
      <c r="B747" s="12">
        <v>36</v>
      </c>
      <c r="C747" s="6" t="s">
        <v>826</v>
      </c>
      <c r="D747" s="6" t="s">
        <v>53</v>
      </c>
      <c r="E747" s="12">
        <v>12</v>
      </c>
      <c r="F747" s="11">
        <f>LOOKUP(E747,{0,1,1.8,2.6,3.4,4.2,5,6.3,7.6,8.9,10.2,11.5,12.8,14.1,15.4,16.7,18,19.7,21.4,23.1,24.8},{0,10,20,30,40,50,60,62,64,66,68,70,72,74,76,78,80,85,90,95,100})</f>
        <v>70</v>
      </c>
      <c r="G747" s="12">
        <v>200</v>
      </c>
      <c r="H747" s="11">
        <f>LOOKUP(G747,{0,124,129,134,139,144,149,152,155,158,161,164,167,170,173,176,179,186,193,199,205},{0,10,20,30,40,50,60,62,64,66,68,70,72,74,76,78,80,85,90,95,100})</f>
        <v>95</v>
      </c>
      <c r="I747" s="12">
        <v>44</v>
      </c>
      <c r="J747" s="11">
        <f>LOOKUP(I747,{0,14,16,18,20,22,24,26,28,30,32,34,36,38,40,42,44,47,50,52,54},{0,10,20,30,40,50,60,62,64,66,68,70,72,74,76,78,80,85,90,95,100})</f>
        <v>80</v>
      </c>
      <c r="K747" s="12"/>
      <c r="L747" s="12"/>
      <c r="M747" s="12">
        <f t="shared" si="355"/>
        <v>80</v>
      </c>
      <c r="N747" s="12">
        <v>8.2</v>
      </c>
      <c r="O747" s="12">
        <f t="shared" si="354"/>
        <v>3.8</v>
      </c>
      <c r="P747" s="11">
        <f>LOOKUP(O747,{0,0.5,0.7,0.9,1.1,1.3,1.5,1.7,1.9,2.1,2.3,2.5,2.7,2.9,3.1,3.3,3.5,3.8,4.1,4.2,4.3},{0,10,20,30,40,50,60,62,64,66,68,70,72,74,76,78,80,85,90,95,100})</f>
        <v>85</v>
      </c>
      <c r="Q747" s="12">
        <v>3.51</v>
      </c>
      <c r="R747" s="12">
        <f t="shared" si="356"/>
        <v>6.49</v>
      </c>
      <c r="S747" s="11">
        <f>LOOKUP(R747,{0,4.72,4.82,4.92,5.42,5.52,5.62,5.67,5.72,5.77,5.82,5.87,5.92,5.97,6.42,6.47,6.52,6.59,6.66,6.72,6.78},{0,10,20,30,40,50,60,62,64,66,68,70,72,74,76,78,80,85,90,95,100})</f>
        <v>78</v>
      </c>
      <c r="T747" s="12"/>
      <c r="U747" s="12"/>
      <c r="V747" s="12">
        <f t="shared" si="357"/>
        <v>78</v>
      </c>
      <c r="W747" s="12"/>
      <c r="X747" s="20">
        <f t="shared" si="353"/>
        <v>57.1</v>
      </c>
      <c r="Y747" s="20">
        <f t="shared" si="358"/>
        <v>81.5714285714286</v>
      </c>
    </row>
    <row r="748" s="1" customFormat="1" ht="15.6" hidden="1" outlineLevel="2" spans="1:25">
      <c r="A748" s="12">
        <v>215</v>
      </c>
      <c r="B748" s="12">
        <v>37</v>
      </c>
      <c r="C748" s="6" t="s">
        <v>827</v>
      </c>
      <c r="D748" s="6" t="s">
        <v>53</v>
      </c>
      <c r="E748" s="12">
        <v>19.5</v>
      </c>
      <c r="F748" s="11">
        <f>LOOKUP(E748,{0,1,1.8,2.6,3.4,4.2,5,6.3,7.6,8.9,10.2,11.5,12.8,14.1,15.4,16.7,18,19.7,21.4,23.1,24.8},{0,10,20,30,40,50,60,62,64,66,68,70,72,74,76,78,80,85,90,95,100})</f>
        <v>80</v>
      </c>
      <c r="G748" s="12">
        <v>170</v>
      </c>
      <c r="H748" s="11">
        <f>LOOKUP(G748,{0,124,129,134,139,144,149,152,155,158,161,164,167,170,173,176,179,186,193,199,205},{0,10,20,30,40,50,60,62,64,66,68,70,72,74,76,78,80,85,90,95,100})</f>
        <v>74</v>
      </c>
      <c r="I748" s="12">
        <v>48</v>
      </c>
      <c r="J748" s="11">
        <f>LOOKUP(I748,{0,14,16,18,20,22,24,26,28,30,32,34,36,38,40,42,44,47,50,52,54},{0,10,20,30,40,50,60,62,64,66,68,70,72,74,76,78,80,85,90,95,100})</f>
        <v>85</v>
      </c>
      <c r="K748" s="12"/>
      <c r="L748" s="12"/>
      <c r="M748" s="12">
        <f t="shared" si="355"/>
        <v>85</v>
      </c>
      <c r="N748" s="12">
        <v>9.1</v>
      </c>
      <c r="O748" s="12">
        <f t="shared" si="354"/>
        <v>2.9</v>
      </c>
      <c r="P748" s="11">
        <f>LOOKUP(O748,{0,0.5,0.7,0.9,1.1,1.3,1.5,1.7,1.9,2.1,2.3,2.5,2.7,2.9,3.1,3.3,3.5,3.8,4.1,4.2,4.3},{0,10,20,30,40,50,60,62,64,66,68,70,72,74,76,78,80,85,90,95,100})</f>
        <v>74</v>
      </c>
      <c r="Q748" s="12">
        <v>3.47</v>
      </c>
      <c r="R748" s="12">
        <f t="shared" si="356"/>
        <v>6.53</v>
      </c>
      <c r="S748" s="11">
        <f>LOOKUP(R748,{0,4.72,4.82,4.92,5.42,5.52,5.62,5.67,5.72,5.77,5.82,5.87,5.92,5.97,6.42,6.47,6.52,6.59,6.66,6.72,6.78},{0,10,20,30,40,50,60,62,64,66,68,70,72,74,76,78,80,85,90,95,100})</f>
        <v>80</v>
      </c>
      <c r="T748" s="12"/>
      <c r="U748" s="12"/>
      <c r="V748" s="12">
        <f t="shared" si="357"/>
        <v>80</v>
      </c>
      <c r="W748" s="12"/>
      <c r="X748" s="20">
        <f t="shared" si="353"/>
        <v>54.7</v>
      </c>
      <c r="Y748" s="20">
        <f t="shared" si="358"/>
        <v>78.1428571428572</v>
      </c>
    </row>
    <row r="749" ht="15.6" hidden="1" outlineLevel="2" spans="1:25">
      <c r="A749" s="12">
        <v>215</v>
      </c>
      <c r="B749" s="12">
        <v>38</v>
      </c>
      <c r="C749" s="6" t="s">
        <v>828</v>
      </c>
      <c r="D749" s="6" t="s">
        <v>53</v>
      </c>
      <c r="E749" s="12">
        <v>8</v>
      </c>
      <c r="F749" s="11">
        <f>LOOKUP(E749,{0,1,1.8,2.6,3.4,4.2,5,6.3,7.6,8.9,10.2,11.5,12.8,14.1,15.4,16.7,18,19.7,21.4,23.1,24.8},{0,10,20,30,40,50,60,62,64,66,68,70,72,74,76,78,80,85,90,95,100})</f>
        <v>64</v>
      </c>
      <c r="G749" s="12">
        <v>170</v>
      </c>
      <c r="H749" s="11">
        <f>LOOKUP(G749,{0,124,129,134,139,144,149,152,155,158,161,164,167,170,173,176,179,186,193,199,205},{0,10,20,30,40,50,60,62,64,66,68,70,72,74,76,78,80,85,90,95,100})</f>
        <v>74</v>
      </c>
      <c r="I749" s="12">
        <v>45</v>
      </c>
      <c r="J749" s="11">
        <f>LOOKUP(I749,{0,14,16,18,20,22,24,26,28,30,32,34,36,38,40,42,44,47,50,52,54},{0,10,20,30,40,50,60,62,64,66,68,70,72,74,76,78,80,85,90,95,100})</f>
        <v>80</v>
      </c>
      <c r="K749" s="12"/>
      <c r="L749" s="12"/>
      <c r="M749" s="12">
        <f t="shared" si="355"/>
        <v>80</v>
      </c>
      <c r="N749" s="12">
        <v>8.3</v>
      </c>
      <c r="O749" s="12">
        <f t="shared" si="354"/>
        <v>3.7</v>
      </c>
      <c r="P749" s="11">
        <f>LOOKUP(O749,{0,0.5,0.7,0.9,1.1,1.3,1.5,1.7,1.9,2.1,2.3,2.5,2.7,2.9,3.1,3.3,3.5,3.8,4.1,4.2,4.3},{0,10,20,30,40,50,60,62,64,66,68,70,72,74,76,78,80,85,90,95,100})</f>
        <v>80</v>
      </c>
      <c r="Q749" s="12">
        <v>3.59</v>
      </c>
      <c r="R749" s="12">
        <f t="shared" si="356"/>
        <v>6.41</v>
      </c>
      <c r="S749" s="11">
        <f>LOOKUP(R749,{0,4.72,4.82,4.92,5.42,5.52,5.62,5.67,5.72,5.77,5.82,5.87,5.92,5.97,6.42,6.47,6.52,6.59,6.66,6.72,6.78},{0,10,20,30,40,50,60,62,64,66,68,70,72,74,76,78,80,85,90,95,100})</f>
        <v>74</v>
      </c>
      <c r="T749" s="12"/>
      <c r="U749" s="12"/>
      <c r="V749" s="12">
        <f t="shared" si="357"/>
        <v>74</v>
      </c>
      <c r="W749" s="12"/>
      <c r="X749" s="20">
        <f t="shared" si="353"/>
        <v>52.6</v>
      </c>
      <c r="Y749" s="20">
        <f t="shared" si="358"/>
        <v>75.1428571428571</v>
      </c>
    </row>
    <row r="750" ht="15.6" hidden="1" outlineLevel="2" spans="1:25">
      <c r="A750" s="12">
        <v>215</v>
      </c>
      <c r="B750" s="12">
        <v>39</v>
      </c>
      <c r="C750" s="6" t="s">
        <v>829</v>
      </c>
      <c r="D750" s="6" t="s">
        <v>53</v>
      </c>
      <c r="E750" s="12">
        <v>10</v>
      </c>
      <c r="F750" s="11">
        <f>LOOKUP(E750,{0,1,1.8,2.6,3.4,4.2,5,6.3,7.6,8.9,10.2,11.5,12.8,14.1,15.4,16.7,18,19.7,21.4,23.1,24.8},{0,10,20,30,40,50,60,62,64,66,68,70,72,74,76,78,80,85,90,95,100})</f>
        <v>66</v>
      </c>
      <c r="G750" s="12">
        <v>169</v>
      </c>
      <c r="H750" s="11">
        <f>LOOKUP(G750,{0,124,129,134,139,144,149,152,155,158,161,164,167,170,173,176,179,186,193,199,205},{0,10,20,30,40,50,60,62,64,66,68,70,72,74,76,78,80,85,90,95,100})</f>
        <v>72</v>
      </c>
      <c r="I750" s="12">
        <v>50</v>
      </c>
      <c r="J750" s="11">
        <f>LOOKUP(I750,{0,14,16,18,20,22,24,26,28,30,32,34,36,38,40,42,44,47,50,52,54},{0,10,20,30,40,50,60,62,64,66,68,70,72,74,76,78,80,85,90,95,100})</f>
        <v>90</v>
      </c>
      <c r="K750" s="12"/>
      <c r="L750" s="12"/>
      <c r="M750" s="12">
        <f t="shared" si="355"/>
        <v>90</v>
      </c>
      <c r="N750" s="12">
        <v>8.9</v>
      </c>
      <c r="O750" s="12">
        <f t="shared" si="354"/>
        <v>3.1</v>
      </c>
      <c r="P750" s="11">
        <f>LOOKUP(O750,{0,0.5,0.7,0.9,1.1,1.3,1.5,1.7,1.9,2.1,2.3,2.5,2.7,2.9,3.1,3.3,3.5,3.8,4.1,4.2,4.3},{0,10,20,30,40,50,60,62,64,66,68,70,72,74,76,78,80,85,90,95,100})</f>
        <v>76</v>
      </c>
      <c r="Q750" s="12">
        <v>3.38</v>
      </c>
      <c r="R750" s="12">
        <f t="shared" si="356"/>
        <v>6.62</v>
      </c>
      <c r="S750" s="11">
        <f>LOOKUP(R750,{0,4.72,4.82,4.92,5.42,5.52,5.62,5.67,5.72,5.77,5.82,5.87,5.92,5.97,6.42,6.47,6.52,6.59,6.66,6.72,6.78},{0,10,20,30,40,50,60,62,64,66,68,70,72,74,76,78,80,85,90,95,100})</f>
        <v>85</v>
      </c>
      <c r="T750" s="12"/>
      <c r="U750" s="12"/>
      <c r="V750" s="12">
        <f t="shared" si="357"/>
        <v>85</v>
      </c>
      <c r="W750" s="12"/>
      <c r="X750" s="20">
        <f t="shared" si="353"/>
        <v>55</v>
      </c>
      <c r="Y750" s="20">
        <f t="shared" si="358"/>
        <v>78.5714285714286</v>
      </c>
    </row>
    <row r="751" ht="15.6" hidden="1" outlineLevel="2" spans="1:25">
      <c r="A751" s="12">
        <v>215</v>
      </c>
      <c r="B751" s="12">
        <v>40</v>
      </c>
      <c r="C751" s="6" t="s">
        <v>830</v>
      </c>
      <c r="D751" s="6" t="s">
        <v>53</v>
      </c>
      <c r="E751" s="12">
        <v>24.5</v>
      </c>
      <c r="F751" s="11">
        <f>LOOKUP(E751,{0,1,1.8,2.6,3.4,4.2,5,6.3,7.6,8.9,10.2,11.5,12.8,14.1,15.4,16.7,18,19.7,21.4,23.1,24.8},{0,10,20,30,40,50,60,62,64,66,68,70,72,74,76,78,80,85,90,95,100})</f>
        <v>95</v>
      </c>
      <c r="G751" s="12">
        <v>185</v>
      </c>
      <c r="H751" s="11">
        <f>LOOKUP(G751,{0,124,129,134,139,144,149,152,155,158,161,164,167,170,173,176,179,186,193,199,205},{0,10,20,30,40,50,60,62,64,66,68,70,72,74,76,78,80,85,90,95,100})</f>
        <v>80</v>
      </c>
      <c r="I751" s="12">
        <v>22</v>
      </c>
      <c r="J751" s="11">
        <f>LOOKUP(I751,{0,14,16,18,20,22,24,26,28,30,32,34,36,38,40,42,44,47,50,52,54},{0,10,20,30,40,50,60,62,64,66,68,70,72,74,76,78,80,85,90,95,100})</f>
        <v>50</v>
      </c>
      <c r="K751" s="12"/>
      <c r="L751" s="12"/>
      <c r="M751" s="12">
        <f t="shared" si="355"/>
        <v>50</v>
      </c>
      <c r="N751" s="12">
        <v>8</v>
      </c>
      <c r="O751" s="12">
        <f t="shared" si="354"/>
        <v>4</v>
      </c>
      <c r="P751" s="11">
        <f>LOOKUP(O751,{0,0.5,0.7,0.9,1.1,1.3,1.5,1.7,1.9,2.1,2.3,2.5,2.7,2.9,3.1,3.3,3.5,3.8,4.1,4.2,4.3},{0,10,20,30,40,50,60,62,64,66,68,70,72,74,76,78,80,85,90,95,100})</f>
        <v>85</v>
      </c>
      <c r="Q751" s="12">
        <v>3.59</v>
      </c>
      <c r="R751" s="12">
        <f t="shared" si="356"/>
        <v>6.41</v>
      </c>
      <c r="S751" s="11">
        <f>LOOKUP(R751,{0,4.72,4.82,4.92,5.42,5.52,5.62,5.67,5.72,5.77,5.82,5.87,5.92,5.97,6.42,6.47,6.52,6.59,6.66,6.72,6.78},{0,10,20,30,40,50,60,62,64,66,68,70,72,74,76,78,80,85,90,95,100})</f>
        <v>74</v>
      </c>
      <c r="T751" s="12"/>
      <c r="U751" s="12"/>
      <c r="V751" s="12">
        <f t="shared" si="357"/>
        <v>74</v>
      </c>
      <c r="W751" s="12"/>
      <c r="X751" s="20">
        <f t="shared" si="353"/>
        <v>54.3</v>
      </c>
      <c r="Y751" s="20">
        <f t="shared" si="358"/>
        <v>77.5714285714286</v>
      </c>
    </row>
    <row r="752" ht="15.6" hidden="1" outlineLevel="2" spans="1:25">
      <c r="A752" s="12">
        <v>215</v>
      </c>
      <c r="B752" s="12">
        <v>41</v>
      </c>
      <c r="C752" s="6" t="s">
        <v>831</v>
      </c>
      <c r="D752" s="6" t="s">
        <v>53</v>
      </c>
      <c r="E752" s="12">
        <v>26</v>
      </c>
      <c r="F752" s="11">
        <f>LOOKUP(E752,{0,1,1.8,2.6,3.4,4.2,5,6.3,7.6,8.9,10.2,11.5,12.8,14.1,15.4,16.7,18,19.7,21.4,23.1,24.8},{0,10,20,30,40,50,60,62,64,66,68,70,72,74,76,78,80,85,90,95,100})</f>
        <v>100</v>
      </c>
      <c r="G752" s="12">
        <v>182</v>
      </c>
      <c r="H752" s="11">
        <f>LOOKUP(G752,{0,124,129,134,139,144,149,152,155,158,161,164,167,170,173,176,179,186,193,199,205},{0,10,20,30,40,50,60,62,64,66,68,70,72,74,76,78,80,85,90,95,100})</f>
        <v>80</v>
      </c>
      <c r="I752" s="12">
        <v>40</v>
      </c>
      <c r="J752" s="11">
        <f>LOOKUP(I752,{0,14,16,18,20,22,24,26,28,30,32,34,36,38,40,42,44,47,50,52,54},{0,10,20,30,40,50,60,62,64,66,68,70,72,74,76,78,80,85,90,95,100})</f>
        <v>76</v>
      </c>
      <c r="K752" s="12"/>
      <c r="L752" s="12"/>
      <c r="M752" s="12">
        <f t="shared" si="355"/>
        <v>76</v>
      </c>
      <c r="N752" s="12">
        <v>8.6</v>
      </c>
      <c r="O752" s="12">
        <f t="shared" si="354"/>
        <v>3.4</v>
      </c>
      <c r="P752" s="11">
        <f>LOOKUP(O752,{0,0.5,0.7,0.9,1.1,1.3,1.5,1.7,1.9,2.1,2.3,2.5,2.7,2.9,3.1,3.3,3.5,3.8,4.1,4.2,4.3},{0,10,20,30,40,50,60,62,64,66,68,70,72,74,76,78,80,85,90,95,100})</f>
        <v>78</v>
      </c>
      <c r="Q752" s="12">
        <v>3.46</v>
      </c>
      <c r="R752" s="12">
        <f t="shared" si="356"/>
        <v>6.54</v>
      </c>
      <c r="S752" s="11">
        <f>LOOKUP(R752,{0,4.72,4.82,4.92,5.42,5.52,5.62,5.67,5.72,5.77,5.82,5.87,5.92,5.97,6.42,6.47,6.52,6.59,6.66,6.72,6.78},{0,10,20,30,40,50,60,62,64,66,68,70,72,74,76,78,80,85,90,95,100})</f>
        <v>80</v>
      </c>
      <c r="T752" s="12"/>
      <c r="U752" s="12"/>
      <c r="V752" s="12">
        <f t="shared" si="357"/>
        <v>80</v>
      </c>
      <c r="W752" s="12"/>
      <c r="X752" s="20">
        <f t="shared" si="353"/>
        <v>57.2</v>
      </c>
      <c r="Y752" s="20">
        <f t="shared" si="358"/>
        <v>81.7142857142857</v>
      </c>
    </row>
    <row r="753" ht="15.6" hidden="1" outlineLevel="2" spans="1:25">
      <c r="A753" s="12">
        <v>215</v>
      </c>
      <c r="B753" s="12">
        <v>42</v>
      </c>
      <c r="C753" s="6" t="s">
        <v>832</v>
      </c>
      <c r="D753" s="6" t="s">
        <v>53</v>
      </c>
      <c r="E753" s="12">
        <v>11</v>
      </c>
      <c r="F753" s="11">
        <f>LOOKUP(E753,{0,1,1.8,2.6,3.4,4.2,5,6.3,7.6,8.9,10.2,11.5,12.8,14.1,15.4,16.7,18,19.7,21.4,23.1,24.8},{0,10,20,30,40,50,60,62,64,66,68,70,72,74,76,78,80,85,90,95,100})</f>
        <v>68</v>
      </c>
      <c r="G753" s="12">
        <v>182</v>
      </c>
      <c r="H753" s="11">
        <f>LOOKUP(G753,{0,124,129,134,139,144,149,152,155,158,161,164,167,170,173,176,179,186,193,199,205},{0,10,20,30,40,50,60,62,64,66,68,70,72,74,76,78,80,85,90,95,100})</f>
        <v>80</v>
      </c>
      <c r="I753" s="12">
        <v>53</v>
      </c>
      <c r="J753" s="11">
        <f>LOOKUP(I753,{0,14,16,18,20,22,24,26,28,30,32,34,36,38,40,42,44,47,50,52,54},{0,10,20,30,40,50,60,62,64,66,68,70,72,74,76,78,80,85,90,95,100})</f>
        <v>95</v>
      </c>
      <c r="K753" s="12"/>
      <c r="L753" s="12"/>
      <c r="M753" s="12">
        <f t="shared" si="355"/>
        <v>95</v>
      </c>
      <c r="N753" s="12">
        <v>7.9</v>
      </c>
      <c r="O753" s="12">
        <f t="shared" si="354"/>
        <v>4.1</v>
      </c>
      <c r="P753" s="11">
        <f>LOOKUP(O753,{0,0.5,0.7,0.9,1.1,1.3,1.5,1.7,1.9,2.1,2.3,2.5,2.7,2.9,3.1,3.3,3.5,3.8,4.1,4.2,4.3},{0,10,20,30,40,50,60,62,64,66,68,70,72,74,76,78,80,85,90,95,100})</f>
        <v>90</v>
      </c>
      <c r="Q753" s="12">
        <v>3.23</v>
      </c>
      <c r="R753" s="12">
        <f t="shared" si="356"/>
        <v>6.77</v>
      </c>
      <c r="S753" s="11">
        <f>LOOKUP(R753,{0,4.72,4.82,4.92,5.42,5.52,5.62,5.67,5.72,5.77,5.82,5.87,5.92,5.97,6.42,6.47,6.52,6.59,6.66,6.72,6.78},{0,10,20,30,40,50,60,62,64,66,68,70,72,74,76,78,80,85,90,95,100})</f>
        <v>95</v>
      </c>
      <c r="T753" s="12"/>
      <c r="U753" s="12"/>
      <c r="V753" s="12">
        <f t="shared" si="357"/>
        <v>95</v>
      </c>
      <c r="W753" s="12"/>
      <c r="X753" s="20">
        <f t="shared" si="353"/>
        <v>61.3</v>
      </c>
      <c r="Y753" s="20">
        <f t="shared" si="358"/>
        <v>87.5714285714286</v>
      </c>
    </row>
    <row r="754" ht="15.6" hidden="1" outlineLevel="2" spans="1:25">
      <c r="A754" s="12">
        <v>215</v>
      </c>
      <c r="B754" s="12">
        <v>43</v>
      </c>
      <c r="C754" s="6" t="s">
        <v>833</v>
      </c>
      <c r="D754" s="6" t="s">
        <v>53</v>
      </c>
      <c r="E754" s="12">
        <v>13.5</v>
      </c>
      <c r="F754" s="11">
        <f>LOOKUP(E754,{0,1,1.8,2.6,3.4,4.2,5,6.3,7.6,8.9,10.2,11.5,12.8,14.1,15.4,16.7,18,19.7,21.4,23.1,24.8},{0,10,20,30,40,50,60,62,64,66,68,70,72,74,76,78,80,85,90,95,100})</f>
        <v>72</v>
      </c>
      <c r="G754" s="12">
        <v>160</v>
      </c>
      <c r="H754" s="11">
        <f>LOOKUP(G754,{0,124,129,134,139,144,149,152,155,158,161,164,167,170,173,176,179,186,193,199,205},{0,10,20,30,40,50,60,62,64,66,68,70,72,74,76,78,80,85,90,95,100})</f>
        <v>66</v>
      </c>
      <c r="I754" s="12">
        <v>65</v>
      </c>
      <c r="J754" s="11">
        <f>LOOKUP(I754,{0,14,16,18,20,22,24,26,28,30,32,34,36,38,40,42,44,47,50,52,54},{0,10,20,30,40,50,60,62,64,66,68,70,72,74,76,78,80,85,90,95,100})</f>
        <v>100</v>
      </c>
      <c r="K754" s="12">
        <f>I754-54</f>
        <v>11</v>
      </c>
      <c r="L754" s="11">
        <f>LOOKUP(K754,{0,2,4,6,7,8,9,10,11,12,13},{0,1,2,3,4,5,6,7,8,9,10})</f>
        <v>8</v>
      </c>
      <c r="M754" s="12">
        <f t="shared" si="355"/>
        <v>108</v>
      </c>
      <c r="N754" s="12">
        <v>9</v>
      </c>
      <c r="O754" s="12">
        <f t="shared" si="354"/>
        <v>3</v>
      </c>
      <c r="P754" s="11">
        <f>LOOKUP(O754,{0,0.5,0.7,0.9,1.1,1.3,1.5,1.7,1.9,2.1,2.3,2.5,2.7,2.9,3.1,3.3,3.5,3.8,4.1,4.2,4.3},{0,10,20,30,40,50,60,62,64,66,68,70,72,74,76,78,80,85,90,95,100})</f>
        <v>74</v>
      </c>
      <c r="Q754" s="12">
        <v>3.26</v>
      </c>
      <c r="R754" s="12">
        <f t="shared" si="356"/>
        <v>6.74</v>
      </c>
      <c r="S754" s="11">
        <f>LOOKUP(R754,{0,4.72,4.82,4.92,5.42,5.52,5.62,5.67,5.72,5.77,5.82,5.87,5.92,5.97,6.42,6.47,6.52,6.59,6.66,6.72,6.78},{0,10,20,30,40,50,60,62,64,66,68,70,72,74,76,78,80,85,90,95,100})</f>
        <v>95</v>
      </c>
      <c r="T754" s="12"/>
      <c r="U754" s="12"/>
      <c r="V754" s="12">
        <f t="shared" si="357"/>
        <v>95</v>
      </c>
      <c r="W754" s="12"/>
      <c r="X754" s="20">
        <f t="shared" si="353"/>
        <v>57.6</v>
      </c>
      <c r="Y754" s="20">
        <f t="shared" si="358"/>
        <v>90.2857142857143</v>
      </c>
    </row>
    <row r="755" ht="15.6" hidden="1" outlineLevel="2" spans="1:25">
      <c r="A755" s="12">
        <v>215</v>
      </c>
      <c r="B755" s="12">
        <v>44</v>
      </c>
      <c r="C755" s="6" t="s">
        <v>834</v>
      </c>
      <c r="D755" s="6" t="s">
        <v>53</v>
      </c>
      <c r="E755" s="12">
        <v>23</v>
      </c>
      <c r="F755" s="11">
        <f>LOOKUP(E755,{0,1,1.8,2.6,3.4,4.2,5,6.3,7.6,8.9,10.2,11.5,12.8,14.1,15.4,16.7,18,19.7,21.4,23.1,24.8},{0,10,20,30,40,50,60,62,64,66,68,70,72,74,76,78,80,85,90,95,100})</f>
        <v>90</v>
      </c>
      <c r="G755" s="12">
        <v>162</v>
      </c>
      <c r="H755" s="11">
        <f>LOOKUP(G755,{0,124,129,134,139,144,149,152,155,158,161,164,167,170,173,176,179,186,193,199,205},{0,10,20,30,40,50,60,62,64,66,68,70,72,74,76,78,80,85,90,95,100})</f>
        <v>68</v>
      </c>
      <c r="I755" s="12">
        <v>55</v>
      </c>
      <c r="J755" s="11">
        <f>LOOKUP(I755,{0,14,16,18,20,22,24,26,28,30,32,34,36,38,40,42,44,47,50,52,54},{0,10,20,30,40,50,60,62,64,66,68,70,72,74,76,78,80,85,90,95,100})</f>
        <v>100</v>
      </c>
      <c r="K755" s="12">
        <f>I755-54</f>
        <v>1</v>
      </c>
      <c r="L755" s="11">
        <f>LOOKUP(K755,{0,2,4,6,7,8,9,10,11,12,13},{0,1,2,3,4,5,6,7,8,9,10})</f>
        <v>0</v>
      </c>
      <c r="M755" s="12">
        <f t="shared" si="355"/>
        <v>100</v>
      </c>
      <c r="N755" s="12">
        <v>9</v>
      </c>
      <c r="O755" s="12">
        <f t="shared" si="354"/>
        <v>3</v>
      </c>
      <c r="P755" s="11">
        <f>LOOKUP(O755,{0,0.5,0.7,0.9,1.1,1.3,1.5,1.7,1.9,2.1,2.3,2.5,2.7,2.9,3.1,3.3,3.5,3.8,4.1,4.2,4.3},{0,10,20,30,40,50,60,62,64,66,68,70,72,74,76,78,80,85,90,95,100})</f>
        <v>74</v>
      </c>
      <c r="Q755" s="12">
        <v>3.4</v>
      </c>
      <c r="R755" s="12">
        <f t="shared" si="356"/>
        <v>6.6</v>
      </c>
      <c r="S755" s="11">
        <f>LOOKUP(R755,{0,4.72,4.82,4.92,5.42,5.52,5.62,5.67,5.72,5.77,5.82,5.87,5.92,5.97,6.42,6.47,6.52,6.59,6.66,6.72,6.78},{0,10,20,30,40,50,60,62,64,66,68,70,72,74,76,78,80,85,90,95,100})</f>
        <v>85</v>
      </c>
      <c r="T755" s="12"/>
      <c r="U755" s="12"/>
      <c r="V755" s="12">
        <f t="shared" si="357"/>
        <v>85</v>
      </c>
      <c r="W755" s="12"/>
      <c r="X755" s="20">
        <f t="shared" si="353"/>
        <v>57.6</v>
      </c>
      <c r="Y755" s="20">
        <f t="shared" si="358"/>
        <v>82.2857142857143</v>
      </c>
    </row>
    <row r="756" ht="15.6" hidden="1" outlineLevel="2" spans="1:25">
      <c r="A756" s="12">
        <v>215</v>
      </c>
      <c r="B756" s="12">
        <v>45</v>
      </c>
      <c r="C756" s="6" t="s">
        <v>835</v>
      </c>
      <c r="D756" s="6" t="s">
        <v>53</v>
      </c>
      <c r="E756" s="12">
        <v>17</v>
      </c>
      <c r="F756" s="11">
        <f>LOOKUP(E756,{0,1,1.8,2.6,3.4,4.2,5,6.3,7.6,8.9,10.2,11.5,12.8,14.1,15.4,16.7,18,19.7,21.4,23.1,24.8},{0,10,20,30,40,50,60,62,64,66,68,70,72,74,76,78,80,85,90,95,100})</f>
        <v>78</v>
      </c>
      <c r="G756" s="12">
        <v>158</v>
      </c>
      <c r="H756" s="11">
        <f>LOOKUP(G756,{0,124,129,134,139,144,149,152,155,158,161,164,167,170,173,176,179,186,193,199,205},{0,10,20,30,40,50,60,62,64,66,68,70,72,74,76,78,80,85,90,95,100})</f>
        <v>66</v>
      </c>
      <c r="I756" s="12">
        <v>50</v>
      </c>
      <c r="J756" s="11">
        <f>LOOKUP(I756,{0,14,16,18,20,22,24,26,28,30,32,34,36,38,40,42,44,47,50,52,54},{0,10,20,30,40,50,60,62,64,66,68,70,72,74,76,78,80,85,90,95,100})</f>
        <v>90</v>
      </c>
      <c r="K756" s="12"/>
      <c r="L756" s="12"/>
      <c r="M756" s="12">
        <f t="shared" si="355"/>
        <v>90</v>
      </c>
      <c r="N756" s="12">
        <v>9</v>
      </c>
      <c r="O756" s="12">
        <f t="shared" si="354"/>
        <v>3</v>
      </c>
      <c r="P756" s="11">
        <f>LOOKUP(O756,{0,0.5,0.7,0.9,1.1,1.3,1.5,1.7,1.9,2.1,2.3,2.5,2.7,2.9,3.1,3.3,3.5,3.8,4.1,4.2,4.3},{0,10,20,30,40,50,60,62,64,66,68,70,72,74,76,78,80,85,90,95,100})</f>
        <v>74</v>
      </c>
      <c r="Q756" s="12">
        <v>3.4</v>
      </c>
      <c r="R756" s="12">
        <f t="shared" si="356"/>
        <v>6.6</v>
      </c>
      <c r="S756" s="11">
        <f>LOOKUP(R756,{0,4.72,4.82,4.92,5.42,5.52,5.62,5.67,5.72,5.77,5.82,5.87,5.92,5.97,6.42,6.47,6.52,6.59,6.66,6.72,6.78},{0,10,20,30,40,50,60,62,64,66,68,70,72,74,76,78,80,85,90,95,100})</f>
        <v>85</v>
      </c>
      <c r="T756" s="12"/>
      <c r="U756" s="12"/>
      <c r="V756" s="12">
        <f t="shared" si="357"/>
        <v>85</v>
      </c>
      <c r="W756" s="12"/>
      <c r="X756" s="20">
        <f t="shared" si="353"/>
        <v>55.2</v>
      </c>
      <c r="Y756" s="20">
        <f t="shared" si="358"/>
        <v>78.8571428571429</v>
      </c>
    </row>
    <row r="757" ht="15.6" hidden="1" outlineLevel="2" spans="1:25">
      <c r="A757" s="12">
        <v>215</v>
      </c>
      <c r="B757" s="12">
        <v>46</v>
      </c>
      <c r="C757" s="13" t="s">
        <v>837</v>
      </c>
      <c r="D757" s="6" t="s">
        <v>53</v>
      </c>
      <c r="E757" s="12">
        <v>22.2</v>
      </c>
      <c r="F757" s="11">
        <f>LOOKUP(E757,{0,1,1.8,2.6,3.4,4.2,5,6.3,7.6,8.9,10.2,11.5,12.8,14.1,15.4,16.7,18,19.7,21.4,23.1,24.8},{0,10,20,30,40,50,60,62,64,66,68,70,72,74,76,78,80,85,90,95,100})</f>
        <v>90</v>
      </c>
      <c r="G757" s="12">
        <v>180</v>
      </c>
      <c r="H757" s="11">
        <f>LOOKUP(G757,{0,124,129,134,139,144,149,152,155,158,161,164,167,170,173,176,179,186,193,199,205},{0,10,20,30,40,50,60,62,64,66,68,70,72,74,76,78,80,85,90,95,100})</f>
        <v>80</v>
      </c>
      <c r="I757" s="12">
        <v>40</v>
      </c>
      <c r="J757" s="11">
        <f>LOOKUP(I757,{0,14,16,18,20,22,24,26,28,30,32,34,36,38,40,42,44,47,50,52,54},{0,10,20,30,40,50,60,62,64,66,68,70,72,74,76,78,80,85,90,95,100})</f>
        <v>76</v>
      </c>
      <c r="K757" s="12"/>
      <c r="L757" s="12"/>
      <c r="M757" s="12">
        <f t="shared" si="355"/>
        <v>76</v>
      </c>
      <c r="N757" s="12">
        <v>8.8</v>
      </c>
      <c r="O757" s="12">
        <f t="shared" si="354"/>
        <v>3.2</v>
      </c>
      <c r="P757" s="11">
        <f>LOOKUP(O757,{0,0.5,0.7,0.9,1.1,1.3,1.5,1.7,1.9,2.1,2.3,2.5,2.7,2.9,3.1,3.3,3.5,3.8,4.1,4.2,4.3},{0,10,20,30,40,50,60,62,64,66,68,70,72,74,76,78,80,85,90,95,100})</f>
        <v>76</v>
      </c>
      <c r="Q757" s="12">
        <v>3.45</v>
      </c>
      <c r="R757" s="12">
        <f t="shared" si="356"/>
        <v>6.55</v>
      </c>
      <c r="S757" s="11">
        <f>LOOKUP(R757,{0,4.72,4.82,4.92,5.42,5.52,5.62,5.67,5.72,5.77,5.82,5.87,5.92,5.97,6.42,6.47,6.52,6.59,6.66,6.72,6.78},{0,10,20,30,40,50,60,62,64,66,68,70,72,74,76,78,80,85,90,95,100})</f>
        <v>80</v>
      </c>
      <c r="T757" s="12"/>
      <c r="U757" s="12"/>
      <c r="V757" s="12">
        <f t="shared" si="357"/>
        <v>80</v>
      </c>
      <c r="W757" s="12"/>
      <c r="X757" s="20">
        <f t="shared" si="353"/>
        <v>55.8</v>
      </c>
      <c r="Y757" s="20">
        <f t="shared" si="358"/>
        <v>79.7142857142857</v>
      </c>
    </row>
    <row r="758" ht="15.6" hidden="1" outlineLevel="2" spans="1:25">
      <c r="A758" s="12">
        <v>215</v>
      </c>
      <c r="B758" s="12">
        <v>47</v>
      </c>
      <c r="C758" s="6" t="s">
        <v>838</v>
      </c>
      <c r="D758" s="6" t="s">
        <v>53</v>
      </c>
      <c r="E758" s="12">
        <v>20.4</v>
      </c>
      <c r="F758" s="11">
        <f>LOOKUP(E758,{0,1,1.8,2.6,3.4,4.2,5,6.3,7.6,8.9,10.2,11.5,12.8,14.1,15.4,16.7,18,19.7,21.4,23.1,24.8},{0,10,20,30,40,50,60,62,64,66,68,70,72,74,76,78,80,85,90,95,100})</f>
        <v>85</v>
      </c>
      <c r="G758" s="12">
        <v>205</v>
      </c>
      <c r="H758" s="11">
        <f>LOOKUP(G758,{0,124,129,134,139,144,149,152,155,158,161,164,167,170,173,176,179,186,193,199,205},{0,10,20,30,40,50,60,62,64,66,68,70,72,74,76,78,80,85,90,95,100})</f>
        <v>100</v>
      </c>
      <c r="I758" s="12">
        <v>53</v>
      </c>
      <c r="J758" s="11">
        <f>LOOKUP(I758,{0,14,16,18,20,22,24,26,28,30,32,34,36,38,40,42,44,47,50,52,54},{0,10,20,30,40,50,60,62,64,66,68,70,72,74,76,78,80,85,90,95,100})</f>
        <v>95</v>
      </c>
      <c r="K758" s="12"/>
      <c r="L758" s="12"/>
      <c r="M758" s="12">
        <f t="shared" si="355"/>
        <v>95</v>
      </c>
      <c r="N758" s="12">
        <v>8.3</v>
      </c>
      <c r="O758" s="12">
        <f t="shared" si="354"/>
        <v>3.7</v>
      </c>
      <c r="P758" s="11">
        <f>LOOKUP(O758,{0,0.5,0.7,0.9,1.1,1.3,1.5,1.7,1.9,2.1,2.3,2.5,2.7,2.9,3.1,3.3,3.5,3.8,4.1,4.2,4.3},{0,10,20,30,40,50,60,62,64,66,68,70,72,74,76,78,80,85,90,95,100})</f>
        <v>80</v>
      </c>
      <c r="Q758" s="12">
        <v>3.44</v>
      </c>
      <c r="R758" s="12">
        <f t="shared" si="356"/>
        <v>6.56</v>
      </c>
      <c r="S758" s="11">
        <f>LOOKUP(R758,{0,4.72,4.82,4.92,5.42,5.52,5.62,5.67,5.72,5.77,5.82,5.87,5.92,5.97,6.42,6.47,6.52,6.59,6.66,6.72,6.78},{0,10,20,30,40,50,60,62,64,66,68,70,72,74,76,78,80,85,90,95,100})</f>
        <v>80</v>
      </c>
      <c r="T758" s="12"/>
      <c r="U758" s="12"/>
      <c r="V758" s="12">
        <f t="shared" si="357"/>
        <v>80</v>
      </c>
      <c r="W758" s="12"/>
      <c r="X758" s="20">
        <f t="shared" si="353"/>
        <v>60</v>
      </c>
      <c r="Y758" s="20">
        <f t="shared" si="358"/>
        <v>85.7142857142857</v>
      </c>
    </row>
    <row r="759" ht="15.6" hidden="1" outlineLevel="2" spans="1:25">
      <c r="A759" s="12">
        <v>215</v>
      </c>
      <c r="B759" s="12">
        <v>48</v>
      </c>
      <c r="C759" s="6" t="s">
        <v>839</v>
      </c>
      <c r="D759" s="6" t="s">
        <v>53</v>
      </c>
      <c r="E759" s="12">
        <v>7</v>
      </c>
      <c r="F759" s="11">
        <f>LOOKUP(E759,{0,1,1.8,2.6,3.4,4.2,5,6.3,7.6,8.9,10.2,11.5,12.8,14.1,15.4,16.7,18,19.7,21.4,23.1,24.8},{0,10,20,30,40,50,60,62,64,66,68,70,72,74,76,78,80,85,90,95,100})</f>
        <v>62</v>
      </c>
      <c r="G759" s="12">
        <v>159</v>
      </c>
      <c r="H759" s="11">
        <f>LOOKUP(G759,{0,124,129,134,139,144,149,152,155,158,161,164,167,170,173,176,179,186,193,199,205},{0,10,20,30,40,50,60,62,64,66,68,70,72,74,76,78,80,85,90,95,100})</f>
        <v>66</v>
      </c>
      <c r="I759" s="12">
        <v>38</v>
      </c>
      <c r="J759" s="11">
        <f>LOOKUP(I759,{0,14,16,18,20,22,24,26,28,30,32,34,36,38,40,42,44,47,50,52,54},{0,10,20,30,40,50,60,62,64,66,68,70,72,74,76,78,80,85,90,95,100})</f>
        <v>74</v>
      </c>
      <c r="K759" s="12"/>
      <c r="L759" s="12"/>
      <c r="M759" s="12">
        <f t="shared" si="355"/>
        <v>74</v>
      </c>
      <c r="N759" s="12">
        <v>9.4</v>
      </c>
      <c r="O759" s="12">
        <f t="shared" si="354"/>
        <v>2.6</v>
      </c>
      <c r="P759" s="11">
        <f>LOOKUP(O759,{0,0.5,0.7,0.9,1.1,1.3,1.5,1.7,1.9,2.1,2.3,2.5,2.7,2.9,3.1,3.3,3.5,3.8,4.1,4.2,4.3},{0,10,20,30,40,50,60,62,64,66,68,70,72,74,76,78,80,85,90,95,100})</f>
        <v>70</v>
      </c>
      <c r="Q759" s="12">
        <v>4.1</v>
      </c>
      <c r="R759" s="12">
        <f t="shared" si="356"/>
        <v>5.9</v>
      </c>
      <c r="S759" s="11">
        <f>LOOKUP(R759,{0,4.72,4.82,4.92,5.42,5.52,5.62,5.67,5.72,5.77,5.82,5.87,5.92,5.97,6.42,6.47,6.52,6.59,6.66,6.72,6.78},{0,10,20,30,40,50,60,62,64,66,68,70,72,74,76,78,80,85,90,95,100})</f>
        <v>70</v>
      </c>
      <c r="T759" s="12"/>
      <c r="U759" s="12"/>
      <c r="V759" s="12">
        <f t="shared" si="357"/>
        <v>70</v>
      </c>
      <c r="W759" s="12"/>
      <c r="X759" s="20">
        <f t="shared" si="353"/>
        <v>48.2</v>
      </c>
      <c r="Y759" s="20">
        <f t="shared" si="358"/>
        <v>68.8571428571429</v>
      </c>
    </row>
    <row r="760" s="1" customFormat="1" ht="15.6" hidden="1" outlineLevel="2" spans="1:25">
      <c r="A760" s="12">
        <v>215</v>
      </c>
      <c r="B760" s="12">
        <v>49</v>
      </c>
      <c r="C760" s="6" t="s">
        <v>840</v>
      </c>
      <c r="D760" s="6" t="s">
        <v>53</v>
      </c>
      <c r="E760" s="12">
        <v>21.5</v>
      </c>
      <c r="F760" s="11">
        <f>LOOKUP(E760,{0,1,1.8,2.6,3.4,4.2,5,6.3,7.6,8.9,10.2,11.5,12.8,14.1,15.4,16.7,18,19.7,21.4,23.1,24.8},{0,10,20,30,40,50,60,62,64,66,68,70,72,74,76,78,80,85,90,95,100})</f>
        <v>90</v>
      </c>
      <c r="G760" s="12">
        <v>166</v>
      </c>
      <c r="H760" s="11">
        <f>LOOKUP(G760,{0,124,129,134,139,144,149,152,155,158,161,164,167,170,173,176,179,186,193,199,205},{0,10,20,30,40,50,60,62,64,66,68,70,72,74,76,78,80,85,90,95,100})</f>
        <v>70</v>
      </c>
      <c r="I760" s="12">
        <v>44</v>
      </c>
      <c r="J760" s="11">
        <f>LOOKUP(I760,{0,14,16,18,20,22,24,26,28,30,32,34,36,38,40,42,44,47,50,52,54},{0,10,20,30,40,50,60,62,64,66,68,70,72,74,76,78,80,85,90,95,100})</f>
        <v>80</v>
      </c>
      <c r="K760" s="12"/>
      <c r="L760" s="12"/>
      <c r="M760" s="12">
        <f t="shared" si="355"/>
        <v>80</v>
      </c>
      <c r="N760" s="12">
        <v>8.3</v>
      </c>
      <c r="O760" s="12">
        <f t="shared" si="354"/>
        <v>3.7</v>
      </c>
      <c r="P760" s="11">
        <f>LOOKUP(O760,{0,0.5,0.7,0.9,1.1,1.3,1.5,1.7,1.9,2.1,2.3,2.5,2.7,2.9,3.1,3.3,3.5,3.8,4.1,4.2,4.3},{0,10,20,30,40,50,60,62,64,66,68,70,72,74,76,78,80,85,90,95,100})</f>
        <v>80</v>
      </c>
      <c r="Q760" s="12">
        <v>4.05</v>
      </c>
      <c r="R760" s="12">
        <f t="shared" si="356"/>
        <v>5.95</v>
      </c>
      <c r="S760" s="11">
        <f>LOOKUP(R760,{0,4.72,4.82,4.92,5.42,5.52,5.62,5.67,5.72,5.77,5.82,5.87,5.92,5.97,6.42,6.47,6.52,6.59,6.66,6.72,6.78},{0,10,20,30,40,50,60,62,64,66,68,70,72,74,76,78,80,85,90,95,100})</f>
        <v>72</v>
      </c>
      <c r="T760" s="12"/>
      <c r="U760" s="12"/>
      <c r="V760" s="12">
        <f t="shared" si="357"/>
        <v>72</v>
      </c>
      <c r="W760" s="12"/>
      <c r="X760" s="20">
        <f t="shared" si="353"/>
        <v>54.4</v>
      </c>
      <c r="Y760" s="20">
        <f t="shared" si="358"/>
        <v>77.7142857142857</v>
      </c>
    </row>
    <row r="761" ht="15.6" hidden="1" outlineLevel="2" spans="1:25">
      <c r="A761" s="12">
        <v>215</v>
      </c>
      <c r="B761" s="12">
        <v>50</v>
      </c>
      <c r="C761" s="6" t="s">
        <v>841</v>
      </c>
      <c r="D761" s="6" t="s">
        <v>53</v>
      </c>
      <c r="E761" s="12">
        <v>24</v>
      </c>
      <c r="F761" s="11">
        <f>LOOKUP(E761,{0,1,1.8,2.6,3.4,4.2,5,6.3,7.6,8.9,10.2,11.5,12.8,14.1,15.4,16.7,18,19.7,21.4,23.1,24.8},{0,10,20,30,40,50,60,62,64,66,68,70,72,74,76,78,80,85,90,95,100})</f>
        <v>95</v>
      </c>
      <c r="G761" s="12">
        <v>134</v>
      </c>
      <c r="H761" s="11">
        <f>LOOKUP(G761,{0,124,129,134,139,144,149,152,155,158,161,164,167,170,173,176,179,186,193,199,205},{0,10,20,30,40,50,60,62,64,66,68,70,72,74,76,78,80,85,90,95,100})</f>
        <v>30</v>
      </c>
      <c r="I761" s="12">
        <v>45</v>
      </c>
      <c r="J761" s="11">
        <f>LOOKUP(I761,{0,14,16,18,20,22,24,26,28,30,32,34,36,38,40,42,44,47,50,52,54},{0,10,20,30,40,50,60,62,64,66,68,70,72,74,76,78,80,85,90,95,100})</f>
        <v>80</v>
      </c>
      <c r="K761" s="12"/>
      <c r="L761" s="12"/>
      <c r="M761" s="12">
        <f t="shared" si="355"/>
        <v>80</v>
      </c>
      <c r="N761" s="12">
        <v>9.3</v>
      </c>
      <c r="O761" s="12">
        <f t="shared" si="354"/>
        <v>2.7</v>
      </c>
      <c r="P761" s="11">
        <f>LOOKUP(O761,{0,0.5,0.7,0.9,1.1,1.3,1.5,1.7,1.9,2.1,2.3,2.5,2.7,2.9,3.1,3.3,3.5,3.8,4.1,4.2,4.3},{0,10,20,30,40,50,60,62,64,66,68,70,72,74,76,78,80,85,90,95,100})</f>
        <v>72</v>
      </c>
      <c r="Q761" s="12">
        <v>4.17</v>
      </c>
      <c r="R761" s="12">
        <f t="shared" si="356"/>
        <v>5.83</v>
      </c>
      <c r="S761" s="11">
        <f>LOOKUP(R761,{0,4.72,4.82,4.92,5.42,5.52,5.62,5.67,5.72,5.77,5.82,5.87,5.92,5.97,6.42,6.47,6.52,6.59,6.66,6.72,6.78},{0,10,20,30,40,50,60,62,64,66,68,70,72,74,76,78,80,85,90,95,100})</f>
        <v>68</v>
      </c>
      <c r="T761" s="12"/>
      <c r="U761" s="12"/>
      <c r="V761" s="12">
        <f t="shared" si="357"/>
        <v>68</v>
      </c>
      <c r="W761" s="12"/>
      <c r="X761" s="20">
        <f t="shared" si="353"/>
        <v>48.5</v>
      </c>
      <c r="Y761" s="20">
        <f t="shared" si="358"/>
        <v>69.2857142857143</v>
      </c>
    </row>
    <row r="762" ht="15.6" hidden="1" outlineLevel="2" spans="1:25">
      <c r="A762" s="12">
        <v>215</v>
      </c>
      <c r="B762" s="12">
        <v>51</v>
      </c>
      <c r="C762" s="6" t="s">
        <v>842</v>
      </c>
      <c r="D762" s="6" t="s">
        <v>53</v>
      </c>
      <c r="E762" s="12"/>
      <c r="F762" s="11"/>
      <c r="G762" s="12"/>
      <c r="H762" s="11"/>
      <c r="I762" s="12"/>
      <c r="J762" s="11"/>
      <c r="K762" s="12"/>
      <c r="L762" s="12"/>
      <c r="M762" s="12"/>
      <c r="N762" s="12"/>
      <c r="O762" s="12"/>
      <c r="P762" s="11"/>
      <c r="Q762" s="12"/>
      <c r="R762" s="12"/>
      <c r="S762" s="11"/>
      <c r="T762" s="21"/>
      <c r="U762" s="16"/>
      <c r="V762" s="12"/>
      <c r="W762" s="12" t="s">
        <v>617</v>
      </c>
      <c r="X762" s="20">
        <f t="shared" si="353"/>
        <v>0</v>
      </c>
      <c r="Y762" s="20">
        <v>50</v>
      </c>
    </row>
    <row r="763" ht="15.6" hidden="1" outlineLevel="2" spans="1:25">
      <c r="A763" s="12">
        <v>215</v>
      </c>
      <c r="B763" s="12">
        <v>52</v>
      </c>
      <c r="C763" s="6" t="s">
        <v>843</v>
      </c>
      <c r="D763" s="6" t="s">
        <v>53</v>
      </c>
      <c r="E763" s="12">
        <v>25</v>
      </c>
      <c r="F763" s="11">
        <f>LOOKUP(E763,{0,1,1.8,2.6,3.4,4.2,5,6.3,7.6,8.9,10.2,11.5,12.8,14.1,15.4,16.7,18,19.7,21.4,23.1,24.8},{0,10,20,30,40,50,60,62,64,66,68,70,72,74,76,78,80,85,90,95,100})</f>
        <v>100</v>
      </c>
      <c r="G763" s="12">
        <v>174</v>
      </c>
      <c r="H763" s="11">
        <f>LOOKUP(G763,{0,124,129,134,139,144,149,152,155,158,161,164,167,170,173,176,179,186,193,199,205},{0,10,20,30,40,50,60,62,64,66,68,70,72,74,76,78,80,85,90,95,100})</f>
        <v>76</v>
      </c>
      <c r="I763" s="12">
        <v>51</v>
      </c>
      <c r="J763" s="11">
        <f>LOOKUP(I763,{0,14,16,18,20,22,24,26,28,30,32,34,36,38,40,42,44,47,50,52,54},{0,10,20,30,40,50,60,62,64,66,68,70,72,74,76,78,80,85,90,95,100})</f>
        <v>90</v>
      </c>
      <c r="K763" s="12"/>
      <c r="L763" s="12"/>
      <c r="M763" s="12">
        <f t="shared" ref="M763:M767" si="359">J763+L763</f>
        <v>90</v>
      </c>
      <c r="N763" s="12">
        <v>8.2</v>
      </c>
      <c r="O763" s="12">
        <f t="shared" ref="O763:O767" si="360">12-N763</f>
        <v>3.8</v>
      </c>
      <c r="P763" s="11">
        <f>LOOKUP(O763,{0,0.5,0.7,0.9,1.1,1.3,1.5,1.7,1.9,2.1,2.3,2.5,2.7,2.9,3.1,3.3,3.5,3.8,4.1,4.2,4.3},{0,10,20,30,40,50,60,62,64,66,68,70,72,74,76,78,80,85,90,95,100})</f>
        <v>85</v>
      </c>
      <c r="Q763" s="12">
        <v>3.24</v>
      </c>
      <c r="R763" s="12">
        <f t="shared" ref="R763:R767" si="361">10-Q763</f>
        <v>6.76</v>
      </c>
      <c r="S763" s="11">
        <f>LOOKUP(R763,{0,4.72,4.82,4.92,5.42,5.52,5.62,5.67,5.72,5.77,5.82,5.87,5.92,5.97,6.42,6.47,6.52,6.59,6.66,6.72,6.78},{0,10,20,30,40,50,60,62,64,66,68,70,72,74,76,78,80,85,90,95,100})</f>
        <v>95</v>
      </c>
      <c r="T763" s="12"/>
      <c r="U763" s="12"/>
      <c r="V763" s="12">
        <f t="shared" ref="V763:V767" si="362">S763+U763</f>
        <v>95</v>
      </c>
      <c r="W763" s="12"/>
      <c r="X763" s="20">
        <f t="shared" si="353"/>
        <v>62.6</v>
      </c>
      <c r="Y763" s="20">
        <f t="shared" ref="Y763:Y767" si="363">X763/0.7+L763+U763</f>
        <v>89.4285714285714</v>
      </c>
    </row>
    <row r="764" ht="15.6" hidden="1" outlineLevel="2" spans="1:25">
      <c r="A764" s="12">
        <v>215</v>
      </c>
      <c r="B764" s="12">
        <v>53</v>
      </c>
      <c r="C764" s="6" t="s">
        <v>844</v>
      </c>
      <c r="D764" s="6" t="s">
        <v>53</v>
      </c>
      <c r="E764" s="12">
        <v>11.8</v>
      </c>
      <c r="F764" s="11">
        <f>LOOKUP(E764,{0,1,1.8,2.6,3.4,4.2,5,6.3,7.6,8.9,10.2,11.5,12.8,14.1,15.4,16.7,18,19.7,21.4,23.1,24.8},{0,10,20,30,40,50,60,62,64,66,68,70,72,74,76,78,80,85,90,95,100})</f>
        <v>70</v>
      </c>
      <c r="G764" s="12">
        <v>174</v>
      </c>
      <c r="H764" s="11">
        <f>LOOKUP(G764,{0,124,129,134,139,144,149,152,155,158,161,164,167,170,173,176,179,186,193,199,205},{0,10,20,30,40,50,60,62,64,66,68,70,72,74,76,78,80,85,90,95,100})</f>
        <v>76</v>
      </c>
      <c r="I764" s="12">
        <v>56</v>
      </c>
      <c r="J764" s="11">
        <f>LOOKUP(I764,{0,14,16,18,20,22,24,26,28,30,32,34,36,38,40,42,44,47,50,52,54},{0,10,20,30,40,50,60,62,64,66,68,70,72,74,76,78,80,85,90,95,100})</f>
        <v>100</v>
      </c>
      <c r="K764" s="12">
        <f>I764-54</f>
        <v>2</v>
      </c>
      <c r="L764" s="11">
        <f>LOOKUP(K764,{0,2,4,6,7,8,9,10,11,12,13},{0,1,2,3,4,5,6,7,8,9,10})</f>
        <v>1</v>
      </c>
      <c r="M764" s="12">
        <f t="shared" si="359"/>
        <v>101</v>
      </c>
      <c r="N764" s="12">
        <v>8.6</v>
      </c>
      <c r="O764" s="12">
        <f t="shared" si="360"/>
        <v>3.4</v>
      </c>
      <c r="P764" s="11">
        <f>LOOKUP(O764,{0,0.5,0.7,0.9,1.1,1.3,1.5,1.7,1.9,2.1,2.3,2.5,2.7,2.9,3.1,3.3,3.5,3.8,4.1,4.2,4.3},{0,10,20,30,40,50,60,62,64,66,68,70,72,74,76,78,80,85,90,95,100})</f>
        <v>78</v>
      </c>
      <c r="Q764" s="12">
        <v>3.5</v>
      </c>
      <c r="R764" s="12">
        <f t="shared" si="361"/>
        <v>6.5</v>
      </c>
      <c r="S764" s="11">
        <f>LOOKUP(R764,{0,4.72,4.82,4.92,5.42,5.52,5.62,5.67,5.72,5.77,5.82,5.87,5.92,5.97,6.42,6.47,6.52,6.59,6.66,6.72,6.78},{0,10,20,30,40,50,60,62,64,66,68,70,72,74,76,78,80,85,90,95,100})</f>
        <v>78</v>
      </c>
      <c r="T764" s="12"/>
      <c r="U764" s="12"/>
      <c r="V764" s="12">
        <f t="shared" si="362"/>
        <v>78</v>
      </c>
      <c r="W764" s="12"/>
      <c r="X764" s="20">
        <f t="shared" si="353"/>
        <v>55.8</v>
      </c>
      <c r="Y764" s="20">
        <f t="shared" si="363"/>
        <v>80.7142857142857</v>
      </c>
    </row>
    <row r="765" ht="15.6" hidden="1" outlineLevel="2" spans="1:25">
      <c r="A765" s="12">
        <v>215</v>
      </c>
      <c r="B765" s="12">
        <v>54</v>
      </c>
      <c r="C765" s="6" t="s">
        <v>845</v>
      </c>
      <c r="D765" s="6" t="s">
        <v>53</v>
      </c>
      <c r="E765" s="12">
        <v>13.5</v>
      </c>
      <c r="F765" s="11">
        <f>LOOKUP(E765,{0,1,1.8,2.6,3.4,4.2,5,6.3,7.6,8.9,10.2,11.5,12.8,14.1,15.4,16.7,18,19.7,21.4,23.1,24.8},{0,10,20,30,40,50,60,62,64,66,68,70,72,74,76,78,80,85,90,95,100})</f>
        <v>72</v>
      </c>
      <c r="G765" s="12">
        <v>180</v>
      </c>
      <c r="H765" s="11">
        <f>LOOKUP(G765,{0,124,129,134,139,144,149,152,155,158,161,164,167,170,173,176,179,186,193,199,205},{0,10,20,30,40,50,60,62,64,66,68,70,72,74,76,78,80,85,90,95,100})</f>
        <v>80</v>
      </c>
      <c r="I765" s="12">
        <v>42</v>
      </c>
      <c r="J765" s="11">
        <f>LOOKUP(I765,{0,14,16,18,20,22,24,26,28,30,32,34,36,38,40,42,44,47,50,52,54},{0,10,20,30,40,50,60,62,64,66,68,70,72,74,76,78,80,85,90,95,100})</f>
        <v>78</v>
      </c>
      <c r="K765" s="12"/>
      <c r="L765" s="12"/>
      <c r="M765" s="12">
        <f t="shared" si="359"/>
        <v>78</v>
      </c>
      <c r="N765" s="12">
        <v>8.7</v>
      </c>
      <c r="O765" s="12">
        <f t="shared" si="360"/>
        <v>3.3</v>
      </c>
      <c r="P765" s="11">
        <f>LOOKUP(O765,{0,0.5,0.7,0.9,1.1,1.3,1.5,1.7,1.9,2.1,2.3,2.5,2.7,2.9,3.1,3.3,3.5,3.8,4.1,4.2,4.3},{0,10,20,30,40,50,60,62,64,66,68,70,72,74,76,78,80,85,90,95,100})</f>
        <v>78</v>
      </c>
      <c r="Q765" s="12">
        <v>3.5</v>
      </c>
      <c r="R765" s="12">
        <f t="shared" si="361"/>
        <v>6.5</v>
      </c>
      <c r="S765" s="11">
        <f>LOOKUP(R765,{0,4.72,4.82,4.92,5.42,5.52,5.62,5.67,5.72,5.77,5.82,5.87,5.92,5.97,6.42,6.47,6.52,6.59,6.66,6.72,6.78},{0,10,20,30,40,50,60,62,64,66,68,70,72,74,76,78,80,85,90,95,100})</f>
        <v>78</v>
      </c>
      <c r="T765" s="12"/>
      <c r="U765" s="12"/>
      <c r="V765" s="12">
        <f t="shared" si="362"/>
        <v>78</v>
      </c>
      <c r="W765" s="12"/>
      <c r="X765" s="20">
        <f t="shared" si="353"/>
        <v>54.2</v>
      </c>
      <c r="Y765" s="20">
        <f t="shared" si="363"/>
        <v>77.4285714285714</v>
      </c>
    </row>
    <row r="766" ht="15.6" hidden="1" outlineLevel="2" spans="1:25">
      <c r="A766" s="12">
        <v>215</v>
      </c>
      <c r="B766" s="12">
        <v>55</v>
      </c>
      <c r="C766" s="6" t="s">
        <v>846</v>
      </c>
      <c r="D766" s="6" t="s">
        <v>53</v>
      </c>
      <c r="E766" s="12">
        <v>19.8</v>
      </c>
      <c r="F766" s="11">
        <f>LOOKUP(E766,{0,1,1.8,2.6,3.4,4.2,5,6.3,7.6,8.9,10.2,11.5,12.8,14.1,15.4,16.7,18,19.7,21.4,23.1,24.8},{0,10,20,30,40,50,60,62,64,66,68,70,72,74,76,78,80,85,90,95,100})</f>
        <v>85</v>
      </c>
      <c r="G766" s="12">
        <v>140</v>
      </c>
      <c r="H766" s="11">
        <f>LOOKUP(G766,{0,124,129,134,139,144,149,152,155,158,161,164,167,170,173,176,179,186,193,199,205},{0,10,20,30,40,50,60,62,64,66,68,70,72,74,76,78,80,85,90,95,100})</f>
        <v>40</v>
      </c>
      <c r="I766" s="12">
        <v>49</v>
      </c>
      <c r="J766" s="11">
        <f>LOOKUP(I766,{0,14,16,18,20,22,24,26,28,30,32,34,36,38,40,42,44,47,50,52,54},{0,10,20,30,40,50,60,62,64,66,68,70,72,74,76,78,80,85,90,95,100})</f>
        <v>85</v>
      </c>
      <c r="K766" s="12"/>
      <c r="L766" s="12"/>
      <c r="M766" s="12">
        <f t="shared" si="359"/>
        <v>85</v>
      </c>
      <c r="N766" s="12">
        <v>9.3</v>
      </c>
      <c r="O766" s="12">
        <f t="shared" si="360"/>
        <v>2.7</v>
      </c>
      <c r="P766" s="11">
        <f>LOOKUP(O766,{0,0.5,0.7,0.9,1.1,1.3,1.5,1.7,1.9,2.1,2.3,2.5,2.7,2.9,3.1,3.3,3.5,3.8,4.1,4.2,4.3},{0,10,20,30,40,50,60,62,64,66,68,70,72,74,76,78,80,85,90,95,100})</f>
        <v>72</v>
      </c>
      <c r="Q766" s="12">
        <v>3.53</v>
      </c>
      <c r="R766" s="12">
        <f t="shared" si="361"/>
        <v>6.47</v>
      </c>
      <c r="S766" s="11">
        <f>LOOKUP(R766,{0,4.72,4.82,4.92,5.42,5.52,5.62,5.67,5.72,5.77,5.82,5.87,5.92,5.97,6.42,6.47,6.52,6.59,6.66,6.72,6.78},{0,10,20,30,40,50,60,62,64,66,68,70,72,74,76,78,80,85,90,95,100})</f>
        <v>78</v>
      </c>
      <c r="T766" s="12"/>
      <c r="U766" s="12"/>
      <c r="V766" s="12">
        <f t="shared" si="362"/>
        <v>78</v>
      </c>
      <c r="W766" s="12"/>
      <c r="X766" s="20">
        <f t="shared" si="353"/>
        <v>51</v>
      </c>
      <c r="Y766" s="20">
        <f t="shared" si="363"/>
        <v>72.8571428571429</v>
      </c>
    </row>
    <row r="767" ht="15.6" hidden="1" outlineLevel="2" spans="1:25">
      <c r="A767" s="12">
        <v>215</v>
      </c>
      <c r="B767" s="12">
        <v>56</v>
      </c>
      <c r="C767" s="6" t="s">
        <v>571</v>
      </c>
      <c r="D767" s="6" t="s">
        <v>53</v>
      </c>
      <c r="E767" s="12">
        <v>21</v>
      </c>
      <c r="F767" s="11">
        <f>LOOKUP(E767,{0,1,1.8,2.6,3.4,4.2,5,6.3,7.6,8.9,10.2,11.5,12.8,14.1,15.4,16.7,18,19.7,21.4,23.1,24.8},{0,10,20,30,40,50,60,62,64,66,68,70,72,74,76,78,80,85,90,95,100})</f>
        <v>85</v>
      </c>
      <c r="G767" s="12">
        <v>160</v>
      </c>
      <c r="H767" s="11">
        <f>LOOKUP(G767,{0,124,129,134,139,144,149,152,155,158,161,164,167,170,173,176,179,186,193,199,205},{0,10,20,30,40,50,60,62,64,66,68,70,72,74,76,78,80,85,90,95,100})</f>
        <v>66</v>
      </c>
      <c r="I767" s="12">
        <v>45</v>
      </c>
      <c r="J767" s="11">
        <f>LOOKUP(I767,{0,14,16,18,20,22,24,26,28,30,32,34,36,38,40,42,44,47,50,52,54},{0,10,20,30,40,50,60,62,64,66,68,70,72,74,76,78,80,85,90,95,100})</f>
        <v>80</v>
      </c>
      <c r="K767" s="12"/>
      <c r="L767" s="12"/>
      <c r="M767" s="12">
        <f t="shared" si="359"/>
        <v>80</v>
      </c>
      <c r="N767" s="12">
        <v>8.5</v>
      </c>
      <c r="O767" s="12">
        <f t="shared" si="360"/>
        <v>3.5</v>
      </c>
      <c r="P767" s="11">
        <f>LOOKUP(O767,{0,0.5,0.7,0.9,1.1,1.3,1.5,1.7,1.9,2.1,2.3,2.5,2.7,2.9,3.1,3.3,3.5,3.8,4.1,4.2,4.3},{0,10,20,30,40,50,60,62,64,66,68,70,72,74,76,78,80,85,90,95,100})</f>
        <v>80</v>
      </c>
      <c r="Q767" s="12">
        <v>3.42</v>
      </c>
      <c r="R767" s="12">
        <f t="shared" si="361"/>
        <v>6.58</v>
      </c>
      <c r="S767" s="11">
        <f>LOOKUP(R767,{0,4.72,4.82,4.92,5.42,5.52,5.62,5.67,5.72,5.77,5.82,5.87,5.92,5.97,6.42,6.47,6.52,6.59,6.66,6.72,6.78},{0,10,20,30,40,50,60,62,64,66,68,70,72,74,76,78,80,85,90,95,100})</f>
        <v>80</v>
      </c>
      <c r="T767" s="12"/>
      <c r="U767" s="12"/>
      <c r="V767" s="12">
        <f t="shared" si="362"/>
        <v>80</v>
      </c>
      <c r="W767" s="12"/>
      <c r="X767" s="20">
        <f t="shared" si="353"/>
        <v>55.1</v>
      </c>
      <c r="Y767" s="20">
        <f t="shared" si="363"/>
        <v>78.7142857142857</v>
      </c>
    </row>
    <row r="768" ht="15.6" outlineLevel="1" collapsed="1" spans="1:25">
      <c r="A768" s="14" t="s">
        <v>869</v>
      </c>
      <c r="B768" s="12"/>
      <c r="C768" s="6"/>
      <c r="D768" s="6"/>
      <c r="E768" s="12"/>
      <c r="F768" s="11">
        <f>SUBTOTAL(1,F712:F767)</f>
        <v>78.8518518518518</v>
      </c>
      <c r="G768" s="12"/>
      <c r="H768" s="11">
        <f>SUBTOTAL(1,H712:H767)</f>
        <v>72.462962962963</v>
      </c>
      <c r="I768" s="12"/>
      <c r="J768" s="11">
        <f>SUBTOTAL(1,J712:J767)</f>
        <v>76.037037037037</v>
      </c>
      <c r="K768" s="12"/>
      <c r="L768" s="12"/>
      <c r="M768" s="12">
        <f>SUBTOTAL(1,M712:M767)</f>
        <v>76.2592592592593</v>
      </c>
      <c r="N768" s="12"/>
      <c r="O768" s="12"/>
      <c r="P768" s="11">
        <f>SUBTOTAL(1,P712:P767)</f>
        <v>79.5283018867924</v>
      </c>
      <c r="Q768" s="12"/>
      <c r="R768" s="12"/>
      <c r="S768" s="11">
        <f>SUBTOTAL(1,S712:S767)</f>
        <v>79.2222222222222</v>
      </c>
      <c r="T768" s="12"/>
      <c r="U768" s="12"/>
      <c r="V768" s="12">
        <f>SUBTOTAL(1,V712:V767)</f>
        <v>79.3148148148148</v>
      </c>
      <c r="W768" s="12"/>
      <c r="X768" s="20">
        <f>SUBTOTAL(1,X712:X767)</f>
        <v>52.2553571428571</v>
      </c>
      <c r="Y768" s="20">
        <f>SUBTOTAL(1,Y712:Y767)</f>
        <v>76.7397959183673</v>
      </c>
    </row>
    <row r="769" ht="15.6" spans="1:25">
      <c r="A769" s="14" t="s">
        <v>870</v>
      </c>
      <c r="B769" s="12"/>
      <c r="C769" s="6"/>
      <c r="D769" s="6"/>
      <c r="E769" s="12"/>
      <c r="F769" s="11">
        <f>SUBTOTAL(1,F2:F767)</f>
        <v>79.3039647577093</v>
      </c>
      <c r="G769" s="12"/>
      <c r="H769" s="11">
        <f>SUBTOTAL(1,H2:H767)</f>
        <v>78.0324005891016</v>
      </c>
      <c r="I769" s="12"/>
      <c r="J769" s="11">
        <f>SUBTOTAL(1,J2:J767)</f>
        <v>67.4546783625731</v>
      </c>
      <c r="K769" s="12"/>
      <c r="L769" s="12"/>
      <c r="M769" s="12">
        <f>SUBTOTAL(1,M2:M767)</f>
        <v>68.2266081871345</v>
      </c>
      <c r="N769" s="12"/>
      <c r="O769" s="12"/>
      <c r="P769" s="11">
        <f>SUBTOTAL(1,P2:P767)</f>
        <v>83.1590909090909</v>
      </c>
      <c r="Q769" s="12"/>
      <c r="R769" s="12"/>
      <c r="S769" s="11">
        <f>SUBTOTAL(1,S2:S767)</f>
        <v>81.0735735735736</v>
      </c>
      <c r="T769" s="12"/>
      <c r="U769" s="12"/>
      <c r="V769" s="12">
        <f>SUBTOTAL(1,V2:V767)</f>
        <v>81.2342342342342</v>
      </c>
      <c r="W769" s="12"/>
      <c r="X769" s="20">
        <f>SUBTOTAL(1,X2:X767)</f>
        <v>49.3203457446808</v>
      </c>
      <c r="Y769" s="20">
        <f>SUBTOTAL(1,Y2:Y767)</f>
        <v>76.0845364741641</v>
      </c>
    </row>
    <row r="770" spans="3:4">
      <c r="C770" s="24"/>
      <c r="D770" s="25"/>
    </row>
    <row r="771" s="1" customFormat="1" spans="1:24">
      <c r="A771" s="4"/>
      <c r="B771" s="4"/>
      <c r="C771" s="24"/>
      <c r="D771" s="2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5"/>
    </row>
    <row r="772" spans="3:4">
      <c r="C772" s="24"/>
      <c r="D772" s="25"/>
    </row>
    <row r="773" spans="3:4">
      <c r="C773" s="24"/>
      <c r="D773" s="25"/>
    </row>
    <row r="774" spans="3:4">
      <c r="C774" s="24"/>
      <c r="D774" s="25"/>
    </row>
    <row r="775" spans="3:4">
      <c r="C775" s="24"/>
      <c r="D775" s="25"/>
    </row>
    <row r="776" spans="3:4">
      <c r="C776" s="24"/>
      <c r="D776" s="25"/>
    </row>
    <row r="777" spans="3:4">
      <c r="C777" s="24"/>
      <c r="D777" s="25"/>
    </row>
    <row r="778" spans="3:4">
      <c r="C778" s="24"/>
      <c r="D778" s="25"/>
    </row>
    <row r="779" spans="3:4">
      <c r="C779" s="24"/>
      <c r="D779" s="25"/>
    </row>
    <row r="780" spans="3:4">
      <c r="C780" s="24"/>
      <c r="D780" s="25"/>
    </row>
    <row r="781" spans="3:4">
      <c r="C781" s="24"/>
      <c r="D781" s="25"/>
    </row>
    <row r="782" spans="3:4">
      <c r="C782" s="24"/>
      <c r="D782" s="25"/>
    </row>
    <row r="783" spans="3:4">
      <c r="C783" s="24"/>
      <c r="D783" s="25"/>
    </row>
    <row r="784" spans="3:4">
      <c r="C784" s="24"/>
      <c r="D784" s="25"/>
    </row>
    <row r="785" s="1" customFormat="1" spans="1:23">
      <c r="A785" s="4"/>
      <c r="B785" s="4"/>
      <c r="C785" s="24"/>
      <c r="D785" s="2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3:4">
      <c r="C786" s="24"/>
      <c r="D786" s="25"/>
    </row>
    <row r="787" spans="3:4">
      <c r="C787" s="24"/>
      <c r="D787" s="25"/>
    </row>
    <row r="788" spans="3:4">
      <c r="C788" s="24"/>
      <c r="D788" s="25"/>
    </row>
    <row r="790" spans="3:4">
      <c r="C790" s="24"/>
      <c r="D790" s="25"/>
    </row>
    <row r="791" spans="3:4">
      <c r="C791" s="24"/>
      <c r="D791" s="25"/>
    </row>
    <row r="792" spans="3:4">
      <c r="C792" s="24"/>
      <c r="D792" s="25"/>
    </row>
    <row r="793" spans="3:4">
      <c r="C793" s="24"/>
      <c r="D793" s="25"/>
    </row>
    <row r="794" spans="3:4">
      <c r="C794" s="24"/>
      <c r="D794" s="25"/>
    </row>
    <row r="795" spans="3:4">
      <c r="C795" s="24"/>
      <c r="D795" s="25"/>
    </row>
    <row r="796" spans="3:4">
      <c r="C796" s="24"/>
      <c r="D796" s="25"/>
    </row>
    <row r="797" spans="3:4">
      <c r="C797" s="24"/>
      <c r="D797" s="25"/>
    </row>
    <row r="798" spans="3:4">
      <c r="C798" s="24"/>
      <c r="D798" s="25"/>
    </row>
    <row r="799" spans="3:4">
      <c r="C799" s="24"/>
      <c r="D799" s="25"/>
    </row>
    <row r="800" spans="3:4">
      <c r="C800" s="24"/>
      <c r="D800" s="25"/>
    </row>
    <row r="801" spans="3:4">
      <c r="C801" s="24"/>
      <c r="D801" s="25"/>
    </row>
    <row r="802" spans="3:4">
      <c r="C802" s="24"/>
      <c r="D802" s="25"/>
    </row>
    <row r="803" spans="3:4">
      <c r="C803" s="24"/>
      <c r="D803" s="25"/>
    </row>
    <row r="804" spans="3:4">
      <c r="C804" s="24"/>
      <c r="D804" s="25"/>
    </row>
    <row r="805" spans="3:4">
      <c r="C805" s="24"/>
      <c r="D805" s="25"/>
    </row>
    <row r="806" s="1" customFormat="1" spans="1:23">
      <c r="A806" s="4"/>
      <c r="B806" s="4"/>
      <c r="C806" s="24"/>
      <c r="D806" s="2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3:4">
      <c r="C807" s="24"/>
      <c r="D807" s="25"/>
    </row>
    <row r="808" spans="3:4">
      <c r="C808" s="24"/>
      <c r="D808" s="25"/>
    </row>
    <row r="809" spans="3:4">
      <c r="C809" s="24"/>
      <c r="D809" s="25"/>
    </row>
    <row r="810" spans="3:4">
      <c r="C810" s="24"/>
      <c r="D810" s="25"/>
    </row>
    <row r="811" spans="3:4">
      <c r="C811" s="24"/>
      <c r="D811" s="25"/>
    </row>
    <row r="813" spans="3:4">
      <c r="C813" s="24"/>
      <c r="D813" s="25"/>
    </row>
    <row r="814" spans="3:4">
      <c r="C814" s="24"/>
      <c r="D814" s="25"/>
    </row>
    <row r="815" spans="3:4">
      <c r="C815" s="24"/>
      <c r="D815" s="25"/>
    </row>
    <row r="816" spans="3:4">
      <c r="C816" s="24"/>
      <c r="D816" s="25"/>
    </row>
    <row r="817" spans="3:4">
      <c r="C817" s="24"/>
      <c r="D817" s="25"/>
    </row>
    <row r="818" spans="3:4">
      <c r="C818" s="24"/>
      <c r="D818" s="25"/>
    </row>
    <row r="819" spans="3:4">
      <c r="C819" s="24"/>
      <c r="D819" s="25"/>
    </row>
    <row r="820" s="1" customFormat="1" spans="1:23">
      <c r="A820" s="4"/>
      <c r="B820" s="4"/>
      <c r="C820" s="24"/>
      <c r="D820" s="2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3:4">
      <c r="C821" s="24"/>
      <c r="D821" s="25"/>
    </row>
    <row r="823" spans="3:4">
      <c r="C823" s="24"/>
      <c r="D823" s="25"/>
    </row>
    <row r="824" spans="3:4">
      <c r="C824" s="24"/>
      <c r="D824" s="25"/>
    </row>
    <row r="827" spans="3:4">
      <c r="C827" s="24"/>
      <c r="D827" s="25"/>
    </row>
    <row r="830" spans="1:23">
      <c r="A830" s="24"/>
      <c r="B830" s="26"/>
      <c r="C830" s="27"/>
      <c r="D830" s="27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6"/>
      <c r="S830" s="26"/>
      <c r="T830" s="26"/>
      <c r="U830" s="26"/>
      <c r="V830" s="26"/>
      <c r="W830" s="26"/>
    </row>
    <row r="832" spans="3:4">
      <c r="C832" s="24"/>
      <c r="D832" s="25"/>
    </row>
    <row r="833" spans="3:4">
      <c r="C833" s="24"/>
      <c r="D833" s="25"/>
    </row>
    <row r="834" spans="3:4">
      <c r="C834" s="24"/>
      <c r="D834" s="25"/>
    </row>
    <row r="835" spans="3:4">
      <c r="C835" s="24"/>
      <c r="D835" s="25"/>
    </row>
    <row r="836" spans="3:4">
      <c r="C836" s="24"/>
      <c r="D836" s="25"/>
    </row>
    <row r="837" spans="3:4">
      <c r="C837" s="24"/>
      <c r="D837" s="25"/>
    </row>
    <row r="838" spans="3:4">
      <c r="C838" s="24"/>
      <c r="D838" s="25"/>
    </row>
    <row r="839" spans="3:4">
      <c r="C839" s="24"/>
      <c r="D839" s="25"/>
    </row>
    <row r="840" spans="3:4">
      <c r="C840" s="24"/>
      <c r="D840" s="25"/>
    </row>
    <row r="841" s="1" customFormat="1" spans="1:23">
      <c r="A841" s="4"/>
      <c r="B841" s="4"/>
      <c r="C841" s="24"/>
      <c r="D841" s="2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3:4">
      <c r="C842" s="24"/>
      <c r="D842" s="25"/>
    </row>
    <row r="843" spans="3:4">
      <c r="C843" s="24"/>
      <c r="D843" s="25"/>
    </row>
    <row r="844" spans="3:4">
      <c r="C844" s="24"/>
      <c r="D844" s="25"/>
    </row>
    <row r="846" spans="3:4">
      <c r="C846" s="24"/>
      <c r="D846" s="25"/>
    </row>
    <row r="847" spans="3:4">
      <c r="C847" s="24"/>
      <c r="D847" s="25"/>
    </row>
    <row r="848" spans="3:4">
      <c r="C848" s="24"/>
      <c r="D848" s="25"/>
    </row>
    <row r="849" spans="3:4">
      <c r="C849" s="24"/>
      <c r="D849" s="25"/>
    </row>
    <row r="850" spans="3:4">
      <c r="C850" s="24"/>
      <c r="D850" s="25"/>
    </row>
    <row r="851" spans="3:4">
      <c r="C851" s="24"/>
      <c r="D851" s="25"/>
    </row>
    <row r="852" spans="3:4">
      <c r="C852" s="24"/>
      <c r="D852" s="25"/>
    </row>
    <row r="853" spans="3:4">
      <c r="C853" s="24"/>
      <c r="D853" s="25"/>
    </row>
    <row r="854" spans="3:4">
      <c r="C854" s="24"/>
      <c r="D854" s="25"/>
    </row>
    <row r="855" s="1" customFormat="1" spans="1:23">
      <c r="A855" s="4"/>
      <c r="B855" s="4"/>
      <c r="C855" s="24"/>
      <c r="D855" s="2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3:4">
      <c r="C856" s="24"/>
      <c r="D856" s="25"/>
    </row>
    <row r="857" spans="3:4">
      <c r="C857" s="24"/>
      <c r="D857" s="25"/>
    </row>
    <row r="859" spans="3:4">
      <c r="C859" s="24"/>
      <c r="D859" s="25"/>
    </row>
    <row r="861" spans="3:4">
      <c r="C861" s="26"/>
      <c r="D861" s="26"/>
    </row>
    <row r="869" spans="3:4">
      <c r="C869" s="24"/>
      <c r="D869" s="25"/>
    </row>
    <row r="870" spans="3:4">
      <c r="C870" s="24"/>
      <c r="D870" s="25"/>
    </row>
    <row r="871" spans="3:4">
      <c r="C871" s="24"/>
      <c r="D871" s="25"/>
    </row>
    <row r="872" spans="3:4">
      <c r="C872" s="24"/>
      <c r="D872" s="25"/>
    </row>
    <row r="873" spans="3:4">
      <c r="C873" s="24"/>
      <c r="D873" s="25"/>
    </row>
    <row r="874" spans="3:4">
      <c r="C874" s="24"/>
      <c r="D874" s="25"/>
    </row>
    <row r="875" s="1" customFormat="1" spans="1:23">
      <c r="A875" s="4"/>
      <c r="B875" s="4"/>
      <c r="C875" s="24"/>
      <c r="D875" s="2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85" spans="3:4">
      <c r="C885" s="24"/>
      <c r="D885" s="25"/>
    </row>
    <row r="886" spans="3:4">
      <c r="C886" s="24"/>
      <c r="D886" s="25"/>
    </row>
    <row r="887" spans="3:4">
      <c r="C887" s="24"/>
      <c r="D887" s="25"/>
    </row>
    <row r="888" spans="3:4">
      <c r="C888" s="24"/>
      <c r="D888" s="25"/>
    </row>
    <row r="889" spans="3:4">
      <c r="C889" s="24"/>
      <c r="D889" s="25"/>
    </row>
    <row r="890" s="1" customFormat="1" spans="1:23">
      <c r="A890" s="4"/>
      <c r="B890" s="4"/>
      <c r="C890" s="24"/>
      <c r="D890" s="2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3:4">
      <c r="C891" s="24"/>
      <c r="D891" s="25"/>
    </row>
    <row r="894" spans="3:4">
      <c r="C894" s="24"/>
      <c r="D894" s="25"/>
    </row>
    <row r="895" spans="3:4">
      <c r="C895" s="24"/>
      <c r="D895" s="25"/>
    </row>
    <row r="903" spans="3:4">
      <c r="C903" s="24"/>
      <c r="D903" s="25"/>
    </row>
    <row r="913" s="1" customFormat="1" spans="1:23">
      <c r="A913" s="4"/>
      <c r="B913" s="4"/>
      <c r="C913" s="24"/>
      <c r="D913" s="2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3:4">
      <c r="C914" s="24"/>
      <c r="D914" s="25"/>
    </row>
    <row r="915" spans="3:4">
      <c r="C915" s="24"/>
      <c r="D915" s="25"/>
    </row>
    <row r="916" spans="3:4">
      <c r="C916" s="24"/>
      <c r="D916" s="25"/>
    </row>
    <row r="917" spans="3:4">
      <c r="C917" s="24"/>
      <c r="D917" s="25"/>
    </row>
    <row r="918" spans="3:4">
      <c r="C918" s="24"/>
      <c r="D918" s="25"/>
    </row>
    <row r="919" spans="3:4">
      <c r="C919" s="24"/>
      <c r="D919" s="25"/>
    </row>
    <row r="920" spans="3:4">
      <c r="C920" s="24"/>
      <c r="D920" s="25"/>
    </row>
    <row r="921" spans="3:4">
      <c r="C921" s="24"/>
      <c r="D921" s="25"/>
    </row>
    <row r="923" spans="3:4">
      <c r="C923" s="24"/>
      <c r="D923" s="25"/>
    </row>
    <row r="924" spans="3:4">
      <c r="C924" s="24"/>
      <c r="D924" s="25"/>
    </row>
    <row r="925" s="1" customFormat="1" spans="1:2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8" spans="3:4">
      <c r="C928" s="24"/>
      <c r="D928" s="25"/>
    </row>
    <row r="929" spans="3:4">
      <c r="C929" s="24"/>
      <c r="D929" s="25"/>
    </row>
    <row r="930" spans="3:4">
      <c r="C930" s="24"/>
      <c r="D930" s="25"/>
    </row>
    <row r="931" spans="3:4">
      <c r="C931" s="24"/>
      <c r="D931" s="25"/>
    </row>
    <row r="932" spans="3:4">
      <c r="C932" s="24"/>
      <c r="D932" s="25"/>
    </row>
    <row r="933" spans="3:4">
      <c r="C933" s="24"/>
      <c r="D933" s="25"/>
    </row>
    <row r="934" spans="3:4">
      <c r="C934" s="24"/>
      <c r="D934" s="25"/>
    </row>
    <row r="935" spans="3:4">
      <c r="C935" s="24"/>
      <c r="D935" s="25"/>
    </row>
    <row r="936" spans="3:4">
      <c r="C936" s="24"/>
      <c r="D936" s="25"/>
    </row>
    <row r="937" spans="3:4">
      <c r="C937" s="24"/>
      <c r="D937" s="25"/>
    </row>
    <row r="943" spans="3:4">
      <c r="C943" s="24"/>
      <c r="D943" s="25"/>
    </row>
    <row r="944" spans="3:4">
      <c r="C944" s="24"/>
      <c r="D944" s="25"/>
    </row>
    <row r="945" s="1" customFormat="1" spans="1:23">
      <c r="A945" s="4"/>
      <c r="B945" s="4"/>
      <c r="C945" s="24"/>
      <c r="D945" s="2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3:4">
      <c r="C946" s="24"/>
      <c r="D946" s="25"/>
    </row>
    <row r="947" spans="3:4">
      <c r="C947" s="24"/>
      <c r="D947" s="25"/>
    </row>
    <row r="948" spans="3:4">
      <c r="C948" s="24"/>
      <c r="D948" s="25"/>
    </row>
    <row r="949" spans="3:4">
      <c r="C949" s="24"/>
      <c r="D949" s="25"/>
    </row>
    <row r="950" spans="3:4">
      <c r="C950" s="24"/>
      <c r="D950" s="25"/>
    </row>
    <row r="951" spans="3:4">
      <c r="C951" s="24"/>
      <c r="D951" s="25"/>
    </row>
    <row r="952" spans="3:4">
      <c r="C952" s="24"/>
      <c r="D952" s="25"/>
    </row>
    <row r="953" spans="3:4">
      <c r="C953" s="24"/>
      <c r="D953" s="25"/>
    </row>
    <row r="954" spans="3:4">
      <c r="C954" s="24"/>
      <c r="D954" s="25"/>
    </row>
    <row r="956" spans="3:4">
      <c r="C956" s="24"/>
      <c r="D956" s="25"/>
    </row>
    <row r="957" spans="3:4">
      <c r="C957" s="24"/>
      <c r="D957" s="25"/>
    </row>
    <row r="958" spans="3:4">
      <c r="C958" s="24"/>
      <c r="D958" s="25"/>
    </row>
    <row r="959" spans="3:4">
      <c r="C959" s="24"/>
      <c r="D959" s="25"/>
    </row>
    <row r="960" s="1" customFormat="1" spans="1:23">
      <c r="A960" s="4"/>
      <c r="B960" s="4"/>
      <c r="C960" s="24"/>
      <c r="D960" s="2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3:4">
      <c r="C961" s="24"/>
      <c r="D961" s="25"/>
    </row>
    <row r="962" spans="3:4">
      <c r="C962" s="24"/>
      <c r="D962" s="25"/>
    </row>
    <row r="963" spans="3:4">
      <c r="C963" s="24"/>
      <c r="D963" s="25"/>
    </row>
    <row r="967" spans="3:4">
      <c r="C967" s="24"/>
      <c r="D967" s="25"/>
    </row>
    <row r="968" spans="3:4">
      <c r="C968" s="24"/>
      <c r="D968" s="25"/>
    </row>
    <row r="969" spans="3:4">
      <c r="C969" s="24"/>
      <c r="D969" s="25"/>
    </row>
    <row r="970" spans="3:4">
      <c r="C970" s="24"/>
      <c r="D970" s="25"/>
    </row>
    <row r="971" spans="3:4">
      <c r="C971" s="24"/>
      <c r="D971" s="25"/>
    </row>
    <row r="972" spans="3:4">
      <c r="C972" s="24"/>
      <c r="D972" s="25"/>
    </row>
    <row r="973" spans="3:4">
      <c r="C973" s="24"/>
      <c r="D973" s="25"/>
    </row>
    <row r="974" spans="3:4">
      <c r="C974" s="24"/>
      <c r="D974" s="25"/>
    </row>
    <row r="975" spans="3:4">
      <c r="C975" s="24"/>
      <c r="D975" s="25"/>
    </row>
    <row r="976" spans="3:4">
      <c r="C976" s="24"/>
      <c r="D976" s="25"/>
    </row>
    <row r="979" spans="3:4">
      <c r="C979" s="24"/>
      <c r="D979" s="25"/>
    </row>
    <row r="980" spans="3:4">
      <c r="C980" s="24"/>
      <c r="D980" s="25"/>
    </row>
    <row r="981" spans="3:4">
      <c r="C981" s="24"/>
      <c r="D981" s="25"/>
    </row>
    <row r="982" s="1" customFormat="1" spans="1:23">
      <c r="A982" s="4"/>
      <c r="B982" s="4"/>
      <c r="C982" s="24"/>
      <c r="D982" s="2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3:4">
      <c r="C983" s="24"/>
      <c r="D983" s="25"/>
    </row>
    <row r="984" spans="3:4">
      <c r="C984" s="24"/>
      <c r="D984" s="25"/>
    </row>
    <row r="985" spans="3:4">
      <c r="C985" s="24"/>
      <c r="D985" s="25"/>
    </row>
    <row r="993" customFormat="1" spans="1:2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customFormat="1" spans="1:2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="1" customFormat="1" spans="1:2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7" spans="3:4">
      <c r="C997" s="24"/>
      <c r="D997" s="25"/>
    </row>
    <row r="998" spans="3:4">
      <c r="C998" s="24"/>
      <c r="D998" s="25"/>
    </row>
    <row r="999" spans="3:4">
      <c r="C999" s="24"/>
      <c r="D999" s="25"/>
    </row>
    <row r="1000" spans="3:4">
      <c r="C1000" s="24"/>
      <c r="D1000" s="25"/>
    </row>
    <row r="1001" spans="3:4">
      <c r="C1001" s="24"/>
      <c r="D1001" s="25"/>
    </row>
    <row r="1002" spans="3:4">
      <c r="C1002" s="24"/>
      <c r="D1002" s="25"/>
    </row>
    <row r="1003" spans="3:4">
      <c r="C1003" s="24"/>
      <c r="D1003" s="25"/>
    </row>
    <row r="1004" spans="3:4">
      <c r="C1004" s="24"/>
      <c r="D1004" s="25"/>
    </row>
    <row r="1005" spans="3:4">
      <c r="C1005" s="24"/>
      <c r="D1005" s="25"/>
    </row>
    <row r="1006" spans="3:4">
      <c r="C1006" s="24"/>
      <c r="D1006" s="25"/>
    </row>
    <row r="1007" spans="3:4">
      <c r="C1007" s="24"/>
      <c r="D1007" s="25"/>
    </row>
    <row r="1010" spans="3:4">
      <c r="C1010" s="24"/>
      <c r="D1010" s="25"/>
    </row>
    <row r="1011" spans="3:4">
      <c r="C1011" s="24"/>
      <c r="D1011" s="25"/>
    </row>
    <row r="1012" spans="3:4">
      <c r="C1012" s="24"/>
      <c r="D1012" s="25"/>
    </row>
    <row r="1013" spans="3:4">
      <c r="C1013" s="24"/>
      <c r="D1013" s="25"/>
    </row>
    <row r="1014" spans="3:4">
      <c r="C1014" s="24"/>
      <c r="D1014" s="25"/>
    </row>
    <row r="1015" spans="3:4">
      <c r="C1015" s="24"/>
      <c r="D1015" s="25"/>
    </row>
    <row r="1016" spans="3:4">
      <c r="C1016" s="24"/>
      <c r="D1016" s="25"/>
    </row>
    <row r="1017" s="1" customFormat="1" spans="1:2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21" spans="3:4">
      <c r="C1021" s="24"/>
      <c r="D1021" s="25"/>
    </row>
    <row r="1022" spans="3:4">
      <c r="C1022" s="24"/>
      <c r="D1022" s="25"/>
    </row>
    <row r="1023" spans="3:4">
      <c r="C1023" s="24"/>
      <c r="D1023" s="25"/>
    </row>
    <row r="1024" spans="3:4">
      <c r="C1024" s="24"/>
      <c r="D1024" s="25"/>
    </row>
    <row r="1025" spans="3:4">
      <c r="C1025" s="24"/>
      <c r="D1025" s="25"/>
    </row>
    <row r="1026" spans="3:4">
      <c r="C1026" s="24"/>
      <c r="D1026" s="25"/>
    </row>
    <row r="1027" spans="3:4">
      <c r="C1027" s="24"/>
      <c r="D1027" s="25"/>
    </row>
    <row r="1029" spans="3:4">
      <c r="C1029" s="24"/>
      <c r="D1029" s="25"/>
    </row>
    <row r="1030" s="1" customFormat="1" spans="1:23">
      <c r="A1030" s="4"/>
      <c r="B1030" s="4"/>
      <c r="C1030" s="24"/>
      <c r="D1030" s="25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3:4">
      <c r="C1031" s="24"/>
      <c r="D1031" s="25"/>
    </row>
    <row r="1032" spans="3:4">
      <c r="C1032" s="24"/>
      <c r="D1032" s="25"/>
    </row>
    <row r="1033" spans="3:4">
      <c r="C1033" s="24"/>
      <c r="D1033" s="25"/>
    </row>
    <row r="1034" spans="3:4">
      <c r="C1034" s="24"/>
      <c r="D1034" s="25"/>
    </row>
    <row r="1035" spans="3:4">
      <c r="C1035" s="24"/>
      <c r="D1035" s="25"/>
    </row>
    <row r="1036" spans="3:4">
      <c r="C1036" s="24"/>
      <c r="D1036" s="25"/>
    </row>
    <row r="1037" spans="3:4">
      <c r="C1037" s="24"/>
      <c r="D1037" s="25"/>
    </row>
    <row r="1038" spans="3:4">
      <c r="C1038" s="24"/>
      <c r="D1038" s="25"/>
    </row>
    <row r="1039" spans="3:4">
      <c r="C1039" s="24"/>
      <c r="D1039" s="25"/>
    </row>
  </sheetData>
  <autoFilter ref="A1:Y768">
    <extLst/>
  </autoFilter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16"/>
  <sheetViews>
    <sheetView workbookViewId="0">
      <selection activeCell="A1" sqref="A1:Y446"/>
    </sheetView>
  </sheetViews>
  <sheetFormatPr defaultColWidth="9" defaultRowHeight="14.4"/>
  <cols>
    <col min="1" max="4" width="9" style="4"/>
    <col min="5" max="23" width="12.3796296296296" style="4" customWidth="1"/>
    <col min="24" max="24" width="12.6296296296296" style="5"/>
    <col min="25" max="25" width="12.8888888888889" style="5"/>
    <col min="26" max="16384" width="9" style="5"/>
  </cols>
  <sheetData>
    <row r="1" s="1" customFormat="1" spans="1:25">
      <c r="A1" s="6" t="s">
        <v>1</v>
      </c>
      <c r="B1" s="6" t="s">
        <v>2</v>
      </c>
      <c r="C1" s="7" t="s">
        <v>3</v>
      </c>
      <c r="D1" s="7" t="s">
        <v>4</v>
      </c>
      <c r="E1" s="8" t="s">
        <v>5</v>
      </c>
      <c r="F1" s="9" t="s">
        <v>847</v>
      </c>
      <c r="G1" s="8" t="s">
        <v>6</v>
      </c>
      <c r="H1" s="9" t="s">
        <v>847</v>
      </c>
      <c r="I1" s="8" t="s">
        <v>7</v>
      </c>
      <c r="J1" s="9" t="s">
        <v>847</v>
      </c>
      <c r="K1" s="8" t="s">
        <v>848</v>
      </c>
      <c r="L1" s="9" t="s">
        <v>849</v>
      </c>
      <c r="M1" s="9" t="s">
        <v>850</v>
      </c>
      <c r="N1" s="8">
        <v>50</v>
      </c>
      <c r="O1" s="8" t="s">
        <v>851</v>
      </c>
      <c r="P1" s="9" t="s">
        <v>847</v>
      </c>
      <c r="Q1" s="8" t="s">
        <v>8</v>
      </c>
      <c r="R1" s="6" t="s">
        <v>851</v>
      </c>
      <c r="S1" s="17" t="s">
        <v>847</v>
      </c>
      <c r="T1" s="6" t="s">
        <v>852</v>
      </c>
      <c r="U1" s="6" t="s">
        <v>849</v>
      </c>
      <c r="V1" s="17" t="s">
        <v>850</v>
      </c>
      <c r="W1" s="6" t="s">
        <v>9</v>
      </c>
      <c r="X1" s="18" t="s">
        <v>853</v>
      </c>
      <c r="Y1" s="22" t="s">
        <v>854</v>
      </c>
    </row>
    <row r="2" ht="15.6" hidden="1" outlineLevel="2" spans="1:25">
      <c r="A2" s="12">
        <v>201</v>
      </c>
      <c r="B2" s="12">
        <v>1</v>
      </c>
      <c r="C2" s="13" t="s">
        <v>10</v>
      </c>
      <c r="D2" s="6" t="s">
        <v>11</v>
      </c>
      <c r="E2" s="12">
        <v>12</v>
      </c>
      <c r="F2" s="11">
        <f>LOOKUP(E2,{0,-2.9,-1.9,-0.9,0.1,1.1,2.1,3.5,4.9,6.3,7.7,9.1,10.5,11.9,13.3,14.7,16.1,18.3,20.5,22.4,24.3},{0,10,20,30,40,50,60,62,64,66,68,70,72,74,76,78,80,85,90,95,100})</f>
        <v>74</v>
      </c>
      <c r="G2" s="12">
        <v>260</v>
      </c>
      <c r="H2" s="11">
        <f>LOOKUP(G2,{0,175,180,185,190,195,200,204,208,212,216,220,224,228,232,236,240,248,255,260,265},{0,10,20,30,40,50,60,62,64,66,68,70,72,74,76,78,80,85,90,95,100})</f>
        <v>95</v>
      </c>
      <c r="I2" s="12">
        <v>12</v>
      </c>
      <c r="J2" s="11">
        <f>LOOKUP(I2,{0,3,4,5,6,7,8,9,10,11,12,13,14,15,16,17},{0,10,20,30,40,50,60,64,68,72,76,80,85,90,95,100})</f>
        <v>76</v>
      </c>
      <c r="K2" s="12"/>
      <c r="L2" s="12"/>
      <c r="M2" s="12">
        <f t="shared" ref="M2:M7" si="0">J2+L2</f>
        <v>76</v>
      </c>
      <c r="N2" s="12">
        <v>7.3</v>
      </c>
      <c r="O2" s="12">
        <f t="shared" ref="O2:O6" si="1">12-N2</f>
        <v>4.7</v>
      </c>
      <c r="P2" s="11">
        <f>LOOKUP(O2,{0,1.6,1.8,2,2.2,2.4,2.6,2.8,3,3.2,3.4,3.6,3.8,4,4.2,4.4,4.6,4.7,4.8,4.9,5},{0,10,20,30,40,50,60,62,64,66,68,70,72,74,76,78,80,85,90,95,100})</f>
        <v>85</v>
      </c>
      <c r="Q2" s="12">
        <v>3.44</v>
      </c>
      <c r="R2" s="12">
        <f t="shared" ref="R2:R7" si="2">10-Q2</f>
        <v>6.56</v>
      </c>
      <c r="S2" s="11">
        <f>LOOKUP(R2,{0,3.8,4,4.6,4.8,5,5.6,5.65,5.7,5.75,5.8,5.85,5.9,5.95,6,6.45,6.5,6.58,6.65,6.7,6.75},{0,10,20,30,40,50,60,62,64,66,68,70,72,74,76,78,80,85,90,95,100})</f>
        <v>80</v>
      </c>
      <c r="T2" s="12"/>
      <c r="U2" s="12"/>
      <c r="V2" s="12">
        <f t="shared" ref="V2:V7" si="3">S2+U2</f>
        <v>80</v>
      </c>
      <c r="W2" s="12"/>
      <c r="X2" s="20">
        <f t="shared" ref="X2:X37" si="4">F2*0.1+H2*0.1+J2*0.1+P2*0.2+S2*0.2</f>
        <v>57.5</v>
      </c>
      <c r="Y2" s="20">
        <f t="shared" ref="Y2:Y6" si="5">X2/0.7+L2+U2</f>
        <v>82.1428571428572</v>
      </c>
    </row>
    <row r="3" ht="15.6" hidden="1" outlineLevel="2" spans="1:25">
      <c r="A3" s="12">
        <v>201</v>
      </c>
      <c r="B3" s="12">
        <v>2</v>
      </c>
      <c r="C3" s="6" t="s">
        <v>12</v>
      </c>
      <c r="D3" s="6" t="s">
        <v>11</v>
      </c>
      <c r="E3" s="12">
        <v>13</v>
      </c>
      <c r="F3" s="11">
        <f>LOOKUP(E3,{0,-2.9,-1.9,-0.9,0.1,1.1,2.1,3.5,4.9,6.3,7.7,9.1,10.5,11.9,13.3,14.7,16.1,18.3,20.5,22.4,24.3},{0,10,20,30,40,50,60,62,64,66,68,70,72,74,76,78,80,85,90,95,100})</f>
        <v>74</v>
      </c>
      <c r="G3" s="12">
        <v>257</v>
      </c>
      <c r="H3" s="11">
        <f>LOOKUP(G3,{0,175,180,185,190,195,200,204,208,212,216,220,224,228,232,236,240,248,255,260,265},{0,10,20,30,40,50,60,62,64,66,68,70,72,74,76,78,80,85,90,95,100})</f>
        <v>90</v>
      </c>
      <c r="I3" s="12">
        <v>27</v>
      </c>
      <c r="J3" s="11">
        <f>LOOKUP(I3,{0,3,4,5,6,7,8,9,10,11,12,13,14,15,16,17},{0,10,20,30,40,50,60,64,68,72,76,80,85,90,95,100})</f>
        <v>100</v>
      </c>
      <c r="K3" s="12">
        <f>I3-17</f>
        <v>10</v>
      </c>
      <c r="L3" s="16">
        <f>LOOKUP(K3,{0,1,2,3,4,5,6,7,8,9,10},{0,1,2,3,4,5,6,7,8,9,10})</f>
        <v>10</v>
      </c>
      <c r="M3" s="12">
        <f t="shared" si="0"/>
        <v>110</v>
      </c>
      <c r="N3" s="12">
        <v>7.3</v>
      </c>
      <c r="O3" s="12">
        <f t="shared" si="1"/>
        <v>4.7</v>
      </c>
      <c r="P3" s="11">
        <f>LOOKUP(O3,{0,1.6,1.8,2,2.2,2.4,2.6,2.8,3,3.2,3.4,3.6,3.8,4,4.2,4.4,4.6,4.7,4.8,4.9,5},{0,10,20,30,40,50,60,62,64,66,68,70,72,74,76,78,80,85,90,95,100})</f>
        <v>85</v>
      </c>
      <c r="Q3" s="12">
        <v>3.47</v>
      </c>
      <c r="R3" s="12">
        <f t="shared" si="2"/>
        <v>6.53</v>
      </c>
      <c r="S3" s="11">
        <f>LOOKUP(R3,{0,3.8,4,4.6,4.8,5,5.6,5.65,5.7,5.75,5.8,5.85,5.9,5.95,6,6.45,6.5,6.58,6.65,6.7,6.75},{0,10,20,30,40,50,60,62,64,66,68,70,72,74,76,78,80,85,90,95,100})</f>
        <v>80</v>
      </c>
      <c r="T3" s="12"/>
      <c r="U3" s="12"/>
      <c r="V3" s="12">
        <f t="shared" si="3"/>
        <v>80</v>
      </c>
      <c r="W3" s="12"/>
      <c r="X3" s="20">
        <f t="shared" si="4"/>
        <v>59.4</v>
      </c>
      <c r="Y3" s="20">
        <f t="shared" si="5"/>
        <v>94.8571428571429</v>
      </c>
    </row>
    <row r="4" ht="15.6" hidden="1" outlineLevel="2" spans="1:25">
      <c r="A4" s="12">
        <v>201</v>
      </c>
      <c r="B4" s="12">
        <v>3</v>
      </c>
      <c r="C4" s="6" t="s">
        <v>13</v>
      </c>
      <c r="D4" s="6" t="s">
        <v>11</v>
      </c>
      <c r="E4" s="12"/>
      <c r="F4" s="11"/>
      <c r="G4" s="12"/>
      <c r="H4" s="11"/>
      <c r="I4" s="12"/>
      <c r="J4" s="11"/>
      <c r="K4" s="12"/>
      <c r="L4" s="12"/>
      <c r="M4" s="12"/>
      <c r="N4" s="12"/>
      <c r="O4" s="12"/>
      <c r="P4" s="11"/>
      <c r="Q4" s="12"/>
      <c r="R4" s="12"/>
      <c r="S4" s="11"/>
      <c r="T4" s="12"/>
      <c r="U4" s="11"/>
      <c r="V4" s="12"/>
      <c r="W4" s="12" t="s">
        <v>14</v>
      </c>
      <c r="X4" s="20">
        <f t="shared" si="4"/>
        <v>0</v>
      </c>
      <c r="Y4" s="20">
        <v>50</v>
      </c>
    </row>
    <row r="5" ht="15.6" hidden="1" outlineLevel="2" spans="1:25">
      <c r="A5" s="12">
        <v>201</v>
      </c>
      <c r="B5" s="12">
        <v>4</v>
      </c>
      <c r="C5" s="6" t="s">
        <v>15</v>
      </c>
      <c r="D5" s="6" t="s">
        <v>11</v>
      </c>
      <c r="E5" s="12"/>
      <c r="F5" s="11"/>
      <c r="G5" s="12"/>
      <c r="H5" s="11"/>
      <c r="I5" s="12"/>
      <c r="J5" s="11"/>
      <c r="K5" s="12"/>
      <c r="L5" s="12"/>
      <c r="M5" s="12"/>
      <c r="N5" s="12"/>
      <c r="O5" s="12"/>
      <c r="P5" s="11"/>
      <c r="Q5" s="12"/>
      <c r="R5" s="12"/>
      <c r="S5" s="11"/>
      <c r="T5" s="12"/>
      <c r="U5" s="11"/>
      <c r="V5" s="12"/>
      <c r="W5" s="12" t="s">
        <v>16</v>
      </c>
      <c r="X5" s="20">
        <f t="shared" si="4"/>
        <v>0</v>
      </c>
      <c r="Y5" s="20">
        <v>50</v>
      </c>
    </row>
    <row r="6" ht="15.6" hidden="1" outlineLevel="2" spans="1:25">
      <c r="A6" s="12">
        <v>201</v>
      </c>
      <c r="B6" s="12">
        <v>5</v>
      </c>
      <c r="C6" s="6" t="s">
        <v>17</v>
      </c>
      <c r="D6" s="6" t="s">
        <v>11</v>
      </c>
      <c r="E6" s="12">
        <v>11</v>
      </c>
      <c r="F6" s="11">
        <f>LOOKUP(E6,{0,-2.9,-1.9,-0.9,0.1,1.1,2.1,3.5,4.9,6.3,7.7,9.1,10.5,11.9,13.3,14.7,16.1,18.3,20.5,22.4,24.3},{0,10,20,30,40,50,60,62,64,66,68,70,72,74,76,78,80,85,90,95,100})</f>
        <v>72</v>
      </c>
      <c r="G6" s="12">
        <v>230</v>
      </c>
      <c r="H6" s="11">
        <f>LOOKUP(G6,{0,175,180,185,190,195,200,204,208,212,216,220,224,228,232,236,240,248,255,260,265},{0,10,20,30,40,50,60,62,64,66,68,70,72,74,76,78,80,85,90,95,100})</f>
        <v>74</v>
      </c>
      <c r="I6" s="12">
        <v>3</v>
      </c>
      <c r="J6" s="11">
        <f>LOOKUP(I6,{0,3,4,5,6,7,8,9,10,11,12,13,14,15,16,17},{0,10,20,30,40,50,60,64,68,72,76,80,85,90,95,100})</f>
        <v>10</v>
      </c>
      <c r="K6" s="12"/>
      <c r="L6" s="12"/>
      <c r="M6" s="12">
        <f t="shared" si="0"/>
        <v>10</v>
      </c>
      <c r="N6" s="12">
        <v>7.2</v>
      </c>
      <c r="O6" s="12">
        <f t="shared" si="1"/>
        <v>4.8</v>
      </c>
      <c r="P6" s="11">
        <f>LOOKUP(O6,{0,1.6,1.8,2,2.2,2.4,2.6,2.8,3,3.2,3.4,3.6,3.8,4,4.2,4.4,4.6,4.7,4.8,4.9,5},{0,10,20,30,40,50,60,62,64,66,68,70,72,74,76,78,80,85,90,95,100})</f>
        <v>90</v>
      </c>
      <c r="Q6" s="12">
        <v>4.14</v>
      </c>
      <c r="R6" s="12">
        <f t="shared" si="2"/>
        <v>5.86</v>
      </c>
      <c r="S6" s="11">
        <f>LOOKUP(R6,{0,3.8,4,4.6,4.8,5,5.6,5.65,5.7,5.75,5.8,5.85,5.9,5.95,6,6.45,6.5,6.58,6.65,6.7,6.75},{0,10,20,30,40,50,60,62,64,66,68,70,72,74,76,78,80,85,90,95,100})</f>
        <v>70</v>
      </c>
      <c r="T6" s="12"/>
      <c r="U6" s="12"/>
      <c r="V6" s="12">
        <f t="shared" si="3"/>
        <v>70</v>
      </c>
      <c r="W6" s="12"/>
      <c r="X6" s="20">
        <f t="shared" si="4"/>
        <v>47.6</v>
      </c>
      <c r="Y6" s="20">
        <f t="shared" si="5"/>
        <v>68</v>
      </c>
    </row>
    <row r="7" ht="15.6" hidden="1" outlineLevel="2" spans="1:25">
      <c r="A7" s="12">
        <v>201</v>
      </c>
      <c r="B7" s="12">
        <v>6</v>
      </c>
      <c r="C7" s="6" t="s">
        <v>18</v>
      </c>
      <c r="D7" s="6" t="s">
        <v>11</v>
      </c>
      <c r="E7" s="12">
        <v>14</v>
      </c>
      <c r="F7" s="11">
        <f>LOOKUP(E7,{0,-2.9,-1.9,-0.9,0.1,1.1,2.1,3.5,4.9,6.3,7.7,9.1,10.5,11.9,13.3,14.7,16.1,18.3,20.5,22.4,24.3},{0,10,20,30,40,50,60,62,64,66,68,70,72,74,76,78,80,85,90,95,100})</f>
        <v>76</v>
      </c>
      <c r="G7" s="12">
        <v>230</v>
      </c>
      <c r="H7" s="11">
        <f>LOOKUP(G7,{0,175,180,185,190,195,200,204,208,212,216,220,224,228,232,236,240,248,255,260,265},{0,10,20,30,40,50,60,62,64,66,68,70,72,74,76,78,80,85,90,95,100})</f>
        <v>74</v>
      </c>
      <c r="I7" s="12">
        <v>1</v>
      </c>
      <c r="J7" s="11">
        <f>LOOKUP(I7,{0,3,4,5,6,7,8,9,10,11,12,13,14,15,16,17},{0,10,20,30,40,50,60,64,68,72,76,80,85,90,95,100})</f>
        <v>0</v>
      </c>
      <c r="K7" s="12"/>
      <c r="L7" s="12"/>
      <c r="M7" s="12">
        <f t="shared" si="0"/>
        <v>0</v>
      </c>
      <c r="N7" s="12"/>
      <c r="O7" s="12"/>
      <c r="P7" s="11"/>
      <c r="Q7" s="12">
        <v>4.39</v>
      </c>
      <c r="R7" s="12">
        <f t="shared" si="2"/>
        <v>5.61</v>
      </c>
      <c r="S7" s="11">
        <f>LOOKUP(R7,{0,3.8,4,4.6,4.8,5,5.6,5.65,5.7,5.75,5.8,5.85,5.9,5.95,6,6.45,6.5,6.58,6.65,6.7,6.75},{0,10,20,30,40,50,60,62,64,66,68,70,72,74,76,78,80,85,90,95,100})</f>
        <v>60</v>
      </c>
      <c r="T7" s="12"/>
      <c r="U7" s="12"/>
      <c r="V7" s="12">
        <f t="shared" si="3"/>
        <v>60</v>
      </c>
      <c r="W7" s="12"/>
      <c r="X7" s="20">
        <f t="shared" si="4"/>
        <v>27</v>
      </c>
      <c r="Y7" s="23">
        <v>50</v>
      </c>
    </row>
    <row r="8" ht="15.6" hidden="1" outlineLevel="2" spans="1:25">
      <c r="A8" s="12">
        <v>201</v>
      </c>
      <c r="B8" s="12">
        <v>7</v>
      </c>
      <c r="C8" s="6" t="s">
        <v>19</v>
      </c>
      <c r="D8" s="6" t="s">
        <v>11</v>
      </c>
      <c r="E8" s="12"/>
      <c r="F8" s="11"/>
      <c r="G8" s="12"/>
      <c r="H8" s="11"/>
      <c r="I8" s="12"/>
      <c r="J8" s="11"/>
      <c r="K8" s="12"/>
      <c r="L8" s="12"/>
      <c r="M8" s="12"/>
      <c r="N8" s="12"/>
      <c r="O8" s="12"/>
      <c r="P8" s="11"/>
      <c r="Q8" s="12"/>
      <c r="R8" s="12"/>
      <c r="S8" s="11"/>
      <c r="T8" s="12"/>
      <c r="U8" s="11"/>
      <c r="V8" s="12"/>
      <c r="W8" s="12" t="s">
        <v>14</v>
      </c>
      <c r="X8" s="20">
        <f t="shared" si="4"/>
        <v>0</v>
      </c>
      <c r="Y8" s="20">
        <v>50</v>
      </c>
    </row>
    <row r="9" ht="15.6" hidden="1" outlineLevel="2" spans="1:25">
      <c r="A9" s="12">
        <v>201</v>
      </c>
      <c r="B9" s="12">
        <v>8</v>
      </c>
      <c r="C9" s="6" t="s">
        <v>20</v>
      </c>
      <c r="D9" s="6" t="s">
        <v>11</v>
      </c>
      <c r="E9" s="12">
        <v>14.5</v>
      </c>
      <c r="F9" s="11">
        <f>LOOKUP(E9,{0,-2.9,-1.9,-0.9,0.1,1.1,2.1,3.5,4.9,6.3,7.7,9.1,10.5,11.9,13.3,14.7,16.1,18.3,20.5,22.4,24.3},{0,10,20,30,40,50,60,62,64,66,68,70,72,74,76,78,80,85,90,95,100})</f>
        <v>76</v>
      </c>
      <c r="G9" s="12">
        <v>239</v>
      </c>
      <c r="H9" s="11">
        <f>LOOKUP(G9,{0,175,180,185,190,195,200,204,208,212,216,220,224,228,232,236,240,248,255,260,265},{0,10,20,30,40,50,60,62,64,66,68,70,72,74,76,78,80,85,90,95,100})</f>
        <v>78</v>
      </c>
      <c r="I9" s="12">
        <v>0</v>
      </c>
      <c r="J9" s="11">
        <f>LOOKUP(I9,{0,3,4,5,6,7,8,9,10,11,12,13,14,15,16,17},{0,10,20,30,40,50,60,64,68,72,76,80,85,90,95,100})</f>
        <v>0</v>
      </c>
      <c r="K9" s="12"/>
      <c r="L9" s="12"/>
      <c r="M9" s="12">
        <f t="shared" ref="M9:M21" si="6">J9+L9</f>
        <v>0</v>
      </c>
      <c r="N9" s="12">
        <v>7.4</v>
      </c>
      <c r="O9" s="12">
        <f t="shared" ref="O9:O14" si="7">12-N9</f>
        <v>4.6</v>
      </c>
      <c r="P9" s="11">
        <f>LOOKUP(O9,{0,1.6,1.8,2,2.2,2.4,2.6,2.8,3,3.2,3.4,3.6,3.8,4,4.2,4.4,4.6,4.7,4.8,4.9,5},{0,10,20,30,40,50,60,62,64,66,68,70,72,74,76,78,80,85,90,95,100})</f>
        <v>80</v>
      </c>
      <c r="Q9" s="12">
        <v>3.57</v>
      </c>
      <c r="R9" s="12">
        <f t="shared" ref="R9:R21" si="8">10-Q9</f>
        <v>6.43</v>
      </c>
      <c r="S9" s="11">
        <f>LOOKUP(R9,{0,3.8,4,4.6,4.8,5,5.6,5.65,5.7,5.75,5.8,5.85,5.9,5.95,6,6.45,6.5,6.58,6.65,6.7,6.75},{0,10,20,30,40,50,60,62,64,66,68,70,72,74,76,78,80,85,90,95,100})</f>
        <v>76</v>
      </c>
      <c r="T9" s="12"/>
      <c r="U9" s="12"/>
      <c r="V9" s="12">
        <f t="shared" ref="V9:V21" si="9">S9+U9</f>
        <v>76</v>
      </c>
      <c r="W9" s="12"/>
      <c r="X9" s="20">
        <f t="shared" si="4"/>
        <v>46.6</v>
      </c>
      <c r="Y9" s="20">
        <f t="shared" ref="Y9:Y21" si="10">X9/0.7+L9+U9</f>
        <v>66.5714285714286</v>
      </c>
    </row>
    <row r="10" ht="15.6" hidden="1" outlineLevel="2" spans="1:25">
      <c r="A10" s="12">
        <v>201</v>
      </c>
      <c r="B10" s="12">
        <v>9</v>
      </c>
      <c r="C10" s="6" t="s">
        <v>21</v>
      </c>
      <c r="D10" s="6" t="s">
        <v>11</v>
      </c>
      <c r="E10" s="12">
        <v>11</v>
      </c>
      <c r="F10" s="11">
        <f>LOOKUP(E10,{0,-2.9,-1.9,-0.9,0.1,1.1,2.1,3.5,4.9,6.3,7.7,9.1,10.5,11.9,13.3,14.7,16.1,18.3,20.5,22.4,24.3},{0,10,20,30,40,50,60,62,64,66,68,70,72,74,76,78,80,85,90,95,100})</f>
        <v>72</v>
      </c>
      <c r="G10" s="12">
        <v>260</v>
      </c>
      <c r="H10" s="11">
        <f>LOOKUP(G10,{0,175,180,185,190,195,200,204,208,212,216,220,224,228,232,236,240,248,255,260,265},{0,10,20,30,40,50,60,62,64,66,68,70,72,74,76,78,80,85,90,95,100})</f>
        <v>95</v>
      </c>
      <c r="I10" s="12">
        <v>13</v>
      </c>
      <c r="J10" s="11">
        <f>LOOKUP(I10,{0,3,4,5,6,7,8,9,10,11,12,13,14,15,16,17},{0,10,20,30,40,50,60,64,68,72,76,80,85,90,95,100})</f>
        <v>80</v>
      </c>
      <c r="K10" s="12"/>
      <c r="L10" s="12"/>
      <c r="M10" s="12">
        <f t="shared" si="6"/>
        <v>80</v>
      </c>
      <c r="N10" s="12"/>
      <c r="O10" s="12"/>
      <c r="P10" s="11"/>
      <c r="Q10" s="12">
        <v>3.25</v>
      </c>
      <c r="R10" s="12">
        <f t="shared" si="8"/>
        <v>6.75</v>
      </c>
      <c r="S10" s="11">
        <f>LOOKUP(R10,{0,3.8,4,4.6,4.8,5,5.6,5.65,5.7,5.75,5.8,5.85,5.9,5.95,6,6.45,6.5,6.58,6.65,6.7,6.75},{0,10,20,30,40,50,60,62,64,66,68,70,72,74,76,78,80,85,90,95,100})</f>
        <v>100</v>
      </c>
      <c r="T10" s="12">
        <f t="shared" ref="T10:T15" si="11">3.25-Q10</f>
        <v>0</v>
      </c>
      <c r="U10" s="11">
        <f>LOOKUP(T10,{0,0.04,0.08,0.12,0.16,0.2,0.23,0.26,0.29,0.32,0.35},{0,1,2,3,4,5,6,7,8,9,10})</f>
        <v>0</v>
      </c>
      <c r="V10" s="12">
        <f t="shared" si="9"/>
        <v>100</v>
      </c>
      <c r="W10" s="12"/>
      <c r="X10" s="20">
        <f t="shared" si="4"/>
        <v>44.7</v>
      </c>
      <c r="Y10" s="20">
        <f t="shared" si="10"/>
        <v>63.8571428571429</v>
      </c>
    </row>
    <row r="11" ht="15.6" hidden="1" outlineLevel="2" spans="1:25">
      <c r="A11" s="12">
        <v>201</v>
      </c>
      <c r="B11" s="12">
        <v>10</v>
      </c>
      <c r="C11" s="6" t="s">
        <v>22</v>
      </c>
      <c r="D11" s="6" t="s">
        <v>11</v>
      </c>
      <c r="E11" s="12">
        <v>10</v>
      </c>
      <c r="F11" s="11">
        <f>LOOKUP(E11,{0,-2.9,-1.9,-0.9,0.1,1.1,2.1,3.5,4.9,6.3,7.7,9.1,10.5,11.9,13.3,14.7,16.1,18.3,20.5,22.4,24.3},{0,10,20,30,40,50,60,62,64,66,68,70,72,74,76,78,80,85,90,95,100})</f>
        <v>70</v>
      </c>
      <c r="G11" s="12">
        <v>208</v>
      </c>
      <c r="H11" s="11">
        <f>LOOKUP(G11,{0,175,180,185,190,195,200,204,208,212,216,220,224,228,232,236,240,248,255,260,265},{0,10,20,30,40,50,60,62,64,66,68,70,72,74,76,78,80,85,90,95,100})</f>
        <v>64</v>
      </c>
      <c r="I11" s="12">
        <v>17</v>
      </c>
      <c r="J11" s="11">
        <f>LOOKUP(I11,{0,3,4,5,6,7,8,9,10,11,12,13,14,15,16,17},{0,10,20,30,40,50,60,64,68,72,76,80,85,90,95,100})</f>
        <v>100</v>
      </c>
      <c r="K11" s="12">
        <f>I11-17</f>
        <v>0</v>
      </c>
      <c r="L11" s="16">
        <f>LOOKUP(K11,{0,1,2,3,4,5,6,7,8,9,10},{0,1,2,3,4,5,6,7,8,9,10})</f>
        <v>0</v>
      </c>
      <c r="M11" s="12">
        <f t="shared" si="6"/>
        <v>100</v>
      </c>
      <c r="N11" s="12">
        <v>7.8</v>
      </c>
      <c r="O11" s="12">
        <f t="shared" si="7"/>
        <v>4.2</v>
      </c>
      <c r="P11" s="11">
        <f>LOOKUP(O11,{0,1.6,1.8,2,2.2,2.4,2.6,2.8,3,3.2,3.4,3.6,3.8,4,4.2,4.4,4.6,4.7,4.8,4.9,5},{0,10,20,30,40,50,60,62,64,66,68,70,72,74,76,78,80,85,90,95,100})</f>
        <v>76</v>
      </c>
      <c r="Q11" s="12">
        <v>4.07</v>
      </c>
      <c r="R11" s="12">
        <f t="shared" si="8"/>
        <v>5.93</v>
      </c>
      <c r="S11" s="11">
        <f>LOOKUP(R11,{0,3.8,4,4.6,4.8,5,5.6,5.65,5.7,5.75,5.8,5.85,5.9,5.95,6,6.45,6.5,6.58,6.65,6.7,6.75},{0,10,20,30,40,50,60,62,64,66,68,70,72,74,76,78,80,85,90,95,100})</f>
        <v>72</v>
      </c>
      <c r="T11" s="12"/>
      <c r="U11" s="12"/>
      <c r="V11" s="12">
        <f t="shared" si="9"/>
        <v>72</v>
      </c>
      <c r="W11" s="12"/>
      <c r="X11" s="20">
        <f t="shared" si="4"/>
        <v>53</v>
      </c>
      <c r="Y11" s="20">
        <f t="shared" si="10"/>
        <v>75.7142857142857</v>
      </c>
    </row>
    <row r="12" ht="15.6" hidden="1" outlineLevel="2" spans="1:25">
      <c r="A12" s="12">
        <v>201</v>
      </c>
      <c r="B12" s="12">
        <v>11</v>
      </c>
      <c r="C12" s="6" t="s">
        <v>23</v>
      </c>
      <c r="D12" s="6" t="s">
        <v>11</v>
      </c>
      <c r="E12" s="12">
        <v>13</v>
      </c>
      <c r="F12" s="11">
        <f>LOOKUP(E12,{0,-2.9,-1.9,-0.9,0.1,1.1,2.1,3.5,4.9,6.3,7.7,9.1,10.5,11.9,13.3,14.7,16.1,18.3,20.5,22.4,24.3},{0,10,20,30,40,50,60,62,64,66,68,70,72,74,76,78,80,85,90,95,100})</f>
        <v>74</v>
      </c>
      <c r="G12" s="12">
        <v>230</v>
      </c>
      <c r="H12" s="11">
        <f>LOOKUP(G12,{0,175,180,185,190,195,200,204,208,212,216,220,224,228,232,236,240,248,255,260,265},{0,10,20,30,40,50,60,62,64,66,68,70,72,74,76,78,80,85,90,95,100})</f>
        <v>74</v>
      </c>
      <c r="I12" s="12">
        <v>8</v>
      </c>
      <c r="J12" s="11">
        <f>LOOKUP(I12,{0,3,4,5,6,7,8,9,10,11,12,13,14,15,16,17},{0,10,20,30,40,50,60,64,68,72,76,80,85,90,95,100})</f>
        <v>60</v>
      </c>
      <c r="K12" s="12"/>
      <c r="L12" s="12"/>
      <c r="M12" s="12">
        <f t="shared" si="6"/>
        <v>60</v>
      </c>
      <c r="N12" s="12">
        <v>7.4</v>
      </c>
      <c r="O12" s="12">
        <f t="shared" si="7"/>
        <v>4.6</v>
      </c>
      <c r="P12" s="11">
        <f>LOOKUP(O12,{0,1.6,1.8,2,2.2,2.4,2.6,2.8,3,3.2,3.4,3.6,3.8,4,4.2,4.4,4.6,4.7,4.8,4.9,5},{0,10,20,30,40,50,60,62,64,66,68,70,72,74,76,78,80,85,90,95,100})</f>
        <v>80</v>
      </c>
      <c r="Q12" s="12">
        <v>4</v>
      </c>
      <c r="R12" s="12">
        <f t="shared" si="8"/>
        <v>6</v>
      </c>
      <c r="S12" s="11">
        <f>LOOKUP(R12,{0,3.8,4,4.6,4.8,5,5.6,5.65,5.7,5.75,5.8,5.85,5.9,5.95,6,6.45,6.5,6.58,6.65,6.7,6.75},{0,10,20,30,40,50,60,62,64,66,68,70,72,74,76,78,80,85,90,95,100})</f>
        <v>76</v>
      </c>
      <c r="T12" s="12"/>
      <c r="U12" s="12"/>
      <c r="V12" s="12">
        <f t="shared" si="9"/>
        <v>76</v>
      </c>
      <c r="W12" s="12"/>
      <c r="X12" s="20">
        <f t="shared" si="4"/>
        <v>52</v>
      </c>
      <c r="Y12" s="20">
        <f t="shared" si="10"/>
        <v>74.2857142857143</v>
      </c>
    </row>
    <row r="13" ht="15.6" hidden="1" outlineLevel="2" spans="1:25">
      <c r="A13" s="12">
        <v>201</v>
      </c>
      <c r="B13" s="12">
        <v>12</v>
      </c>
      <c r="C13" s="6" t="s">
        <v>24</v>
      </c>
      <c r="D13" s="6" t="s">
        <v>11</v>
      </c>
      <c r="E13" s="12">
        <v>6.5</v>
      </c>
      <c r="F13" s="11">
        <f>LOOKUP(E13,{0,-2.9,-1.9,-0.9,0.1,1.1,2.1,3.5,4.9,6.3,7.7,9.1,10.5,11.9,13.3,14.7,16.1,18.3,20.5,22.4,24.3},{0,10,20,30,40,50,60,62,64,66,68,70,72,74,76,78,80,85,90,95,100})</f>
        <v>66</v>
      </c>
      <c r="G13" s="12">
        <v>207</v>
      </c>
      <c r="H13" s="11">
        <f>LOOKUP(G13,{0,175,180,185,190,195,200,204,208,212,216,220,224,228,232,236,240,248,255,260,265},{0,10,20,30,40,50,60,62,64,66,68,70,72,74,76,78,80,85,90,95,100})</f>
        <v>62</v>
      </c>
      <c r="I13" s="12">
        <v>8</v>
      </c>
      <c r="J13" s="11">
        <f>LOOKUP(I13,{0,3,4,5,6,7,8,9,10,11,12,13,14,15,16,17},{0,10,20,30,40,50,60,64,68,72,76,80,85,90,95,100})</f>
        <v>60</v>
      </c>
      <c r="K13" s="12"/>
      <c r="L13" s="12"/>
      <c r="M13" s="12">
        <f t="shared" si="6"/>
        <v>60</v>
      </c>
      <c r="N13" s="12">
        <v>6.9</v>
      </c>
      <c r="O13" s="12">
        <f t="shared" si="7"/>
        <v>5.1</v>
      </c>
      <c r="P13" s="11">
        <f>LOOKUP(O13,{0,1.6,1.8,2,2.2,2.4,2.6,2.8,3,3.2,3.4,3.6,3.8,4,4.2,4.4,4.6,4.7,4.8,4.9,5},{0,10,20,30,40,50,60,62,64,66,68,70,72,74,76,78,80,85,90,95,100})</f>
        <v>100</v>
      </c>
      <c r="Q13" s="12">
        <v>3.51</v>
      </c>
      <c r="R13" s="12">
        <f t="shared" si="8"/>
        <v>6.49</v>
      </c>
      <c r="S13" s="11">
        <f>LOOKUP(R13,{0,3.8,4,4.6,4.8,5,5.6,5.65,5.7,5.75,5.8,5.85,5.9,5.95,6,6.45,6.5,6.58,6.65,6.7,6.75},{0,10,20,30,40,50,60,62,64,66,68,70,72,74,76,78,80,85,90,95,100})</f>
        <v>78</v>
      </c>
      <c r="T13" s="12"/>
      <c r="U13" s="12"/>
      <c r="V13" s="12">
        <f t="shared" si="9"/>
        <v>78</v>
      </c>
      <c r="W13" s="12"/>
      <c r="X13" s="20">
        <f t="shared" si="4"/>
        <v>54.4</v>
      </c>
      <c r="Y13" s="20">
        <f t="shared" si="10"/>
        <v>77.7142857142857</v>
      </c>
    </row>
    <row r="14" customFormat="1" ht="15.6" hidden="1" outlineLevel="2" spans="1:25">
      <c r="A14" s="12">
        <v>201</v>
      </c>
      <c r="B14" s="12">
        <v>13</v>
      </c>
      <c r="C14" s="13" t="s">
        <v>26</v>
      </c>
      <c r="D14" s="6" t="s">
        <v>11</v>
      </c>
      <c r="E14" s="12">
        <v>7.8</v>
      </c>
      <c r="F14" s="11">
        <f>LOOKUP(E14,{0,-2.9,-1.9,-0.9,0.1,1.1,2.1,3.5,4.9,6.3,7.7,9.1,10.5,11.9,13.3,14.7,16.1,18.3,20.5,22.4,24.3},{0,10,20,30,40,50,60,62,64,66,68,70,72,74,76,78,80,85,90,95,100})</f>
        <v>68</v>
      </c>
      <c r="G14" s="12">
        <v>258</v>
      </c>
      <c r="H14" s="11">
        <f>LOOKUP(G14,{0,175,180,185,190,195,200,204,208,212,216,220,224,228,232,236,240,248,255,260,265},{0,10,20,30,40,50,60,62,64,66,68,70,72,74,76,78,80,85,90,95,100})</f>
        <v>90</v>
      </c>
      <c r="I14" s="12">
        <v>32</v>
      </c>
      <c r="J14" s="11">
        <f>LOOKUP(I14,{0,3,4,5,6,7,8,9,10,11,12,13,14,15,16,17},{0,10,20,30,40,50,60,64,68,72,76,80,85,90,95,100})</f>
        <v>100</v>
      </c>
      <c r="K14" s="12">
        <f>I14-17</f>
        <v>15</v>
      </c>
      <c r="L14" s="16">
        <f>LOOKUP(K14,{0,1,2,3,4,5,6,7,8,9,10},{0,1,2,3,4,5,6,7,8,9,10})</f>
        <v>10</v>
      </c>
      <c r="M14" s="12">
        <f t="shared" si="6"/>
        <v>110</v>
      </c>
      <c r="N14" s="12">
        <v>7</v>
      </c>
      <c r="O14" s="12">
        <f t="shared" si="7"/>
        <v>5</v>
      </c>
      <c r="P14" s="11">
        <f>LOOKUP(O14,{0,1.6,1.8,2,2.2,2.4,2.6,2.8,3,3.2,3.4,3.6,3.8,4,4.2,4.4,4.6,4.7,4.8,4.9,5},{0,10,20,30,40,50,60,62,64,66,68,70,72,74,76,78,80,85,90,95,100})</f>
        <v>100</v>
      </c>
      <c r="Q14" s="12">
        <v>3.23</v>
      </c>
      <c r="R14" s="12">
        <f t="shared" si="8"/>
        <v>6.77</v>
      </c>
      <c r="S14" s="11">
        <f>LOOKUP(R14,{0,3.8,4,4.6,4.8,5,5.6,5.65,5.7,5.75,5.8,5.85,5.9,5.95,6,6.45,6.5,6.58,6.65,6.7,6.75},{0,10,20,30,40,50,60,62,64,66,68,70,72,74,76,78,80,85,90,95,100})</f>
        <v>100</v>
      </c>
      <c r="T14" s="12">
        <f t="shared" si="11"/>
        <v>0.02</v>
      </c>
      <c r="U14" s="11">
        <f>LOOKUP(T14,{0,0.04,0.08,0.12,0.16,0.2,0.23,0.26,0.29,0.32,0.35},{0,1,2,3,4,5,6,7,8,9,10})</f>
        <v>0</v>
      </c>
      <c r="V14" s="12">
        <f t="shared" si="9"/>
        <v>100</v>
      </c>
      <c r="W14" s="12"/>
      <c r="X14" s="20">
        <f t="shared" si="4"/>
        <v>65.8</v>
      </c>
      <c r="Y14" s="20">
        <f t="shared" si="10"/>
        <v>104</v>
      </c>
    </row>
    <row r="15" customFormat="1" ht="15.6" hidden="1" outlineLevel="2" spans="1:25">
      <c r="A15" s="12">
        <v>201</v>
      </c>
      <c r="B15" s="12">
        <v>14</v>
      </c>
      <c r="C15" s="6" t="s">
        <v>27</v>
      </c>
      <c r="D15" s="6" t="s">
        <v>11</v>
      </c>
      <c r="E15" s="12">
        <v>15.9</v>
      </c>
      <c r="F15" s="11">
        <f>LOOKUP(E15,{0,-2.9,-1.9,-0.9,0.1,1.1,2.1,3.5,4.9,6.3,7.7,9.1,10.5,11.9,13.3,14.7,16.1,18.3,20.5,22.4,24.3},{0,10,20,30,40,50,60,62,64,66,68,70,72,74,76,78,80,85,90,95,100})</f>
        <v>78</v>
      </c>
      <c r="G15" s="12">
        <v>261</v>
      </c>
      <c r="H15" s="11">
        <f>LOOKUP(G15,{0,175,180,185,190,195,200,204,208,212,216,220,224,228,232,236,240,248,255,260,265},{0,10,20,30,40,50,60,62,64,66,68,70,72,74,76,78,80,85,90,95,100})</f>
        <v>95</v>
      </c>
      <c r="I15" s="12">
        <v>16</v>
      </c>
      <c r="J15" s="11">
        <f>LOOKUP(I15,{0,3,4,5,6,7,8,9,10,11,12,13,14,15,16,17},{0,10,20,30,40,50,60,64,68,72,76,80,85,90,95,100})</f>
        <v>95</v>
      </c>
      <c r="K15" s="12"/>
      <c r="L15" s="12"/>
      <c r="M15" s="12">
        <f t="shared" si="6"/>
        <v>95</v>
      </c>
      <c r="N15" s="12"/>
      <c r="O15" s="12"/>
      <c r="P15" s="11"/>
      <c r="Q15" s="12">
        <v>3.24</v>
      </c>
      <c r="R15" s="12">
        <f t="shared" si="8"/>
        <v>6.76</v>
      </c>
      <c r="S15" s="11">
        <f>LOOKUP(R15,{0,3.8,4,4.6,4.8,5,5.6,5.65,5.7,5.75,5.8,5.85,5.9,5.95,6,6.45,6.5,6.58,6.65,6.7,6.75},{0,10,20,30,40,50,60,62,64,66,68,70,72,74,76,78,80,85,90,95,100})</f>
        <v>100</v>
      </c>
      <c r="T15" s="12">
        <f t="shared" si="11"/>
        <v>0.00999999999999979</v>
      </c>
      <c r="U15" s="11">
        <f>LOOKUP(T15,{0,0.04,0.08,0.12,0.16,0.2,0.23,0.26,0.29,0.32,0.35},{0,1,2,3,4,5,6,7,8,9,10})</f>
        <v>0</v>
      </c>
      <c r="V15" s="12">
        <f t="shared" si="9"/>
        <v>100</v>
      </c>
      <c r="W15" s="12"/>
      <c r="X15" s="20">
        <f t="shared" si="4"/>
        <v>46.8</v>
      </c>
      <c r="Y15" s="20">
        <f t="shared" si="10"/>
        <v>66.8571428571429</v>
      </c>
    </row>
    <row r="16" customFormat="1" ht="15.6" hidden="1" outlineLevel="2" spans="1:25">
      <c r="A16" s="12">
        <v>201</v>
      </c>
      <c r="B16" s="12">
        <v>15</v>
      </c>
      <c r="C16" s="6" t="s">
        <v>28</v>
      </c>
      <c r="D16" s="6" t="s">
        <v>11</v>
      </c>
      <c r="E16" s="12">
        <v>18.5</v>
      </c>
      <c r="F16" s="11">
        <f>LOOKUP(E16,{0,-2.9,-1.9,-0.9,0.1,1.1,2.1,3.5,4.9,6.3,7.7,9.1,10.5,11.9,13.3,14.7,16.1,18.3,20.5,22.4,24.3},{0,10,20,30,40,50,60,62,64,66,68,70,72,74,76,78,80,85,90,95,100})</f>
        <v>85</v>
      </c>
      <c r="G16" s="12">
        <v>260</v>
      </c>
      <c r="H16" s="11">
        <f>LOOKUP(G16,{0,175,180,185,190,195,200,204,208,212,216,220,224,228,232,236,240,248,255,260,265},{0,10,20,30,40,50,60,62,64,66,68,70,72,74,76,78,80,85,90,95,100})</f>
        <v>95</v>
      </c>
      <c r="I16" s="12">
        <v>2</v>
      </c>
      <c r="J16" s="11">
        <f>LOOKUP(I16,{0,3,4,5,6,7,8,9,10,11,12,13,14,15,16,17},{0,10,20,30,40,50,60,64,68,72,76,80,85,90,95,100})</f>
        <v>0</v>
      </c>
      <c r="K16" s="12"/>
      <c r="L16" s="12"/>
      <c r="M16" s="12">
        <f t="shared" si="6"/>
        <v>0</v>
      </c>
      <c r="N16" s="12">
        <v>6.8</v>
      </c>
      <c r="O16" s="12">
        <f t="shared" ref="O16:O21" si="12">12-N16</f>
        <v>5.2</v>
      </c>
      <c r="P16" s="11">
        <f>LOOKUP(O16,{0,1.6,1.8,2,2.2,2.4,2.6,2.8,3,3.2,3.4,3.6,3.8,4,4.2,4.4,4.6,4.7,4.8,4.9,5},{0,10,20,30,40,50,60,62,64,66,68,70,72,74,76,78,80,85,90,95,100})</f>
        <v>100</v>
      </c>
      <c r="Q16" s="12">
        <v>3.57</v>
      </c>
      <c r="R16" s="12">
        <f t="shared" si="8"/>
        <v>6.43</v>
      </c>
      <c r="S16" s="11">
        <f>LOOKUP(R16,{0,3.8,4,4.6,4.8,5,5.6,5.65,5.7,5.75,5.8,5.85,5.9,5.95,6,6.45,6.5,6.58,6.65,6.7,6.75},{0,10,20,30,40,50,60,62,64,66,68,70,72,74,76,78,80,85,90,95,100})</f>
        <v>76</v>
      </c>
      <c r="T16" s="12"/>
      <c r="U16" s="12"/>
      <c r="V16" s="12">
        <f t="shared" si="9"/>
        <v>76</v>
      </c>
      <c r="W16" s="12"/>
      <c r="X16" s="20">
        <f t="shared" si="4"/>
        <v>53.2</v>
      </c>
      <c r="Y16" s="20">
        <f t="shared" si="10"/>
        <v>76</v>
      </c>
    </row>
    <row r="17" customFormat="1" ht="15.6" hidden="1" outlineLevel="2" spans="1:25">
      <c r="A17" s="12">
        <v>201</v>
      </c>
      <c r="B17" s="12">
        <v>16</v>
      </c>
      <c r="C17" s="6" t="s">
        <v>29</v>
      </c>
      <c r="D17" s="6" t="s">
        <v>11</v>
      </c>
      <c r="E17" s="12">
        <v>15</v>
      </c>
      <c r="F17" s="11">
        <f>LOOKUP(E17,{0,-2.9,-1.9,-0.9,0.1,1.1,2.1,3.5,4.9,6.3,7.7,9.1,10.5,11.9,13.3,14.7,16.1,18.3,20.5,22.4,24.3},{0,10,20,30,40,50,60,62,64,66,68,70,72,74,76,78,80,85,90,95,100})</f>
        <v>78</v>
      </c>
      <c r="G17" s="12">
        <v>245</v>
      </c>
      <c r="H17" s="11">
        <f>LOOKUP(G17,{0,175,180,185,190,195,200,204,208,212,216,220,224,228,232,236,240,248,255,260,265},{0,10,20,30,40,50,60,62,64,66,68,70,72,74,76,78,80,85,90,95,100})</f>
        <v>80</v>
      </c>
      <c r="I17" s="12">
        <v>15</v>
      </c>
      <c r="J17" s="11">
        <f>LOOKUP(I17,{0,3,4,5,6,7,8,9,10,11,12,13,14,15,16,17},{0,10,20,30,40,50,60,64,68,72,76,80,85,90,95,100})</f>
        <v>90</v>
      </c>
      <c r="K17" s="12"/>
      <c r="L17" s="12"/>
      <c r="M17" s="12">
        <f t="shared" si="6"/>
        <v>90</v>
      </c>
      <c r="N17" s="12">
        <v>6.9</v>
      </c>
      <c r="O17" s="12">
        <f t="shared" si="12"/>
        <v>5.1</v>
      </c>
      <c r="P17" s="11">
        <f>LOOKUP(O17,{0,1.6,1.8,2,2.2,2.4,2.6,2.8,3,3.2,3.4,3.6,3.8,4,4.2,4.4,4.6,4.7,4.8,4.9,5},{0,10,20,30,40,50,60,62,64,66,68,70,72,74,76,78,80,85,90,95,100})</f>
        <v>100</v>
      </c>
      <c r="Q17" s="12">
        <v>3.19</v>
      </c>
      <c r="R17" s="12">
        <f t="shared" si="8"/>
        <v>6.81</v>
      </c>
      <c r="S17" s="11">
        <f>LOOKUP(R17,{0,3.8,4,4.6,4.8,5,5.6,5.65,5.7,5.75,5.8,5.85,5.9,5.95,6,6.45,6.5,6.58,6.65,6.7,6.75},{0,10,20,30,40,50,60,62,64,66,68,70,72,74,76,78,80,85,90,95,100})</f>
        <v>100</v>
      </c>
      <c r="T17" s="12">
        <f>3.25-Q17</f>
        <v>0.0600000000000001</v>
      </c>
      <c r="U17" s="11">
        <f>LOOKUP(T17,{0,0.04,0.08,0.12,0.16,0.2,0.23,0.26,0.29,0.32,0.35},{0,1,2,3,4,5,6,7,8,9,10})</f>
        <v>1</v>
      </c>
      <c r="V17" s="12">
        <f t="shared" si="9"/>
        <v>101</v>
      </c>
      <c r="W17" s="12"/>
      <c r="X17" s="20">
        <f t="shared" si="4"/>
        <v>64.8</v>
      </c>
      <c r="Y17" s="20">
        <f t="shared" si="10"/>
        <v>93.5714285714286</v>
      </c>
    </row>
    <row r="18" customFormat="1" ht="15.6" hidden="1" outlineLevel="2" spans="1:25">
      <c r="A18" s="12">
        <v>201</v>
      </c>
      <c r="B18" s="12">
        <v>17</v>
      </c>
      <c r="C18" s="6" t="s">
        <v>30</v>
      </c>
      <c r="D18" s="6" t="s">
        <v>11</v>
      </c>
      <c r="E18" s="12">
        <v>8.8</v>
      </c>
      <c r="F18" s="11">
        <f>LOOKUP(E18,{0,-2.9,-1.9,-0.9,0.1,1.1,2.1,3.5,4.9,6.3,7.7,9.1,10.5,11.9,13.3,14.7,16.1,18.3,20.5,22.4,24.3},{0,10,20,30,40,50,60,62,64,66,68,70,72,74,76,78,80,85,90,95,100})</f>
        <v>68</v>
      </c>
      <c r="G18" s="12">
        <v>236</v>
      </c>
      <c r="H18" s="11">
        <f>LOOKUP(G18,{0,175,180,185,190,195,200,204,208,212,216,220,224,228,232,236,240,248,255,260,265},{0,10,20,30,40,50,60,62,64,66,68,70,72,74,76,78,80,85,90,95,100})</f>
        <v>78</v>
      </c>
      <c r="I18" s="12">
        <v>0</v>
      </c>
      <c r="J18" s="11">
        <f>LOOKUP(I18,{0,3,4,5,6,7,8,9,10,11,12,13,14,15,16,17},{0,10,20,30,40,50,60,64,68,72,76,80,85,90,95,100})</f>
        <v>0</v>
      </c>
      <c r="K18" s="12"/>
      <c r="L18" s="12"/>
      <c r="M18" s="12">
        <f t="shared" si="6"/>
        <v>0</v>
      </c>
      <c r="N18" s="12">
        <v>7.4</v>
      </c>
      <c r="O18" s="12">
        <f t="shared" si="12"/>
        <v>4.6</v>
      </c>
      <c r="P18" s="11">
        <f>LOOKUP(O18,{0,1.6,1.8,2,2.2,2.4,2.6,2.8,3,3.2,3.4,3.6,3.8,4,4.2,4.4,4.6,4.7,4.8,4.9,5},{0,10,20,30,40,50,60,62,64,66,68,70,72,74,76,78,80,85,90,95,100})</f>
        <v>80</v>
      </c>
      <c r="Q18" s="12">
        <v>3.48</v>
      </c>
      <c r="R18" s="12">
        <f t="shared" si="8"/>
        <v>6.52</v>
      </c>
      <c r="S18" s="11">
        <f>LOOKUP(R18,{0,3.8,4,4.6,4.8,5,5.6,5.65,5.7,5.75,5.8,5.85,5.9,5.95,6,6.45,6.5,6.58,6.65,6.7,6.75},{0,10,20,30,40,50,60,62,64,66,68,70,72,74,76,78,80,85,90,95,100})</f>
        <v>80</v>
      </c>
      <c r="T18" s="12"/>
      <c r="U18" s="12"/>
      <c r="V18" s="12">
        <f t="shared" si="9"/>
        <v>80</v>
      </c>
      <c r="W18" s="12"/>
      <c r="X18" s="20">
        <f t="shared" si="4"/>
        <v>46.6</v>
      </c>
      <c r="Y18" s="20">
        <f t="shared" si="10"/>
        <v>66.5714285714286</v>
      </c>
    </row>
    <row r="19" customFormat="1" ht="15.6" hidden="1" outlineLevel="2" spans="1:25">
      <c r="A19" s="12">
        <v>201</v>
      </c>
      <c r="B19" s="12">
        <v>18</v>
      </c>
      <c r="C19" s="6" t="s">
        <v>31</v>
      </c>
      <c r="D19" s="6" t="s">
        <v>11</v>
      </c>
      <c r="E19" s="12">
        <v>17</v>
      </c>
      <c r="F19" s="11">
        <f>LOOKUP(E19,{0,-2.9,-1.9,-0.9,0.1,1.1,2.1,3.5,4.9,6.3,7.7,9.1,10.5,11.9,13.3,14.7,16.1,18.3,20.5,22.4,24.3},{0,10,20,30,40,50,60,62,64,66,68,70,72,74,76,78,80,85,90,95,100})</f>
        <v>80</v>
      </c>
      <c r="G19" s="12">
        <v>256</v>
      </c>
      <c r="H19" s="11">
        <f>LOOKUP(G19,{0,175,180,185,190,195,200,204,208,212,216,220,224,228,232,236,240,248,255,260,265},{0,10,20,30,40,50,60,62,64,66,68,70,72,74,76,78,80,85,90,95,100})</f>
        <v>90</v>
      </c>
      <c r="I19" s="12">
        <v>0</v>
      </c>
      <c r="J19" s="11">
        <f>LOOKUP(I19,{0,3,4,5,6,7,8,9,10,11,12,13,14,15,16,17},{0,10,20,30,40,50,60,64,68,72,76,80,85,90,95,100})</f>
        <v>0</v>
      </c>
      <c r="K19" s="12"/>
      <c r="L19" s="12"/>
      <c r="M19" s="12">
        <f t="shared" si="6"/>
        <v>0</v>
      </c>
      <c r="N19" s="12">
        <v>7</v>
      </c>
      <c r="O19" s="12">
        <f t="shared" si="12"/>
        <v>5</v>
      </c>
      <c r="P19" s="11">
        <f>LOOKUP(O19,{0,1.6,1.8,2,2.2,2.4,2.6,2.8,3,3.2,3.4,3.6,3.8,4,4.2,4.4,4.6,4.7,4.8,4.9,5},{0,10,20,30,40,50,60,62,64,66,68,70,72,74,76,78,80,85,90,95,100})</f>
        <v>100</v>
      </c>
      <c r="Q19" s="12">
        <v>3.35</v>
      </c>
      <c r="R19" s="12">
        <f t="shared" si="8"/>
        <v>6.65</v>
      </c>
      <c r="S19" s="11">
        <f>LOOKUP(R19,{0,3.8,4,4.6,4.8,5,5.6,5.65,5.7,5.75,5.8,5.85,5.9,5.95,6,6.45,6.5,6.58,6.65,6.7,6.75},{0,10,20,30,40,50,60,62,64,66,68,70,72,74,76,78,80,85,90,95,100})</f>
        <v>90</v>
      </c>
      <c r="T19" s="12"/>
      <c r="U19" s="12"/>
      <c r="V19" s="12">
        <f t="shared" si="9"/>
        <v>90</v>
      </c>
      <c r="W19" s="12"/>
      <c r="X19" s="20">
        <f t="shared" si="4"/>
        <v>55</v>
      </c>
      <c r="Y19" s="20">
        <f t="shared" si="10"/>
        <v>78.5714285714286</v>
      </c>
    </row>
    <row r="20" customFormat="1" ht="15.6" hidden="1" outlineLevel="2" spans="1:25">
      <c r="A20" s="12">
        <v>201</v>
      </c>
      <c r="B20" s="12">
        <v>19</v>
      </c>
      <c r="C20" s="6" t="s">
        <v>32</v>
      </c>
      <c r="D20" s="6" t="s">
        <v>11</v>
      </c>
      <c r="E20" s="12">
        <v>8.7</v>
      </c>
      <c r="F20" s="11">
        <f>LOOKUP(E20,{0,-2.9,-1.9,-0.9,0.1,1.1,2.1,3.5,4.9,6.3,7.7,9.1,10.5,11.9,13.3,14.7,16.1,18.3,20.5,22.4,24.3},{0,10,20,30,40,50,60,62,64,66,68,70,72,74,76,78,80,85,90,95,100})</f>
        <v>68</v>
      </c>
      <c r="G20" s="12">
        <v>236</v>
      </c>
      <c r="H20" s="11">
        <f>LOOKUP(G20,{0,175,180,185,190,195,200,204,208,212,216,220,224,228,232,236,240,248,255,260,265},{0,10,20,30,40,50,60,62,64,66,68,70,72,74,76,78,80,85,90,95,100})</f>
        <v>78</v>
      </c>
      <c r="I20" s="12">
        <v>0</v>
      </c>
      <c r="J20" s="11">
        <f>LOOKUP(I20,{0,3,4,5,6,7,8,9,10,11,12,13,14,15,16,17},{0,10,20,30,40,50,60,64,68,72,76,80,85,90,95,100})</f>
        <v>0</v>
      </c>
      <c r="K20" s="12"/>
      <c r="L20" s="12"/>
      <c r="M20" s="12">
        <f t="shared" si="6"/>
        <v>0</v>
      </c>
      <c r="N20" s="12">
        <v>7.6</v>
      </c>
      <c r="O20" s="12">
        <f t="shared" si="12"/>
        <v>4.4</v>
      </c>
      <c r="P20" s="11">
        <f>LOOKUP(O20,{0,1.6,1.8,2,2.2,2.4,2.6,2.8,3,3.2,3.4,3.6,3.8,4,4.2,4.4,4.6,4.7,4.8,4.9,5},{0,10,20,30,40,50,60,62,64,66,68,70,72,74,76,78,80,85,90,95,100})</f>
        <v>78</v>
      </c>
      <c r="Q20" s="12">
        <v>4.09</v>
      </c>
      <c r="R20" s="12">
        <f t="shared" si="8"/>
        <v>5.91</v>
      </c>
      <c r="S20" s="11">
        <f>LOOKUP(R20,{0,3.8,4,4.6,4.8,5,5.6,5.65,5.7,5.75,5.8,5.85,5.9,5.95,6,6.45,6.5,6.58,6.65,6.7,6.75},{0,10,20,30,40,50,60,62,64,66,68,70,72,74,76,78,80,85,90,95,100})</f>
        <v>72</v>
      </c>
      <c r="T20" s="12"/>
      <c r="U20" s="12"/>
      <c r="V20" s="12">
        <f t="shared" si="9"/>
        <v>72</v>
      </c>
      <c r="W20" s="12"/>
      <c r="X20" s="20">
        <f t="shared" si="4"/>
        <v>44.6</v>
      </c>
      <c r="Y20" s="20">
        <f t="shared" si="10"/>
        <v>63.7142857142857</v>
      </c>
    </row>
    <row r="21" ht="15.6" hidden="1" outlineLevel="2" spans="1:25">
      <c r="A21" s="12">
        <v>201</v>
      </c>
      <c r="B21" s="12">
        <v>20</v>
      </c>
      <c r="C21" s="6" t="s">
        <v>33</v>
      </c>
      <c r="D21" s="6" t="s">
        <v>11</v>
      </c>
      <c r="E21" s="12">
        <v>10.6</v>
      </c>
      <c r="F21" s="11">
        <f>LOOKUP(E21,{0,-2.9,-1.9,-0.9,0.1,1.1,2.1,3.5,4.9,6.3,7.7,9.1,10.5,11.9,13.3,14.7,16.1,18.3,20.5,22.4,24.3},{0,10,20,30,40,50,60,62,64,66,68,70,72,74,76,78,80,85,90,95,100})</f>
        <v>72</v>
      </c>
      <c r="G21" s="12">
        <v>186</v>
      </c>
      <c r="H21" s="11">
        <f>LOOKUP(G21,{0,175,180,185,190,195,200,204,208,212,216,220,224,228,232,236,240,248,255,260,265},{0,10,20,30,40,50,60,62,64,66,68,70,72,74,76,78,80,85,90,95,100})</f>
        <v>30</v>
      </c>
      <c r="I21" s="12">
        <v>0</v>
      </c>
      <c r="J21" s="11">
        <f>LOOKUP(I21,{0,3,4,5,6,7,8,9,10,11,12,13,14,15,16,17},{0,10,20,30,40,50,60,64,68,72,76,80,85,90,95,100})</f>
        <v>0</v>
      </c>
      <c r="K21" s="12"/>
      <c r="L21" s="12"/>
      <c r="M21" s="12">
        <f t="shared" si="6"/>
        <v>0</v>
      </c>
      <c r="N21" s="12">
        <v>8</v>
      </c>
      <c r="O21" s="12">
        <f t="shared" si="12"/>
        <v>4</v>
      </c>
      <c r="P21" s="11">
        <f>LOOKUP(O21,{0,1.6,1.8,2,2.2,2.4,2.6,2.8,3,3.2,3.4,3.6,3.8,4,4.2,4.4,4.6,4.7,4.8,4.9,5},{0,10,20,30,40,50,60,62,64,66,68,70,72,74,76,78,80,85,90,95,100})</f>
        <v>74</v>
      </c>
      <c r="Q21" s="12">
        <v>3.58</v>
      </c>
      <c r="R21" s="12">
        <f t="shared" si="8"/>
        <v>6.42</v>
      </c>
      <c r="S21" s="11">
        <f>LOOKUP(R21,{0,3.8,4,4.6,4.8,5,5.6,5.65,5.7,5.75,5.8,5.85,5.9,5.95,6,6.45,6.5,6.58,6.65,6.7,6.75},{0,10,20,30,40,50,60,62,64,66,68,70,72,74,76,78,80,85,90,95,100})</f>
        <v>76</v>
      </c>
      <c r="T21" s="12"/>
      <c r="U21" s="12"/>
      <c r="V21" s="12">
        <f t="shared" si="9"/>
        <v>76</v>
      </c>
      <c r="W21" s="12"/>
      <c r="X21" s="20">
        <f t="shared" si="4"/>
        <v>40.2</v>
      </c>
      <c r="Y21" s="20">
        <f t="shared" si="10"/>
        <v>57.4285714285714</v>
      </c>
    </row>
    <row r="22" s="1" customFormat="1" ht="15.6" hidden="1" outlineLevel="2" spans="1:25">
      <c r="A22" s="12">
        <v>201</v>
      </c>
      <c r="B22" s="12">
        <v>21</v>
      </c>
      <c r="C22" s="6" t="s">
        <v>34</v>
      </c>
      <c r="D22" s="6" t="s">
        <v>11</v>
      </c>
      <c r="E22" s="12"/>
      <c r="F22" s="11"/>
      <c r="G22" s="12"/>
      <c r="H22" s="11"/>
      <c r="I22" s="12"/>
      <c r="J22" s="11"/>
      <c r="K22" s="12"/>
      <c r="L22" s="12"/>
      <c r="M22" s="12"/>
      <c r="N22" s="12"/>
      <c r="O22" s="12"/>
      <c r="P22" s="11"/>
      <c r="Q22" s="12"/>
      <c r="R22" s="12"/>
      <c r="S22" s="11"/>
      <c r="T22" s="12"/>
      <c r="U22" s="11"/>
      <c r="V22" s="12"/>
      <c r="W22" s="12" t="s">
        <v>14</v>
      </c>
      <c r="X22" s="20">
        <f t="shared" si="4"/>
        <v>0</v>
      </c>
      <c r="Y22" s="20">
        <v>50</v>
      </c>
    </row>
    <row r="23" ht="15.6" hidden="1" outlineLevel="2" spans="1:25">
      <c r="A23" s="12">
        <v>201</v>
      </c>
      <c r="B23" s="12">
        <v>22</v>
      </c>
      <c r="C23" s="6" t="s">
        <v>35</v>
      </c>
      <c r="D23" s="6" t="s">
        <v>11</v>
      </c>
      <c r="E23" s="12">
        <v>12.1</v>
      </c>
      <c r="F23" s="11">
        <f>LOOKUP(E23,{0,-2.9,-1.9,-0.9,0.1,1.1,2.1,3.5,4.9,6.3,7.7,9.1,10.5,11.9,13.3,14.7,16.1,18.3,20.5,22.4,24.3},{0,10,20,30,40,50,60,62,64,66,68,70,72,74,76,78,80,85,90,95,100})</f>
        <v>74</v>
      </c>
      <c r="G23" s="12">
        <v>216</v>
      </c>
      <c r="H23" s="11">
        <f>LOOKUP(G23,{0,175,180,185,190,195,200,204,208,212,216,220,224,228,232,236,240,248,255,260,265},{0,10,20,30,40,50,60,62,64,66,68,70,72,74,76,78,80,85,90,95,100})</f>
        <v>68</v>
      </c>
      <c r="I23" s="12">
        <v>0</v>
      </c>
      <c r="J23" s="11">
        <f>LOOKUP(I23,{0,3,4,5,6,7,8,9,10,11,12,13,14,15,16,17},{0,10,20,30,40,50,60,64,68,72,76,80,85,90,95,100})</f>
        <v>0</v>
      </c>
      <c r="K23" s="12"/>
      <c r="L23" s="12"/>
      <c r="M23" s="12">
        <f t="shared" ref="M23:M37" si="13">J23+L23</f>
        <v>0</v>
      </c>
      <c r="N23" s="12"/>
      <c r="O23" s="12"/>
      <c r="P23" s="11"/>
      <c r="Q23" s="12">
        <v>4.21</v>
      </c>
      <c r="R23" s="12">
        <f t="shared" ref="R23:R37" si="14">10-Q23</f>
        <v>5.79</v>
      </c>
      <c r="S23" s="11">
        <f>LOOKUP(R23,{0,3.8,4,4.6,4.8,5,5.6,5.65,5.7,5.75,5.8,5.85,5.9,5.95,6,6.45,6.5,6.58,6.65,6.7,6.75},{0,10,20,30,40,50,60,62,64,66,68,70,72,74,76,78,80,85,90,95,100})</f>
        <v>66</v>
      </c>
      <c r="T23" s="12"/>
      <c r="U23" s="12"/>
      <c r="V23" s="12">
        <f t="shared" ref="V23:V37" si="15">S23+U23</f>
        <v>66</v>
      </c>
      <c r="W23" s="12"/>
      <c r="X23" s="20">
        <f t="shared" si="4"/>
        <v>27.4</v>
      </c>
      <c r="Y23" s="23">
        <v>50</v>
      </c>
    </row>
    <row r="24" ht="15.6" hidden="1" outlineLevel="2" spans="1:25">
      <c r="A24" s="12">
        <v>201</v>
      </c>
      <c r="B24" s="12">
        <v>23</v>
      </c>
      <c r="C24" s="6" t="s">
        <v>36</v>
      </c>
      <c r="D24" s="6" t="s">
        <v>11</v>
      </c>
      <c r="E24" s="12">
        <v>15.3</v>
      </c>
      <c r="F24" s="11">
        <f>LOOKUP(E24,{0,-2.9,-1.9,-0.9,0.1,1.1,2.1,3.5,4.9,6.3,7.7,9.1,10.5,11.9,13.3,14.7,16.1,18.3,20.5,22.4,24.3},{0,10,20,30,40,50,60,62,64,66,68,70,72,74,76,78,80,85,90,95,100})</f>
        <v>78</v>
      </c>
      <c r="G24" s="12">
        <v>243</v>
      </c>
      <c r="H24" s="11">
        <f>LOOKUP(G24,{0,175,180,185,190,195,200,204,208,212,216,220,224,228,232,236,240,248,255,260,265},{0,10,20,30,40,50,60,62,64,66,68,70,72,74,76,78,80,85,90,95,100})</f>
        <v>80</v>
      </c>
      <c r="I24" s="12">
        <v>4</v>
      </c>
      <c r="J24" s="11">
        <f>LOOKUP(I24,{0,3,4,5,6,7,8,9,10,11,12,13,14,15,16,17},{0,10,20,30,40,50,60,64,68,72,76,80,85,90,95,100})</f>
        <v>20</v>
      </c>
      <c r="K24" s="12"/>
      <c r="L24" s="12"/>
      <c r="M24" s="12">
        <f t="shared" si="13"/>
        <v>20</v>
      </c>
      <c r="N24" s="12">
        <v>7.4</v>
      </c>
      <c r="O24" s="12">
        <f t="shared" ref="O24:O37" si="16">12-N24</f>
        <v>4.6</v>
      </c>
      <c r="P24" s="11">
        <f>LOOKUP(O24,{0,1.6,1.8,2,2.2,2.4,2.6,2.8,3,3.2,3.4,3.6,3.8,4,4.2,4.4,4.6,4.7,4.8,4.9,5},{0,10,20,30,40,50,60,62,64,66,68,70,72,74,76,78,80,85,90,95,100})</f>
        <v>80</v>
      </c>
      <c r="Q24" s="12">
        <v>3.49</v>
      </c>
      <c r="R24" s="12">
        <f t="shared" si="14"/>
        <v>6.51</v>
      </c>
      <c r="S24" s="11">
        <f>LOOKUP(R24,{0,3.8,4,4.6,4.8,5,5.6,5.65,5.7,5.75,5.8,5.85,5.9,5.95,6,6.45,6.5,6.58,6.65,6.7,6.75},{0,10,20,30,40,50,60,62,64,66,68,70,72,74,76,78,80,85,90,95,100})</f>
        <v>80</v>
      </c>
      <c r="T24" s="12"/>
      <c r="U24" s="12"/>
      <c r="V24" s="12">
        <f t="shared" si="15"/>
        <v>80</v>
      </c>
      <c r="W24" s="12"/>
      <c r="X24" s="20">
        <f t="shared" si="4"/>
        <v>49.8</v>
      </c>
      <c r="Y24" s="20">
        <f t="shared" ref="Y24:Y37" si="17">X24/0.7+L24+U24</f>
        <v>71.1428571428571</v>
      </c>
    </row>
    <row r="25" ht="15.6" hidden="1" outlineLevel="2" spans="1:25">
      <c r="A25" s="12">
        <v>201</v>
      </c>
      <c r="B25" s="12">
        <v>24</v>
      </c>
      <c r="C25" s="6" t="s">
        <v>37</v>
      </c>
      <c r="D25" s="6" t="s">
        <v>11</v>
      </c>
      <c r="E25" s="12">
        <v>22.5</v>
      </c>
      <c r="F25" s="11">
        <f>LOOKUP(E25,{0,-2.9,-1.9,-0.9,0.1,1.1,2.1,3.5,4.9,6.3,7.7,9.1,10.5,11.9,13.3,14.7,16.1,18.3,20.5,22.4,24.3},{0,10,20,30,40,50,60,62,64,66,68,70,72,74,76,78,80,85,90,95,100})</f>
        <v>95</v>
      </c>
      <c r="G25" s="12">
        <v>251</v>
      </c>
      <c r="H25" s="11">
        <f>LOOKUP(G25,{0,175,180,185,190,195,200,204,208,212,216,220,224,228,232,236,240,248,255,260,265},{0,10,20,30,40,50,60,62,64,66,68,70,72,74,76,78,80,85,90,95,100})</f>
        <v>85</v>
      </c>
      <c r="I25" s="12">
        <v>0</v>
      </c>
      <c r="J25" s="11">
        <f>LOOKUP(I25,{0,3,4,5,6,7,8,9,10,11,12,13,14,15,16,17},{0,10,20,30,40,50,60,64,68,72,76,80,85,90,95,100})</f>
        <v>0</v>
      </c>
      <c r="K25" s="12"/>
      <c r="L25" s="12"/>
      <c r="M25" s="12">
        <f t="shared" si="13"/>
        <v>0</v>
      </c>
      <c r="N25" s="12">
        <v>7.3</v>
      </c>
      <c r="O25" s="12">
        <f t="shared" si="16"/>
        <v>4.7</v>
      </c>
      <c r="P25" s="11">
        <f>LOOKUP(O25,{0,1.6,1.8,2,2.2,2.4,2.6,2.8,3,3.2,3.4,3.6,3.8,4,4.2,4.4,4.6,4.7,4.8,4.9,5},{0,10,20,30,40,50,60,62,64,66,68,70,72,74,76,78,80,85,90,95,100})</f>
        <v>85</v>
      </c>
      <c r="Q25" s="12">
        <v>3.36</v>
      </c>
      <c r="R25" s="12">
        <f t="shared" si="14"/>
        <v>6.64</v>
      </c>
      <c r="S25" s="11">
        <f>LOOKUP(R25,{0,3.8,4,4.6,4.8,5,5.6,5.65,5.7,5.75,5.8,5.85,5.9,5.95,6,6.45,6.5,6.58,6.65,6.7,6.75},{0,10,20,30,40,50,60,62,64,66,68,70,72,74,76,78,80,85,90,95,100})</f>
        <v>85</v>
      </c>
      <c r="T25" s="12"/>
      <c r="U25" s="12"/>
      <c r="V25" s="12">
        <f t="shared" si="15"/>
        <v>85</v>
      </c>
      <c r="W25" s="12"/>
      <c r="X25" s="20">
        <f t="shared" si="4"/>
        <v>52</v>
      </c>
      <c r="Y25" s="20">
        <f t="shared" si="17"/>
        <v>74.2857142857143</v>
      </c>
    </row>
    <row r="26" ht="15.6" hidden="1" outlineLevel="2" spans="1:25">
      <c r="A26" s="12">
        <v>201</v>
      </c>
      <c r="B26" s="12">
        <v>25</v>
      </c>
      <c r="C26" s="13" t="s">
        <v>39</v>
      </c>
      <c r="D26" s="6" t="s">
        <v>11</v>
      </c>
      <c r="E26" s="12">
        <v>15.1</v>
      </c>
      <c r="F26" s="11">
        <f>LOOKUP(E26,{0,-2.9,-1.9,-0.9,0.1,1.1,2.1,3.5,4.9,6.3,7.7,9.1,10.5,11.9,13.3,14.7,16.1,18.3,20.5,22.4,24.3},{0,10,20,30,40,50,60,62,64,66,68,70,72,74,76,78,80,85,90,95,100})</f>
        <v>78</v>
      </c>
      <c r="G26" s="12">
        <v>248</v>
      </c>
      <c r="H26" s="11">
        <f>LOOKUP(G26,{0,175,180,185,190,195,200,204,208,212,216,220,224,228,232,236,240,248,255,260,265},{0,10,20,30,40,50,60,62,64,66,68,70,72,74,76,78,80,85,90,95,100})</f>
        <v>85</v>
      </c>
      <c r="I26" s="12">
        <v>17</v>
      </c>
      <c r="J26" s="11">
        <f>LOOKUP(I26,{0,3,4,5,6,7,8,9,10,11,12,13,14,15,16,17},{0,10,20,30,40,50,60,64,68,72,76,80,85,90,95,100})</f>
        <v>100</v>
      </c>
      <c r="K26" s="12">
        <f>I26-17</f>
        <v>0</v>
      </c>
      <c r="L26" s="16">
        <f>LOOKUP(K26,{0,1,2,3,4,5,6,7,8,9,10},{0,1,2,3,4,5,6,7,8,9,10})</f>
        <v>0</v>
      </c>
      <c r="M26" s="12">
        <f t="shared" si="13"/>
        <v>100</v>
      </c>
      <c r="N26" s="12">
        <v>6.9</v>
      </c>
      <c r="O26" s="12">
        <f t="shared" si="16"/>
        <v>5.1</v>
      </c>
      <c r="P26" s="11">
        <f>LOOKUP(O26,{0,1.6,1.8,2,2.2,2.4,2.6,2.8,3,3.2,3.4,3.6,3.8,4,4.2,4.4,4.6,4.7,4.8,4.9,5},{0,10,20,30,40,50,60,62,64,66,68,70,72,74,76,78,80,85,90,95,100})</f>
        <v>100</v>
      </c>
      <c r="Q26" s="12">
        <v>3.39</v>
      </c>
      <c r="R26" s="12">
        <f t="shared" si="14"/>
        <v>6.61</v>
      </c>
      <c r="S26" s="11">
        <f>LOOKUP(R26,{0,3.8,4,4.6,4.8,5,5.6,5.65,5.7,5.75,5.8,5.85,5.9,5.95,6,6.45,6.5,6.58,6.65,6.7,6.75},{0,10,20,30,40,50,60,62,64,66,68,70,72,74,76,78,80,85,90,95,100})</f>
        <v>85</v>
      </c>
      <c r="T26" s="12"/>
      <c r="U26" s="12"/>
      <c r="V26" s="12">
        <f t="shared" si="15"/>
        <v>85</v>
      </c>
      <c r="W26" s="12"/>
      <c r="X26" s="20">
        <f t="shared" si="4"/>
        <v>63.3</v>
      </c>
      <c r="Y26" s="20">
        <f t="shared" si="17"/>
        <v>90.4285714285714</v>
      </c>
    </row>
    <row r="27" ht="15.6" hidden="1" outlineLevel="2" spans="1:25">
      <c r="A27" s="12">
        <v>201</v>
      </c>
      <c r="B27" s="12">
        <v>26</v>
      </c>
      <c r="C27" s="6" t="s">
        <v>40</v>
      </c>
      <c r="D27" s="6" t="s">
        <v>11</v>
      </c>
      <c r="E27" s="12">
        <v>13.5</v>
      </c>
      <c r="F27" s="11">
        <f>LOOKUP(E27,{0,-2.9,-1.9,-0.9,0.1,1.1,2.1,3.5,4.9,6.3,7.7,9.1,10.5,11.9,13.3,14.7,16.1,18.3,20.5,22.4,24.3},{0,10,20,30,40,50,60,62,64,66,68,70,72,74,76,78,80,85,90,95,100})</f>
        <v>76</v>
      </c>
      <c r="G27" s="12">
        <v>272</v>
      </c>
      <c r="H27" s="11">
        <f>LOOKUP(G27,{0,175,180,185,190,195,200,204,208,212,216,220,224,228,232,236,240,248,255,260,265},{0,10,20,30,40,50,60,62,64,66,68,70,72,74,76,78,80,85,90,95,100})</f>
        <v>100</v>
      </c>
      <c r="I27" s="12">
        <v>27</v>
      </c>
      <c r="J27" s="11">
        <f>LOOKUP(I27,{0,3,4,5,6,7,8,9,10,11,12,13,14,15,16,17},{0,10,20,30,40,50,60,64,68,72,76,80,85,90,95,100})</f>
        <v>100</v>
      </c>
      <c r="K27" s="12">
        <f>I27-17</f>
        <v>10</v>
      </c>
      <c r="L27" s="16">
        <f>LOOKUP(K27,{0,1,2,3,4,5,6,7,8,9,10},{0,1,2,3,4,5,6,7,8,9,10})</f>
        <v>10</v>
      </c>
      <c r="M27" s="12">
        <f t="shared" si="13"/>
        <v>110</v>
      </c>
      <c r="N27" s="12">
        <v>6.5</v>
      </c>
      <c r="O27" s="12">
        <f t="shared" si="16"/>
        <v>5.5</v>
      </c>
      <c r="P27" s="11">
        <f>LOOKUP(O27,{0,1.6,1.8,2,2.2,2.4,2.6,2.8,3,3.2,3.4,3.6,3.8,4,4.2,4.4,4.6,4.7,4.8,4.9,5},{0,10,20,30,40,50,60,62,64,66,68,70,72,74,76,78,80,85,90,95,100})</f>
        <v>100</v>
      </c>
      <c r="Q27" s="12">
        <v>3.06</v>
      </c>
      <c r="R27" s="12">
        <f t="shared" si="14"/>
        <v>6.94</v>
      </c>
      <c r="S27" s="11">
        <f>LOOKUP(R27,{0,3.8,4,4.6,4.8,5,5.6,5.65,5.7,5.75,5.8,5.85,5.9,5.95,6,6.45,6.5,6.58,6.65,6.7,6.75},{0,10,20,30,40,50,60,62,64,66,68,70,72,74,76,78,80,85,90,95,100})</f>
        <v>100</v>
      </c>
      <c r="T27" s="12">
        <f>3.25-Q27</f>
        <v>0.19</v>
      </c>
      <c r="U27" s="11">
        <f>LOOKUP(T27,{0,0.04,0.08,0.12,0.16,0.2,0.23,0.26,0.29,0.32,0.35},{0,1,2,3,4,5,6,7,8,9,10})</f>
        <v>4</v>
      </c>
      <c r="V27" s="12">
        <f t="shared" si="15"/>
        <v>104</v>
      </c>
      <c r="W27" s="12"/>
      <c r="X27" s="20">
        <f t="shared" si="4"/>
        <v>67.6</v>
      </c>
      <c r="Y27" s="20">
        <f t="shared" si="17"/>
        <v>110.571428571429</v>
      </c>
    </row>
    <row r="28" ht="15.6" hidden="1" outlineLevel="2" spans="1:25">
      <c r="A28" s="12">
        <v>201</v>
      </c>
      <c r="B28" s="12">
        <v>27</v>
      </c>
      <c r="C28" s="6" t="s">
        <v>41</v>
      </c>
      <c r="D28" s="6" t="s">
        <v>11</v>
      </c>
      <c r="E28" s="12">
        <v>14.1</v>
      </c>
      <c r="F28" s="11">
        <f>LOOKUP(E28,{0,-2.9,-1.9,-0.9,0.1,1.1,2.1,3.5,4.9,6.3,7.7,9.1,10.5,11.9,13.3,14.7,16.1,18.3,20.5,22.4,24.3},{0,10,20,30,40,50,60,62,64,66,68,70,72,74,76,78,80,85,90,95,100})</f>
        <v>76</v>
      </c>
      <c r="G28" s="12">
        <v>232</v>
      </c>
      <c r="H28" s="11">
        <f>LOOKUP(G28,{0,175,180,185,190,195,200,204,208,212,216,220,224,228,232,236,240,248,255,260,265},{0,10,20,30,40,50,60,62,64,66,68,70,72,74,76,78,80,85,90,95,100})</f>
        <v>76</v>
      </c>
      <c r="I28" s="12">
        <v>3</v>
      </c>
      <c r="J28" s="11">
        <f>LOOKUP(I28,{0,3,4,5,6,7,8,9,10,11,12,13,14,15,16,17},{0,10,20,30,40,50,60,64,68,72,76,80,85,90,95,100})</f>
        <v>10</v>
      </c>
      <c r="K28" s="12"/>
      <c r="L28" s="12"/>
      <c r="M28" s="12">
        <f t="shared" si="13"/>
        <v>10</v>
      </c>
      <c r="N28" s="12">
        <v>7.5</v>
      </c>
      <c r="O28" s="12">
        <f t="shared" si="16"/>
        <v>4.5</v>
      </c>
      <c r="P28" s="11">
        <f>LOOKUP(O28,{0,1.6,1.8,2,2.2,2.4,2.6,2.8,3,3.2,3.4,3.6,3.8,4,4.2,4.4,4.6,4.7,4.8,4.9,5},{0,10,20,30,40,50,60,62,64,66,68,70,72,74,76,78,80,85,90,95,100})</f>
        <v>78</v>
      </c>
      <c r="Q28" s="12">
        <v>3.45</v>
      </c>
      <c r="R28" s="12">
        <f t="shared" si="14"/>
        <v>6.55</v>
      </c>
      <c r="S28" s="11">
        <f>LOOKUP(R28,{0,3.8,4,4.6,4.8,5,5.6,5.65,5.7,5.75,5.8,5.85,5.9,5.95,6,6.45,6.5,6.58,6.65,6.7,6.75},{0,10,20,30,40,50,60,62,64,66,68,70,72,74,76,78,80,85,90,95,100})</f>
        <v>80</v>
      </c>
      <c r="T28" s="12"/>
      <c r="U28" s="12"/>
      <c r="V28" s="12">
        <f t="shared" si="15"/>
        <v>80</v>
      </c>
      <c r="W28" s="12"/>
      <c r="X28" s="20">
        <f t="shared" si="4"/>
        <v>47.8</v>
      </c>
      <c r="Y28" s="20">
        <f t="shared" si="17"/>
        <v>68.2857142857143</v>
      </c>
    </row>
    <row r="29" ht="15.6" hidden="1" outlineLevel="2" spans="1:25">
      <c r="A29" s="12">
        <v>201</v>
      </c>
      <c r="B29" s="12">
        <v>28</v>
      </c>
      <c r="C29" s="6" t="s">
        <v>42</v>
      </c>
      <c r="D29" s="6" t="s">
        <v>11</v>
      </c>
      <c r="E29" s="12">
        <v>15.4</v>
      </c>
      <c r="F29" s="11">
        <f>LOOKUP(E29,{0,-2.9,-1.9,-0.9,0.1,1.1,2.1,3.5,4.9,6.3,7.7,9.1,10.5,11.9,13.3,14.7,16.1,18.3,20.5,22.4,24.3},{0,10,20,30,40,50,60,62,64,66,68,70,72,74,76,78,80,85,90,95,100})</f>
        <v>78</v>
      </c>
      <c r="G29" s="12">
        <v>191</v>
      </c>
      <c r="H29" s="11">
        <f>LOOKUP(G29,{0,175,180,185,190,195,200,204,208,212,216,220,224,228,232,236,240,248,255,260,265},{0,10,20,30,40,50,60,62,64,66,68,70,72,74,76,78,80,85,90,95,100})</f>
        <v>40</v>
      </c>
      <c r="I29" s="12">
        <v>0</v>
      </c>
      <c r="J29" s="11">
        <f>LOOKUP(I29,{0,3,4,5,6,7,8,9,10,11,12,13,14,15,16,17},{0,10,20,30,40,50,60,64,68,72,76,80,85,90,95,100})</f>
        <v>0</v>
      </c>
      <c r="K29" s="12"/>
      <c r="L29" s="12"/>
      <c r="M29" s="12">
        <f t="shared" si="13"/>
        <v>0</v>
      </c>
      <c r="N29" s="12">
        <v>8.3</v>
      </c>
      <c r="O29" s="12">
        <f t="shared" si="16"/>
        <v>3.7</v>
      </c>
      <c r="P29" s="11">
        <f>LOOKUP(O29,{0,1.6,1.8,2,2.2,2.4,2.6,2.8,3,3.2,3.4,3.6,3.8,4,4.2,4.4,4.6,4.7,4.8,4.9,5},{0,10,20,30,40,50,60,62,64,66,68,70,72,74,76,78,80,85,90,95,100})</f>
        <v>70</v>
      </c>
      <c r="Q29" s="12">
        <v>5.01</v>
      </c>
      <c r="R29" s="12">
        <f t="shared" si="14"/>
        <v>4.99</v>
      </c>
      <c r="S29" s="11">
        <f>LOOKUP(R29,{0,3.8,4,4.6,4.8,5,5.6,5.65,5.7,5.75,5.8,5.85,5.9,5.95,6,6.45,6.5,6.58,6.65,6.7,6.75},{0,10,20,30,40,50,60,62,64,66,68,70,72,74,76,78,80,85,90,95,100})</f>
        <v>40</v>
      </c>
      <c r="T29" s="12"/>
      <c r="U29" s="12"/>
      <c r="V29" s="12">
        <f t="shared" si="15"/>
        <v>40</v>
      </c>
      <c r="W29" s="12"/>
      <c r="X29" s="20">
        <f t="shared" si="4"/>
        <v>33.8</v>
      </c>
      <c r="Y29" s="20">
        <f t="shared" si="17"/>
        <v>48.2857142857143</v>
      </c>
    </row>
    <row r="30" ht="15.6" hidden="1" outlineLevel="2" spans="1:25">
      <c r="A30" s="12">
        <v>201</v>
      </c>
      <c r="B30" s="12">
        <v>29</v>
      </c>
      <c r="C30" s="6" t="s">
        <v>43</v>
      </c>
      <c r="D30" s="6" t="s">
        <v>11</v>
      </c>
      <c r="E30" s="12">
        <v>11.3</v>
      </c>
      <c r="F30" s="11">
        <f>LOOKUP(E30,{0,-2.9,-1.9,-0.9,0.1,1.1,2.1,3.5,4.9,6.3,7.7,9.1,10.5,11.9,13.3,14.7,16.1,18.3,20.5,22.4,24.3},{0,10,20,30,40,50,60,62,64,66,68,70,72,74,76,78,80,85,90,95,100})</f>
        <v>72</v>
      </c>
      <c r="G30" s="12">
        <v>253</v>
      </c>
      <c r="H30" s="11">
        <f>LOOKUP(G30,{0,175,180,185,190,195,200,204,208,212,216,220,224,228,232,236,240,248,255,260,265},{0,10,20,30,40,50,60,62,64,66,68,70,72,74,76,78,80,85,90,95,100})</f>
        <v>85</v>
      </c>
      <c r="I30" s="12">
        <v>11</v>
      </c>
      <c r="J30" s="11">
        <f>LOOKUP(I30,{0,3,4,5,6,7,8,9,10,11,12,13,14,15,16,17},{0,10,20,30,40,50,60,64,68,72,76,80,85,90,95,100})</f>
        <v>72</v>
      </c>
      <c r="K30" s="12"/>
      <c r="L30" s="12"/>
      <c r="M30" s="12">
        <f t="shared" si="13"/>
        <v>72</v>
      </c>
      <c r="N30" s="12">
        <v>6.9</v>
      </c>
      <c r="O30" s="12">
        <f t="shared" si="16"/>
        <v>5.1</v>
      </c>
      <c r="P30" s="11">
        <f>LOOKUP(O30,{0,1.6,1.8,2,2.2,2.4,2.6,2.8,3,3.2,3.4,3.6,3.8,4,4.2,4.4,4.6,4.7,4.8,4.9,5},{0,10,20,30,40,50,60,62,64,66,68,70,72,74,76,78,80,85,90,95,100})</f>
        <v>100</v>
      </c>
      <c r="Q30" s="12">
        <v>3.27</v>
      </c>
      <c r="R30" s="12">
        <f t="shared" si="14"/>
        <v>6.73</v>
      </c>
      <c r="S30" s="11">
        <f>LOOKUP(R30,{0,3.8,4,4.6,4.8,5,5.6,5.65,5.7,5.75,5.8,5.85,5.9,5.95,6,6.45,6.5,6.58,6.65,6.7,6.75},{0,10,20,30,40,50,60,62,64,66,68,70,72,74,76,78,80,85,90,95,100})</f>
        <v>95</v>
      </c>
      <c r="T30" s="12"/>
      <c r="U30" s="12"/>
      <c r="V30" s="12">
        <f t="shared" si="15"/>
        <v>95</v>
      </c>
      <c r="W30" s="12"/>
      <c r="X30" s="20">
        <f t="shared" si="4"/>
        <v>61.9</v>
      </c>
      <c r="Y30" s="20">
        <f t="shared" si="17"/>
        <v>88.4285714285714</v>
      </c>
    </row>
    <row r="31" ht="15.6" hidden="1" outlineLevel="2" spans="1:25">
      <c r="A31" s="12">
        <v>201</v>
      </c>
      <c r="B31" s="12">
        <v>30</v>
      </c>
      <c r="C31" s="6" t="s">
        <v>44</v>
      </c>
      <c r="D31" s="6" t="s">
        <v>11</v>
      </c>
      <c r="E31" s="12">
        <v>11.8</v>
      </c>
      <c r="F31" s="11">
        <f>LOOKUP(E31,{0,-2.9,-1.9,-0.9,0.1,1.1,2.1,3.5,4.9,6.3,7.7,9.1,10.5,11.9,13.3,14.7,16.1,18.3,20.5,22.4,24.3},{0,10,20,30,40,50,60,62,64,66,68,70,72,74,76,78,80,85,90,95,100})</f>
        <v>72</v>
      </c>
      <c r="G31" s="12">
        <v>193</v>
      </c>
      <c r="H31" s="11">
        <f>LOOKUP(G31,{0,175,180,185,190,195,200,204,208,212,216,220,224,228,232,236,240,248,255,260,265},{0,10,20,30,40,50,60,62,64,66,68,70,72,74,76,78,80,85,90,95,100})</f>
        <v>40</v>
      </c>
      <c r="I31" s="12">
        <v>6</v>
      </c>
      <c r="J31" s="11">
        <f>LOOKUP(I31,{0,3,4,5,6,7,8,9,10,11,12,13,14,15,16,17},{0,10,20,30,40,50,60,64,68,72,76,80,85,90,95,100})</f>
        <v>40</v>
      </c>
      <c r="K31" s="12"/>
      <c r="L31" s="12"/>
      <c r="M31" s="12">
        <f t="shared" si="13"/>
        <v>40</v>
      </c>
      <c r="N31" s="12">
        <v>7.6</v>
      </c>
      <c r="O31" s="12">
        <f t="shared" si="16"/>
        <v>4.4</v>
      </c>
      <c r="P31" s="11">
        <f>LOOKUP(O31,{0,1.6,1.8,2,2.2,2.4,2.6,2.8,3,3.2,3.4,3.6,3.8,4,4.2,4.4,4.6,4.7,4.8,4.9,5},{0,10,20,30,40,50,60,62,64,66,68,70,72,74,76,78,80,85,90,95,100})</f>
        <v>78</v>
      </c>
      <c r="Q31" s="12">
        <v>4.15</v>
      </c>
      <c r="R31" s="12">
        <f t="shared" si="14"/>
        <v>5.85</v>
      </c>
      <c r="S31" s="11">
        <f>LOOKUP(R31,{0,3.8,4,4.6,4.8,5,5.6,5.65,5.7,5.75,5.8,5.85,5.9,5.95,6,6.45,6.5,6.58,6.65,6.7,6.75},{0,10,20,30,40,50,60,62,64,66,68,70,72,74,76,78,80,85,90,95,100})</f>
        <v>70</v>
      </c>
      <c r="T31" s="12"/>
      <c r="U31" s="12"/>
      <c r="V31" s="12">
        <f t="shared" si="15"/>
        <v>70</v>
      </c>
      <c r="W31" s="12"/>
      <c r="X31" s="20">
        <f t="shared" si="4"/>
        <v>44.8</v>
      </c>
      <c r="Y31" s="20">
        <f t="shared" si="17"/>
        <v>64</v>
      </c>
    </row>
    <row r="32" ht="15.6" hidden="1" outlineLevel="2" spans="1:25">
      <c r="A32" s="12">
        <v>201</v>
      </c>
      <c r="B32" s="12">
        <v>31</v>
      </c>
      <c r="C32" s="6" t="s">
        <v>45</v>
      </c>
      <c r="D32" s="6" t="s">
        <v>11</v>
      </c>
      <c r="E32" s="12">
        <v>22.9</v>
      </c>
      <c r="F32" s="11">
        <f>LOOKUP(E32,{0,-2.9,-1.9,-0.9,0.1,1.1,2.1,3.5,4.9,6.3,7.7,9.1,10.5,11.9,13.3,14.7,16.1,18.3,20.5,22.4,24.3},{0,10,20,30,40,50,60,62,64,66,68,70,72,74,76,78,80,85,90,95,100})</f>
        <v>95</v>
      </c>
      <c r="G32" s="12">
        <v>201</v>
      </c>
      <c r="H32" s="11">
        <f>LOOKUP(G32,{0,175,180,185,190,195,200,204,208,212,216,220,224,228,232,236,240,248,255,260,265},{0,10,20,30,40,50,60,62,64,66,68,70,72,74,76,78,80,85,90,95,100})</f>
        <v>60</v>
      </c>
      <c r="I32" s="12">
        <v>19</v>
      </c>
      <c r="J32" s="11">
        <f>LOOKUP(I32,{0,3,4,5,6,7,8,9,10,11,12,13,14,15,16,17},{0,10,20,30,40,50,60,64,68,72,76,80,85,90,95,100})</f>
        <v>100</v>
      </c>
      <c r="K32" s="12">
        <f>I32-17</f>
        <v>2</v>
      </c>
      <c r="L32" s="16">
        <f>LOOKUP(K32,{0,1,2,3,4,5,6,7,8,9,10},{0,1,2,3,4,5,6,7,8,9,10})</f>
        <v>2</v>
      </c>
      <c r="M32" s="12">
        <f t="shared" si="13"/>
        <v>102</v>
      </c>
      <c r="N32" s="12">
        <v>7.3</v>
      </c>
      <c r="O32" s="12">
        <f t="shared" si="16"/>
        <v>4.7</v>
      </c>
      <c r="P32" s="11">
        <f>LOOKUP(O32,{0,1.6,1.8,2,2.2,2.4,2.6,2.8,3,3.2,3.4,3.6,3.8,4,4.2,4.4,4.6,4.7,4.8,4.9,5},{0,10,20,30,40,50,60,62,64,66,68,70,72,74,76,78,80,85,90,95,100})</f>
        <v>85</v>
      </c>
      <c r="Q32" s="12">
        <v>3.58</v>
      </c>
      <c r="R32" s="12">
        <f t="shared" si="14"/>
        <v>6.42</v>
      </c>
      <c r="S32" s="11">
        <f>LOOKUP(R32,{0,3.8,4,4.6,4.8,5,5.6,5.65,5.7,5.75,5.8,5.85,5.9,5.95,6,6.45,6.5,6.58,6.65,6.7,6.75},{0,10,20,30,40,50,60,62,64,66,68,70,72,74,76,78,80,85,90,95,100})</f>
        <v>76</v>
      </c>
      <c r="T32" s="12"/>
      <c r="U32" s="12"/>
      <c r="V32" s="12">
        <f t="shared" si="15"/>
        <v>76</v>
      </c>
      <c r="W32" s="12"/>
      <c r="X32" s="20">
        <f t="shared" si="4"/>
        <v>57.7</v>
      </c>
      <c r="Y32" s="20">
        <f t="shared" si="17"/>
        <v>84.4285714285714</v>
      </c>
    </row>
    <row r="33" ht="15.6" hidden="1" outlineLevel="2" spans="1:25">
      <c r="A33" s="12">
        <v>201</v>
      </c>
      <c r="B33" s="12">
        <v>32</v>
      </c>
      <c r="C33" s="6" t="s">
        <v>46</v>
      </c>
      <c r="D33" s="6" t="s">
        <v>11</v>
      </c>
      <c r="E33" s="12">
        <v>8</v>
      </c>
      <c r="F33" s="11">
        <f>LOOKUP(E33,{0,-2.9,-1.9,-0.9,0.1,1.1,2.1,3.5,4.9,6.3,7.7,9.1,10.5,11.9,13.3,14.7,16.1,18.3,20.5,22.4,24.3},{0,10,20,30,40,50,60,62,64,66,68,70,72,74,76,78,80,85,90,95,100})</f>
        <v>68</v>
      </c>
      <c r="G33" s="12">
        <v>255</v>
      </c>
      <c r="H33" s="11">
        <f>LOOKUP(G33,{0,175,180,185,190,195,200,204,208,212,216,220,224,228,232,236,240,248,255,260,265},{0,10,20,30,40,50,60,62,64,66,68,70,72,74,76,78,80,85,90,95,100})</f>
        <v>90</v>
      </c>
      <c r="I33" s="12">
        <v>10</v>
      </c>
      <c r="J33" s="11">
        <f>LOOKUP(I33,{0,3,4,5,6,7,8,9,10,11,12,13,14,15,16,17},{0,10,20,30,40,50,60,64,68,72,76,80,85,90,95,100})</f>
        <v>68</v>
      </c>
      <c r="K33" s="12"/>
      <c r="L33" s="12"/>
      <c r="M33" s="12">
        <f t="shared" si="13"/>
        <v>68</v>
      </c>
      <c r="N33" s="12">
        <v>7</v>
      </c>
      <c r="O33" s="12">
        <f t="shared" si="16"/>
        <v>5</v>
      </c>
      <c r="P33" s="11">
        <f>LOOKUP(O33,{0,1.6,1.8,2,2.2,2.4,2.6,2.8,3,3.2,3.4,3.6,3.8,4,4.2,4.4,4.6,4.7,4.8,4.9,5},{0,10,20,30,40,50,60,62,64,66,68,70,72,74,76,78,80,85,90,95,100})</f>
        <v>100</v>
      </c>
      <c r="Q33" s="12">
        <v>3.45</v>
      </c>
      <c r="R33" s="12">
        <f t="shared" si="14"/>
        <v>6.55</v>
      </c>
      <c r="S33" s="11">
        <f>LOOKUP(R33,{0,3.8,4,4.6,4.8,5,5.6,5.65,5.7,5.75,5.8,5.85,5.9,5.95,6,6.45,6.5,6.58,6.65,6.7,6.75},{0,10,20,30,40,50,60,62,64,66,68,70,72,74,76,78,80,85,90,95,100})</f>
        <v>80</v>
      </c>
      <c r="T33" s="12"/>
      <c r="U33" s="12"/>
      <c r="V33" s="12">
        <f t="shared" si="15"/>
        <v>80</v>
      </c>
      <c r="W33" s="12"/>
      <c r="X33" s="20">
        <f t="shared" si="4"/>
        <v>58.6</v>
      </c>
      <c r="Y33" s="20">
        <f t="shared" si="17"/>
        <v>83.7142857142857</v>
      </c>
    </row>
    <row r="34" ht="15.6" hidden="1" outlineLevel="2" spans="1:25">
      <c r="A34" s="12">
        <v>201</v>
      </c>
      <c r="B34" s="12">
        <v>33</v>
      </c>
      <c r="C34" s="6" t="s">
        <v>47</v>
      </c>
      <c r="D34" s="6" t="s">
        <v>11</v>
      </c>
      <c r="E34" s="12">
        <v>20</v>
      </c>
      <c r="F34" s="11">
        <f>LOOKUP(E34,{0,-2.9,-1.9,-0.9,0.1,1.1,2.1,3.5,4.9,6.3,7.7,9.1,10.5,11.9,13.3,14.7,16.1,18.3,20.5,22.4,24.3},{0,10,20,30,40,50,60,62,64,66,68,70,72,74,76,78,80,85,90,95,100})</f>
        <v>85</v>
      </c>
      <c r="G34" s="12">
        <v>263</v>
      </c>
      <c r="H34" s="11">
        <f>LOOKUP(G34,{0,175,180,185,190,195,200,204,208,212,216,220,224,228,232,236,240,248,255,260,265},{0,10,20,30,40,50,60,62,64,66,68,70,72,74,76,78,80,85,90,95,100})</f>
        <v>95</v>
      </c>
      <c r="I34" s="12">
        <v>11</v>
      </c>
      <c r="J34" s="11">
        <f>LOOKUP(I34,{0,3,4,5,6,7,8,9,10,11,12,13,14,15,16,17},{0,10,20,30,40,50,60,64,68,72,76,80,85,90,95,100})</f>
        <v>72</v>
      </c>
      <c r="K34" s="12"/>
      <c r="L34" s="12"/>
      <c r="M34" s="12">
        <f t="shared" si="13"/>
        <v>72</v>
      </c>
      <c r="N34" s="12">
        <v>6.8</v>
      </c>
      <c r="O34" s="12">
        <f t="shared" si="16"/>
        <v>5.2</v>
      </c>
      <c r="P34" s="11">
        <f>LOOKUP(O34,{0,1.6,1.8,2,2.2,2.4,2.6,2.8,3,3.2,3.4,3.6,3.8,4,4.2,4.4,4.6,4.7,4.8,4.9,5},{0,10,20,30,40,50,60,62,64,66,68,70,72,74,76,78,80,85,90,95,100})</f>
        <v>100</v>
      </c>
      <c r="Q34" s="12">
        <v>3.16</v>
      </c>
      <c r="R34" s="12">
        <f t="shared" si="14"/>
        <v>6.84</v>
      </c>
      <c r="S34" s="11">
        <f>LOOKUP(R34,{0,3.8,4,4.6,4.8,5,5.6,5.65,5.7,5.75,5.8,5.85,5.9,5.95,6,6.45,6.5,6.58,6.65,6.7,6.75},{0,10,20,30,40,50,60,62,64,66,68,70,72,74,76,78,80,85,90,95,100})</f>
        <v>100</v>
      </c>
      <c r="T34" s="12">
        <f>3.25-Q34</f>
        <v>0.0899999999999999</v>
      </c>
      <c r="U34" s="11">
        <f>LOOKUP(T34,{0,0.04,0.08,0.12,0.16,0.2,0.23,0.26,0.29,0.32,0.35},{0,1,2,3,4,5,6,7,8,9,10})</f>
        <v>2</v>
      </c>
      <c r="V34" s="12">
        <f t="shared" si="15"/>
        <v>102</v>
      </c>
      <c r="W34" s="12"/>
      <c r="X34" s="20">
        <f t="shared" si="4"/>
        <v>65.2</v>
      </c>
      <c r="Y34" s="20">
        <f t="shared" si="17"/>
        <v>95.1428571428572</v>
      </c>
    </row>
    <row r="35" ht="15.6" hidden="1" outlineLevel="2" spans="1:25">
      <c r="A35" s="12">
        <v>201</v>
      </c>
      <c r="B35" s="12">
        <v>34</v>
      </c>
      <c r="C35" s="6" t="s">
        <v>48</v>
      </c>
      <c r="D35" s="6" t="s">
        <v>11</v>
      </c>
      <c r="E35" s="12">
        <v>15.5</v>
      </c>
      <c r="F35" s="11">
        <f>LOOKUP(E35,{0,-2.9,-1.9,-0.9,0.1,1.1,2.1,3.5,4.9,6.3,7.7,9.1,10.5,11.9,13.3,14.7,16.1,18.3,20.5,22.4,24.3},{0,10,20,30,40,50,60,62,64,66,68,70,72,74,76,78,80,85,90,95,100})</f>
        <v>78</v>
      </c>
      <c r="G35" s="12">
        <v>258</v>
      </c>
      <c r="H35" s="11">
        <f>LOOKUP(G35,{0,175,180,185,190,195,200,204,208,212,216,220,224,228,232,236,240,248,255,260,265},{0,10,20,30,40,50,60,62,64,66,68,70,72,74,76,78,80,85,90,95,100})</f>
        <v>90</v>
      </c>
      <c r="I35" s="12">
        <v>9</v>
      </c>
      <c r="J35" s="11">
        <f>LOOKUP(I35,{0,3,4,5,6,7,8,9,10,11,12,13,14,15,16,17},{0,10,20,30,40,50,60,64,68,72,76,80,85,90,95,100})</f>
        <v>64</v>
      </c>
      <c r="K35" s="12"/>
      <c r="L35" s="12"/>
      <c r="M35" s="12">
        <f t="shared" si="13"/>
        <v>64</v>
      </c>
      <c r="N35" s="12">
        <v>7.2</v>
      </c>
      <c r="O35" s="12">
        <f t="shared" si="16"/>
        <v>4.8</v>
      </c>
      <c r="P35" s="11">
        <f>LOOKUP(O35,{0,1.6,1.8,2,2.2,2.4,2.6,2.8,3,3.2,3.4,3.6,3.8,4,4.2,4.4,4.6,4.7,4.8,4.9,5},{0,10,20,30,40,50,60,62,64,66,68,70,72,74,76,78,80,85,90,95,100})</f>
        <v>90</v>
      </c>
      <c r="Q35" s="12">
        <v>4.01</v>
      </c>
      <c r="R35" s="12">
        <f t="shared" si="14"/>
        <v>5.99</v>
      </c>
      <c r="S35" s="11">
        <f>LOOKUP(R35,{0,3.8,4,4.6,4.8,5,5.6,5.65,5.7,5.75,5.8,5.85,5.9,5.95,6,6.45,6.5,6.58,6.65,6.7,6.75},{0,10,20,30,40,50,60,62,64,66,68,70,72,74,76,78,80,85,90,95,100})</f>
        <v>74</v>
      </c>
      <c r="T35" s="12"/>
      <c r="U35" s="12"/>
      <c r="V35" s="12">
        <f t="shared" si="15"/>
        <v>74</v>
      </c>
      <c r="W35" s="12"/>
      <c r="X35" s="20">
        <f t="shared" si="4"/>
        <v>56</v>
      </c>
      <c r="Y35" s="20">
        <f t="shared" si="17"/>
        <v>80</v>
      </c>
    </row>
    <row r="36" s="1" customFormat="1" ht="15.6" hidden="1" outlineLevel="2" spans="1:25">
      <c r="A36" s="12">
        <v>201</v>
      </c>
      <c r="B36" s="12">
        <v>35</v>
      </c>
      <c r="C36" s="6" t="s">
        <v>49</v>
      </c>
      <c r="D36" s="6" t="s">
        <v>11</v>
      </c>
      <c r="E36" s="12">
        <v>27.1</v>
      </c>
      <c r="F36" s="11">
        <f>LOOKUP(E36,{0,-2.9,-1.9,-0.9,0.1,1.1,2.1,3.5,4.9,6.3,7.7,9.1,10.5,11.9,13.3,14.7,16.1,18.3,20.5,22.4,24.3},{0,10,20,30,40,50,60,62,64,66,68,70,72,74,76,78,80,85,90,95,100})</f>
        <v>100</v>
      </c>
      <c r="G36" s="12">
        <v>231</v>
      </c>
      <c r="H36" s="11">
        <f>LOOKUP(G36,{0,175,180,185,190,195,200,204,208,212,216,220,224,228,232,236,240,248,255,260,265},{0,10,20,30,40,50,60,62,64,66,68,70,72,74,76,78,80,85,90,95,100})</f>
        <v>74</v>
      </c>
      <c r="I36" s="12">
        <v>13</v>
      </c>
      <c r="J36" s="11">
        <f>LOOKUP(I36,{0,3,4,5,6,7,8,9,10,11,12,13,14,15,16,17},{0,10,20,30,40,50,60,64,68,72,76,80,85,90,95,100})</f>
        <v>80</v>
      </c>
      <c r="K36" s="12"/>
      <c r="L36" s="12"/>
      <c r="M36" s="12">
        <f t="shared" si="13"/>
        <v>80</v>
      </c>
      <c r="N36" s="12">
        <v>7.1</v>
      </c>
      <c r="O36" s="12">
        <f t="shared" si="16"/>
        <v>4.9</v>
      </c>
      <c r="P36" s="11">
        <f>LOOKUP(O36,{0,1.6,1.8,2,2.2,2.4,2.6,2.8,3,3.2,3.4,3.6,3.8,4,4.2,4.4,4.6,4.7,4.8,4.9,5},{0,10,20,30,40,50,60,62,64,66,68,70,72,74,76,78,80,85,90,95,100})</f>
        <v>95</v>
      </c>
      <c r="Q36" s="12">
        <v>3.34</v>
      </c>
      <c r="R36" s="12">
        <f t="shared" si="14"/>
        <v>6.66</v>
      </c>
      <c r="S36" s="11">
        <f>LOOKUP(R36,{0,3.8,4,4.6,4.8,5,5.6,5.65,5.7,5.75,5.8,5.85,5.9,5.95,6,6.45,6.5,6.58,6.65,6.7,6.75},{0,10,20,30,40,50,60,62,64,66,68,70,72,74,76,78,80,85,90,95,100})</f>
        <v>90</v>
      </c>
      <c r="T36" s="12"/>
      <c r="U36" s="12"/>
      <c r="V36" s="12">
        <f t="shared" si="15"/>
        <v>90</v>
      </c>
      <c r="W36" s="12"/>
      <c r="X36" s="20">
        <f t="shared" si="4"/>
        <v>62.4</v>
      </c>
      <c r="Y36" s="20">
        <f t="shared" si="17"/>
        <v>89.1428571428572</v>
      </c>
    </row>
    <row r="37" ht="15.6" hidden="1" outlineLevel="2" spans="1:25">
      <c r="A37" s="12">
        <v>201</v>
      </c>
      <c r="B37" s="12">
        <v>36</v>
      </c>
      <c r="C37" s="6" t="s">
        <v>50</v>
      </c>
      <c r="D37" s="6" t="s">
        <v>11</v>
      </c>
      <c r="E37" s="12">
        <v>14.6</v>
      </c>
      <c r="F37" s="11">
        <f>LOOKUP(E37,{0,-2.9,-1.9,-0.9,0.1,1.1,2.1,3.5,4.9,6.3,7.7,9.1,10.5,11.9,13.3,14.7,16.1,18.3,20.5,22.4,24.3},{0,10,20,30,40,50,60,62,64,66,68,70,72,74,76,78,80,85,90,95,100})</f>
        <v>76</v>
      </c>
      <c r="G37" s="12">
        <v>225</v>
      </c>
      <c r="H37" s="11">
        <f>LOOKUP(G37,{0,175,180,185,190,195,200,204,208,212,216,220,224,228,232,236,240,248,255,260,265},{0,10,20,30,40,50,60,62,64,66,68,70,72,74,76,78,80,85,90,95,100})</f>
        <v>72</v>
      </c>
      <c r="I37" s="12">
        <v>6</v>
      </c>
      <c r="J37" s="11">
        <f>LOOKUP(I37,{0,3,4,5,6,7,8,9,10,11,12,13,14,15,16,17},{0,10,20,30,40,50,60,64,68,72,76,80,85,90,95,100})</f>
        <v>40</v>
      </c>
      <c r="K37" s="12"/>
      <c r="L37" s="12"/>
      <c r="M37" s="12">
        <f t="shared" si="13"/>
        <v>40</v>
      </c>
      <c r="N37" s="12">
        <v>7.6</v>
      </c>
      <c r="O37" s="12">
        <f t="shared" si="16"/>
        <v>4.4</v>
      </c>
      <c r="P37" s="11">
        <f>LOOKUP(O37,{0,1.6,1.8,2,2.2,2.4,2.6,2.8,3,3.2,3.4,3.6,3.8,4,4.2,4.4,4.6,4.7,4.8,4.9,5},{0,10,20,30,40,50,60,62,64,66,68,70,72,74,76,78,80,85,90,95,100})</f>
        <v>78</v>
      </c>
      <c r="Q37" s="12">
        <v>3.48</v>
      </c>
      <c r="R37" s="12">
        <f t="shared" si="14"/>
        <v>6.52</v>
      </c>
      <c r="S37" s="11">
        <f>LOOKUP(R37,{0,3.8,4,4.6,4.8,5,5.6,5.65,5.7,5.75,5.8,5.85,5.9,5.95,6,6.45,6.5,6.58,6.65,6.7,6.75},{0,10,20,30,40,50,60,62,64,66,68,70,72,74,76,78,80,85,90,95,100})</f>
        <v>80</v>
      </c>
      <c r="T37" s="12"/>
      <c r="U37" s="12"/>
      <c r="V37" s="12">
        <f t="shared" si="15"/>
        <v>80</v>
      </c>
      <c r="W37" s="12"/>
      <c r="X37" s="20">
        <f t="shared" si="4"/>
        <v>50.4</v>
      </c>
      <c r="Y37" s="20">
        <f t="shared" si="17"/>
        <v>72</v>
      </c>
    </row>
    <row r="38" ht="15.6" outlineLevel="1" collapsed="1" spans="1:25">
      <c r="A38" s="14" t="s">
        <v>855</v>
      </c>
      <c r="B38" s="12"/>
      <c r="C38" s="6"/>
      <c r="D38" s="6"/>
      <c r="E38" s="12"/>
      <c r="F38" s="11">
        <f>SUBTOTAL(1,F2:F37)</f>
        <v>76.625</v>
      </c>
      <c r="G38" s="12"/>
      <c r="H38" s="11">
        <f>SUBTOTAL(1,H2:H37)</f>
        <v>77.5625</v>
      </c>
      <c r="I38" s="12"/>
      <c r="J38" s="11">
        <f>SUBTOTAL(1,J2:J37)</f>
        <v>48.03125</v>
      </c>
      <c r="K38" s="12"/>
      <c r="L38" s="12"/>
      <c r="M38" s="12">
        <f>SUBTOTAL(1,M2:M37)</f>
        <v>49.03125</v>
      </c>
      <c r="N38" s="12"/>
      <c r="O38" s="12"/>
      <c r="P38" s="11">
        <f>SUBTOTAL(1,P2:P37)</f>
        <v>88.1071428571429</v>
      </c>
      <c r="Q38" s="12"/>
      <c r="R38" s="12"/>
      <c r="S38" s="11">
        <f>SUBTOTAL(1,S2:S37)</f>
        <v>80.84375</v>
      </c>
      <c r="T38" s="12"/>
      <c r="U38" s="12"/>
      <c r="V38" s="12">
        <f>SUBTOTAL(1,V2:V37)</f>
        <v>81.0625</v>
      </c>
      <c r="W38" s="12"/>
      <c r="X38" s="20">
        <f>SUBTOTAL(1,X2:X37)</f>
        <v>46.0527777777778</v>
      </c>
      <c r="Y38" s="20">
        <f>SUBTOTAL(1,Y2:Y37)</f>
        <v>73.0476190476191</v>
      </c>
    </row>
    <row r="39" ht="15.6" hidden="1" outlineLevel="2" spans="1:25">
      <c r="A39" s="12">
        <v>202</v>
      </c>
      <c r="B39" s="12">
        <v>1</v>
      </c>
      <c r="C39" s="13" t="s">
        <v>65</v>
      </c>
      <c r="D39" s="6" t="s">
        <v>11</v>
      </c>
      <c r="E39" s="12">
        <v>12.5</v>
      </c>
      <c r="F39" s="11">
        <f>LOOKUP(E39,{0,-2.9,-1.9,-0.9,0.1,1.1,2.1,3.5,4.9,6.3,7.7,9.1,10.5,11.9,13.3,14.7,16.1,18.3,20.5,22.4,24.3},{0,10,20,30,40,50,60,62,64,66,68,70,72,74,76,78,80,85,90,95,100})</f>
        <v>74</v>
      </c>
      <c r="G39" s="12">
        <v>271</v>
      </c>
      <c r="H39" s="11">
        <f>LOOKUP(G39,{0,175,180,185,190,195,200,204,208,212,216,220,224,228,232,236,240,248,255,260,265},{0,10,20,30,40,50,60,62,64,66,68,70,72,74,76,78,80,85,90,95,100})</f>
        <v>100</v>
      </c>
      <c r="I39" s="12">
        <v>1</v>
      </c>
      <c r="J39" s="11">
        <f>LOOKUP(I39,{0,3,4,5,6,7,8,9,10,11,12,13,14,15,16,17},{0,10,20,30,40,50,60,64,68,72,76,80,85,90,95,100})</f>
        <v>0</v>
      </c>
      <c r="K39" s="12"/>
      <c r="L39" s="12"/>
      <c r="M39" s="12">
        <f t="shared" ref="M39:M59" si="18">J39+L39</f>
        <v>0</v>
      </c>
      <c r="N39" s="12">
        <v>7</v>
      </c>
      <c r="O39" s="12">
        <f t="shared" ref="O39:O59" si="19">12-N39</f>
        <v>5</v>
      </c>
      <c r="P39" s="11">
        <f>LOOKUP(O39,{0,1.6,1.8,2,2.2,2.4,2.6,2.8,3,3.2,3.4,3.6,3.8,4,4.2,4.4,4.6,4.7,4.8,4.9,5},{0,10,20,30,40,50,60,62,64,66,68,70,72,74,76,78,80,85,90,95,100})</f>
        <v>100</v>
      </c>
      <c r="Q39" s="12">
        <v>3.56</v>
      </c>
      <c r="R39" s="12">
        <f t="shared" ref="R39:R45" si="20">10-Q39</f>
        <v>6.44</v>
      </c>
      <c r="S39" s="11">
        <f>LOOKUP(R39,{0,3.8,4,4.6,4.8,5,5.6,5.65,5.7,5.75,5.8,5.85,5.9,5.95,6,6.45,6.5,6.58,6.65,6.7,6.75},{0,10,20,30,40,50,60,62,64,66,68,70,72,74,76,78,80,85,90,95,100})</f>
        <v>76</v>
      </c>
      <c r="T39" s="12"/>
      <c r="U39" s="12"/>
      <c r="V39" s="12">
        <f t="shared" ref="V39:V45" si="21">S39+U39</f>
        <v>76</v>
      </c>
      <c r="W39" s="12"/>
      <c r="X39" s="20">
        <f t="shared" ref="X39:X70" si="22">F39*0.1+H39*0.1+J39*0.1+P39*0.2+S39*0.2</f>
        <v>52.6</v>
      </c>
      <c r="Y39" s="20">
        <f t="shared" ref="Y39:Y45" si="23">X39/0.7+L39+U39</f>
        <v>75.1428571428572</v>
      </c>
    </row>
    <row r="40" customFormat="1" ht="15.6" hidden="1" outlineLevel="2" spans="1:25">
      <c r="A40" s="12">
        <v>202</v>
      </c>
      <c r="B40" s="12">
        <v>2</v>
      </c>
      <c r="C40" s="6" t="s">
        <v>66</v>
      </c>
      <c r="D40" s="6" t="s">
        <v>11</v>
      </c>
      <c r="E40" s="12">
        <v>17</v>
      </c>
      <c r="F40" s="11">
        <f>LOOKUP(E40,{0,-2.9,-1.9,-0.9,0.1,1.1,2.1,3.5,4.9,6.3,7.7,9.1,10.5,11.9,13.3,14.7,16.1,18.3,20.5,22.4,24.3},{0,10,20,30,40,50,60,62,64,66,68,70,72,74,76,78,80,85,90,95,100})</f>
        <v>80</v>
      </c>
      <c r="G40" s="12">
        <v>231</v>
      </c>
      <c r="H40" s="11">
        <f>LOOKUP(G40,{0,175,180,185,190,195,200,204,208,212,216,220,224,228,232,236,240,248,255,260,265},{0,10,20,30,40,50,60,62,64,66,68,70,72,74,76,78,80,85,90,95,100})</f>
        <v>74</v>
      </c>
      <c r="I40" s="12">
        <v>25</v>
      </c>
      <c r="J40" s="11">
        <f>LOOKUP(I40,{0,3,4,5,6,7,8,9,10,11,12,13,14,15,16,17},{0,10,20,30,40,50,60,64,68,72,76,80,85,90,95,100})</f>
        <v>100</v>
      </c>
      <c r="K40" s="12">
        <f t="shared" ref="K40:K44" si="24">I40-17</f>
        <v>8</v>
      </c>
      <c r="L40" s="11">
        <f>LOOKUP(K40,{0,1,2,3,4,5,6,7,8,9,10},{0,1,2,3,4,5,6,7,8,9,10})</f>
        <v>8</v>
      </c>
      <c r="M40" s="12">
        <f t="shared" si="18"/>
        <v>108</v>
      </c>
      <c r="N40" s="12"/>
      <c r="O40" s="12"/>
      <c r="P40" s="11"/>
      <c r="Q40" s="12">
        <v>4.05</v>
      </c>
      <c r="R40" s="12">
        <f t="shared" si="20"/>
        <v>5.95</v>
      </c>
      <c r="S40" s="11">
        <f>LOOKUP(R40,{0,3.8,4,4.6,4.8,5,5.6,5.65,5.7,5.75,5.8,5.85,5.9,5.95,6,6.45,6.5,6.58,6.65,6.7,6.75},{0,10,20,30,40,50,60,62,64,66,68,70,72,74,76,78,80,85,90,95,100})</f>
        <v>74</v>
      </c>
      <c r="T40" s="12"/>
      <c r="U40" s="12"/>
      <c r="V40" s="12">
        <f t="shared" si="21"/>
        <v>74</v>
      </c>
      <c r="W40" s="12"/>
      <c r="X40" s="20">
        <f t="shared" si="22"/>
        <v>40.2</v>
      </c>
      <c r="Y40" s="20">
        <f t="shared" si="23"/>
        <v>65.4285714285714</v>
      </c>
    </row>
    <row r="41" customFormat="1" ht="15.6" hidden="1" outlineLevel="2" spans="1:25">
      <c r="A41" s="12">
        <v>202</v>
      </c>
      <c r="B41" s="12">
        <v>3</v>
      </c>
      <c r="C41" s="6" t="s">
        <v>67</v>
      </c>
      <c r="D41" s="6" t="s">
        <v>11</v>
      </c>
      <c r="E41" s="12">
        <v>13</v>
      </c>
      <c r="F41" s="11">
        <f>LOOKUP(E41,{0,-2.9,-1.9,-0.9,0.1,1.1,2.1,3.5,4.9,6.3,7.7,9.1,10.5,11.9,13.3,14.7,16.1,18.3,20.5,22.4,24.3},{0,10,20,30,40,50,60,62,64,66,68,70,72,74,76,78,80,85,90,95,100})</f>
        <v>74</v>
      </c>
      <c r="G41" s="12">
        <v>270</v>
      </c>
      <c r="H41" s="11">
        <f>LOOKUP(G41,{0,175,180,185,190,195,200,204,208,212,216,220,224,228,232,236,240,248,255,260,265},{0,10,20,30,40,50,60,62,64,66,68,70,72,74,76,78,80,85,90,95,100})</f>
        <v>100</v>
      </c>
      <c r="I41" s="12">
        <v>8</v>
      </c>
      <c r="J41" s="11">
        <f>LOOKUP(I41,{0,3,4,5,6,7,8,9,10,11,12,13,14,15,16,17},{0,10,20,30,40,50,60,64,68,72,76,80,85,90,95,100})</f>
        <v>60</v>
      </c>
      <c r="K41" s="12"/>
      <c r="L41" s="12"/>
      <c r="M41" s="12">
        <f t="shared" si="18"/>
        <v>60</v>
      </c>
      <c r="N41" s="12">
        <v>6.3</v>
      </c>
      <c r="O41" s="12">
        <f t="shared" si="19"/>
        <v>5.7</v>
      </c>
      <c r="P41" s="11">
        <f>LOOKUP(O41,{0,1.6,1.8,2,2.2,2.4,2.6,2.8,3,3.2,3.4,3.6,3.8,4,4.2,4.4,4.6,4.7,4.8,4.9,5},{0,10,20,30,40,50,60,62,64,66,68,70,72,74,76,78,80,85,90,95,100})</f>
        <v>100</v>
      </c>
      <c r="Q41" s="12">
        <v>3.23</v>
      </c>
      <c r="R41" s="12">
        <f t="shared" si="20"/>
        <v>6.77</v>
      </c>
      <c r="S41" s="11">
        <f>LOOKUP(R41,{0,3.8,4,4.6,4.8,5,5.6,5.65,5.7,5.75,5.8,5.85,5.9,5.95,6,6.45,6.5,6.58,6.65,6.7,6.75},{0,10,20,30,40,50,60,62,64,66,68,70,72,74,76,78,80,85,90,95,100})</f>
        <v>100</v>
      </c>
      <c r="T41" s="12">
        <f>3.25-Q41</f>
        <v>0.02</v>
      </c>
      <c r="U41" s="11">
        <f>LOOKUP(T41,{0,0.04,0.08,0.12,0.16,0.2,0.23,0.26,0.29,0.32,0.35},{0,1,2,3,4,5,6,7,8,9,10})</f>
        <v>0</v>
      </c>
      <c r="V41" s="12">
        <f t="shared" si="21"/>
        <v>100</v>
      </c>
      <c r="W41" s="12"/>
      <c r="X41" s="20">
        <f t="shared" si="22"/>
        <v>63.4</v>
      </c>
      <c r="Y41" s="20">
        <f t="shared" si="23"/>
        <v>90.5714285714286</v>
      </c>
    </row>
    <row r="42" customFormat="1" ht="15.6" hidden="1" outlineLevel="2" spans="1:25">
      <c r="A42" s="12">
        <v>202</v>
      </c>
      <c r="B42" s="12">
        <v>4</v>
      </c>
      <c r="C42" s="6" t="s">
        <v>68</v>
      </c>
      <c r="D42" s="6" t="s">
        <v>11</v>
      </c>
      <c r="E42" s="12">
        <v>5</v>
      </c>
      <c r="F42" s="11">
        <f>LOOKUP(E42,{0,-2.9,-1.9,-0.9,0.1,1.1,2.1,3.5,4.9,6.3,7.7,9.1,10.5,11.9,13.3,14.7,16.1,18.3,20.5,22.4,24.3},{0,10,20,30,40,50,60,62,64,66,68,70,72,74,76,78,80,85,90,95,100})</f>
        <v>64</v>
      </c>
      <c r="G42" s="12">
        <v>310</v>
      </c>
      <c r="H42" s="11">
        <f>LOOKUP(G42,{0,175,180,185,190,195,200,204,208,212,216,220,224,228,232,236,240,248,255,260,265},{0,10,20,30,40,50,60,62,64,66,68,70,72,74,76,78,80,85,90,95,100})</f>
        <v>100</v>
      </c>
      <c r="I42" s="12">
        <v>21</v>
      </c>
      <c r="J42" s="11">
        <f>LOOKUP(I42,{0,3,4,5,6,7,8,9,10,11,12,13,14,15,16,17},{0,10,20,30,40,50,60,64,68,72,76,80,85,90,95,100})</f>
        <v>100</v>
      </c>
      <c r="K42" s="12">
        <f t="shared" si="24"/>
        <v>4</v>
      </c>
      <c r="L42" s="16">
        <f>LOOKUP(K42,{0,1,2,3,4,5,6,7,8,9,10},{0,1,2,3,4,5,6,7,8,9,10})</f>
        <v>4</v>
      </c>
      <c r="M42" s="12">
        <f t="shared" si="18"/>
        <v>104</v>
      </c>
      <c r="N42" s="12">
        <v>6.4</v>
      </c>
      <c r="O42" s="12">
        <f t="shared" si="19"/>
        <v>5.6</v>
      </c>
      <c r="P42" s="11">
        <f>LOOKUP(O42,{0,1.6,1.8,2,2.2,2.4,2.6,2.8,3,3.2,3.4,3.6,3.8,4,4.2,4.4,4.6,4.7,4.8,4.9,5},{0,10,20,30,40,50,60,62,64,66,68,70,72,74,76,78,80,85,90,95,100})</f>
        <v>100</v>
      </c>
      <c r="Q42" s="12">
        <v>3.42</v>
      </c>
      <c r="R42" s="12">
        <f t="shared" si="20"/>
        <v>6.58</v>
      </c>
      <c r="S42" s="11">
        <f>LOOKUP(R42,{0,3.8,4,4.6,4.8,5,5.6,5.65,5.7,5.75,5.8,5.85,5.9,5.95,6,6.45,6.5,6.58,6.65,6.7,6.75},{0,10,20,30,40,50,60,62,64,66,68,70,72,74,76,78,80,85,90,95,100})</f>
        <v>85</v>
      </c>
      <c r="T42" s="12"/>
      <c r="U42" s="12"/>
      <c r="V42" s="12">
        <f t="shared" si="21"/>
        <v>85</v>
      </c>
      <c r="W42" s="12"/>
      <c r="X42" s="20">
        <f t="shared" si="22"/>
        <v>63.4</v>
      </c>
      <c r="Y42" s="20">
        <f t="shared" si="23"/>
        <v>94.5714285714286</v>
      </c>
    </row>
    <row r="43" customFormat="1" ht="15.6" hidden="1" outlineLevel="2" spans="1:25">
      <c r="A43" s="12">
        <v>202</v>
      </c>
      <c r="B43" s="12">
        <v>5</v>
      </c>
      <c r="C43" s="6" t="s">
        <v>69</v>
      </c>
      <c r="D43" s="6" t="s">
        <v>11</v>
      </c>
      <c r="E43" s="12">
        <v>16.5</v>
      </c>
      <c r="F43" s="11">
        <f>LOOKUP(E43,{0,-2.9,-1.9,-0.9,0.1,1.1,2.1,3.5,4.9,6.3,7.7,9.1,10.5,11.9,13.3,14.7,16.1,18.3,20.5,22.4,24.3},{0,10,20,30,40,50,60,62,64,66,68,70,72,74,76,78,80,85,90,95,100})</f>
        <v>80</v>
      </c>
      <c r="G43" s="12">
        <v>258</v>
      </c>
      <c r="H43" s="11">
        <f>LOOKUP(G43,{0,175,180,185,190,195,200,204,208,212,216,220,224,228,232,236,240,248,255,260,265},{0,10,20,30,40,50,60,62,64,66,68,70,72,74,76,78,80,85,90,95,100})</f>
        <v>90</v>
      </c>
      <c r="I43" s="12">
        <v>0</v>
      </c>
      <c r="J43" s="11">
        <f>LOOKUP(I43,{0,3,4,5,6,7,8,9,10,11,12,13,14,15,16,17},{0,10,20,30,40,50,60,64,68,72,76,80,85,90,95,100})</f>
        <v>0</v>
      </c>
      <c r="K43" s="12"/>
      <c r="L43" s="12"/>
      <c r="M43" s="12">
        <f t="shared" si="18"/>
        <v>0</v>
      </c>
      <c r="N43" s="12">
        <v>7.6</v>
      </c>
      <c r="O43" s="12">
        <f t="shared" si="19"/>
        <v>4.4</v>
      </c>
      <c r="P43" s="11">
        <f>LOOKUP(O43,{0,1.6,1.8,2,2.2,2.4,2.6,2.8,3,3.2,3.4,3.6,3.8,4,4.2,4.4,4.6,4.7,4.8,4.9,5},{0,10,20,30,40,50,60,62,64,66,68,70,72,74,76,78,80,85,90,95,100})</f>
        <v>78</v>
      </c>
      <c r="Q43" s="12">
        <v>3.49</v>
      </c>
      <c r="R43" s="12">
        <f t="shared" si="20"/>
        <v>6.51</v>
      </c>
      <c r="S43" s="11">
        <f>LOOKUP(R43,{0,3.8,4,4.6,4.8,5,5.6,5.65,5.7,5.75,5.8,5.85,5.9,5.95,6,6.45,6.5,6.58,6.65,6.7,6.75},{0,10,20,30,40,50,60,62,64,66,68,70,72,74,76,78,80,85,90,95,100})</f>
        <v>80</v>
      </c>
      <c r="T43" s="12"/>
      <c r="U43" s="12"/>
      <c r="V43" s="12">
        <f t="shared" si="21"/>
        <v>80</v>
      </c>
      <c r="W43" s="12"/>
      <c r="X43" s="20">
        <f t="shared" si="22"/>
        <v>48.6</v>
      </c>
      <c r="Y43" s="20">
        <f t="shared" si="23"/>
        <v>69.4285714285714</v>
      </c>
    </row>
    <row r="44" customFormat="1" ht="15.6" hidden="1" outlineLevel="2" spans="1:25">
      <c r="A44" s="12">
        <v>202</v>
      </c>
      <c r="B44" s="12">
        <v>6</v>
      </c>
      <c r="C44" s="6" t="s">
        <v>70</v>
      </c>
      <c r="D44" s="6" t="s">
        <v>11</v>
      </c>
      <c r="E44" s="12">
        <v>12</v>
      </c>
      <c r="F44" s="11">
        <f>LOOKUP(E44,{0,-2.9,-1.9,-0.9,0.1,1.1,2.1,3.5,4.9,6.3,7.7,9.1,10.5,11.9,13.3,14.7,16.1,18.3,20.5,22.4,24.3},{0,10,20,30,40,50,60,62,64,66,68,70,72,74,76,78,80,85,90,95,100})</f>
        <v>74</v>
      </c>
      <c r="G44" s="12">
        <v>239</v>
      </c>
      <c r="H44" s="11">
        <f>LOOKUP(G44,{0,175,180,185,190,195,200,204,208,212,216,220,224,228,232,236,240,248,255,260,265},{0,10,20,30,40,50,60,62,64,66,68,70,72,74,76,78,80,85,90,95,100})</f>
        <v>78</v>
      </c>
      <c r="I44" s="12">
        <v>18</v>
      </c>
      <c r="J44" s="11">
        <f>LOOKUP(I44,{0,3,4,5,6,7,8,9,10,11,12,13,14,15,16,17},{0,10,20,30,40,50,60,64,68,72,76,80,85,90,95,100})</f>
        <v>100</v>
      </c>
      <c r="K44" s="12">
        <f t="shared" si="24"/>
        <v>1</v>
      </c>
      <c r="L44" s="11">
        <f>LOOKUP(K44,{0,1,2,3,4,5,6,7,8,9,10},{0,1,2,3,4,5,6,7,8,9,10})</f>
        <v>1</v>
      </c>
      <c r="M44" s="12">
        <f t="shared" si="18"/>
        <v>101</v>
      </c>
      <c r="N44" s="12">
        <v>7.5</v>
      </c>
      <c r="O44" s="12">
        <f t="shared" si="19"/>
        <v>4.5</v>
      </c>
      <c r="P44" s="11">
        <f>LOOKUP(O44,{0,1.6,1.8,2,2.2,2.4,2.6,2.8,3,3.2,3.4,3.6,3.8,4,4.2,4.4,4.6,4.7,4.8,4.9,5},{0,10,20,30,40,50,60,62,64,66,68,70,72,74,76,78,80,85,90,95,100})</f>
        <v>78</v>
      </c>
      <c r="Q44" s="12">
        <v>3.29</v>
      </c>
      <c r="R44" s="12">
        <f t="shared" si="20"/>
        <v>6.71</v>
      </c>
      <c r="S44" s="11">
        <f>LOOKUP(R44,{0,3.8,4,4.6,4.8,5,5.6,5.65,5.7,5.75,5.8,5.85,5.9,5.95,6,6.45,6.5,6.58,6.65,6.7,6.75},{0,10,20,30,40,50,60,62,64,66,68,70,72,74,76,78,80,85,90,95,100})</f>
        <v>95</v>
      </c>
      <c r="T44" s="12"/>
      <c r="U44" s="12"/>
      <c r="V44" s="12">
        <f t="shared" si="21"/>
        <v>95</v>
      </c>
      <c r="W44" s="12"/>
      <c r="X44" s="20">
        <f t="shared" si="22"/>
        <v>59.8</v>
      </c>
      <c r="Y44" s="20">
        <f t="shared" si="23"/>
        <v>86.4285714285714</v>
      </c>
    </row>
    <row r="45" customFormat="1" ht="15.6" hidden="1" outlineLevel="2" spans="1:25">
      <c r="A45" s="12">
        <v>202</v>
      </c>
      <c r="B45" s="12">
        <v>7</v>
      </c>
      <c r="C45" s="6" t="s">
        <v>71</v>
      </c>
      <c r="D45" s="6" t="s">
        <v>11</v>
      </c>
      <c r="E45" s="12">
        <v>4</v>
      </c>
      <c r="F45" s="11">
        <f>LOOKUP(E45,{0,-2.9,-1.9,-0.9,0.1,1.1,2.1,3.5,4.9,6.3,7.7,9.1,10.5,11.9,13.3,14.7,16.1,18.3,20.5,22.4,24.3},{0,10,20,30,40,50,60,62,64,66,68,70,72,74,76,78,80,85,90,95,100})</f>
        <v>62</v>
      </c>
      <c r="G45" s="12">
        <v>255</v>
      </c>
      <c r="H45" s="11">
        <f>LOOKUP(G45,{0,175,180,185,190,195,200,204,208,212,216,220,224,228,232,236,240,248,255,260,265},{0,10,20,30,40,50,60,62,64,66,68,70,72,74,76,78,80,85,90,95,100})</f>
        <v>90</v>
      </c>
      <c r="I45" s="12">
        <v>11</v>
      </c>
      <c r="J45" s="11">
        <f>LOOKUP(I45,{0,3,4,5,6,7,8,9,10,11,12,13,14,15,16,17},{0,10,20,30,40,50,60,64,68,72,76,80,85,90,95,100})</f>
        <v>72</v>
      </c>
      <c r="K45" s="12"/>
      <c r="L45" s="15"/>
      <c r="M45" s="12">
        <f t="shared" si="18"/>
        <v>72</v>
      </c>
      <c r="N45" s="12">
        <v>7.6</v>
      </c>
      <c r="O45" s="12">
        <f t="shared" si="19"/>
        <v>4.4</v>
      </c>
      <c r="P45" s="11">
        <f>LOOKUP(O45,{0,1.6,1.8,2,2.2,2.4,2.6,2.8,3,3.2,3.4,3.6,3.8,4,4.2,4.4,4.6,4.7,4.8,4.9,5},{0,10,20,30,40,50,60,62,64,66,68,70,72,74,76,78,80,85,90,95,100})</f>
        <v>78</v>
      </c>
      <c r="Q45" s="12">
        <v>3.47</v>
      </c>
      <c r="R45" s="12">
        <f t="shared" si="20"/>
        <v>6.53</v>
      </c>
      <c r="S45" s="11">
        <f>LOOKUP(R45,{0,3.8,4,4.6,4.8,5,5.6,5.65,5.7,5.75,5.8,5.85,5.9,5.95,6,6.45,6.5,6.58,6.65,6.7,6.75},{0,10,20,30,40,50,60,62,64,66,68,70,72,74,76,78,80,85,90,95,100})</f>
        <v>80</v>
      </c>
      <c r="T45" s="12"/>
      <c r="U45" s="12"/>
      <c r="V45" s="12">
        <f t="shared" si="21"/>
        <v>80</v>
      </c>
      <c r="W45" s="12"/>
      <c r="X45" s="20">
        <f t="shared" si="22"/>
        <v>54</v>
      </c>
      <c r="Y45" s="20">
        <f t="shared" si="23"/>
        <v>77.1428571428572</v>
      </c>
    </row>
    <row r="46" customFormat="1" ht="15.6" hidden="1" outlineLevel="2" spans="1:25">
      <c r="A46" s="12">
        <v>202</v>
      </c>
      <c r="B46" s="12">
        <v>8</v>
      </c>
      <c r="C46" s="6" t="s">
        <v>72</v>
      </c>
      <c r="D46" s="6" t="s">
        <v>11</v>
      </c>
      <c r="E46" s="12">
        <v>21</v>
      </c>
      <c r="F46" s="11">
        <f>LOOKUP(E46,{0,-2.9,-1.9,-0.9,0.1,1.1,2.1,3.5,4.9,6.3,7.7,9.1,10.5,11.9,13.3,14.7,16.1,18.3,20.5,22.4,24.3},{0,10,20,30,40,50,60,62,64,66,68,70,72,74,76,78,80,85,90,95,100})</f>
        <v>90</v>
      </c>
      <c r="G46" s="12">
        <v>236</v>
      </c>
      <c r="H46" s="11">
        <f>LOOKUP(G46,{0,175,180,185,190,195,200,204,208,212,216,220,224,228,232,236,240,248,255,260,265},{0,10,20,30,40,50,60,62,64,66,68,70,72,74,76,78,80,85,90,95,100})</f>
        <v>78</v>
      </c>
      <c r="I46" s="12">
        <v>1</v>
      </c>
      <c r="J46" s="11">
        <f>LOOKUP(I46,{0,3,4,5,6,7,8,9,10,11,12,13,14,15,16,17},{0,10,20,30,40,50,60,64,68,72,76,80,85,90,95,100})</f>
        <v>0</v>
      </c>
      <c r="K46" s="12"/>
      <c r="L46" s="15"/>
      <c r="M46" s="12">
        <f t="shared" si="18"/>
        <v>0</v>
      </c>
      <c r="N46" s="12">
        <v>7.4</v>
      </c>
      <c r="O46" s="12">
        <f t="shared" si="19"/>
        <v>4.6</v>
      </c>
      <c r="P46" s="11">
        <f>LOOKUP(O46,{0,1.6,1.8,2,2.2,2.4,2.6,2.8,3,3.2,3.4,3.6,3.8,4,4.2,4.4,4.6,4.7,4.8,4.9,5},{0,10,20,30,40,50,60,62,64,66,68,70,72,74,76,78,80,85,90,95,100})</f>
        <v>80</v>
      </c>
      <c r="Q46" s="12"/>
      <c r="R46" s="12"/>
      <c r="S46" s="11"/>
      <c r="T46" s="12"/>
      <c r="U46" s="11"/>
      <c r="V46" s="12"/>
      <c r="W46" s="12"/>
      <c r="X46" s="20">
        <f t="shared" si="22"/>
        <v>32.8</v>
      </c>
      <c r="Y46" s="23">
        <v>50</v>
      </c>
    </row>
    <row r="47" customFormat="1" ht="15.6" hidden="1" outlineLevel="2" spans="1:25">
      <c r="A47" s="12">
        <v>202</v>
      </c>
      <c r="B47" s="12">
        <v>9</v>
      </c>
      <c r="C47" s="6" t="s">
        <v>73</v>
      </c>
      <c r="D47" s="6" t="s">
        <v>11</v>
      </c>
      <c r="E47" s="12">
        <v>13</v>
      </c>
      <c r="F47" s="11">
        <f>LOOKUP(E47,{0,-2.9,-1.9,-0.9,0.1,1.1,2.1,3.5,4.9,6.3,7.7,9.1,10.5,11.9,13.3,14.7,16.1,18.3,20.5,22.4,24.3},{0,10,20,30,40,50,60,62,64,66,68,70,72,74,76,78,80,85,90,95,100})</f>
        <v>74</v>
      </c>
      <c r="G47" s="12">
        <v>251</v>
      </c>
      <c r="H47" s="11">
        <f>LOOKUP(G47,{0,175,180,185,190,195,200,204,208,212,216,220,224,228,232,236,240,248,255,260,265},{0,10,20,30,40,50,60,62,64,66,68,70,72,74,76,78,80,85,90,95,100})</f>
        <v>85</v>
      </c>
      <c r="I47" s="12">
        <v>8</v>
      </c>
      <c r="J47" s="11">
        <f>LOOKUP(I47,{0,3,4,5,6,7,8,9,10,11,12,13,14,15,16,17},{0,10,20,30,40,50,60,64,68,72,76,80,85,90,95,100})</f>
        <v>60</v>
      </c>
      <c r="K47" s="12"/>
      <c r="L47" s="15"/>
      <c r="M47" s="12">
        <f t="shared" si="18"/>
        <v>60</v>
      </c>
      <c r="N47" s="12">
        <v>7.4</v>
      </c>
      <c r="O47" s="12">
        <f t="shared" si="19"/>
        <v>4.6</v>
      </c>
      <c r="P47" s="11">
        <f>LOOKUP(O47,{0,1.6,1.8,2,2.2,2.4,2.6,2.8,3,3.2,3.4,3.6,3.8,4,4.2,4.4,4.6,4.7,4.8,4.9,5},{0,10,20,30,40,50,60,62,64,66,68,70,72,74,76,78,80,85,90,95,100})</f>
        <v>80</v>
      </c>
      <c r="Q47" s="12">
        <v>3.45</v>
      </c>
      <c r="R47" s="12">
        <f t="shared" ref="R47:R59" si="25">10-Q47</f>
        <v>6.55</v>
      </c>
      <c r="S47" s="11">
        <f>LOOKUP(R47,{0,3.8,4,4.6,4.8,5,5.6,5.65,5.7,5.75,5.8,5.85,5.9,5.95,6,6.45,6.5,6.58,6.65,6.7,6.75},{0,10,20,30,40,50,60,62,64,66,68,70,72,74,76,78,80,85,90,95,100})</f>
        <v>80</v>
      </c>
      <c r="T47" s="12"/>
      <c r="U47" s="12"/>
      <c r="V47" s="12">
        <f t="shared" ref="V47:V59" si="26">S47+U47</f>
        <v>80</v>
      </c>
      <c r="W47" s="12"/>
      <c r="X47" s="20">
        <f t="shared" si="22"/>
        <v>53.9</v>
      </c>
      <c r="Y47" s="20">
        <f t="shared" ref="Y47:Y59" si="27">X47/0.7+L47+U47</f>
        <v>77</v>
      </c>
    </row>
    <row r="48" customFormat="1" ht="15.6" hidden="1" outlineLevel="2" spans="1:25">
      <c r="A48" s="12">
        <v>202</v>
      </c>
      <c r="B48" s="12">
        <v>10</v>
      </c>
      <c r="C48" s="6" t="s">
        <v>74</v>
      </c>
      <c r="D48" s="6" t="s">
        <v>11</v>
      </c>
      <c r="E48" s="12">
        <v>20.5</v>
      </c>
      <c r="F48" s="11">
        <f>LOOKUP(E48,{0,-2.9,-1.9,-0.9,0.1,1.1,2.1,3.5,4.9,6.3,7.7,9.1,10.5,11.9,13.3,14.7,16.1,18.3,20.5,22.4,24.3},{0,10,20,30,40,50,60,62,64,66,68,70,72,74,76,78,80,85,90,95,100})</f>
        <v>90</v>
      </c>
      <c r="G48" s="12">
        <v>262</v>
      </c>
      <c r="H48" s="11">
        <f>LOOKUP(G48,{0,175,180,185,190,195,200,204,208,212,216,220,224,228,232,236,240,248,255,260,265},{0,10,20,30,40,50,60,62,64,66,68,70,72,74,76,78,80,85,90,95,100})</f>
        <v>95</v>
      </c>
      <c r="I48" s="12">
        <v>13</v>
      </c>
      <c r="J48" s="11">
        <f>LOOKUP(I48,{0,3,4,5,6,7,8,9,10,11,12,13,14,15,16,17},{0,10,20,30,40,50,60,64,68,72,76,80,85,90,95,100})</f>
        <v>80</v>
      </c>
      <c r="K48" s="12"/>
      <c r="L48" s="12"/>
      <c r="M48" s="12">
        <f t="shared" si="18"/>
        <v>80</v>
      </c>
      <c r="N48" s="12">
        <v>7.1</v>
      </c>
      <c r="O48" s="12">
        <f t="shared" si="19"/>
        <v>4.9</v>
      </c>
      <c r="P48" s="11">
        <f>LOOKUP(O48,{0,1.6,1.8,2,2.2,2.4,2.6,2.8,3,3.2,3.4,3.6,3.8,4,4.2,4.4,4.6,4.7,4.8,4.9,5},{0,10,20,30,40,50,60,62,64,66,68,70,72,74,76,78,80,85,90,95,100})</f>
        <v>95</v>
      </c>
      <c r="Q48" s="12">
        <v>3.13</v>
      </c>
      <c r="R48" s="12">
        <f t="shared" si="25"/>
        <v>6.87</v>
      </c>
      <c r="S48" s="11">
        <f>LOOKUP(R48,{0,3.8,4,4.6,4.8,5,5.6,5.65,5.7,5.75,5.8,5.85,5.9,5.95,6,6.45,6.5,6.58,6.65,6.7,6.75},{0,10,20,30,40,50,60,62,64,66,68,70,72,74,76,78,80,85,90,95,100})</f>
        <v>100</v>
      </c>
      <c r="T48" s="12">
        <f>3.25-Q48</f>
        <v>0.12</v>
      </c>
      <c r="U48" s="11">
        <f>LOOKUP(T48,{0,0.04,0.08,0.12,0.16,0.2,0.23,0.26,0.29,0.32,0.35},{0,1,2,3,4,5,6,7,8,9,10})</f>
        <v>3</v>
      </c>
      <c r="V48" s="12">
        <f t="shared" si="26"/>
        <v>103</v>
      </c>
      <c r="W48" s="12"/>
      <c r="X48" s="20">
        <f t="shared" si="22"/>
        <v>65.5</v>
      </c>
      <c r="Y48" s="20">
        <f t="shared" si="27"/>
        <v>96.5714285714286</v>
      </c>
    </row>
    <row r="49" ht="15.6" hidden="1" outlineLevel="2" spans="1:25">
      <c r="A49" s="12">
        <v>202</v>
      </c>
      <c r="B49" s="12">
        <v>11</v>
      </c>
      <c r="C49" s="13" t="s">
        <v>76</v>
      </c>
      <c r="D49" s="6" t="s">
        <v>11</v>
      </c>
      <c r="E49" s="12">
        <v>25.6</v>
      </c>
      <c r="F49" s="11">
        <f>LOOKUP(E49,{0,-2.9,-1.9,-0.9,0.1,1.1,2.1,3.5,4.9,6.3,7.7,9.1,10.5,11.9,13.3,14.7,16.1,18.3,20.5,22.4,24.3},{0,10,20,30,40,50,60,62,64,66,68,70,72,74,76,78,80,85,90,95,100})</f>
        <v>100</v>
      </c>
      <c r="G49" s="12">
        <v>227</v>
      </c>
      <c r="H49" s="11">
        <f>LOOKUP(G49,{0,175,180,185,190,195,200,204,208,212,216,220,224,228,232,236,240,248,255,260,265},{0,10,20,30,40,50,60,62,64,66,68,70,72,74,76,78,80,85,90,95,100})</f>
        <v>72</v>
      </c>
      <c r="I49" s="12">
        <v>0</v>
      </c>
      <c r="J49" s="11">
        <f>LOOKUP(I49,{0,3,4,5,6,7,8,9,10,11,12,13,14,15,16,17},{0,10,20,30,40,50,60,64,68,72,76,80,85,90,95,100})</f>
        <v>0</v>
      </c>
      <c r="K49" s="12"/>
      <c r="L49" s="12"/>
      <c r="M49" s="12">
        <f t="shared" si="18"/>
        <v>0</v>
      </c>
      <c r="N49" s="12">
        <v>7.7</v>
      </c>
      <c r="O49" s="12">
        <f t="shared" si="19"/>
        <v>4.3</v>
      </c>
      <c r="P49" s="11">
        <f>LOOKUP(O49,{0,1.6,1.8,2,2.2,2.4,2.6,2.8,3,3.2,3.4,3.6,3.8,4,4.2,4.4,4.6,4.7,4.8,4.9,5},{0,10,20,30,40,50,60,62,64,66,68,70,72,74,76,78,80,85,90,95,100})</f>
        <v>76</v>
      </c>
      <c r="Q49" s="12">
        <v>3.53</v>
      </c>
      <c r="R49" s="12">
        <f t="shared" si="25"/>
        <v>6.47</v>
      </c>
      <c r="S49" s="11">
        <f>LOOKUP(R49,{0,3.8,4,4.6,4.8,5,5.6,5.65,5.7,5.75,5.8,5.85,5.9,5.95,6,6.45,6.5,6.58,6.65,6.7,6.75},{0,10,20,30,40,50,60,62,64,66,68,70,72,74,76,78,80,85,90,95,100})</f>
        <v>78</v>
      </c>
      <c r="T49" s="12"/>
      <c r="U49" s="12"/>
      <c r="V49" s="12">
        <f t="shared" si="26"/>
        <v>78</v>
      </c>
      <c r="W49" s="12"/>
      <c r="X49" s="20">
        <f t="shared" si="22"/>
        <v>48</v>
      </c>
      <c r="Y49" s="20">
        <f t="shared" si="27"/>
        <v>68.5714285714286</v>
      </c>
    </row>
    <row r="50" s="1" customFormat="1" ht="15.6" hidden="1" outlineLevel="2" spans="1:25">
      <c r="A50" s="12">
        <v>202</v>
      </c>
      <c r="B50" s="12">
        <v>12</v>
      </c>
      <c r="C50" s="6" t="s">
        <v>77</v>
      </c>
      <c r="D50" s="6" t="s">
        <v>11</v>
      </c>
      <c r="E50" s="12">
        <v>14</v>
      </c>
      <c r="F50" s="11">
        <f>LOOKUP(E50,{0,-2.9,-1.9,-0.9,0.1,1.1,2.1,3.5,4.9,6.3,7.7,9.1,10.5,11.9,13.3,14.7,16.1,18.3,20.5,22.4,24.3},{0,10,20,30,40,50,60,62,64,66,68,70,72,74,76,78,80,85,90,95,100})</f>
        <v>76</v>
      </c>
      <c r="G50" s="12">
        <v>225</v>
      </c>
      <c r="H50" s="11">
        <f>LOOKUP(G50,{0,175,180,185,190,195,200,204,208,212,216,220,224,228,232,236,240,248,255,260,265},{0,10,20,30,40,50,60,62,64,66,68,70,72,74,76,78,80,85,90,95,100})</f>
        <v>72</v>
      </c>
      <c r="I50" s="12">
        <v>11</v>
      </c>
      <c r="J50" s="11">
        <f>LOOKUP(I50,{0,3,4,5,6,7,8,9,10,11,12,13,14,15,16,17},{0,10,20,30,40,50,60,64,68,72,76,80,85,90,95,100})</f>
        <v>72</v>
      </c>
      <c r="K50" s="12"/>
      <c r="L50" s="12"/>
      <c r="M50" s="12">
        <f t="shared" si="18"/>
        <v>72</v>
      </c>
      <c r="N50" s="12">
        <v>7.4</v>
      </c>
      <c r="O50" s="12">
        <f t="shared" si="19"/>
        <v>4.6</v>
      </c>
      <c r="P50" s="11">
        <f>LOOKUP(O50,{0,1.6,1.8,2,2.2,2.4,2.6,2.8,3,3.2,3.4,3.6,3.8,4,4.2,4.4,4.6,4.7,4.8,4.9,5},{0,10,20,30,40,50,60,62,64,66,68,70,72,74,76,78,80,85,90,95,100})</f>
        <v>80</v>
      </c>
      <c r="Q50" s="12">
        <v>3.48</v>
      </c>
      <c r="R50" s="12">
        <f t="shared" si="25"/>
        <v>6.52</v>
      </c>
      <c r="S50" s="11">
        <f>LOOKUP(R50,{0,3.8,4,4.6,4.8,5,5.6,5.65,5.7,5.75,5.8,5.85,5.9,5.95,6,6.45,6.5,6.58,6.65,6.7,6.75},{0,10,20,30,40,50,60,62,64,66,68,70,72,74,76,78,80,85,90,95,100})</f>
        <v>80</v>
      </c>
      <c r="T50" s="12"/>
      <c r="U50" s="12"/>
      <c r="V50" s="12">
        <f t="shared" si="26"/>
        <v>80</v>
      </c>
      <c r="W50" s="12"/>
      <c r="X50" s="20">
        <f t="shared" si="22"/>
        <v>54</v>
      </c>
      <c r="Y50" s="20">
        <f t="shared" si="27"/>
        <v>77.1428571428572</v>
      </c>
    </row>
    <row r="51" ht="15.6" hidden="1" outlineLevel="2" spans="1:25">
      <c r="A51" s="12">
        <v>202</v>
      </c>
      <c r="B51" s="12">
        <v>13</v>
      </c>
      <c r="C51" s="6" t="s">
        <v>78</v>
      </c>
      <c r="D51" s="6" t="s">
        <v>11</v>
      </c>
      <c r="E51" s="12">
        <v>16.5</v>
      </c>
      <c r="F51" s="11">
        <f>LOOKUP(E51,{0,-2.9,-1.9,-0.9,0.1,1.1,2.1,3.5,4.9,6.3,7.7,9.1,10.5,11.9,13.3,14.7,16.1,18.3,20.5,22.4,24.3},{0,10,20,30,40,50,60,62,64,66,68,70,72,74,76,78,80,85,90,95,100})</f>
        <v>80</v>
      </c>
      <c r="G51" s="12">
        <v>250</v>
      </c>
      <c r="H51" s="11">
        <f>LOOKUP(G51,{0,175,180,185,190,195,200,204,208,212,216,220,224,228,232,236,240,248,255,260,265},{0,10,20,30,40,50,60,62,64,66,68,70,72,74,76,78,80,85,90,95,100})</f>
        <v>85</v>
      </c>
      <c r="I51" s="12">
        <v>11</v>
      </c>
      <c r="J51" s="11">
        <f>LOOKUP(I51,{0,3,4,5,6,7,8,9,10,11,12,13,14,15,16,17},{0,10,20,30,40,50,60,64,68,72,76,80,85,90,95,100})</f>
        <v>72</v>
      </c>
      <c r="K51" s="12"/>
      <c r="L51" s="12"/>
      <c r="M51" s="12">
        <f t="shared" si="18"/>
        <v>72</v>
      </c>
      <c r="N51" s="12">
        <v>6.9</v>
      </c>
      <c r="O51" s="12">
        <f t="shared" si="19"/>
        <v>5.1</v>
      </c>
      <c r="P51" s="11">
        <f>LOOKUP(O51,{0,1.6,1.8,2,2.2,2.4,2.6,2.8,3,3.2,3.4,3.6,3.8,4,4.2,4.4,4.6,4.7,4.8,4.9,5},{0,10,20,30,40,50,60,62,64,66,68,70,72,74,76,78,80,85,90,95,100})</f>
        <v>100</v>
      </c>
      <c r="Q51" s="12">
        <v>3.35</v>
      </c>
      <c r="R51" s="12">
        <f t="shared" si="25"/>
        <v>6.65</v>
      </c>
      <c r="S51" s="11">
        <f>LOOKUP(R51,{0,3.8,4,4.6,4.8,5,5.6,5.65,5.7,5.75,5.8,5.85,5.9,5.95,6,6.45,6.5,6.58,6.65,6.7,6.75},{0,10,20,30,40,50,60,62,64,66,68,70,72,74,76,78,80,85,90,95,100})</f>
        <v>90</v>
      </c>
      <c r="T51" s="12"/>
      <c r="U51" s="12"/>
      <c r="V51" s="12">
        <f t="shared" si="26"/>
        <v>90</v>
      </c>
      <c r="W51" s="12"/>
      <c r="X51" s="20">
        <f t="shared" si="22"/>
        <v>61.7</v>
      </c>
      <c r="Y51" s="20">
        <f t="shared" si="27"/>
        <v>88.1428571428572</v>
      </c>
    </row>
    <row r="52" ht="15.6" hidden="1" outlineLevel="2" spans="1:25">
      <c r="A52" s="12">
        <v>202</v>
      </c>
      <c r="B52" s="12">
        <v>14</v>
      </c>
      <c r="C52" s="6" t="s">
        <v>79</v>
      </c>
      <c r="D52" s="6" t="s">
        <v>11</v>
      </c>
      <c r="E52" s="12">
        <v>14</v>
      </c>
      <c r="F52" s="11">
        <f>LOOKUP(E52,{0,-2.9,-1.9,-0.9,0.1,1.1,2.1,3.5,4.9,6.3,7.7,9.1,10.5,11.9,13.3,14.7,16.1,18.3,20.5,22.4,24.3},{0,10,20,30,40,50,60,62,64,66,68,70,72,74,76,78,80,85,90,95,100})</f>
        <v>76</v>
      </c>
      <c r="G52" s="12">
        <v>245</v>
      </c>
      <c r="H52" s="11">
        <f>LOOKUP(G52,{0,175,180,185,190,195,200,204,208,212,216,220,224,228,232,236,240,248,255,260,265},{0,10,20,30,40,50,60,62,64,66,68,70,72,74,76,78,80,85,90,95,100})</f>
        <v>80</v>
      </c>
      <c r="I52" s="12">
        <v>17</v>
      </c>
      <c r="J52" s="11">
        <f>LOOKUP(I52,{0,3,4,5,6,7,8,9,10,11,12,13,14,15,16,17},{0,10,20,30,40,50,60,64,68,72,76,80,85,90,95,100})</f>
        <v>100</v>
      </c>
      <c r="K52" s="12">
        <f t="shared" ref="K52:K57" si="28">I52-17</f>
        <v>0</v>
      </c>
      <c r="L52" s="11">
        <f>LOOKUP(K52,{0,1,2,3,4,5,6,7,8,9,10},{0,1,2,3,4,5,6,7,8,9,10})</f>
        <v>0</v>
      </c>
      <c r="M52" s="12">
        <f t="shared" si="18"/>
        <v>100</v>
      </c>
      <c r="N52" s="12">
        <v>7.3</v>
      </c>
      <c r="O52" s="12">
        <f t="shared" si="19"/>
        <v>4.7</v>
      </c>
      <c r="P52" s="11">
        <f>LOOKUP(O52,{0,1.6,1.8,2,2.2,2.4,2.6,2.8,3,3.2,3.4,3.6,3.8,4,4.2,4.4,4.6,4.7,4.8,4.9,5},{0,10,20,30,40,50,60,62,64,66,68,70,72,74,76,78,80,85,90,95,100})</f>
        <v>85</v>
      </c>
      <c r="Q52" s="12">
        <v>3.24</v>
      </c>
      <c r="R52" s="12">
        <f t="shared" si="25"/>
        <v>6.76</v>
      </c>
      <c r="S52" s="11">
        <f>LOOKUP(R52,{0,3.8,4,4.6,4.8,5,5.6,5.65,5.7,5.75,5.8,5.85,5.9,5.95,6,6.45,6.5,6.58,6.65,6.7,6.75},{0,10,20,30,40,50,60,62,64,66,68,70,72,74,76,78,80,85,90,95,100})</f>
        <v>100</v>
      </c>
      <c r="T52" s="12">
        <f>3.25-Q52</f>
        <v>0.00999999999999979</v>
      </c>
      <c r="U52" s="11">
        <f>LOOKUP(T52,{0,0.04,0.08,0.12,0.16,0.2,0.23,0.26,0.29,0.32,0.35},{0,1,2,3,4,5,6,7,8,9,10})</f>
        <v>0</v>
      </c>
      <c r="V52" s="12">
        <f t="shared" si="26"/>
        <v>100</v>
      </c>
      <c r="W52" s="12"/>
      <c r="X52" s="20">
        <f t="shared" si="22"/>
        <v>62.6</v>
      </c>
      <c r="Y52" s="20">
        <f t="shared" si="27"/>
        <v>89.4285714285714</v>
      </c>
    </row>
    <row r="53" ht="15.6" hidden="1" outlineLevel="2" spans="1:25">
      <c r="A53" s="12">
        <v>202</v>
      </c>
      <c r="B53" s="12">
        <v>15</v>
      </c>
      <c r="C53" s="6" t="s">
        <v>80</v>
      </c>
      <c r="D53" s="6" t="s">
        <v>11</v>
      </c>
      <c r="E53" s="12">
        <v>20.5</v>
      </c>
      <c r="F53" s="11">
        <f>LOOKUP(E53,{0,-2.9,-1.9,-0.9,0.1,1.1,2.1,3.5,4.9,6.3,7.7,9.1,10.5,11.9,13.3,14.7,16.1,18.3,20.5,22.4,24.3},{0,10,20,30,40,50,60,62,64,66,68,70,72,74,76,78,80,85,90,95,100})</f>
        <v>90</v>
      </c>
      <c r="G53" s="12">
        <v>244</v>
      </c>
      <c r="H53" s="11">
        <f>LOOKUP(G53,{0,175,180,185,190,195,200,204,208,212,216,220,224,228,232,236,240,248,255,260,265},{0,10,20,30,40,50,60,62,64,66,68,70,72,74,76,78,80,85,90,95,100})</f>
        <v>80</v>
      </c>
      <c r="I53" s="12">
        <v>12</v>
      </c>
      <c r="J53" s="11">
        <f>LOOKUP(I53,{0,3,4,5,6,7,8,9,10,11,12,13,14,15,16,17},{0,10,20,30,40,50,60,64,68,72,76,80,85,90,95,100})</f>
        <v>76</v>
      </c>
      <c r="K53" s="12"/>
      <c r="L53" s="12"/>
      <c r="M53" s="12">
        <f t="shared" si="18"/>
        <v>76</v>
      </c>
      <c r="N53" s="12">
        <v>7.3</v>
      </c>
      <c r="O53" s="12">
        <f t="shared" si="19"/>
        <v>4.7</v>
      </c>
      <c r="P53" s="11">
        <f>LOOKUP(O53,{0,1.6,1.8,2,2.2,2.4,2.6,2.8,3,3.2,3.4,3.6,3.8,4,4.2,4.4,4.6,4.7,4.8,4.9,5},{0,10,20,30,40,50,60,62,64,66,68,70,72,74,76,78,80,85,90,95,100})</f>
        <v>85</v>
      </c>
      <c r="Q53" s="12">
        <v>3.26</v>
      </c>
      <c r="R53" s="12">
        <f t="shared" si="25"/>
        <v>6.74</v>
      </c>
      <c r="S53" s="11">
        <f>LOOKUP(R53,{0,3.8,4,4.6,4.8,5,5.6,5.65,5.7,5.75,5.8,5.85,5.9,5.95,6,6.45,6.5,6.58,6.65,6.7,6.75},{0,10,20,30,40,50,60,62,64,66,68,70,72,74,76,78,80,85,90,95,100})</f>
        <v>95</v>
      </c>
      <c r="T53" s="12"/>
      <c r="U53" s="12"/>
      <c r="V53" s="12">
        <f t="shared" si="26"/>
        <v>95</v>
      </c>
      <c r="W53" s="12"/>
      <c r="X53" s="20">
        <f t="shared" si="22"/>
        <v>60.6</v>
      </c>
      <c r="Y53" s="20">
        <f t="shared" si="27"/>
        <v>86.5714285714286</v>
      </c>
    </row>
    <row r="54" ht="15.6" hidden="1" outlineLevel="2" spans="1:25">
      <c r="A54" s="12">
        <v>202</v>
      </c>
      <c r="B54" s="12">
        <v>16</v>
      </c>
      <c r="C54" s="6" t="s">
        <v>81</v>
      </c>
      <c r="D54" s="6" t="s">
        <v>11</v>
      </c>
      <c r="E54" s="12">
        <v>18.2</v>
      </c>
      <c r="F54" s="11">
        <f>LOOKUP(E54,{0,-2.9,-1.9,-0.9,0.1,1.1,2.1,3.5,4.9,6.3,7.7,9.1,10.5,11.9,13.3,14.7,16.1,18.3,20.5,22.4,24.3},{0,10,20,30,40,50,60,62,64,66,68,70,72,74,76,78,80,85,90,95,100})</f>
        <v>80</v>
      </c>
      <c r="G54" s="12">
        <v>250</v>
      </c>
      <c r="H54" s="11">
        <f>LOOKUP(G54,{0,175,180,185,190,195,200,204,208,212,216,220,224,228,232,236,240,248,255,260,265},{0,10,20,30,40,50,60,62,64,66,68,70,72,74,76,78,80,85,90,95,100})</f>
        <v>85</v>
      </c>
      <c r="I54" s="12">
        <v>3</v>
      </c>
      <c r="J54" s="11">
        <f>LOOKUP(I54,{0,3,4,5,6,7,8,9,10,11,12,13,14,15,16,17},{0,10,20,30,40,50,60,64,68,72,76,80,85,90,95,100})</f>
        <v>10</v>
      </c>
      <c r="K54" s="12"/>
      <c r="L54" s="15"/>
      <c r="M54" s="12">
        <f t="shared" si="18"/>
        <v>10</v>
      </c>
      <c r="N54" s="12">
        <v>7.1</v>
      </c>
      <c r="O54" s="12">
        <f t="shared" si="19"/>
        <v>4.9</v>
      </c>
      <c r="P54" s="11">
        <f>LOOKUP(O54,{0,1.6,1.8,2,2.2,2.4,2.6,2.8,3,3.2,3.4,3.6,3.8,4,4.2,4.4,4.6,4.7,4.8,4.9,5},{0,10,20,30,40,50,60,62,64,66,68,70,72,74,76,78,80,85,90,95,100})</f>
        <v>95</v>
      </c>
      <c r="Q54" s="12">
        <v>3.27</v>
      </c>
      <c r="R54" s="12">
        <f t="shared" si="25"/>
        <v>6.73</v>
      </c>
      <c r="S54" s="11">
        <f>LOOKUP(R54,{0,3.8,4,4.6,4.8,5,5.6,5.65,5.7,5.75,5.8,5.85,5.9,5.95,6,6.45,6.5,6.58,6.65,6.7,6.75},{0,10,20,30,40,50,60,62,64,66,68,70,72,74,76,78,80,85,90,95,100})</f>
        <v>95</v>
      </c>
      <c r="T54" s="12"/>
      <c r="U54" s="12"/>
      <c r="V54" s="12">
        <f t="shared" si="26"/>
        <v>95</v>
      </c>
      <c r="W54" s="12"/>
      <c r="X54" s="20">
        <f t="shared" si="22"/>
        <v>55.5</v>
      </c>
      <c r="Y54" s="20">
        <f t="shared" si="27"/>
        <v>79.2857142857143</v>
      </c>
    </row>
    <row r="55" ht="15.6" hidden="1" outlineLevel="2" spans="1:25">
      <c r="A55" s="12">
        <v>202</v>
      </c>
      <c r="B55" s="12">
        <v>17</v>
      </c>
      <c r="C55" s="6" t="s">
        <v>82</v>
      </c>
      <c r="D55" s="6" t="s">
        <v>11</v>
      </c>
      <c r="E55" s="12">
        <v>20.9</v>
      </c>
      <c r="F55" s="11">
        <f>LOOKUP(E55,{0,-2.9,-1.9,-0.9,0.1,1.1,2.1,3.5,4.9,6.3,7.7,9.1,10.5,11.9,13.3,14.7,16.1,18.3,20.5,22.4,24.3},{0,10,20,30,40,50,60,62,64,66,68,70,72,74,76,78,80,85,90,95,100})</f>
        <v>90</v>
      </c>
      <c r="G55" s="12">
        <v>227</v>
      </c>
      <c r="H55" s="11">
        <f>LOOKUP(G55,{0,175,180,185,190,195,200,204,208,212,216,220,224,228,232,236,240,248,255,260,265},{0,10,20,30,40,50,60,62,64,66,68,70,72,74,76,78,80,85,90,95,100})</f>
        <v>72</v>
      </c>
      <c r="I55" s="12">
        <v>27</v>
      </c>
      <c r="J55" s="11">
        <f>LOOKUP(I55,{0,3,4,5,6,7,8,9,10,11,12,13,14,15,16,17},{0,10,20,30,40,50,60,64,68,72,76,80,85,90,95,100})</f>
        <v>100</v>
      </c>
      <c r="K55" s="12">
        <f t="shared" si="28"/>
        <v>10</v>
      </c>
      <c r="L55" s="16">
        <f>LOOKUP(K55,{0,1,2,3,4,5,6,7,8,9,10},{0,1,2,3,4,5,6,7,8,9,10})</f>
        <v>10</v>
      </c>
      <c r="M55" s="12">
        <f t="shared" si="18"/>
        <v>110</v>
      </c>
      <c r="N55" s="12">
        <v>7.6</v>
      </c>
      <c r="O55" s="12">
        <f t="shared" si="19"/>
        <v>4.4</v>
      </c>
      <c r="P55" s="11">
        <f>LOOKUP(O55,{0,1.6,1.8,2,2.2,2.4,2.6,2.8,3,3.2,3.4,3.6,3.8,4,4.2,4.4,4.6,4.7,4.8,4.9,5},{0,10,20,30,40,50,60,62,64,66,68,70,72,74,76,78,80,85,90,95,100})</f>
        <v>78</v>
      </c>
      <c r="Q55" s="12">
        <v>3.43</v>
      </c>
      <c r="R55" s="12">
        <f t="shared" si="25"/>
        <v>6.57</v>
      </c>
      <c r="S55" s="11">
        <f>LOOKUP(R55,{0,3.8,4,4.6,4.8,5,5.6,5.65,5.7,5.75,5.8,5.85,5.9,5.95,6,6.45,6.5,6.58,6.65,6.7,6.75},{0,10,20,30,40,50,60,62,64,66,68,70,72,74,76,78,80,85,90,95,100})</f>
        <v>80</v>
      </c>
      <c r="T55" s="12"/>
      <c r="U55" s="12"/>
      <c r="V55" s="12">
        <f t="shared" si="26"/>
        <v>80</v>
      </c>
      <c r="W55" s="12"/>
      <c r="X55" s="20">
        <f t="shared" si="22"/>
        <v>57.8</v>
      </c>
      <c r="Y55" s="20">
        <f t="shared" si="27"/>
        <v>92.5714285714286</v>
      </c>
    </row>
    <row r="56" ht="15.6" hidden="1" outlineLevel="2" spans="1:25">
      <c r="A56" s="12">
        <v>202</v>
      </c>
      <c r="B56" s="12">
        <v>18</v>
      </c>
      <c r="C56" s="6" t="s">
        <v>83</v>
      </c>
      <c r="D56" s="6" t="s">
        <v>11</v>
      </c>
      <c r="E56" s="12">
        <v>17</v>
      </c>
      <c r="F56" s="11">
        <f>LOOKUP(E56,{0,-2.9,-1.9,-0.9,0.1,1.1,2.1,3.5,4.9,6.3,7.7,9.1,10.5,11.9,13.3,14.7,16.1,18.3,20.5,22.4,24.3},{0,10,20,30,40,50,60,62,64,66,68,70,72,74,76,78,80,85,90,95,100})</f>
        <v>80</v>
      </c>
      <c r="G56" s="12">
        <v>260</v>
      </c>
      <c r="H56" s="11">
        <f>LOOKUP(G56,{0,175,180,185,190,195,200,204,208,212,216,220,224,228,232,236,240,248,255,260,265},{0,10,20,30,40,50,60,62,64,66,68,70,72,74,76,78,80,85,90,95,100})</f>
        <v>95</v>
      </c>
      <c r="I56" s="12">
        <v>27</v>
      </c>
      <c r="J56" s="11">
        <f>LOOKUP(I56,{0,3,4,5,6,7,8,9,10,11,12,13,14,15,16,17},{0,10,20,30,40,50,60,64,68,72,76,80,85,90,95,100})</f>
        <v>100</v>
      </c>
      <c r="K56" s="12">
        <f t="shared" si="28"/>
        <v>10</v>
      </c>
      <c r="L56" s="11">
        <f>LOOKUP(K56,{0,1,2,3,4,5,6,7,8,9,10},{0,1,2,3,4,5,6,7,8,9,10})</f>
        <v>10</v>
      </c>
      <c r="M56" s="12">
        <f t="shared" si="18"/>
        <v>110</v>
      </c>
      <c r="N56" s="12">
        <v>7.2</v>
      </c>
      <c r="O56" s="12">
        <f t="shared" si="19"/>
        <v>4.8</v>
      </c>
      <c r="P56" s="11">
        <f>LOOKUP(O56,{0,1.6,1.8,2,2.2,2.4,2.6,2.8,3,3.2,3.4,3.6,3.8,4,4.2,4.4,4.6,4.7,4.8,4.9,5},{0,10,20,30,40,50,60,62,64,66,68,70,72,74,76,78,80,85,90,95,100})</f>
        <v>90</v>
      </c>
      <c r="Q56" s="12">
        <v>3.42</v>
      </c>
      <c r="R56" s="12">
        <f t="shared" si="25"/>
        <v>6.58</v>
      </c>
      <c r="S56" s="11">
        <f>LOOKUP(R56,{0,3.8,4,4.6,4.8,5,5.6,5.65,5.7,5.75,5.8,5.85,5.9,5.95,6,6.45,6.5,6.58,6.65,6.7,6.75},{0,10,20,30,40,50,60,62,64,66,68,70,72,74,76,78,80,85,90,95,100})</f>
        <v>85</v>
      </c>
      <c r="T56" s="12"/>
      <c r="U56" s="12"/>
      <c r="V56" s="12">
        <f t="shared" si="26"/>
        <v>85</v>
      </c>
      <c r="W56" s="12"/>
      <c r="X56" s="20">
        <f t="shared" si="22"/>
        <v>62.5</v>
      </c>
      <c r="Y56" s="20">
        <f t="shared" si="27"/>
        <v>99.2857142857143</v>
      </c>
    </row>
    <row r="57" ht="15.6" hidden="1" outlineLevel="2" spans="1:25">
      <c r="A57" s="12">
        <v>202</v>
      </c>
      <c r="B57" s="12">
        <v>19</v>
      </c>
      <c r="C57" s="6" t="s">
        <v>84</v>
      </c>
      <c r="D57" s="6" t="s">
        <v>11</v>
      </c>
      <c r="E57" s="12">
        <v>23</v>
      </c>
      <c r="F57" s="11">
        <f>LOOKUP(E57,{0,-2.9,-1.9,-0.9,0.1,1.1,2.1,3.5,4.9,6.3,7.7,9.1,10.5,11.9,13.3,14.7,16.1,18.3,20.5,22.4,24.3},{0,10,20,30,40,50,60,62,64,66,68,70,72,74,76,78,80,85,90,95,100})</f>
        <v>95</v>
      </c>
      <c r="G57" s="12">
        <v>250</v>
      </c>
      <c r="H57" s="11">
        <f>LOOKUP(G57,{0,175,180,185,190,195,200,204,208,212,216,220,224,228,232,236,240,248,255,260,265},{0,10,20,30,40,50,60,62,64,66,68,70,72,74,76,78,80,85,90,95,100})</f>
        <v>85</v>
      </c>
      <c r="I57" s="12">
        <v>18</v>
      </c>
      <c r="J57" s="11">
        <f>LOOKUP(I57,{0,3,4,5,6,7,8,9,10,11,12,13,14,15,16,17},{0,10,20,30,40,50,60,64,68,72,76,80,85,90,95,100})</f>
        <v>100</v>
      </c>
      <c r="K57" s="12">
        <f t="shared" si="28"/>
        <v>1</v>
      </c>
      <c r="L57" s="11">
        <f>LOOKUP(K57,{0,1,2,3,4,5,6,7,8,9,10},{0,1,2,3,4,5,6,7,8,9,10})</f>
        <v>1</v>
      </c>
      <c r="M57" s="12">
        <f t="shared" si="18"/>
        <v>101</v>
      </c>
      <c r="N57" s="12">
        <v>7.2</v>
      </c>
      <c r="O57" s="12">
        <f t="shared" si="19"/>
        <v>4.8</v>
      </c>
      <c r="P57" s="11">
        <f>LOOKUP(O57,{0,1.6,1.8,2,2.2,2.4,2.6,2.8,3,3.2,3.4,3.6,3.8,4,4.2,4.4,4.6,4.7,4.8,4.9,5},{0,10,20,30,40,50,60,62,64,66,68,70,72,74,76,78,80,85,90,95,100})</f>
        <v>90</v>
      </c>
      <c r="Q57" s="12">
        <v>3.31</v>
      </c>
      <c r="R57" s="12">
        <f t="shared" si="25"/>
        <v>6.69</v>
      </c>
      <c r="S57" s="11">
        <f>LOOKUP(R57,{0,3.8,4,4.6,4.8,5,5.6,5.65,5.7,5.75,5.8,5.85,5.9,5.95,6,6.45,6.5,6.58,6.65,6.7,6.75},{0,10,20,30,40,50,60,62,64,66,68,70,72,74,76,78,80,85,90,95,100})</f>
        <v>90</v>
      </c>
      <c r="T57" s="12"/>
      <c r="U57" s="12"/>
      <c r="V57" s="12">
        <f t="shared" si="26"/>
        <v>90</v>
      </c>
      <c r="W57" s="12"/>
      <c r="X57" s="20">
        <f t="shared" si="22"/>
        <v>64</v>
      </c>
      <c r="Y57" s="20">
        <f t="shared" si="27"/>
        <v>92.4285714285714</v>
      </c>
    </row>
    <row r="58" ht="15.6" hidden="1" outlineLevel="2" spans="1:25">
      <c r="A58" s="12">
        <v>202</v>
      </c>
      <c r="B58" s="12">
        <v>20</v>
      </c>
      <c r="C58" s="6" t="s">
        <v>85</v>
      </c>
      <c r="D58" s="6" t="s">
        <v>11</v>
      </c>
      <c r="E58" s="12">
        <v>12</v>
      </c>
      <c r="F58" s="11">
        <f>LOOKUP(E58,{0,-2.9,-1.9,-0.9,0.1,1.1,2.1,3.5,4.9,6.3,7.7,9.1,10.5,11.9,13.3,14.7,16.1,18.3,20.5,22.4,24.3},{0,10,20,30,40,50,60,62,64,66,68,70,72,74,76,78,80,85,90,95,100})</f>
        <v>74</v>
      </c>
      <c r="G58" s="12">
        <v>265</v>
      </c>
      <c r="H58" s="11">
        <f>LOOKUP(G58,{0,175,180,185,190,195,200,204,208,212,216,220,224,228,232,236,240,248,255,260,265},{0,10,20,30,40,50,60,62,64,66,68,70,72,74,76,78,80,85,90,95,100})</f>
        <v>100</v>
      </c>
      <c r="I58" s="12">
        <v>8</v>
      </c>
      <c r="J58" s="11">
        <f>LOOKUP(I58,{0,3,4,5,6,7,8,9,10,11,12,13,14,15,16,17},{0,10,20,30,40,50,60,64,68,72,76,80,85,90,95,100})</f>
        <v>60</v>
      </c>
      <c r="K58" s="12"/>
      <c r="L58" s="15"/>
      <c r="M58" s="12">
        <f t="shared" si="18"/>
        <v>60</v>
      </c>
      <c r="N58" s="12">
        <v>6.8</v>
      </c>
      <c r="O58" s="12">
        <f t="shared" si="19"/>
        <v>5.2</v>
      </c>
      <c r="P58" s="11">
        <f>LOOKUP(O58,{0,1.6,1.8,2,2.2,2.4,2.6,2.8,3,3.2,3.4,3.6,3.8,4,4.2,4.4,4.6,4.7,4.8,4.9,5},{0,10,20,30,40,50,60,62,64,66,68,70,72,74,76,78,80,85,90,95,100})</f>
        <v>100</v>
      </c>
      <c r="Q58" s="12">
        <v>3.46</v>
      </c>
      <c r="R58" s="12">
        <f t="shared" si="25"/>
        <v>6.54</v>
      </c>
      <c r="S58" s="11">
        <f>LOOKUP(R58,{0,3.8,4,4.6,4.8,5,5.6,5.65,5.7,5.75,5.8,5.85,5.9,5.95,6,6.45,6.5,6.58,6.65,6.7,6.75},{0,10,20,30,40,50,60,62,64,66,68,70,72,74,76,78,80,85,90,95,100})</f>
        <v>80</v>
      </c>
      <c r="T58" s="12"/>
      <c r="U58" s="12"/>
      <c r="V58" s="12">
        <f t="shared" si="26"/>
        <v>80</v>
      </c>
      <c r="W58" s="12"/>
      <c r="X58" s="20">
        <f t="shared" si="22"/>
        <v>59.4</v>
      </c>
      <c r="Y58" s="20">
        <f t="shared" si="27"/>
        <v>84.8571428571429</v>
      </c>
    </row>
    <row r="59" ht="15.6" hidden="1" outlineLevel="2" spans="1:25">
      <c r="A59" s="12">
        <v>202</v>
      </c>
      <c r="B59" s="12">
        <v>21</v>
      </c>
      <c r="C59" s="6" t="s">
        <v>86</v>
      </c>
      <c r="D59" s="6" t="s">
        <v>11</v>
      </c>
      <c r="E59" s="12">
        <v>13</v>
      </c>
      <c r="F59" s="11">
        <f>LOOKUP(E59,{0,-2.9,-1.9,-0.9,0.1,1.1,2.1,3.5,4.9,6.3,7.7,9.1,10.5,11.9,13.3,14.7,16.1,18.3,20.5,22.4,24.3},{0,10,20,30,40,50,60,62,64,66,68,70,72,74,76,78,80,85,90,95,100})</f>
        <v>74</v>
      </c>
      <c r="G59" s="12">
        <v>225</v>
      </c>
      <c r="H59" s="11">
        <f>LOOKUP(G59,{0,175,180,185,190,195,200,204,208,212,216,220,224,228,232,236,240,248,255,260,265},{0,10,20,30,40,50,60,62,64,66,68,70,72,74,76,78,80,85,90,95,100})</f>
        <v>72</v>
      </c>
      <c r="I59" s="12">
        <v>7</v>
      </c>
      <c r="J59" s="11">
        <f>LOOKUP(I59,{0,3,4,5,6,7,8,9,10,11,12,13,14,15,16,17},{0,10,20,30,40,50,60,64,68,72,76,80,85,90,95,100})</f>
        <v>50</v>
      </c>
      <c r="K59" s="12"/>
      <c r="L59" s="12"/>
      <c r="M59" s="12">
        <f t="shared" si="18"/>
        <v>50</v>
      </c>
      <c r="N59" s="12">
        <v>7.4</v>
      </c>
      <c r="O59" s="12">
        <f t="shared" si="19"/>
        <v>4.6</v>
      </c>
      <c r="P59" s="11">
        <f>LOOKUP(O59,{0,1.6,1.8,2,2.2,2.4,2.6,2.8,3,3.2,3.4,3.6,3.8,4,4.2,4.4,4.6,4.7,4.8,4.9,5},{0,10,20,30,40,50,60,62,64,66,68,70,72,74,76,78,80,85,90,95,100})</f>
        <v>80</v>
      </c>
      <c r="Q59" s="12">
        <v>4.05</v>
      </c>
      <c r="R59" s="12">
        <f t="shared" si="25"/>
        <v>5.95</v>
      </c>
      <c r="S59" s="11">
        <f>LOOKUP(R59,{0,3.8,4,4.6,4.8,5,5.6,5.65,5.7,5.75,5.8,5.85,5.9,5.95,6,6.45,6.5,6.58,6.65,6.7,6.75},{0,10,20,30,40,50,60,62,64,66,68,70,72,74,76,78,80,85,90,95,100})</f>
        <v>74</v>
      </c>
      <c r="T59" s="12"/>
      <c r="U59" s="12"/>
      <c r="V59" s="12">
        <f t="shared" si="26"/>
        <v>74</v>
      </c>
      <c r="W59" s="12"/>
      <c r="X59" s="20">
        <f t="shared" si="22"/>
        <v>50.4</v>
      </c>
      <c r="Y59" s="20">
        <f t="shared" si="27"/>
        <v>72</v>
      </c>
    </row>
    <row r="60" ht="15.6" hidden="1" outlineLevel="2" spans="1:25">
      <c r="A60" s="12">
        <v>202</v>
      </c>
      <c r="B60" s="12">
        <v>22</v>
      </c>
      <c r="C60" s="13" t="s">
        <v>88</v>
      </c>
      <c r="D60" s="6" t="s">
        <v>11</v>
      </c>
      <c r="E60" s="12"/>
      <c r="F60" s="11"/>
      <c r="G60" s="12"/>
      <c r="H60" s="11"/>
      <c r="I60" s="12"/>
      <c r="J60" s="11"/>
      <c r="K60" s="12"/>
      <c r="L60" s="12"/>
      <c r="M60" s="12"/>
      <c r="N60" s="12"/>
      <c r="O60" s="12"/>
      <c r="P60" s="11"/>
      <c r="Q60" s="12"/>
      <c r="R60" s="12"/>
      <c r="S60" s="11"/>
      <c r="T60" s="12"/>
      <c r="U60" s="11"/>
      <c r="V60" s="12"/>
      <c r="W60" s="12" t="s">
        <v>89</v>
      </c>
      <c r="X60" s="20">
        <f t="shared" si="22"/>
        <v>0</v>
      </c>
      <c r="Y60" s="20">
        <v>50</v>
      </c>
    </row>
    <row r="61" ht="15.6" hidden="1" outlineLevel="2" spans="1:25">
      <c r="A61" s="12">
        <v>202</v>
      </c>
      <c r="B61" s="12">
        <v>23</v>
      </c>
      <c r="C61" s="6" t="s">
        <v>90</v>
      </c>
      <c r="D61" s="6" t="s">
        <v>11</v>
      </c>
      <c r="E61" s="12">
        <v>11</v>
      </c>
      <c r="F61" s="11">
        <f>LOOKUP(E61,{0,-2.9,-1.9,-0.9,0.1,1.1,2.1,3.5,4.9,6.3,7.7,9.1,10.5,11.9,13.3,14.7,16.1,18.3,20.5,22.4,24.3},{0,10,20,30,40,50,60,62,64,66,68,70,72,74,76,78,80,85,90,95,100})</f>
        <v>72</v>
      </c>
      <c r="G61" s="12">
        <v>228</v>
      </c>
      <c r="H61" s="11">
        <f>LOOKUP(G61,{0,175,180,185,190,195,200,204,208,212,216,220,224,228,232,236,240,248,255,260,265},{0,10,20,30,40,50,60,62,64,66,68,70,72,74,76,78,80,85,90,95,100})</f>
        <v>74</v>
      </c>
      <c r="I61" s="12">
        <v>0</v>
      </c>
      <c r="J61" s="11">
        <f>LOOKUP(I61,{0,3,4,5,6,7,8,9,10,11,12,13,14,15,16,17},{0,10,20,30,40,50,60,64,68,72,76,80,85,90,95,100})</f>
        <v>0</v>
      </c>
      <c r="K61" s="12"/>
      <c r="L61" s="12"/>
      <c r="M61" s="12">
        <f t="shared" ref="M61:M70" si="29">J61+L61</f>
        <v>0</v>
      </c>
      <c r="N61" s="12">
        <v>7</v>
      </c>
      <c r="O61" s="12">
        <f t="shared" ref="O61:O64" si="30">12-N61</f>
        <v>5</v>
      </c>
      <c r="P61" s="11">
        <f>LOOKUP(O61,{0,1.6,1.8,2,2.2,2.4,2.6,2.8,3,3.2,3.4,3.6,3.8,4,4.2,4.4,4.6,4.7,4.8,4.9,5},{0,10,20,30,40,50,60,62,64,66,68,70,72,74,76,78,80,85,90,95,100})</f>
        <v>100</v>
      </c>
      <c r="Q61" s="12">
        <v>3.28</v>
      </c>
      <c r="R61" s="12">
        <f t="shared" ref="R61:R70" si="31">10-Q61</f>
        <v>6.72</v>
      </c>
      <c r="S61" s="11">
        <f>LOOKUP(R61,{0,3.8,4,4.6,4.8,5,5.6,5.65,5.7,5.75,5.8,5.85,5.9,5.95,6,6.45,6.5,6.58,6.65,6.7,6.75},{0,10,20,30,40,50,60,62,64,66,68,70,72,74,76,78,80,85,90,95,100})</f>
        <v>95</v>
      </c>
      <c r="T61" s="12"/>
      <c r="U61" s="12"/>
      <c r="V61" s="12">
        <f t="shared" ref="V61:V70" si="32">S61+U61</f>
        <v>95</v>
      </c>
      <c r="W61" s="12"/>
      <c r="X61" s="20">
        <f t="shared" si="22"/>
        <v>53.6</v>
      </c>
      <c r="Y61" s="20">
        <f t="shared" ref="Y61:Y70" si="33">X61/0.7+L61+U61</f>
        <v>76.5714285714286</v>
      </c>
    </row>
    <row r="62" s="1" customFormat="1" ht="15.6" hidden="1" outlineLevel="2" spans="1:25">
      <c r="A62" s="12">
        <v>202</v>
      </c>
      <c r="B62" s="12">
        <v>24</v>
      </c>
      <c r="C62" s="6" t="s">
        <v>91</v>
      </c>
      <c r="D62" s="6" t="s">
        <v>11</v>
      </c>
      <c r="E62" s="12">
        <v>17</v>
      </c>
      <c r="F62" s="11">
        <f>LOOKUP(E62,{0,-2.9,-1.9,-0.9,0.1,1.1,2.1,3.5,4.9,6.3,7.7,9.1,10.5,11.9,13.3,14.7,16.1,18.3,20.5,22.4,24.3},{0,10,20,30,40,50,60,62,64,66,68,70,72,74,76,78,80,85,90,95,100})</f>
        <v>80</v>
      </c>
      <c r="G62" s="12">
        <v>278</v>
      </c>
      <c r="H62" s="11">
        <f>LOOKUP(G62,{0,175,180,185,190,195,200,204,208,212,216,220,224,228,232,236,240,248,255,260,265},{0,10,20,30,40,50,60,62,64,66,68,70,72,74,76,78,80,85,90,95,100})</f>
        <v>100</v>
      </c>
      <c r="I62" s="12">
        <v>7</v>
      </c>
      <c r="J62" s="11">
        <f>LOOKUP(I62,{0,3,4,5,6,7,8,9,10,11,12,13,14,15,16,17},{0,10,20,30,40,50,60,64,68,72,76,80,85,90,95,100})</f>
        <v>50</v>
      </c>
      <c r="K62" s="12"/>
      <c r="L62" s="15"/>
      <c r="M62" s="12">
        <f t="shared" si="29"/>
        <v>50</v>
      </c>
      <c r="N62" s="12">
        <v>6.5</v>
      </c>
      <c r="O62" s="12">
        <f t="shared" si="30"/>
        <v>5.5</v>
      </c>
      <c r="P62" s="11">
        <f>LOOKUP(O62,{0,1.6,1.8,2,2.2,2.4,2.6,2.8,3,3.2,3.4,3.6,3.8,4,4.2,4.4,4.6,4.7,4.8,4.9,5},{0,10,20,30,40,50,60,62,64,66,68,70,72,74,76,78,80,85,90,95,100})</f>
        <v>100</v>
      </c>
      <c r="Q62" s="12">
        <v>2.55</v>
      </c>
      <c r="R62" s="12">
        <f t="shared" si="31"/>
        <v>7.45</v>
      </c>
      <c r="S62" s="11">
        <f>LOOKUP(R62,{0,3.8,4,4.6,4.8,5,5.6,5.65,5.7,5.75,5.8,5.85,5.9,5.95,6,6.45,6.5,6.58,6.65,6.7,6.75},{0,10,20,30,40,50,60,62,64,66,68,70,72,74,76,78,80,85,90,95,100})</f>
        <v>100</v>
      </c>
      <c r="T62" s="12">
        <f>3.25-Q62</f>
        <v>0.7</v>
      </c>
      <c r="U62" s="11">
        <f>LOOKUP(T62,{0,0.04,0.08,0.12,0.16,0.2,0.23,0.26,0.29,0.32,0.35},{0,1,2,3,4,5,6,7,8,9,10})</f>
        <v>10</v>
      </c>
      <c r="V62" s="12">
        <f t="shared" si="32"/>
        <v>110</v>
      </c>
      <c r="W62" s="12"/>
      <c r="X62" s="20">
        <f t="shared" si="22"/>
        <v>63</v>
      </c>
      <c r="Y62" s="20">
        <f t="shared" si="33"/>
        <v>100</v>
      </c>
    </row>
    <row r="63" ht="15.6" hidden="1" outlineLevel="2" spans="1:25">
      <c r="A63" s="12">
        <v>202</v>
      </c>
      <c r="B63" s="12">
        <v>25</v>
      </c>
      <c r="C63" s="6" t="s">
        <v>92</v>
      </c>
      <c r="D63" s="6" t="s">
        <v>11</v>
      </c>
      <c r="E63" s="12">
        <v>17</v>
      </c>
      <c r="F63" s="11">
        <f>LOOKUP(E63,{0,-2.9,-1.9,-0.9,0.1,1.1,2.1,3.5,4.9,6.3,7.7,9.1,10.5,11.9,13.3,14.7,16.1,18.3,20.5,22.4,24.3},{0,10,20,30,40,50,60,62,64,66,68,70,72,74,76,78,80,85,90,95,100})</f>
        <v>80</v>
      </c>
      <c r="G63" s="12">
        <v>227</v>
      </c>
      <c r="H63" s="11">
        <f>LOOKUP(G63,{0,175,180,185,190,195,200,204,208,212,216,220,224,228,232,236,240,248,255,260,265},{0,10,20,30,40,50,60,62,64,66,68,70,72,74,76,78,80,85,90,95,100})</f>
        <v>72</v>
      </c>
      <c r="I63" s="12">
        <v>9</v>
      </c>
      <c r="J63" s="11">
        <f>LOOKUP(I63,{0,3,4,5,6,7,8,9,10,11,12,13,14,15,16,17},{0,10,20,30,40,50,60,64,68,72,76,80,85,90,95,100})</f>
        <v>64</v>
      </c>
      <c r="K63" s="12"/>
      <c r="L63" s="15"/>
      <c r="M63" s="12">
        <f t="shared" si="29"/>
        <v>64</v>
      </c>
      <c r="N63" s="12">
        <v>7.5</v>
      </c>
      <c r="O63" s="12">
        <f t="shared" si="30"/>
        <v>4.5</v>
      </c>
      <c r="P63" s="11">
        <f>LOOKUP(O63,{0,1.6,1.8,2,2.2,2.4,2.6,2.8,3,3.2,3.4,3.6,3.8,4,4.2,4.4,4.6,4.7,4.8,4.9,5},{0,10,20,30,40,50,60,62,64,66,68,70,72,74,76,78,80,85,90,95,100})</f>
        <v>78</v>
      </c>
      <c r="Q63" s="12">
        <v>3.49</v>
      </c>
      <c r="R63" s="12">
        <f t="shared" si="31"/>
        <v>6.51</v>
      </c>
      <c r="S63" s="11">
        <f>LOOKUP(R63,{0,3.8,4,4.6,4.8,5,5.6,5.65,5.7,5.75,5.8,5.85,5.9,5.95,6,6.45,6.5,6.58,6.65,6.7,6.75},{0,10,20,30,40,50,60,62,64,66,68,70,72,74,76,78,80,85,90,95,100})</f>
        <v>80</v>
      </c>
      <c r="T63" s="12"/>
      <c r="U63" s="12"/>
      <c r="V63" s="12">
        <f t="shared" si="32"/>
        <v>80</v>
      </c>
      <c r="W63" s="12"/>
      <c r="X63" s="20">
        <f t="shared" si="22"/>
        <v>53.2</v>
      </c>
      <c r="Y63" s="20">
        <f t="shared" si="33"/>
        <v>76</v>
      </c>
    </row>
    <row r="64" ht="15.6" hidden="1" outlineLevel="2" spans="1:25">
      <c r="A64" s="12">
        <v>202</v>
      </c>
      <c r="B64" s="12">
        <v>26</v>
      </c>
      <c r="C64" s="6" t="s">
        <v>93</v>
      </c>
      <c r="D64" s="6" t="s">
        <v>11</v>
      </c>
      <c r="E64" s="12">
        <v>13</v>
      </c>
      <c r="F64" s="11">
        <f>LOOKUP(E64,{0,-2.9,-1.9,-0.9,0.1,1.1,2.1,3.5,4.9,6.3,7.7,9.1,10.5,11.9,13.3,14.7,16.1,18.3,20.5,22.4,24.3},{0,10,20,30,40,50,60,62,64,66,68,70,72,74,76,78,80,85,90,95,100})</f>
        <v>74</v>
      </c>
      <c r="G64" s="12">
        <v>221</v>
      </c>
      <c r="H64" s="11">
        <f>LOOKUP(G64,{0,175,180,185,190,195,200,204,208,212,216,220,224,228,232,236,240,248,255,260,265},{0,10,20,30,40,50,60,62,64,66,68,70,72,74,76,78,80,85,90,95,100})</f>
        <v>70</v>
      </c>
      <c r="I64" s="12">
        <v>20</v>
      </c>
      <c r="J64" s="11">
        <f>LOOKUP(I64,{0,3,4,5,6,7,8,9,10,11,12,13,14,15,16,17},{0,10,20,30,40,50,60,64,68,72,76,80,85,90,95,100})</f>
        <v>100</v>
      </c>
      <c r="K64" s="12">
        <f t="shared" ref="K64:K68" si="34">I64-17</f>
        <v>3</v>
      </c>
      <c r="L64" s="16">
        <f>LOOKUP(K64,{0,1,2,3,4,5,6,7,8,9,10},{0,1,2,3,4,5,6,7,8,9,10})</f>
        <v>3</v>
      </c>
      <c r="M64" s="12">
        <f t="shared" si="29"/>
        <v>103</v>
      </c>
      <c r="N64" s="12">
        <v>7.4</v>
      </c>
      <c r="O64" s="12">
        <f t="shared" si="30"/>
        <v>4.6</v>
      </c>
      <c r="P64" s="11">
        <f>LOOKUP(O64,{0,1.6,1.8,2,2.2,2.4,2.6,2.8,3,3.2,3.4,3.6,3.8,4,4.2,4.4,4.6,4.7,4.8,4.9,5},{0,10,20,30,40,50,60,62,64,66,68,70,72,74,76,78,80,85,90,95,100})</f>
        <v>80</v>
      </c>
      <c r="Q64" s="12">
        <v>3.48</v>
      </c>
      <c r="R64" s="12">
        <f t="shared" si="31"/>
        <v>6.52</v>
      </c>
      <c r="S64" s="11">
        <f>LOOKUP(R64,{0,3.8,4,4.6,4.8,5,5.6,5.65,5.7,5.75,5.8,5.85,5.9,5.95,6,6.45,6.5,6.58,6.65,6.7,6.75},{0,10,20,30,40,50,60,62,64,66,68,70,72,74,76,78,80,85,90,95,100})</f>
        <v>80</v>
      </c>
      <c r="T64" s="12"/>
      <c r="U64" s="12"/>
      <c r="V64" s="12">
        <f t="shared" si="32"/>
        <v>80</v>
      </c>
      <c r="W64" s="12"/>
      <c r="X64" s="20">
        <f t="shared" si="22"/>
        <v>56.4</v>
      </c>
      <c r="Y64" s="20">
        <f t="shared" si="33"/>
        <v>83.5714285714286</v>
      </c>
    </row>
    <row r="65" ht="15.6" hidden="1" outlineLevel="2" spans="1:25">
      <c r="A65" s="12">
        <v>202</v>
      </c>
      <c r="B65" s="12">
        <v>27</v>
      </c>
      <c r="C65" s="6" t="s">
        <v>94</v>
      </c>
      <c r="D65" s="6" t="s">
        <v>11</v>
      </c>
      <c r="E65" s="12">
        <v>19</v>
      </c>
      <c r="F65" s="11">
        <f>LOOKUP(E65,{0,-2.9,-1.9,-0.9,0.1,1.1,2.1,3.5,4.9,6.3,7.7,9.1,10.5,11.9,13.3,14.7,16.1,18.3,20.5,22.4,24.3},{0,10,20,30,40,50,60,62,64,66,68,70,72,74,76,78,80,85,90,95,100})</f>
        <v>85</v>
      </c>
      <c r="G65" s="12">
        <v>264</v>
      </c>
      <c r="H65" s="11">
        <f>LOOKUP(G65,{0,175,180,185,190,195,200,204,208,212,216,220,224,228,232,236,240,248,255,260,265},{0,10,20,30,40,50,60,62,64,66,68,70,72,74,76,78,80,85,90,95,100})</f>
        <v>95</v>
      </c>
      <c r="I65" s="12">
        <v>17</v>
      </c>
      <c r="J65" s="11">
        <f>LOOKUP(I65,{0,3,4,5,6,7,8,9,10,11,12,13,14,15,16,17},{0,10,20,30,40,50,60,64,68,72,76,80,85,90,95,100})</f>
        <v>100</v>
      </c>
      <c r="K65" s="12">
        <f t="shared" si="34"/>
        <v>0</v>
      </c>
      <c r="L65" s="11">
        <f>LOOKUP(K65,{0,1,2,3,4,5,6,7,8,9,10},{0,1,2,3,4,5,6,7,8,9,10})</f>
        <v>0</v>
      </c>
      <c r="M65" s="12">
        <f t="shared" si="29"/>
        <v>100</v>
      </c>
      <c r="N65" s="12"/>
      <c r="O65" s="12"/>
      <c r="P65" s="11"/>
      <c r="Q65" s="12">
        <v>3.33</v>
      </c>
      <c r="R65" s="12">
        <f t="shared" si="31"/>
        <v>6.67</v>
      </c>
      <c r="S65" s="11">
        <f>LOOKUP(R65,{0,3.8,4,4.6,4.8,5,5.6,5.65,5.7,5.75,5.8,5.85,5.9,5.95,6,6.45,6.5,6.58,6.65,6.7,6.75},{0,10,20,30,40,50,60,62,64,66,68,70,72,74,76,78,80,85,90,95,100})</f>
        <v>90</v>
      </c>
      <c r="T65" s="12"/>
      <c r="U65" s="12"/>
      <c r="V65" s="12">
        <f t="shared" si="32"/>
        <v>90</v>
      </c>
      <c r="W65" s="12"/>
      <c r="X65" s="20">
        <f t="shared" si="22"/>
        <v>46</v>
      </c>
      <c r="Y65" s="20">
        <f t="shared" si="33"/>
        <v>65.7142857142857</v>
      </c>
    </row>
    <row r="66" ht="15.6" hidden="1" outlineLevel="2" spans="1:25">
      <c r="A66" s="12">
        <v>202</v>
      </c>
      <c r="B66" s="12">
        <v>28</v>
      </c>
      <c r="C66" s="6" t="s">
        <v>95</v>
      </c>
      <c r="D66" s="6" t="s">
        <v>11</v>
      </c>
      <c r="E66" s="12">
        <v>12</v>
      </c>
      <c r="F66" s="11">
        <f>LOOKUP(E66,{0,-2.9,-1.9,-0.9,0.1,1.1,2.1,3.5,4.9,6.3,7.7,9.1,10.5,11.9,13.3,14.7,16.1,18.3,20.5,22.4,24.3},{0,10,20,30,40,50,60,62,64,66,68,70,72,74,76,78,80,85,90,95,100})</f>
        <v>74</v>
      </c>
      <c r="G66" s="12">
        <v>251</v>
      </c>
      <c r="H66" s="11">
        <f>LOOKUP(G66,{0,175,180,185,190,195,200,204,208,212,216,220,224,228,232,236,240,248,255,260,265},{0,10,20,30,40,50,60,62,64,66,68,70,72,74,76,78,80,85,90,95,100})</f>
        <v>85</v>
      </c>
      <c r="I66" s="12">
        <v>14</v>
      </c>
      <c r="J66" s="11">
        <f>LOOKUP(I66,{0,3,4,5,6,7,8,9,10,11,12,13,14,15,16,17},{0,10,20,30,40,50,60,64,68,72,76,80,85,90,95,100})</f>
        <v>85</v>
      </c>
      <c r="K66" s="12"/>
      <c r="L66" s="12"/>
      <c r="M66" s="12">
        <f t="shared" si="29"/>
        <v>85</v>
      </c>
      <c r="N66" s="12">
        <v>6.9</v>
      </c>
      <c r="O66" s="12">
        <f t="shared" ref="O66:O68" si="35">12-N66</f>
        <v>5.1</v>
      </c>
      <c r="P66" s="11">
        <f>LOOKUP(O66,{0,1.6,1.8,2,2.2,2.4,2.6,2.8,3,3.2,3.4,3.6,3.8,4,4.2,4.4,4.6,4.7,4.8,4.9,5},{0,10,20,30,40,50,60,62,64,66,68,70,72,74,76,78,80,85,90,95,100})</f>
        <v>100</v>
      </c>
      <c r="Q66" s="12">
        <v>3.41</v>
      </c>
      <c r="R66" s="12">
        <f t="shared" si="31"/>
        <v>6.59</v>
      </c>
      <c r="S66" s="11">
        <f>LOOKUP(R66,{0,3.8,4,4.6,4.8,5,5.6,5.65,5.7,5.75,5.8,5.85,5.9,5.95,6,6.45,6.5,6.58,6.65,6.7,6.75},{0,10,20,30,40,50,60,62,64,66,68,70,72,74,76,78,80,85,90,95,100})</f>
        <v>85</v>
      </c>
      <c r="T66" s="12"/>
      <c r="U66" s="12"/>
      <c r="V66" s="12">
        <f t="shared" si="32"/>
        <v>85</v>
      </c>
      <c r="W66" s="12"/>
      <c r="X66" s="20">
        <f t="shared" si="22"/>
        <v>61.4</v>
      </c>
      <c r="Y66" s="20">
        <f t="shared" si="33"/>
        <v>87.7142857142857</v>
      </c>
    </row>
    <row r="67" ht="15.6" hidden="1" outlineLevel="2" spans="1:25">
      <c r="A67" s="12">
        <v>202</v>
      </c>
      <c r="B67" s="12">
        <v>29</v>
      </c>
      <c r="C67" s="6" t="s">
        <v>96</v>
      </c>
      <c r="D67" s="6" t="s">
        <v>11</v>
      </c>
      <c r="E67" s="12">
        <v>18</v>
      </c>
      <c r="F67" s="11">
        <f>LOOKUP(E67,{0,-2.9,-1.9,-0.9,0.1,1.1,2.1,3.5,4.9,6.3,7.7,9.1,10.5,11.9,13.3,14.7,16.1,18.3,20.5,22.4,24.3},{0,10,20,30,40,50,60,62,64,66,68,70,72,74,76,78,80,85,90,95,100})</f>
        <v>80</v>
      </c>
      <c r="G67" s="12">
        <v>239</v>
      </c>
      <c r="H67" s="11">
        <f>LOOKUP(G67,{0,175,180,185,190,195,200,204,208,212,216,220,224,228,232,236,240,248,255,260,265},{0,10,20,30,40,50,60,62,64,66,68,70,72,74,76,78,80,85,90,95,100})</f>
        <v>78</v>
      </c>
      <c r="I67" s="12">
        <v>4</v>
      </c>
      <c r="J67" s="11">
        <f>LOOKUP(I67,{0,3,4,5,6,7,8,9,10,11,12,13,14,15,16,17},{0,10,20,30,40,50,60,64,68,72,76,80,85,90,95,100})</f>
        <v>20</v>
      </c>
      <c r="K67" s="12"/>
      <c r="L67" s="12"/>
      <c r="M67" s="12">
        <f t="shared" si="29"/>
        <v>20</v>
      </c>
      <c r="N67" s="12">
        <v>7.3</v>
      </c>
      <c r="O67" s="12">
        <f t="shared" si="35"/>
        <v>4.7</v>
      </c>
      <c r="P67" s="11">
        <f>LOOKUP(O67,{0,1.6,1.8,2,2.2,2.4,2.6,2.8,3,3.2,3.4,3.6,3.8,4,4.2,4.4,4.6,4.7,4.8,4.9,5},{0,10,20,30,40,50,60,62,64,66,68,70,72,74,76,78,80,85,90,95,100})</f>
        <v>85</v>
      </c>
      <c r="Q67" s="12">
        <v>3.52</v>
      </c>
      <c r="R67" s="12">
        <f t="shared" si="31"/>
        <v>6.48</v>
      </c>
      <c r="S67" s="11">
        <f>LOOKUP(R67,{0,3.8,4,4.6,4.8,5,5.6,5.65,5.7,5.75,5.8,5.85,5.9,5.95,6,6.45,6.5,6.58,6.65,6.7,6.75},{0,10,20,30,40,50,60,62,64,66,68,70,72,74,76,78,80,85,90,95,100})</f>
        <v>78</v>
      </c>
      <c r="T67" s="12"/>
      <c r="U67" s="12"/>
      <c r="V67" s="12">
        <f t="shared" si="32"/>
        <v>78</v>
      </c>
      <c r="W67" s="12"/>
      <c r="X67" s="20">
        <f t="shared" si="22"/>
        <v>50.4</v>
      </c>
      <c r="Y67" s="20">
        <f t="shared" si="33"/>
        <v>72</v>
      </c>
    </row>
    <row r="68" ht="15.6" hidden="1" outlineLevel="2" spans="1:25">
      <c r="A68" s="12">
        <v>202</v>
      </c>
      <c r="B68" s="12">
        <v>30</v>
      </c>
      <c r="C68" s="6" t="s">
        <v>97</v>
      </c>
      <c r="D68" s="6" t="s">
        <v>11</v>
      </c>
      <c r="E68" s="12">
        <v>16.5</v>
      </c>
      <c r="F68" s="11">
        <f>LOOKUP(E68,{0,-2.9,-1.9,-0.9,0.1,1.1,2.1,3.5,4.9,6.3,7.7,9.1,10.5,11.9,13.3,14.7,16.1,18.3,20.5,22.4,24.3},{0,10,20,30,40,50,60,62,64,66,68,70,72,74,76,78,80,85,90,95,100})</f>
        <v>80</v>
      </c>
      <c r="G68" s="12">
        <v>254</v>
      </c>
      <c r="H68" s="11">
        <f>LOOKUP(G68,{0,175,180,185,190,195,200,204,208,212,216,220,224,228,232,236,240,248,255,260,265},{0,10,20,30,40,50,60,62,64,66,68,70,72,74,76,78,80,85,90,95,100})</f>
        <v>85</v>
      </c>
      <c r="I68" s="12">
        <v>27</v>
      </c>
      <c r="J68" s="11">
        <f>LOOKUP(I68,{0,3,4,5,6,7,8,9,10,11,12,13,14,15,16,17},{0,10,20,30,40,50,60,64,68,72,76,80,85,90,95,100})</f>
        <v>100</v>
      </c>
      <c r="K68" s="12">
        <f t="shared" si="34"/>
        <v>10</v>
      </c>
      <c r="L68" s="11">
        <f>LOOKUP(K68,{0,1,2,3,4,5,6,7,8,9,10},{0,1,2,3,4,5,6,7,8,9,10})</f>
        <v>10</v>
      </c>
      <c r="M68" s="12">
        <f t="shared" si="29"/>
        <v>110</v>
      </c>
      <c r="N68" s="12">
        <v>7</v>
      </c>
      <c r="O68" s="12">
        <f t="shared" si="35"/>
        <v>5</v>
      </c>
      <c r="P68" s="11">
        <f>LOOKUP(O68,{0,1.6,1.8,2,2.2,2.4,2.6,2.8,3,3.2,3.4,3.6,3.8,4,4.2,4.4,4.6,4.7,4.8,4.9,5},{0,10,20,30,40,50,60,62,64,66,68,70,72,74,76,78,80,85,90,95,100})</f>
        <v>100</v>
      </c>
      <c r="Q68" s="12">
        <v>3.32</v>
      </c>
      <c r="R68" s="12">
        <f t="shared" si="31"/>
        <v>6.68</v>
      </c>
      <c r="S68" s="11">
        <f>LOOKUP(R68,{0,3.8,4,4.6,4.8,5,5.6,5.65,5.7,5.75,5.8,5.85,5.9,5.95,6,6.45,6.5,6.58,6.65,6.7,6.75},{0,10,20,30,40,50,60,62,64,66,68,70,72,74,76,78,80,85,90,95,100})</f>
        <v>90</v>
      </c>
      <c r="T68" s="12"/>
      <c r="U68" s="12"/>
      <c r="V68" s="12">
        <f t="shared" si="32"/>
        <v>90</v>
      </c>
      <c r="W68" s="12"/>
      <c r="X68" s="20">
        <f t="shared" si="22"/>
        <v>64.5</v>
      </c>
      <c r="Y68" s="20">
        <f t="shared" si="33"/>
        <v>102.142857142857</v>
      </c>
    </row>
    <row r="69" ht="15.6" hidden="1" outlineLevel="2" spans="1:25">
      <c r="A69" s="12">
        <v>202</v>
      </c>
      <c r="B69" s="12">
        <v>31</v>
      </c>
      <c r="C69" s="6" t="s">
        <v>98</v>
      </c>
      <c r="D69" s="6" t="s">
        <v>11</v>
      </c>
      <c r="E69" s="12">
        <v>4.5</v>
      </c>
      <c r="F69" s="11">
        <f>LOOKUP(E69,{0,-2.9,-1.9,-0.9,0.1,1.1,2.1,3.5,4.9,6.3,7.7,9.1,10.5,11.9,13.3,14.7,16.1,18.3,20.5,22.4,24.3},{0,10,20,30,40,50,60,62,64,66,68,70,72,74,76,78,80,85,90,95,100})</f>
        <v>62</v>
      </c>
      <c r="G69" s="12">
        <v>268</v>
      </c>
      <c r="H69" s="11">
        <f>LOOKUP(G69,{0,175,180,185,190,195,200,204,208,212,216,220,224,228,232,236,240,248,255,260,265},{0,10,20,30,40,50,60,62,64,66,68,70,72,74,76,78,80,85,90,95,100})</f>
        <v>100</v>
      </c>
      <c r="I69" s="12">
        <v>5</v>
      </c>
      <c r="J69" s="11">
        <f>LOOKUP(I69,{0,3,4,5,6,7,8,9,10,11,12,13,14,15,16,17},{0,10,20,30,40,50,60,64,68,72,76,80,85,90,95,100})</f>
        <v>30</v>
      </c>
      <c r="K69" s="12"/>
      <c r="L69" s="12"/>
      <c r="M69" s="12">
        <f t="shared" si="29"/>
        <v>30</v>
      </c>
      <c r="N69" s="12"/>
      <c r="O69" s="12"/>
      <c r="P69" s="11"/>
      <c r="Q69" s="12">
        <v>3.3</v>
      </c>
      <c r="R69" s="12">
        <f t="shared" si="31"/>
        <v>6.7</v>
      </c>
      <c r="S69" s="11">
        <f>LOOKUP(R69,{0,3.8,4,4.6,4.8,5,5.6,5.65,5.7,5.75,5.8,5.85,5.9,5.95,6,6.45,6.5,6.58,6.65,6.7,6.75},{0,10,20,30,40,50,60,62,64,66,68,70,72,74,76,78,80,85,90,95,100})</f>
        <v>95</v>
      </c>
      <c r="T69" s="12"/>
      <c r="U69" s="12"/>
      <c r="V69" s="12">
        <f t="shared" si="32"/>
        <v>95</v>
      </c>
      <c r="W69" s="12"/>
      <c r="X69" s="20">
        <f t="shared" si="22"/>
        <v>38.2</v>
      </c>
      <c r="Y69" s="20">
        <f t="shared" si="33"/>
        <v>54.5714285714286</v>
      </c>
    </row>
    <row r="70" ht="15.6" hidden="1" outlineLevel="2" spans="1:25">
      <c r="A70" s="12">
        <v>202</v>
      </c>
      <c r="B70" s="12">
        <v>32</v>
      </c>
      <c r="C70" s="6" t="s">
        <v>99</v>
      </c>
      <c r="D70" s="6" t="s">
        <v>11</v>
      </c>
      <c r="E70" s="12">
        <v>21</v>
      </c>
      <c r="F70" s="11">
        <f>LOOKUP(E70,{0,-2.9,-1.9,-0.9,0.1,1.1,2.1,3.5,4.9,6.3,7.7,9.1,10.5,11.9,13.3,14.7,16.1,18.3,20.5,22.4,24.3},{0,10,20,30,40,50,60,62,64,66,68,70,72,74,76,78,80,85,90,95,100})</f>
        <v>90</v>
      </c>
      <c r="G70" s="12">
        <v>232</v>
      </c>
      <c r="H70" s="11">
        <f>LOOKUP(G70,{0,175,180,185,190,195,200,204,208,212,216,220,224,228,232,236,240,248,255,260,265},{0,10,20,30,40,50,60,62,64,66,68,70,72,74,76,78,80,85,90,95,100})</f>
        <v>76</v>
      </c>
      <c r="I70" s="12">
        <v>5</v>
      </c>
      <c r="J70" s="11">
        <f>LOOKUP(I70,{0,3,4,5,6,7,8,9,10,11,12,13,14,15,16,17},{0,10,20,30,40,50,60,64,68,72,76,80,85,90,95,100})</f>
        <v>30</v>
      </c>
      <c r="K70" s="12"/>
      <c r="L70" s="15"/>
      <c r="M70" s="12">
        <f t="shared" si="29"/>
        <v>30</v>
      </c>
      <c r="N70" s="12">
        <v>7.1</v>
      </c>
      <c r="O70" s="12">
        <f>12-N70</f>
        <v>4.9</v>
      </c>
      <c r="P70" s="11">
        <f>LOOKUP(O70,{0,1.6,1.8,2,2.2,2.4,2.6,2.8,3,3.2,3.4,3.6,3.8,4,4.2,4.4,4.6,4.7,4.8,4.9,5},{0,10,20,30,40,50,60,62,64,66,68,70,72,74,76,78,80,85,90,95,100})</f>
        <v>95</v>
      </c>
      <c r="Q70" s="12">
        <v>3.12</v>
      </c>
      <c r="R70" s="12">
        <f t="shared" si="31"/>
        <v>6.88</v>
      </c>
      <c r="S70" s="11">
        <f>LOOKUP(R70,{0,3.8,4,4.6,4.8,5,5.6,5.65,5.7,5.75,5.8,5.85,5.9,5.95,6,6.45,6.5,6.58,6.65,6.7,6.75},{0,10,20,30,40,50,60,62,64,66,68,70,72,74,76,78,80,85,90,95,100})</f>
        <v>100</v>
      </c>
      <c r="T70" s="12">
        <f>3.25-Q70</f>
        <v>0.13</v>
      </c>
      <c r="U70" s="11">
        <f>LOOKUP(T70,{0,0.04,0.08,0.12,0.16,0.2,0.23,0.26,0.29,0.32,0.35},{0,1,2,3,4,5,6,7,8,9,10})</f>
        <v>3</v>
      </c>
      <c r="V70" s="12">
        <f t="shared" si="32"/>
        <v>103</v>
      </c>
      <c r="W70" s="12"/>
      <c r="X70" s="20">
        <f t="shared" si="22"/>
        <v>58.6</v>
      </c>
      <c r="Y70" s="20">
        <f t="shared" si="33"/>
        <v>86.7142857142857</v>
      </c>
    </row>
    <row r="71" ht="15.6" outlineLevel="1" collapsed="1" spans="1:25">
      <c r="A71" s="14" t="s">
        <v>856</v>
      </c>
      <c r="B71" s="12"/>
      <c r="C71" s="6"/>
      <c r="D71" s="6"/>
      <c r="E71" s="12"/>
      <c r="F71" s="11">
        <f>SUBTOTAL(1,F39:F70)</f>
        <v>79.1612903225806</v>
      </c>
      <c r="G71" s="12"/>
      <c r="H71" s="11">
        <f>SUBTOTAL(1,H39:H70)</f>
        <v>84.6129032258064</v>
      </c>
      <c r="I71" s="12"/>
      <c r="J71" s="11">
        <f>SUBTOTAL(1,J39:J70)</f>
        <v>61</v>
      </c>
      <c r="K71" s="12"/>
      <c r="L71" s="15"/>
      <c r="M71" s="12">
        <f>SUBTOTAL(1,M39:M70)</f>
        <v>62.5161290322581</v>
      </c>
      <c r="N71" s="12"/>
      <c r="O71" s="12"/>
      <c r="P71" s="11">
        <f>SUBTOTAL(1,P39:P70)</f>
        <v>88.7857142857143</v>
      </c>
      <c r="Q71" s="12"/>
      <c r="R71" s="12"/>
      <c r="S71" s="11">
        <f>SUBTOTAL(1,S39:S70)</f>
        <v>87</v>
      </c>
      <c r="T71" s="12"/>
      <c r="U71" s="11"/>
      <c r="V71" s="12">
        <f>SUBTOTAL(1,V39:V70)</f>
        <v>87.5333333333333</v>
      </c>
      <c r="W71" s="12"/>
      <c r="X71" s="20">
        <f>SUBTOTAL(1,X39:X70)</f>
        <v>53.625</v>
      </c>
      <c r="Y71" s="20">
        <f>SUBTOTAL(1,Y39:Y70)</f>
        <v>80.2366071428572</v>
      </c>
    </row>
    <row r="72" customFormat="1" ht="15.6" hidden="1" outlineLevel="2" spans="1:25">
      <c r="A72" s="12">
        <v>203</v>
      </c>
      <c r="B72" s="12">
        <v>1</v>
      </c>
      <c r="C72" s="13" t="s">
        <v>113</v>
      </c>
      <c r="D72" s="6" t="s">
        <v>11</v>
      </c>
      <c r="E72" s="12">
        <v>15</v>
      </c>
      <c r="F72" s="11">
        <f>LOOKUP(E72,{0,-2.9,-1.9,-0.9,0.1,1.1,2.1,3.5,4.9,6.3,7.7,9.1,10.5,11.9,13.3,14.7,16.1,18.3,20.5,22.4,24.3},{0,10,20,30,40,50,60,62,64,66,68,70,72,74,76,78,80,85,90,95,100})</f>
        <v>78</v>
      </c>
      <c r="G72" s="12">
        <v>209</v>
      </c>
      <c r="H72" s="11">
        <f>LOOKUP(G72,{0,175,180,185,190,195,200,204,208,212,216,220,224,228,232,236,240,248,255,260,265},{0,10,20,30,40,50,60,62,64,66,68,70,72,74,76,78,80,85,90,95,100})</f>
        <v>64</v>
      </c>
      <c r="I72" s="12">
        <v>10</v>
      </c>
      <c r="J72" s="11">
        <f>LOOKUP(I72,{0,3,4,5,6,7,8,9,10,11,12,13,14,15,16,17},{0,10,20,30,40,50,60,64,68,72,76,80,85,90,95,100})</f>
        <v>68</v>
      </c>
      <c r="K72" s="12"/>
      <c r="L72" s="12"/>
      <c r="M72" s="12">
        <f t="shared" ref="M72:M88" si="36">J72+L72</f>
        <v>68</v>
      </c>
      <c r="N72" s="12">
        <v>7.8</v>
      </c>
      <c r="O72" s="12">
        <f t="shared" ref="O72:O80" si="37">12-N72</f>
        <v>4.2</v>
      </c>
      <c r="P72" s="11">
        <f>LOOKUP(O72,{0,1.6,1.8,2,2.2,2.4,2.6,2.8,3,3.2,3.4,3.6,3.8,4,4.2,4.4,4.6,4.7,4.8,4.9,5},{0,10,20,30,40,50,60,62,64,66,68,70,72,74,76,78,80,85,90,95,100})</f>
        <v>76</v>
      </c>
      <c r="Q72" s="12">
        <v>3.57</v>
      </c>
      <c r="R72" s="12">
        <f t="shared" ref="R72:R81" si="38">10-Q72</f>
        <v>6.43</v>
      </c>
      <c r="S72" s="11">
        <f>LOOKUP(R72,{0,3.8,4,4.6,4.8,5,5.6,5.65,5.7,5.75,5.8,5.85,5.9,5.95,6,6.45,6.5,6.58,6.65,6.7,6.75},{0,10,20,30,40,50,60,62,64,66,68,70,72,74,76,78,80,85,90,95,100})</f>
        <v>76</v>
      </c>
      <c r="T72" s="12"/>
      <c r="U72" s="12"/>
      <c r="V72" s="12">
        <f t="shared" ref="V72:V81" si="39">S72+U72</f>
        <v>76</v>
      </c>
      <c r="W72" s="12"/>
      <c r="X72" s="20">
        <f t="shared" ref="X72:X104" si="40">F72*0.1+H72*0.1+J72*0.1+P72*0.2+S72*0.2</f>
        <v>51.4</v>
      </c>
      <c r="Y72" s="20">
        <f t="shared" ref="Y72:Y85" si="41">X72/0.7+L72+U72</f>
        <v>73.4285714285714</v>
      </c>
    </row>
    <row r="73" customFormat="1" ht="15.6" hidden="1" outlineLevel="2" spans="1:25">
      <c r="A73" s="12">
        <v>203</v>
      </c>
      <c r="B73" s="12">
        <v>2</v>
      </c>
      <c r="C73" s="6" t="s">
        <v>114</v>
      </c>
      <c r="D73" s="6" t="s">
        <v>11</v>
      </c>
      <c r="E73" s="12">
        <v>12</v>
      </c>
      <c r="F73" s="11">
        <f>LOOKUP(E73,{0,-2.9,-1.9,-0.9,0.1,1.1,2.1,3.5,4.9,6.3,7.7,9.1,10.5,11.9,13.3,14.7,16.1,18.3,20.5,22.4,24.3},{0,10,20,30,40,50,60,62,64,66,68,70,72,74,76,78,80,85,90,95,100})</f>
        <v>74</v>
      </c>
      <c r="G73" s="12">
        <v>275</v>
      </c>
      <c r="H73" s="11">
        <f>LOOKUP(G73,{0,175,180,185,190,195,200,204,208,212,216,220,224,228,232,236,240,248,255,260,265},{0,10,20,30,40,50,60,62,64,66,68,70,72,74,76,78,80,85,90,95,100})</f>
        <v>100</v>
      </c>
      <c r="I73" s="12">
        <v>21</v>
      </c>
      <c r="J73" s="11">
        <f>LOOKUP(I73,{0,3,4,5,6,7,8,9,10,11,12,13,14,15,16,17},{0,10,20,30,40,50,60,64,68,72,76,80,85,90,95,100})</f>
        <v>100</v>
      </c>
      <c r="K73" s="12">
        <f t="shared" ref="K73:K75" si="42">I73-17</f>
        <v>4</v>
      </c>
      <c r="L73" s="16">
        <f>LOOKUP(K73,{0,1,2,3,4,5,6,7,8,9,10},{0,1,2,3,4,5,6,7,8,9,10})</f>
        <v>4</v>
      </c>
      <c r="M73" s="12">
        <f t="shared" si="36"/>
        <v>104</v>
      </c>
      <c r="N73" s="12">
        <v>6.6</v>
      </c>
      <c r="O73" s="12">
        <f t="shared" si="37"/>
        <v>5.4</v>
      </c>
      <c r="P73" s="11">
        <f>LOOKUP(O73,{0,1.6,1.8,2,2.2,2.4,2.6,2.8,3,3.2,3.4,3.6,3.8,4,4.2,4.4,4.6,4.7,4.8,4.9,5},{0,10,20,30,40,50,60,62,64,66,68,70,72,74,76,78,80,85,90,95,100})</f>
        <v>100</v>
      </c>
      <c r="Q73" s="12">
        <v>3.27</v>
      </c>
      <c r="R73" s="12">
        <f t="shared" si="38"/>
        <v>6.73</v>
      </c>
      <c r="S73" s="11">
        <f>LOOKUP(R73,{0,3.8,4,4.6,4.8,5,5.6,5.65,5.7,5.75,5.8,5.85,5.9,5.95,6,6.45,6.5,6.58,6.65,6.7,6.75},{0,10,20,30,40,50,60,62,64,66,68,70,72,74,76,78,80,85,90,95,100})</f>
        <v>95</v>
      </c>
      <c r="T73" s="12"/>
      <c r="U73" s="12"/>
      <c r="V73" s="12">
        <f t="shared" si="39"/>
        <v>95</v>
      </c>
      <c r="W73" s="12"/>
      <c r="X73" s="20">
        <f t="shared" si="40"/>
        <v>66.4</v>
      </c>
      <c r="Y73" s="20">
        <f t="shared" si="41"/>
        <v>98.8571428571429</v>
      </c>
    </row>
    <row r="74" customFormat="1" ht="15.6" hidden="1" outlineLevel="2" spans="1:25">
      <c r="A74" s="12">
        <v>203</v>
      </c>
      <c r="B74" s="12">
        <v>3</v>
      </c>
      <c r="C74" s="6" t="s">
        <v>115</v>
      </c>
      <c r="D74" s="6" t="s">
        <v>11</v>
      </c>
      <c r="E74" s="12">
        <v>20</v>
      </c>
      <c r="F74" s="11">
        <f>LOOKUP(E74,{0,-2.9,-1.9,-0.9,0.1,1.1,2.1,3.5,4.9,6.3,7.7,9.1,10.5,11.9,13.3,14.7,16.1,18.3,20.5,22.4,24.3},{0,10,20,30,40,50,60,62,64,66,68,70,72,74,76,78,80,85,90,95,100})</f>
        <v>85</v>
      </c>
      <c r="G74" s="12">
        <v>251</v>
      </c>
      <c r="H74" s="11">
        <f>LOOKUP(G74,{0,175,180,185,190,195,200,204,208,212,216,220,224,228,232,236,240,248,255,260,265},{0,10,20,30,40,50,60,62,64,66,68,70,72,74,76,78,80,85,90,95,100})</f>
        <v>85</v>
      </c>
      <c r="I74" s="12">
        <v>30</v>
      </c>
      <c r="J74" s="11">
        <f>LOOKUP(I74,{0,3,4,5,6,7,8,9,10,11,12,13,14,15,16,17},{0,10,20,30,40,50,60,64,68,72,76,80,85,90,95,100})</f>
        <v>100</v>
      </c>
      <c r="K74" s="12">
        <f t="shared" si="42"/>
        <v>13</v>
      </c>
      <c r="L74" s="11">
        <f>LOOKUP(K74,{0,1,2,3,4,5,6,7,8,9,10},{0,1,2,3,4,5,6,7,8,9,10})</f>
        <v>10</v>
      </c>
      <c r="M74" s="12">
        <f t="shared" si="36"/>
        <v>110</v>
      </c>
      <c r="N74" s="12">
        <v>7.6</v>
      </c>
      <c r="O74" s="12">
        <f t="shared" si="37"/>
        <v>4.4</v>
      </c>
      <c r="P74" s="11">
        <f>LOOKUP(O74,{0,1.6,1.8,2,2.2,2.4,2.6,2.8,3,3.2,3.4,3.6,3.8,4,4.2,4.4,4.6,4.7,4.8,4.9,5},{0,10,20,30,40,50,60,62,64,66,68,70,72,74,76,78,80,85,90,95,100})</f>
        <v>78</v>
      </c>
      <c r="Q74" s="12">
        <v>3.17</v>
      </c>
      <c r="R74" s="12">
        <f t="shared" si="38"/>
        <v>6.83</v>
      </c>
      <c r="S74" s="11">
        <f>LOOKUP(R74,{0,3.8,4,4.6,4.8,5,5.6,5.65,5.7,5.75,5.8,5.85,5.9,5.95,6,6.45,6.5,6.58,6.65,6.7,6.75},{0,10,20,30,40,50,60,62,64,66,68,70,72,74,76,78,80,85,90,95,100})</f>
        <v>100</v>
      </c>
      <c r="T74" s="12">
        <f>3.25-Q74</f>
        <v>0.0800000000000001</v>
      </c>
      <c r="U74" s="11">
        <f>LOOKUP(T74,{0,0.04,0.08,0.12,0.16,0.2,0.23,0.26,0.29,0.32,0.35},{0,1,2,3,4,5,6,7,8,9,10})</f>
        <v>2</v>
      </c>
      <c r="V74" s="12">
        <f t="shared" si="39"/>
        <v>102</v>
      </c>
      <c r="W74" s="12"/>
      <c r="X74" s="20">
        <f t="shared" si="40"/>
        <v>62.6</v>
      </c>
      <c r="Y74" s="20">
        <f t="shared" si="41"/>
        <v>101.428571428571</v>
      </c>
    </row>
    <row r="75" s="1" customFormat="1" ht="15.6" hidden="1" outlineLevel="2" spans="1:25">
      <c r="A75" s="12">
        <v>203</v>
      </c>
      <c r="B75" s="12">
        <v>4</v>
      </c>
      <c r="C75" s="6" t="s">
        <v>116</v>
      </c>
      <c r="D75" s="6" t="s">
        <v>11</v>
      </c>
      <c r="E75" s="12">
        <v>19</v>
      </c>
      <c r="F75" s="11">
        <f>LOOKUP(E75,{0,-2.9,-1.9,-0.9,0.1,1.1,2.1,3.5,4.9,6.3,7.7,9.1,10.5,11.9,13.3,14.7,16.1,18.3,20.5,22.4,24.3},{0,10,20,30,40,50,60,62,64,66,68,70,72,74,76,78,80,85,90,95,100})</f>
        <v>85</v>
      </c>
      <c r="G75" s="12">
        <v>260</v>
      </c>
      <c r="H75" s="11">
        <f>LOOKUP(G75,{0,175,180,185,190,195,200,204,208,212,216,220,224,228,232,236,240,248,255,260,265},{0,10,20,30,40,50,60,62,64,66,68,70,72,74,76,78,80,85,90,95,100})</f>
        <v>95</v>
      </c>
      <c r="I75" s="12">
        <v>17</v>
      </c>
      <c r="J75" s="11">
        <f>LOOKUP(I75,{0,3,4,5,6,7,8,9,10,11,12,13,14,15,16,17},{0,10,20,30,40,50,60,64,68,72,76,80,85,90,95,100})</f>
        <v>100</v>
      </c>
      <c r="K75" s="12">
        <f t="shared" si="42"/>
        <v>0</v>
      </c>
      <c r="L75" s="11">
        <f>LOOKUP(K75,{0,1,2,3,4,5,6,7,8,9,10},{0,1,2,3,4,5,6,7,8,9,10})</f>
        <v>0</v>
      </c>
      <c r="M75" s="12">
        <f t="shared" si="36"/>
        <v>100</v>
      </c>
      <c r="N75" s="12">
        <v>7</v>
      </c>
      <c r="O75" s="12">
        <f t="shared" si="37"/>
        <v>5</v>
      </c>
      <c r="P75" s="11">
        <f>LOOKUP(O75,{0,1.6,1.8,2,2.2,2.4,2.6,2.8,3,3.2,3.4,3.6,3.8,4,4.2,4.4,4.6,4.7,4.8,4.9,5},{0,10,20,30,40,50,60,62,64,66,68,70,72,74,76,78,80,85,90,95,100})</f>
        <v>100</v>
      </c>
      <c r="Q75" s="12">
        <v>3.26</v>
      </c>
      <c r="R75" s="12">
        <f t="shared" si="38"/>
        <v>6.74</v>
      </c>
      <c r="S75" s="11">
        <f>LOOKUP(R75,{0,3.8,4,4.6,4.8,5,5.6,5.65,5.7,5.75,5.8,5.85,5.9,5.95,6,6.45,6.5,6.58,6.65,6.7,6.75},{0,10,20,30,40,50,60,62,64,66,68,70,72,74,76,78,80,85,90,95,100})</f>
        <v>95</v>
      </c>
      <c r="T75" s="12"/>
      <c r="U75" s="12"/>
      <c r="V75" s="12">
        <f t="shared" si="39"/>
        <v>95</v>
      </c>
      <c r="W75" s="12"/>
      <c r="X75" s="20">
        <f t="shared" si="40"/>
        <v>67</v>
      </c>
      <c r="Y75" s="20">
        <f t="shared" si="41"/>
        <v>95.7142857142857</v>
      </c>
    </row>
    <row r="76" ht="15.6" hidden="1" outlineLevel="2" spans="1:25">
      <c r="A76" s="12">
        <v>203</v>
      </c>
      <c r="B76" s="12">
        <v>5</v>
      </c>
      <c r="C76" s="6" t="s">
        <v>117</v>
      </c>
      <c r="D76" s="6" t="s">
        <v>11</v>
      </c>
      <c r="E76" s="12">
        <v>19.5</v>
      </c>
      <c r="F76" s="11">
        <f>LOOKUP(E76,{0,-2.9,-1.9,-0.9,0.1,1.1,2.1,3.5,4.9,6.3,7.7,9.1,10.5,11.9,13.3,14.7,16.1,18.3,20.5,22.4,24.3},{0,10,20,30,40,50,60,62,64,66,68,70,72,74,76,78,80,85,90,95,100})</f>
        <v>85</v>
      </c>
      <c r="G76" s="12">
        <v>230</v>
      </c>
      <c r="H76" s="11">
        <f>LOOKUP(G76,{0,175,180,185,190,195,200,204,208,212,216,220,224,228,232,236,240,248,255,260,265},{0,10,20,30,40,50,60,62,64,66,68,70,72,74,76,78,80,85,90,95,100})</f>
        <v>74</v>
      </c>
      <c r="I76" s="12">
        <v>6</v>
      </c>
      <c r="J76" s="11">
        <f>LOOKUP(I76,{0,3,4,5,6,7,8,9,10,11,12,13,14,15,16,17},{0,10,20,30,40,50,60,64,68,72,76,80,85,90,95,100})</f>
        <v>40</v>
      </c>
      <c r="K76" s="12"/>
      <c r="L76" s="12"/>
      <c r="M76" s="12">
        <f t="shared" si="36"/>
        <v>40</v>
      </c>
      <c r="N76" s="12">
        <v>7.6</v>
      </c>
      <c r="O76" s="12">
        <f t="shared" si="37"/>
        <v>4.4</v>
      </c>
      <c r="P76" s="11">
        <f>LOOKUP(O76,{0,1.6,1.8,2,2.2,2.4,2.6,2.8,3,3.2,3.4,3.6,3.8,4,4.2,4.4,4.6,4.7,4.8,4.9,5},{0,10,20,30,40,50,60,62,64,66,68,70,72,74,76,78,80,85,90,95,100})</f>
        <v>78</v>
      </c>
      <c r="Q76" s="12">
        <v>3.28</v>
      </c>
      <c r="R76" s="12">
        <f t="shared" si="38"/>
        <v>6.72</v>
      </c>
      <c r="S76" s="11">
        <f>LOOKUP(R76,{0,3.8,4,4.6,4.8,5,5.6,5.65,5.7,5.75,5.8,5.85,5.9,5.95,6,6.45,6.5,6.58,6.65,6.7,6.75},{0,10,20,30,40,50,60,62,64,66,68,70,72,74,76,78,80,85,90,95,100})</f>
        <v>95</v>
      </c>
      <c r="T76" s="12"/>
      <c r="U76" s="12"/>
      <c r="V76" s="12">
        <f t="shared" si="39"/>
        <v>95</v>
      </c>
      <c r="W76" s="12"/>
      <c r="X76" s="20">
        <f t="shared" si="40"/>
        <v>54.5</v>
      </c>
      <c r="Y76" s="20">
        <f t="shared" si="41"/>
        <v>77.8571428571429</v>
      </c>
    </row>
    <row r="77" ht="15.6" hidden="1" outlineLevel="2" spans="1:25">
      <c r="A77" s="12">
        <v>203</v>
      </c>
      <c r="B77" s="12">
        <v>6</v>
      </c>
      <c r="C77" s="6" t="s">
        <v>118</v>
      </c>
      <c r="D77" s="6" t="s">
        <v>11</v>
      </c>
      <c r="E77" s="12">
        <v>17</v>
      </c>
      <c r="F77" s="11">
        <f>LOOKUP(E77,{0,-2.9,-1.9,-0.9,0.1,1.1,2.1,3.5,4.9,6.3,7.7,9.1,10.5,11.9,13.3,14.7,16.1,18.3,20.5,22.4,24.3},{0,10,20,30,40,50,60,62,64,66,68,70,72,74,76,78,80,85,90,95,100})</f>
        <v>80</v>
      </c>
      <c r="G77" s="12">
        <v>275</v>
      </c>
      <c r="H77" s="11">
        <f>LOOKUP(G77,{0,175,180,185,190,195,200,204,208,212,216,220,224,228,232,236,240,248,255,260,265},{0,10,20,30,40,50,60,62,64,66,68,70,72,74,76,78,80,85,90,95,100})</f>
        <v>100</v>
      </c>
      <c r="I77" s="12">
        <v>12</v>
      </c>
      <c r="J77" s="11">
        <f>LOOKUP(I77,{0,3,4,5,6,7,8,9,10,11,12,13,14,15,16,17},{0,10,20,30,40,50,60,64,68,72,76,80,85,90,95,100})</f>
        <v>76</v>
      </c>
      <c r="K77" s="12"/>
      <c r="L77" s="15"/>
      <c r="M77" s="12">
        <f t="shared" si="36"/>
        <v>76</v>
      </c>
      <c r="N77" s="12">
        <v>7.5</v>
      </c>
      <c r="O77" s="12">
        <f t="shared" si="37"/>
        <v>4.5</v>
      </c>
      <c r="P77" s="11">
        <f>LOOKUP(O77,{0,1.6,1.8,2,2.2,2.4,2.6,2.8,3,3.2,3.4,3.6,3.8,4,4.2,4.4,4.6,4.7,4.8,4.9,5},{0,10,20,30,40,50,60,62,64,66,68,70,72,74,76,78,80,85,90,95,100})</f>
        <v>78</v>
      </c>
      <c r="Q77" s="12">
        <v>3.55</v>
      </c>
      <c r="R77" s="12">
        <f t="shared" si="38"/>
        <v>6.45</v>
      </c>
      <c r="S77" s="11">
        <f>LOOKUP(R77,{0,3.8,4,4.6,4.8,5,5.6,5.65,5.7,5.75,5.8,5.85,5.9,5.95,6,6.45,6.5,6.58,6.65,6.7,6.75},{0,10,20,30,40,50,60,62,64,66,68,70,72,74,76,78,80,85,90,95,100})</f>
        <v>78</v>
      </c>
      <c r="T77" s="12"/>
      <c r="U77" s="12"/>
      <c r="V77" s="12">
        <f t="shared" si="39"/>
        <v>78</v>
      </c>
      <c r="W77" s="12"/>
      <c r="X77" s="20">
        <f t="shared" si="40"/>
        <v>56.8</v>
      </c>
      <c r="Y77" s="20">
        <f t="shared" si="41"/>
        <v>81.1428571428572</v>
      </c>
    </row>
    <row r="78" ht="15.6" hidden="1" outlineLevel="2" spans="1:25">
      <c r="A78" s="12">
        <v>203</v>
      </c>
      <c r="B78" s="12">
        <v>7</v>
      </c>
      <c r="C78" s="6" t="s">
        <v>119</v>
      </c>
      <c r="D78" s="6" t="s">
        <v>11</v>
      </c>
      <c r="E78" s="12">
        <v>18.5</v>
      </c>
      <c r="F78" s="11">
        <f>LOOKUP(E78,{0,-2.9,-1.9,-0.9,0.1,1.1,2.1,3.5,4.9,6.3,7.7,9.1,10.5,11.9,13.3,14.7,16.1,18.3,20.5,22.4,24.3},{0,10,20,30,40,50,60,62,64,66,68,70,72,74,76,78,80,85,90,95,100})</f>
        <v>85</v>
      </c>
      <c r="G78" s="12">
        <v>275</v>
      </c>
      <c r="H78" s="11">
        <f>LOOKUP(G78,{0,175,180,185,190,195,200,204,208,212,216,220,224,228,232,236,240,248,255,260,265},{0,10,20,30,40,50,60,62,64,66,68,70,72,74,76,78,80,85,90,95,100})</f>
        <v>100</v>
      </c>
      <c r="I78" s="12">
        <v>4</v>
      </c>
      <c r="J78" s="11">
        <f>LOOKUP(I78,{0,3,4,5,6,7,8,9,10,11,12,13,14,15,16,17},{0,10,20,30,40,50,60,64,68,72,76,80,85,90,95,100})</f>
        <v>20</v>
      </c>
      <c r="K78" s="12"/>
      <c r="L78" s="12"/>
      <c r="M78" s="12">
        <f t="shared" si="36"/>
        <v>20</v>
      </c>
      <c r="N78" s="12">
        <v>6.5</v>
      </c>
      <c r="O78" s="12">
        <f t="shared" si="37"/>
        <v>5.5</v>
      </c>
      <c r="P78" s="11">
        <f>LOOKUP(O78,{0,1.6,1.8,2,2.2,2.4,2.6,2.8,3,3.2,3.4,3.6,3.8,4,4.2,4.4,4.6,4.7,4.8,4.9,5},{0,10,20,30,40,50,60,62,64,66,68,70,72,74,76,78,80,85,90,95,100})</f>
        <v>100</v>
      </c>
      <c r="Q78" s="12">
        <v>3.19</v>
      </c>
      <c r="R78" s="12">
        <f t="shared" si="38"/>
        <v>6.81</v>
      </c>
      <c r="S78" s="11">
        <f>LOOKUP(R78,{0,3.8,4,4.6,4.8,5,5.6,5.65,5.7,5.75,5.8,5.85,5.9,5.95,6,6.45,6.5,6.58,6.65,6.7,6.75},{0,10,20,30,40,50,60,62,64,66,68,70,72,74,76,78,80,85,90,95,100})</f>
        <v>100</v>
      </c>
      <c r="T78" s="12">
        <f>3.25-Q78</f>
        <v>0.0600000000000001</v>
      </c>
      <c r="U78" s="11">
        <f>LOOKUP(T78,{0,0.04,0.08,0.12,0.16,0.2,0.23,0.26,0.29,0.32,0.35},{0,1,2,3,4,5,6,7,8,9,10})</f>
        <v>1</v>
      </c>
      <c r="V78" s="12">
        <f t="shared" si="39"/>
        <v>101</v>
      </c>
      <c r="W78" s="12"/>
      <c r="X78" s="20">
        <f t="shared" si="40"/>
        <v>60.5</v>
      </c>
      <c r="Y78" s="20">
        <f t="shared" si="41"/>
        <v>87.4285714285714</v>
      </c>
    </row>
    <row r="79" ht="15.6" hidden="1" outlineLevel="2" spans="1:25">
      <c r="A79" s="12">
        <v>203</v>
      </c>
      <c r="B79" s="12">
        <v>8</v>
      </c>
      <c r="C79" s="6" t="s">
        <v>120</v>
      </c>
      <c r="D79" s="6" t="s">
        <v>11</v>
      </c>
      <c r="E79" s="12">
        <v>18</v>
      </c>
      <c r="F79" s="11">
        <f>LOOKUP(E79,{0,-2.9,-1.9,-0.9,0.1,1.1,2.1,3.5,4.9,6.3,7.7,9.1,10.5,11.9,13.3,14.7,16.1,18.3,20.5,22.4,24.3},{0,10,20,30,40,50,60,62,64,66,68,70,72,74,76,78,80,85,90,95,100})</f>
        <v>80</v>
      </c>
      <c r="G79" s="12">
        <v>252</v>
      </c>
      <c r="H79" s="11">
        <f>LOOKUP(G79,{0,175,180,185,190,195,200,204,208,212,216,220,224,228,232,236,240,248,255,260,265},{0,10,20,30,40,50,60,62,64,66,68,70,72,74,76,78,80,85,90,95,100})</f>
        <v>85</v>
      </c>
      <c r="I79" s="12">
        <v>1</v>
      </c>
      <c r="J79" s="11">
        <f>LOOKUP(I79,{0,3,4,5,6,7,8,9,10,11,12,13,14,15,16,17},{0,10,20,30,40,50,60,64,68,72,76,80,85,90,95,100})</f>
        <v>0</v>
      </c>
      <c r="K79" s="12"/>
      <c r="L79" s="15"/>
      <c r="M79" s="12">
        <f t="shared" si="36"/>
        <v>0</v>
      </c>
      <c r="N79" s="12">
        <v>7.5</v>
      </c>
      <c r="O79" s="12">
        <f t="shared" si="37"/>
        <v>4.5</v>
      </c>
      <c r="P79" s="11">
        <f>LOOKUP(O79,{0,1.6,1.8,2,2.2,2.4,2.6,2.8,3,3.2,3.4,3.6,3.8,4,4.2,4.4,4.6,4.7,4.8,4.9,5},{0,10,20,30,40,50,60,62,64,66,68,70,72,74,76,78,80,85,90,95,100})</f>
        <v>78</v>
      </c>
      <c r="Q79" s="12">
        <v>3.32</v>
      </c>
      <c r="R79" s="12">
        <f t="shared" si="38"/>
        <v>6.68</v>
      </c>
      <c r="S79" s="11">
        <f>LOOKUP(R79,{0,3.8,4,4.6,4.8,5,5.6,5.65,5.7,5.75,5.8,5.85,5.9,5.95,6,6.45,6.5,6.58,6.65,6.7,6.75},{0,10,20,30,40,50,60,62,64,66,68,70,72,74,76,78,80,85,90,95,100})</f>
        <v>90</v>
      </c>
      <c r="T79" s="12"/>
      <c r="U79" s="12"/>
      <c r="V79" s="12">
        <f t="shared" si="39"/>
        <v>90</v>
      </c>
      <c r="W79" s="12"/>
      <c r="X79" s="20">
        <f t="shared" si="40"/>
        <v>50.1</v>
      </c>
      <c r="Y79" s="20">
        <f t="shared" si="41"/>
        <v>71.5714285714286</v>
      </c>
    </row>
    <row r="80" ht="15.6" hidden="1" outlineLevel="2" spans="1:25">
      <c r="A80" s="12">
        <v>203</v>
      </c>
      <c r="B80" s="12">
        <v>9</v>
      </c>
      <c r="C80" s="6" t="s">
        <v>121</v>
      </c>
      <c r="D80" s="6" t="s">
        <v>11</v>
      </c>
      <c r="E80" s="12">
        <v>10.5</v>
      </c>
      <c r="F80" s="11">
        <f>LOOKUP(E80,{0,-2.9,-1.9,-0.9,0.1,1.1,2.1,3.5,4.9,6.3,7.7,9.1,10.5,11.9,13.3,14.7,16.1,18.3,20.5,22.4,24.3},{0,10,20,30,40,50,60,62,64,66,68,70,72,74,76,78,80,85,90,95,100})</f>
        <v>72</v>
      </c>
      <c r="G80" s="12">
        <v>233</v>
      </c>
      <c r="H80" s="11">
        <f>LOOKUP(G80,{0,175,180,185,190,195,200,204,208,212,216,220,224,228,232,236,240,248,255,260,265},{0,10,20,30,40,50,60,62,64,66,68,70,72,74,76,78,80,85,90,95,100})</f>
        <v>76</v>
      </c>
      <c r="I80" s="12">
        <v>16</v>
      </c>
      <c r="J80" s="11">
        <f>LOOKUP(I80,{0,3,4,5,6,7,8,9,10,11,12,13,14,15,16,17},{0,10,20,30,40,50,60,64,68,72,76,80,85,90,95,100})</f>
        <v>95</v>
      </c>
      <c r="K80" s="12"/>
      <c r="L80" s="12"/>
      <c r="M80" s="12">
        <f t="shared" si="36"/>
        <v>95</v>
      </c>
      <c r="N80" s="12">
        <v>7</v>
      </c>
      <c r="O80" s="12">
        <f t="shared" si="37"/>
        <v>5</v>
      </c>
      <c r="P80" s="11">
        <f>LOOKUP(O80,{0,1.6,1.8,2,2.2,2.4,2.6,2.8,3,3.2,3.4,3.6,3.8,4,4.2,4.4,4.6,4.7,4.8,4.9,5},{0,10,20,30,40,50,60,62,64,66,68,70,72,74,76,78,80,85,90,95,100})</f>
        <v>100</v>
      </c>
      <c r="Q80" s="12">
        <v>3.38</v>
      </c>
      <c r="R80" s="12">
        <f t="shared" si="38"/>
        <v>6.62</v>
      </c>
      <c r="S80" s="11">
        <f>LOOKUP(R80,{0,3.8,4,4.6,4.8,5,5.6,5.65,5.7,5.75,5.8,5.85,5.9,5.95,6,6.45,6.5,6.58,6.65,6.7,6.75},{0,10,20,30,40,50,60,62,64,66,68,70,72,74,76,78,80,85,90,95,100})</f>
        <v>85</v>
      </c>
      <c r="T80" s="12"/>
      <c r="U80" s="12"/>
      <c r="V80" s="12">
        <f t="shared" si="39"/>
        <v>85</v>
      </c>
      <c r="W80" s="12"/>
      <c r="X80" s="20">
        <f t="shared" si="40"/>
        <v>61.3</v>
      </c>
      <c r="Y80" s="20">
        <f t="shared" si="41"/>
        <v>87.5714285714286</v>
      </c>
    </row>
    <row r="81" ht="15.6" hidden="1" outlineLevel="2" spans="1:25">
      <c r="A81" s="12">
        <v>203</v>
      </c>
      <c r="B81" s="12">
        <v>10</v>
      </c>
      <c r="C81" s="6" t="s">
        <v>122</v>
      </c>
      <c r="D81" s="6" t="s">
        <v>11</v>
      </c>
      <c r="E81" s="12">
        <v>17</v>
      </c>
      <c r="F81" s="11">
        <f>LOOKUP(E81,{0,-2.9,-1.9,-0.9,0.1,1.1,2.1,3.5,4.9,6.3,7.7,9.1,10.5,11.9,13.3,14.7,16.1,18.3,20.5,22.4,24.3},{0,10,20,30,40,50,60,62,64,66,68,70,72,74,76,78,80,85,90,95,100})</f>
        <v>80</v>
      </c>
      <c r="G81" s="12">
        <v>262</v>
      </c>
      <c r="H81" s="11">
        <f>LOOKUP(G81,{0,175,180,185,190,195,200,204,208,212,216,220,224,228,232,236,240,248,255,260,265},{0,10,20,30,40,50,60,62,64,66,68,70,72,74,76,78,80,85,90,95,100})</f>
        <v>95</v>
      </c>
      <c r="I81" s="12">
        <v>25</v>
      </c>
      <c r="J81" s="11">
        <f>LOOKUP(I81,{0,3,4,5,6,7,8,9,10,11,12,13,14,15,16,17},{0,10,20,30,40,50,60,64,68,72,76,80,85,90,95,100})</f>
        <v>100</v>
      </c>
      <c r="K81" s="12">
        <f>I81-17</f>
        <v>8</v>
      </c>
      <c r="L81" s="11">
        <f>LOOKUP(K81,{0,1,2,3,4,5,6,7,8,9,10},{0,1,2,3,4,5,6,7,8,9,10})</f>
        <v>8</v>
      </c>
      <c r="M81" s="12">
        <f t="shared" si="36"/>
        <v>108</v>
      </c>
      <c r="N81" s="12"/>
      <c r="O81" s="12"/>
      <c r="P81" s="11"/>
      <c r="Q81" s="12">
        <v>3.39</v>
      </c>
      <c r="R81" s="12">
        <f t="shared" si="38"/>
        <v>6.61</v>
      </c>
      <c r="S81" s="11">
        <f>LOOKUP(R81,{0,3.8,4,4.6,4.8,5,5.6,5.65,5.7,5.75,5.8,5.85,5.9,5.95,6,6.45,6.5,6.58,6.65,6.7,6.75},{0,10,20,30,40,50,60,62,64,66,68,70,72,74,76,78,80,85,90,95,100})</f>
        <v>85</v>
      </c>
      <c r="T81" s="12"/>
      <c r="U81" s="12"/>
      <c r="V81" s="12">
        <f t="shared" si="39"/>
        <v>85</v>
      </c>
      <c r="W81" s="12"/>
      <c r="X81" s="20">
        <f t="shared" si="40"/>
        <v>44.5</v>
      </c>
      <c r="Y81" s="20">
        <f t="shared" si="41"/>
        <v>71.5714285714286</v>
      </c>
    </row>
    <row r="82" ht="15.6" hidden="1" outlineLevel="2" spans="1:25">
      <c r="A82" s="12">
        <v>203</v>
      </c>
      <c r="B82" s="12">
        <v>11</v>
      </c>
      <c r="C82" s="6" t="s">
        <v>123</v>
      </c>
      <c r="D82" s="6" t="s">
        <v>11</v>
      </c>
      <c r="E82" s="12">
        <v>26</v>
      </c>
      <c r="F82" s="11">
        <f>LOOKUP(E82,{0,-2.9,-1.9,-0.9,0.1,1.1,2.1,3.5,4.9,6.3,7.7,9.1,10.5,11.9,13.3,14.7,16.1,18.3,20.5,22.4,24.3},{0,10,20,30,40,50,60,62,64,66,68,70,72,74,76,78,80,85,90,95,100})</f>
        <v>100</v>
      </c>
      <c r="G82" s="12">
        <v>273</v>
      </c>
      <c r="H82" s="11">
        <f>LOOKUP(G82,{0,175,180,185,190,195,200,204,208,212,216,220,224,228,232,236,240,248,255,260,265},{0,10,20,30,40,50,60,62,64,66,68,70,72,74,76,78,80,85,90,95,100})</f>
        <v>100</v>
      </c>
      <c r="I82" s="12">
        <v>27</v>
      </c>
      <c r="J82" s="11">
        <f>LOOKUP(I82,{0,3,4,5,6,7,8,9,10,11,12,13,14,15,16,17},{0,10,20,30,40,50,60,64,68,72,76,80,85,90,95,100})</f>
        <v>100</v>
      </c>
      <c r="K82" s="12">
        <f>I82-17</f>
        <v>10</v>
      </c>
      <c r="L82" s="11">
        <f>LOOKUP(K82,{0,1,2,3,4,5,6,7,8,9,10},{0,1,2,3,4,5,6,7,8,9,10})</f>
        <v>10</v>
      </c>
      <c r="M82" s="12">
        <f t="shared" si="36"/>
        <v>110</v>
      </c>
      <c r="N82" s="12">
        <v>6.7</v>
      </c>
      <c r="O82" s="12">
        <f t="shared" ref="O82:O88" si="43">12-N82</f>
        <v>5.3</v>
      </c>
      <c r="P82" s="11">
        <f>LOOKUP(O82,{0,1.6,1.8,2,2.2,2.4,2.6,2.8,3,3.2,3.4,3.6,3.8,4,4.2,4.4,4.6,4.7,4.8,4.9,5},{0,10,20,30,40,50,60,62,64,66,68,70,72,74,76,78,80,85,90,95,100})</f>
        <v>100</v>
      </c>
      <c r="Q82" s="12"/>
      <c r="R82" s="12"/>
      <c r="S82" s="11"/>
      <c r="T82" s="12"/>
      <c r="U82" s="11"/>
      <c r="V82" s="12"/>
      <c r="W82" s="12"/>
      <c r="X82" s="20">
        <f t="shared" si="40"/>
        <v>50</v>
      </c>
      <c r="Y82" s="20">
        <f t="shared" si="41"/>
        <v>81.4285714285714</v>
      </c>
    </row>
    <row r="83" ht="15.6" hidden="1" outlineLevel="2" spans="1:25">
      <c r="A83" s="12">
        <v>203</v>
      </c>
      <c r="B83" s="12">
        <v>12</v>
      </c>
      <c r="C83" s="13" t="s">
        <v>125</v>
      </c>
      <c r="D83" s="6" t="s">
        <v>11</v>
      </c>
      <c r="E83" s="12">
        <v>15.4</v>
      </c>
      <c r="F83" s="11">
        <f>LOOKUP(E83,{0,-2.9,-1.9,-0.9,0.1,1.1,2.1,3.5,4.9,6.3,7.7,9.1,10.5,11.9,13.3,14.7,16.1,18.3,20.5,22.4,24.3},{0,10,20,30,40,50,60,62,64,66,68,70,72,74,76,78,80,85,90,95,100})</f>
        <v>78</v>
      </c>
      <c r="G83" s="12">
        <v>253</v>
      </c>
      <c r="H83" s="11">
        <f>LOOKUP(G83,{0,175,180,185,190,195,200,204,208,212,216,220,224,228,232,236,240,248,255,260,265},{0,10,20,30,40,50,60,62,64,66,68,70,72,74,76,78,80,85,90,95,100})</f>
        <v>85</v>
      </c>
      <c r="I83" s="12">
        <v>5</v>
      </c>
      <c r="J83" s="11">
        <f>LOOKUP(I83,{0,3,4,5,6,7,8,9,10,11,12,13,14,15,16,17},{0,10,20,30,40,50,60,64,68,72,76,80,85,90,95,100})</f>
        <v>30</v>
      </c>
      <c r="K83" s="12"/>
      <c r="L83" s="15"/>
      <c r="M83" s="12">
        <f t="shared" si="36"/>
        <v>30</v>
      </c>
      <c r="N83" s="12">
        <v>6.6</v>
      </c>
      <c r="O83" s="12">
        <f t="shared" si="43"/>
        <v>5.4</v>
      </c>
      <c r="P83" s="11">
        <f>LOOKUP(O83,{0,1.6,1.8,2,2.2,2.4,2.6,2.8,3,3.2,3.4,3.6,3.8,4,4.2,4.4,4.6,4.7,4.8,4.9,5},{0,10,20,30,40,50,60,62,64,66,68,70,72,74,76,78,80,85,90,95,100})</f>
        <v>100</v>
      </c>
      <c r="Q83" s="12">
        <v>3.11</v>
      </c>
      <c r="R83" s="12">
        <f t="shared" ref="R83:R85" si="44">10-Q83</f>
        <v>6.89</v>
      </c>
      <c r="S83" s="11">
        <f>LOOKUP(R83,{0,3.8,4,4.6,4.8,5,5.6,5.65,5.7,5.75,5.8,5.85,5.9,5.95,6,6.45,6.5,6.58,6.65,6.7,6.75},{0,10,20,30,40,50,60,62,64,66,68,70,72,74,76,78,80,85,90,95,100})</f>
        <v>100</v>
      </c>
      <c r="T83" s="12">
        <f>3.25-Q83</f>
        <v>0.14</v>
      </c>
      <c r="U83" s="11">
        <f>LOOKUP(T83,{0,0.04,0.08,0.12,0.16,0.2,0.23,0.26,0.29,0.32,0.35},{0,1,2,3,4,5,6,7,8,9,10})</f>
        <v>3</v>
      </c>
      <c r="V83" s="12">
        <f t="shared" ref="V83:V85" si="45">S83+U83</f>
        <v>103</v>
      </c>
      <c r="W83" s="12"/>
      <c r="X83" s="20">
        <f t="shared" si="40"/>
        <v>59.3</v>
      </c>
      <c r="Y83" s="20">
        <f t="shared" si="41"/>
        <v>87.7142857142857</v>
      </c>
    </row>
    <row r="84" ht="15.6" hidden="1" outlineLevel="2" spans="1:25">
      <c r="A84" s="12">
        <v>203</v>
      </c>
      <c r="B84" s="12">
        <v>13</v>
      </c>
      <c r="C84" s="6" t="s">
        <v>126</v>
      </c>
      <c r="D84" s="6" t="s">
        <v>11</v>
      </c>
      <c r="E84" s="12">
        <v>10.5</v>
      </c>
      <c r="F84" s="11">
        <f>LOOKUP(E84,{0,-2.9,-1.9,-0.9,0.1,1.1,2.1,3.5,4.9,6.3,7.7,9.1,10.5,11.9,13.3,14.7,16.1,18.3,20.5,22.4,24.3},{0,10,20,30,40,50,60,62,64,66,68,70,72,74,76,78,80,85,90,95,100})</f>
        <v>72</v>
      </c>
      <c r="G84" s="12">
        <v>270</v>
      </c>
      <c r="H84" s="11">
        <f>LOOKUP(G84,{0,175,180,185,190,195,200,204,208,212,216,220,224,228,232,236,240,248,255,260,265},{0,10,20,30,40,50,60,62,64,66,68,70,72,74,76,78,80,85,90,95,100})</f>
        <v>100</v>
      </c>
      <c r="I84" s="12">
        <v>11</v>
      </c>
      <c r="J84" s="11">
        <f>LOOKUP(I84,{0,3,4,5,6,7,8,9,10,11,12,13,14,15,16,17},{0,10,20,30,40,50,60,64,68,72,76,80,85,90,95,100})</f>
        <v>72</v>
      </c>
      <c r="K84" s="12"/>
      <c r="L84" s="12"/>
      <c r="M84" s="12">
        <f t="shared" si="36"/>
        <v>72</v>
      </c>
      <c r="N84" s="12">
        <v>6.6</v>
      </c>
      <c r="O84" s="12">
        <f t="shared" si="43"/>
        <v>5.4</v>
      </c>
      <c r="P84" s="11">
        <f>LOOKUP(O84,{0,1.6,1.8,2,2.2,2.4,2.6,2.8,3,3.2,3.4,3.6,3.8,4,4.2,4.4,4.6,4.7,4.8,4.9,5},{0,10,20,30,40,50,60,62,64,66,68,70,72,74,76,78,80,85,90,95,100})</f>
        <v>100</v>
      </c>
      <c r="Q84" s="12">
        <v>3.39</v>
      </c>
      <c r="R84" s="12">
        <f t="shared" si="44"/>
        <v>6.61</v>
      </c>
      <c r="S84" s="11">
        <f>LOOKUP(R84,{0,3.8,4,4.6,4.8,5,5.6,5.65,5.7,5.75,5.8,5.85,5.9,5.95,6,6.45,6.5,6.58,6.65,6.7,6.75},{0,10,20,30,40,50,60,62,64,66,68,70,72,74,76,78,80,85,90,95,100})</f>
        <v>85</v>
      </c>
      <c r="T84" s="12"/>
      <c r="U84" s="12"/>
      <c r="V84" s="12">
        <f t="shared" si="45"/>
        <v>85</v>
      </c>
      <c r="W84" s="12"/>
      <c r="X84" s="20">
        <f t="shared" si="40"/>
        <v>61.4</v>
      </c>
      <c r="Y84" s="20">
        <f t="shared" si="41"/>
        <v>87.7142857142857</v>
      </c>
    </row>
    <row r="85" ht="15.6" hidden="1" outlineLevel="2" spans="1:25">
      <c r="A85" s="12">
        <v>203</v>
      </c>
      <c r="B85" s="12">
        <v>14</v>
      </c>
      <c r="C85" s="6" t="s">
        <v>127</v>
      </c>
      <c r="D85" s="6" t="s">
        <v>11</v>
      </c>
      <c r="E85" s="12">
        <v>17</v>
      </c>
      <c r="F85" s="11">
        <f>LOOKUP(E85,{0,-2.9,-1.9,-0.9,0.1,1.1,2.1,3.5,4.9,6.3,7.7,9.1,10.5,11.9,13.3,14.7,16.1,18.3,20.5,22.4,24.3},{0,10,20,30,40,50,60,62,64,66,68,70,72,74,76,78,80,85,90,95,100})</f>
        <v>80</v>
      </c>
      <c r="G85" s="12">
        <v>236</v>
      </c>
      <c r="H85" s="11">
        <f>LOOKUP(G85,{0,175,180,185,190,195,200,204,208,212,216,220,224,228,232,236,240,248,255,260,265},{0,10,20,30,40,50,60,62,64,66,68,70,72,74,76,78,80,85,90,95,100})</f>
        <v>78</v>
      </c>
      <c r="I85" s="12">
        <v>12</v>
      </c>
      <c r="J85" s="11">
        <f>LOOKUP(I85,{0,3,4,5,6,7,8,9,10,11,12,13,14,15,16,17},{0,10,20,30,40,50,60,64,68,72,76,80,85,90,95,100})</f>
        <v>76</v>
      </c>
      <c r="K85" s="12"/>
      <c r="L85" s="12"/>
      <c r="M85" s="12">
        <f t="shared" si="36"/>
        <v>76</v>
      </c>
      <c r="N85" s="12">
        <v>7.2</v>
      </c>
      <c r="O85" s="12">
        <f t="shared" si="43"/>
        <v>4.8</v>
      </c>
      <c r="P85" s="11">
        <f>LOOKUP(O85,{0,1.6,1.8,2,2.2,2.4,2.6,2.8,3,3.2,3.4,3.6,3.8,4,4.2,4.4,4.6,4.7,4.8,4.9,5},{0,10,20,30,40,50,60,62,64,66,68,70,72,74,76,78,80,85,90,95,100})</f>
        <v>90</v>
      </c>
      <c r="Q85" s="12">
        <v>3.4</v>
      </c>
      <c r="R85" s="12">
        <f t="shared" si="44"/>
        <v>6.6</v>
      </c>
      <c r="S85" s="11">
        <f>LOOKUP(R85,{0,3.8,4,4.6,4.8,5,5.6,5.65,5.7,5.75,5.8,5.85,5.9,5.95,6,6.45,6.5,6.58,6.65,6.7,6.75},{0,10,20,30,40,50,60,62,64,66,68,70,72,74,76,78,80,85,90,95,100})</f>
        <v>85</v>
      </c>
      <c r="T85" s="12"/>
      <c r="U85" s="12"/>
      <c r="V85" s="12">
        <f t="shared" si="45"/>
        <v>85</v>
      </c>
      <c r="W85" s="12"/>
      <c r="X85" s="20">
        <f t="shared" si="40"/>
        <v>58.4</v>
      </c>
      <c r="Y85" s="20">
        <f t="shared" si="41"/>
        <v>83.4285714285714</v>
      </c>
    </row>
    <row r="86" ht="15.6" hidden="1" outlineLevel="2" spans="1:25">
      <c r="A86" s="12">
        <v>203</v>
      </c>
      <c r="B86" s="12">
        <v>15</v>
      </c>
      <c r="C86" s="6" t="s">
        <v>128</v>
      </c>
      <c r="D86" s="6" t="s">
        <v>11</v>
      </c>
      <c r="E86" s="12">
        <v>12.6</v>
      </c>
      <c r="F86" s="11">
        <f>LOOKUP(E86,{0,-2.9,-1.9,-0.9,0.1,1.1,2.1,3.5,4.9,6.3,7.7,9.1,10.5,11.9,13.3,14.7,16.1,18.3,20.5,22.4,24.3},{0,10,20,30,40,50,60,62,64,66,68,70,72,74,76,78,80,85,90,95,100})</f>
        <v>74</v>
      </c>
      <c r="G86" s="12">
        <v>206</v>
      </c>
      <c r="H86" s="11">
        <f>LOOKUP(G86,{0,175,180,185,190,195,200,204,208,212,216,220,224,228,232,236,240,248,255,260,265},{0,10,20,30,40,50,60,62,64,66,68,70,72,74,76,78,80,85,90,95,100})</f>
        <v>62</v>
      </c>
      <c r="I86" s="12">
        <v>7</v>
      </c>
      <c r="J86" s="11">
        <f>LOOKUP(I86,{0,3,4,5,6,7,8,9,10,11,12,13,14,15,16,17},{0,10,20,30,40,50,60,64,68,72,76,80,85,90,95,100})</f>
        <v>50</v>
      </c>
      <c r="K86" s="12"/>
      <c r="L86" s="12"/>
      <c r="M86" s="12">
        <f t="shared" si="36"/>
        <v>50</v>
      </c>
      <c r="N86" s="12">
        <v>8.9</v>
      </c>
      <c r="O86" s="12">
        <f t="shared" si="43"/>
        <v>3.1</v>
      </c>
      <c r="P86" s="11">
        <f>LOOKUP(O86,{0,1.6,1.8,2,2.2,2.4,2.6,2.8,3,3.2,3.4,3.6,3.8,4,4.2,4.4,4.6,4.7,4.8,4.9,5},{0,10,20,30,40,50,60,62,64,66,68,70,72,74,76,78,80,85,90,95,100})</f>
        <v>64</v>
      </c>
      <c r="Q86" s="12"/>
      <c r="R86" s="12"/>
      <c r="S86" s="11"/>
      <c r="T86" s="12"/>
      <c r="U86" s="11"/>
      <c r="V86" s="12"/>
      <c r="W86" s="12" t="s">
        <v>14</v>
      </c>
      <c r="X86" s="20">
        <f t="shared" si="40"/>
        <v>31.4</v>
      </c>
      <c r="Y86" s="20">
        <v>50</v>
      </c>
    </row>
    <row r="87" ht="15.6" hidden="1" outlineLevel="2" spans="1:25">
      <c r="A87" s="12">
        <v>203</v>
      </c>
      <c r="B87" s="12">
        <v>16</v>
      </c>
      <c r="C87" s="6" t="s">
        <v>129</v>
      </c>
      <c r="D87" s="6" t="s">
        <v>11</v>
      </c>
      <c r="E87" s="12">
        <v>11.5</v>
      </c>
      <c r="F87" s="11">
        <f>LOOKUP(E87,{0,-2.9,-1.9,-0.9,0.1,1.1,2.1,3.5,4.9,6.3,7.7,9.1,10.5,11.9,13.3,14.7,16.1,18.3,20.5,22.4,24.3},{0,10,20,30,40,50,60,62,64,66,68,70,72,74,76,78,80,85,90,95,100})</f>
        <v>72</v>
      </c>
      <c r="G87" s="12">
        <v>275</v>
      </c>
      <c r="H87" s="11">
        <f>LOOKUP(G87,{0,175,180,185,190,195,200,204,208,212,216,220,224,228,232,236,240,248,255,260,265},{0,10,20,30,40,50,60,62,64,66,68,70,72,74,76,78,80,85,90,95,100})</f>
        <v>100</v>
      </c>
      <c r="I87" s="12">
        <v>2</v>
      </c>
      <c r="J87" s="11">
        <f>LOOKUP(I87,{0,3,4,5,6,7,8,9,10,11,12,13,14,15,16,17},{0,10,20,30,40,50,60,64,68,72,76,80,85,90,95,100})</f>
        <v>0</v>
      </c>
      <c r="K87" s="12"/>
      <c r="L87" s="15"/>
      <c r="M87" s="12">
        <f t="shared" si="36"/>
        <v>0</v>
      </c>
      <c r="N87" s="12">
        <v>6.3</v>
      </c>
      <c r="O87" s="12">
        <f t="shared" si="43"/>
        <v>5.7</v>
      </c>
      <c r="P87" s="11">
        <f>LOOKUP(O87,{0,1.6,1.8,2,2.2,2.4,2.6,2.8,3,3.2,3.4,3.6,3.8,4,4.2,4.4,4.6,4.7,4.8,4.9,5},{0,10,20,30,40,50,60,62,64,66,68,70,72,74,76,78,80,85,90,95,100})</f>
        <v>100</v>
      </c>
      <c r="Q87" s="12">
        <v>3.3</v>
      </c>
      <c r="R87" s="12">
        <f t="shared" ref="R87:R90" si="46">10-Q87</f>
        <v>6.7</v>
      </c>
      <c r="S87" s="11">
        <f>LOOKUP(R87,{0,3.8,4,4.6,4.8,5,5.6,5.65,5.7,5.75,5.8,5.85,5.9,5.95,6,6.45,6.5,6.58,6.65,6.7,6.75},{0,10,20,30,40,50,60,62,64,66,68,70,72,74,76,78,80,85,90,95,100})</f>
        <v>95</v>
      </c>
      <c r="T87" s="12"/>
      <c r="U87" s="12"/>
      <c r="V87" s="12">
        <f t="shared" ref="V87:V90" si="47">S87+U87</f>
        <v>95</v>
      </c>
      <c r="W87" s="12"/>
      <c r="X87" s="20">
        <f t="shared" si="40"/>
        <v>56.2</v>
      </c>
      <c r="Y87" s="20">
        <f t="shared" ref="Y87:Y90" si="48">X87/0.7+L87+U87</f>
        <v>80.2857142857143</v>
      </c>
    </row>
    <row r="88" s="1" customFormat="1" ht="15.6" hidden="1" outlineLevel="2" spans="1:25">
      <c r="A88" s="12">
        <v>203</v>
      </c>
      <c r="B88" s="12">
        <v>17</v>
      </c>
      <c r="C88" s="6" t="s">
        <v>130</v>
      </c>
      <c r="D88" s="6" t="s">
        <v>11</v>
      </c>
      <c r="E88" s="12">
        <v>7.5</v>
      </c>
      <c r="F88" s="11">
        <f>LOOKUP(E88,{0,-2.9,-1.9,-0.9,0.1,1.1,2.1,3.5,4.9,6.3,7.7,9.1,10.5,11.9,13.3,14.7,16.1,18.3,20.5,22.4,24.3},{0,10,20,30,40,50,60,62,64,66,68,70,72,74,76,78,80,85,90,95,100})</f>
        <v>66</v>
      </c>
      <c r="G88" s="12">
        <v>251</v>
      </c>
      <c r="H88" s="11">
        <f>LOOKUP(G88,{0,175,180,185,190,195,200,204,208,212,216,220,224,228,232,236,240,248,255,260,265},{0,10,20,30,40,50,60,62,64,66,68,70,72,74,76,78,80,85,90,95,100})</f>
        <v>85</v>
      </c>
      <c r="I88" s="12">
        <v>8</v>
      </c>
      <c r="J88" s="11">
        <f>LOOKUP(I88,{0,3,4,5,6,7,8,9,10,11,12,13,14,15,16,17},{0,10,20,30,40,50,60,64,68,72,76,80,85,90,95,100})</f>
        <v>60</v>
      </c>
      <c r="K88" s="12"/>
      <c r="L88" s="12"/>
      <c r="M88" s="12">
        <f t="shared" si="36"/>
        <v>60</v>
      </c>
      <c r="N88" s="12">
        <v>7.4</v>
      </c>
      <c r="O88" s="12">
        <f t="shared" si="43"/>
        <v>4.6</v>
      </c>
      <c r="P88" s="11">
        <f>LOOKUP(O88,{0,1.6,1.8,2,2.2,2.4,2.6,2.8,3,3.2,3.4,3.6,3.8,4,4.2,4.4,4.6,4.7,4.8,4.9,5},{0,10,20,30,40,50,60,62,64,66,68,70,72,74,76,78,80,85,90,95,100})</f>
        <v>80</v>
      </c>
      <c r="Q88" s="12">
        <v>3.43</v>
      </c>
      <c r="R88" s="12">
        <f t="shared" si="46"/>
        <v>6.57</v>
      </c>
      <c r="S88" s="11">
        <f>LOOKUP(R88,{0,3.8,4,4.6,4.8,5,5.6,5.65,5.7,5.75,5.8,5.85,5.9,5.95,6,6.45,6.5,6.58,6.65,6.7,6.75},{0,10,20,30,40,50,60,62,64,66,68,70,72,74,76,78,80,85,90,95,100})</f>
        <v>80</v>
      </c>
      <c r="T88" s="12"/>
      <c r="U88" s="12"/>
      <c r="V88" s="12">
        <f t="shared" si="47"/>
        <v>80</v>
      </c>
      <c r="W88" s="12"/>
      <c r="X88" s="20">
        <f t="shared" si="40"/>
        <v>53.1</v>
      </c>
      <c r="Y88" s="20">
        <f t="shared" si="48"/>
        <v>75.8571428571429</v>
      </c>
    </row>
    <row r="89" ht="15.6" hidden="1" outlineLevel="2" spans="1:25">
      <c r="A89" s="12">
        <v>203</v>
      </c>
      <c r="B89" s="12">
        <v>18</v>
      </c>
      <c r="C89" s="6" t="s">
        <v>131</v>
      </c>
      <c r="D89" s="6" t="s">
        <v>11</v>
      </c>
      <c r="E89" s="12"/>
      <c r="F89" s="11"/>
      <c r="G89" s="12"/>
      <c r="H89" s="11"/>
      <c r="I89" s="12"/>
      <c r="J89" s="11"/>
      <c r="K89" s="12"/>
      <c r="L89" s="12"/>
      <c r="M89" s="12"/>
      <c r="N89" s="12"/>
      <c r="O89" s="12"/>
      <c r="P89" s="11"/>
      <c r="Q89" s="12"/>
      <c r="R89" s="12"/>
      <c r="S89" s="11"/>
      <c r="T89" s="12"/>
      <c r="U89" s="11"/>
      <c r="V89" s="12"/>
      <c r="W89" s="12"/>
      <c r="X89" s="20">
        <f t="shared" si="40"/>
        <v>0</v>
      </c>
      <c r="Y89" s="23">
        <v>50</v>
      </c>
    </row>
    <row r="90" ht="15.6" hidden="1" outlineLevel="2" spans="1:25">
      <c r="A90" s="12">
        <v>203</v>
      </c>
      <c r="B90" s="12">
        <v>19</v>
      </c>
      <c r="C90" s="6" t="s">
        <v>132</v>
      </c>
      <c r="D90" s="6" t="s">
        <v>11</v>
      </c>
      <c r="E90" s="12">
        <v>5.4</v>
      </c>
      <c r="F90" s="11">
        <f>LOOKUP(E90,{0,-2.9,-1.9,-0.9,0.1,1.1,2.1,3.5,4.9,6.3,7.7,9.1,10.5,11.9,13.3,14.7,16.1,18.3,20.5,22.4,24.3},{0,10,20,30,40,50,60,62,64,66,68,70,72,74,76,78,80,85,90,95,100})</f>
        <v>64</v>
      </c>
      <c r="G90" s="12">
        <v>246</v>
      </c>
      <c r="H90" s="11">
        <f>LOOKUP(G90,{0,175,180,185,190,195,200,204,208,212,216,220,224,228,232,236,240,248,255,260,265},{0,10,20,30,40,50,60,62,64,66,68,70,72,74,76,78,80,85,90,95,100})</f>
        <v>80</v>
      </c>
      <c r="I90" s="12">
        <v>16</v>
      </c>
      <c r="J90" s="11">
        <f>LOOKUP(I90,{0,3,4,5,6,7,8,9,10,11,12,13,14,15,16,17},{0,10,20,30,40,50,60,64,68,72,76,80,85,90,95,100})</f>
        <v>95</v>
      </c>
      <c r="K90" s="12"/>
      <c r="L90" s="12"/>
      <c r="M90" s="12">
        <f t="shared" ref="M90:M98" si="49">J90+L90</f>
        <v>95</v>
      </c>
      <c r="N90" s="12">
        <v>7.3</v>
      </c>
      <c r="O90" s="12">
        <f t="shared" ref="O90:O98" si="50">12-N90</f>
        <v>4.7</v>
      </c>
      <c r="P90" s="11">
        <f>LOOKUP(O90,{0,1.6,1.8,2,2.2,2.4,2.6,2.8,3,3.2,3.4,3.6,3.8,4,4.2,4.4,4.6,4.7,4.8,4.9,5},{0,10,20,30,40,50,60,62,64,66,68,70,72,74,76,78,80,85,90,95,100})</f>
        <v>85</v>
      </c>
      <c r="Q90" s="12">
        <v>3.46</v>
      </c>
      <c r="R90" s="12">
        <f t="shared" si="46"/>
        <v>6.54</v>
      </c>
      <c r="S90" s="11">
        <f>LOOKUP(R90,{0,3.8,4,4.6,4.8,5,5.6,5.65,5.7,5.75,5.8,5.85,5.9,5.95,6,6.45,6.5,6.58,6.65,6.7,6.75},{0,10,20,30,40,50,60,62,64,66,68,70,72,74,76,78,80,85,90,95,100})</f>
        <v>80</v>
      </c>
      <c r="T90" s="12"/>
      <c r="U90" s="12"/>
      <c r="V90" s="12">
        <f t="shared" si="47"/>
        <v>80</v>
      </c>
      <c r="W90" s="12"/>
      <c r="X90" s="20">
        <f t="shared" si="40"/>
        <v>56.9</v>
      </c>
      <c r="Y90" s="20">
        <f t="shared" si="48"/>
        <v>81.2857142857143</v>
      </c>
    </row>
    <row r="91" ht="15.6" hidden="1" outlineLevel="2" spans="1:25">
      <c r="A91" s="12">
        <v>203</v>
      </c>
      <c r="B91" s="12">
        <v>20</v>
      </c>
      <c r="C91" s="6" t="s">
        <v>133</v>
      </c>
      <c r="D91" s="6" t="s">
        <v>11</v>
      </c>
      <c r="E91" s="12"/>
      <c r="F91" s="11"/>
      <c r="G91" s="12"/>
      <c r="H91" s="11"/>
      <c r="I91" s="12"/>
      <c r="J91" s="11"/>
      <c r="K91" s="12"/>
      <c r="L91" s="12"/>
      <c r="M91" s="12"/>
      <c r="N91" s="12"/>
      <c r="O91" s="12"/>
      <c r="P91" s="11"/>
      <c r="Q91" s="12"/>
      <c r="R91" s="12"/>
      <c r="S91" s="11"/>
      <c r="T91" s="12"/>
      <c r="U91" s="11"/>
      <c r="V91" s="12"/>
      <c r="W91" s="12" t="s">
        <v>89</v>
      </c>
      <c r="X91" s="20">
        <f t="shared" si="40"/>
        <v>0</v>
      </c>
      <c r="Y91" s="20">
        <v>50</v>
      </c>
    </row>
    <row r="92" ht="15.6" hidden="1" outlineLevel="2" spans="1:25">
      <c r="A92" s="12">
        <v>203</v>
      </c>
      <c r="B92" s="12">
        <v>21</v>
      </c>
      <c r="C92" s="6" t="s">
        <v>134</v>
      </c>
      <c r="D92" s="6" t="s">
        <v>11</v>
      </c>
      <c r="E92" s="12">
        <v>9.1</v>
      </c>
      <c r="F92" s="11">
        <f>LOOKUP(E92,{0,-2.9,-1.9,-0.9,0.1,1.1,2.1,3.5,4.9,6.3,7.7,9.1,10.5,11.9,13.3,14.7,16.1,18.3,20.5,22.4,24.3},{0,10,20,30,40,50,60,62,64,66,68,70,72,74,76,78,80,85,90,95,100})</f>
        <v>70</v>
      </c>
      <c r="G92" s="12">
        <v>208</v>
      </c>
      <c r="H92" s="11">
        <f>LOOKUP(G92,{0,175,180,185,190,195,200,204,208,212,216,220,224,228,232,236,240,248,255,260,265},{0,10,20,30,40,50,60,62,64,66,68,70,72,74,76,78,80,85,90,95,100})</f>
        <v>64</v>
      </c>
      <c r="I92" s="12">
        <v>7</v>
      </c>
      <c r="J92" s="11">
        <f>LOOKUP(I92,{0,3,4,5,6,7,8,9,10,11,12,13,14,15,16,17},{0,10,20,30,40,50,60,64,68,72,76,80,85,90,95,100})</f>
        <v>50</v>
      </c>
      <c r="K92" s="12"/>
      <c r="L92" s="12"/>
      <c r="M92" s="12">
        <f t="shared" si="49"/>
        <v>50</v>
      </c>
      <c r="N92" s="12">
        <v>7.4</v>
      </c>
      <c r="O92" s="12">
        <f t="shared" si="50"/>
        <v>4.6</v>
      </c>
      <c r="P92" s="11">
        <f>LOOKUP(O92,{0,1.6,1.8,2,2.2,2.4,2.6,2.8,3,3.2,3.4,3.6,3.8,4,4.2,4.4,4.6,4.7,4.8,4.9,5},{0,10,20,30,40,50,60,62,64,66,68,70,72,74,76,78,80,85,90,95,100})</f>
        <v>80</v>
      </c>
      <c r="Q92" s="12">
        <v>3.25</v>
      </c>
      <c r="R92" s="12">
        <f t="shared" ref="R92:R94" si="51">10-Q92</f>
        <v>6.75</v>
      </c>
      <c r="S92" s="11">
        <f>LOOKUP(R92,{0,3.8,4,4.6,4.8,5,5.6,5.65,5.7,5.75,5.8,5.85,5.9,5.95,6,6.45,6.5,6.58,6.65,6.7,6.75},{0,10,20,30,40,50,60,62,64,66,68,70,72,74,76,78,80,85,90,95,100})</f>
        <v>100</v>
      </c>
      <c r="T92" s="12">
        <f>3.25-Q92</f>
        <v>0</v>
      </c>
      <c r="U92" s="11">
        <f>LOOKUP(T92,{0,0.04,0.08,0.12,0.16,0.2,0.23,0.26,0.29,0.32,0.35},{0,1,2,3,4,5,6,7,8,9,10})</f>
        <v>0</v>
      </c>
      <c r="V92" s="12">
        <f t="shared" ref="V92:V94" si="52">S92+U92</f>
        <v>100</v>
      </c>
      <c r="W92" s="12"/>
      <c r="X92" s="20">
        <f t="shared" si="40"/>
        <v>54.4</v>
      </c>
      <c r="Y92" s="20">
        <f t="shared" ref="Y92:Y94" si="53">X92/0.7+L92+U92</f>
        <v>77.7142857142857</v>
      </c>
    </row>
    <row r="93" ht="15.6" hidden="1" outlineLevel="2" spans="1:25">
      <c r="A93" s="12">
        <v>203</v>
      </c>
      <c r="B93" s="12">
        <v>22</v>
      </c>
      <c r="C93" s="6" t="s">
        <v>135</v>
      </c>
      <c r="D93" s="6" t="s">
        <v>11</v>
      </c>
      <c r="E93" s="12">
        <v>4</v>
      </c>
      <c r="F93" s="11">
        <f>LOOKUP(E93,{0,-2.9,-1.9,-0.9,0.1,1.1,2.1,3.5,4.9,6.3,7.7,9.1,10.5,11.9,13.3,14.7,16.1,18.3,20.5,22.4,24.3},{0,10,20,30,40,50,60,62,64,66,68,70,72,74,76,78,80,85,90,95,100})</f>
        <v>62</v>
      </c>
      <c r="G93" s="12">
        <v>201</v>
      </c>
      <c r="H93" s="11">
        <f>LOOKUP(G93,{0,175,180,185,190,195,200,204,208,212,216,220,224,228,232,236,240,248,255,260,265},{0,10,20,30,40,50,60,62,64,66,68,70,72,74,76,78,80,85,90,95,100})</f>
        <v>60</v>
      </c>
      <c r="I93" s="12">
        <v>6</v>
      </c>
      <c r="J93" s="11">
        <f>LOOKUP(I93,{0,3,4,5,6,7,8,9,10,11,12,13,14,15,16,17},{0,10,20,30,40,50,60,64,68,72,76,80,85,90,95,100})</f>
        <v>40</v>
      </c>
      <c r="K93" s="12"/>
      <c r="L93" s="15"/>
      <c r="M93" s="12">
        <f t="shared" si="49"/>
        <v>40</v>
      </c>
      <c r="N93" s="12">
        <v>7.9</v>
      </c>
      <c r="O93" s="12">
        <f t="shared" si="50"/>
        <v>4.1</v>
      </c>
      <c r="P93" s="11">
        <f>LOOKUP(O93,{0,1.6,1.8,2,2.2,2.4,2.6,2.8,3,3.2,3.4,3.6,3.8,4,4.2,4.4,4.6,4.7,4.8,4.9,5},{0,10,20,30,40,50,60,62,64,66,68,70,72,74,76,78,80,85,90,95,100})</f>
        <v>74</v>
      </c>
      <c r="Q93" s="12">
        <v>4.09</v>
      </c>
      <c r="R93" s="12">
        <f t="shared" si="51"/>
        <v>5.91</v>
      </c>
      <c r="S93" s="11">
        <f>LOOKUP(R93,{0,3.8,4,4.6,4.8,5,5.6,5.65,5.7,5.75,5.8,5.85,5.9,5.95,6,6.45,6.5,6.58,6.65,6.7,6.75},{0,10,20,30,40,50,60,62,64,66,68,70,72,74,76,78,80,85,90,95,100})</f>
        <v>72</v>
      </c>
      <c r="T93" s="12"/>
      <c r="U93" s="12"/>
      <c r="V93" s="12">
        <f t="shared" si="52"/>
        <v>72</v>
      </c>
      <c r="W93" s="12"/>
      <c r="X93" s="20">
        <f t="shared" si="40"/>
        <v>45.4</v>
      </c>
      <c r="Y93" s="20">
        <f t="shared" si="53"/>
        <v>64.8571428571429</v>
      </c>
    </row>
    <row r="94" ht="15.6" hidden="1" outlineLevel="2" spans="1:25">
      <c r="A94" s="12">
        <v>203</v>
      </c>
      <c r="B94" s="12">
        <v>23</v>
      </c>
      <c r="C94" s="13" t="s">
        <v>137</v>
      </c>
      <c r="D94" s="6" t="s">
        <v>11</v>
      </c>
      <c r="E94" s="12">
        <v>18</v>
      </c>
      <c r="F94" s="11">
        <f>LOOKUP(E94,{0,-2.9,-1.9,-0.9,0.1,1.1,2.1,3.5,4.9,6.3,7.7,9.1,10.5,11.9,13.3,14.7,16.1,18.3,20.5,22.4,24.3},{0,10,20,30,40,50,60,62,64,66,68,70,72,74,76,78,80,85,90,95,100})</f>
        <v>80</v>
      </c>
      <c r="G94" s="12">
        <v>240</v>
      </c>
      <c r="H94" s="11">
        <f>LOOKUP(G94,{0,175,180,185,190,195,200,204,208,212,216,220,224,228,232,236,240,248,255,260,265},{0,10,20,30,40,50,60,62,64,66,68,70,72,74,76,78,80,85,90,95,100})</f>
        <v>80</v>
      </c>
      <c r="I94" s="12">
        <v>17</v>
      </c>
      <c r="J94" s="11">
        <f>LOOKUP(I94,{0,3,4,5,6,7,8,9,10,11,12,13,14,15,16,17},{0,10,20,30,40,50,60,64,68,72,76,80,85,90,95,100})</f>
        <v>100</v>
      </c>
      <c r="K94" s="12">
        <f>I94-17</f>
        <v>0</v>
      </c>
      <c r="L94" s="16">
        <f>LOOKUP(K94,{0,1,2,3,4,5,6,7,8,9,10},{0,1,2,3,4,5,6,7,8,9,10})</f>
        <v>0</v>
      </c>
      <c r="M94" s="12">
        <f t="shared" si="49"/>
        <v>100</v>
      </c>
      <c r="N94" s="12">
        <v>6.7</v>
      </c>
      <c r="O94" s="12">
        <f t="shared" si="50"/>
        <v>5.3</v>
      </c>
      <c r="P94" s="11">
        <f>LOOKUP(O94,{0,1.6,1.8,2,2.2,2.4,2.6,2.8,3,3.2,3.4,3.6,3.8,4,4.2,4.4,4.6,4.7,4.8,4.9,5},{0,10,20,30,40,50,60,62,64,66,68,70,72,74,76,78,80,85,90,95,100})</f>
        <v>100</v>
      </c>
      <c r="Q94" s="12">
        <v>3.26</v>
      </c>
      <c r="R94" s="12">
        <f t="shared" si="51"/>
        <v>6.74</v>
      </c>
      <c r="S94" s="11">
        <f>LOOKUP(R94,{0,3.8,4,4.6,4.8,5,5.6,5.65,5.7,5.75,5.8,5.85,5.9,5.95,6,6.45,6.5,6.58,6.65,6.7,6.75},{0,10,20,30,40,50,60,62,64,66,68,70,72,74,76,78,80,85,90,95,100})</f>
        <v>95</v>
      </c>
      <c r="T94" s="12"/>
      <c r="U94" s="12"/>
      <c r="V94" s="12">
        <f t="shared" si="52"/>
        <v>95</v>
      </c>
      <c r="W94" s="12"/>
      <c r="X94" s="20">
        <f t="shared" si="40"/>
        <v>65</v>
      </c>
      <c r="Y94" s="20">
        <f t="shared" si="53"/>
        <v>92.8571428571429</v>
      </c>
    </row>
    <row r="95" ht="15.6" hidden="1" outlineLevel="2" spans="1:25">
      <c r="A95" s="12">
        <v>203</v>
      </c>
      <c r="B95" s="12">
        <v>24</v>
      </c>
      <c r="C95" s="6" t="s">
        <v>138</v>
      </c>
      <c r="D95" s="6" t="s">
        <v>11</v>
      </c>
      <c r="E95" s="12">
        <v>24</v>
      </c>
      <c r="F95" s="11">
        <f>LOOKUP(E95,{0,-2.9,-1.9,-0.9,0.1,1.1,2.1,3.5,4.9,6.3,7.7,9.1,10.5,11.9,13.3,14.7,16.1,18.3,20.5,22.4,24.3},{0,10,20,30,40,50,60,62,64,66,68,70,72,74,76,78,80,85,90,95,100})</f>
        <v>95</v>
      </c>
      <c r="G95" s="12">
        <v>208</v>
      </c>
      <c r="H95" s="11">
        <f>LOOKUP(G95,{0,175,180,185,190,195,200,204,208,212,216,220,224,228,232,236,240,248,255,260,265},{0,10,20,30,40,50,60,62,64,66,68,70,72,74,76,78,80,85,90,95,100})</f>
        <v>64</v>
      </c>
      <c r="I95" s="12">
        <v>0</v>
      </c>
      <c r="J95" s="11">
        <f>LOOKUP(I95,{0,3,4,5,6,7,8,9,10,11,12,13,14,15,16,17},{0,10,20,30,40,50,60,64,68,72,76,80,85,90,95,100})</f>
        <v>0</v>
      </c>
      <c r="K95" s="12"/>
      <c r="L95" s="12"/>
      <c r="M95" s="12">
        <f t="shared" si="49"/>
        <v>0</v>
      </c>
      <c r="N95" s="12">
        <v>7.6</v>
      </c>
      <c r="O95" s="12">
        <f t="shared" si="50"/>
        <v>4.4</v>
      </c>
      <c r="P95" s="11">
        <f>LOOKUP(O95,{0,1.6,1.8,2,2.2,2.4,2.6,2.8,3,3.2,3.4,3.6,3.8,4,4.2,4.4,4.6,4.7,4.8,4.9,5},{0,10,20,30,40,50,60,62,64,66,68,70,72,74,76,78,80,85,90,95,100})</f>
        <v>78</v>
      </c>
      <c r="Q95" s="12"/>
      <c r="R95" s="12"/>
      <c r="S95" s="11"/>
      <c r="T95" s="12"/>
      <c r="U95" s="11"/>
      <c r="V95" s="12"/>
      <c r="W95" s="12"/>
      <c r="X95" s="20">
        <f t="shared" si="40"/>
        <v>31.5</v>
      </c>
      <c r="Y95" s="23">
        <v>50</v>
      </c>
    </row>
    <row r="96" ht="15.6" hidden="1" outlineLevel="2" spans="1:25">
      <c r="A96" s="12">
        <v>203</v>
      </c>
      <c r="B96" s="12">
        <v>25</v>
      </c>
      <c r="C96" s="6" t="s">
        <v>139</v>
      </c>
      <c r="D96" s="6" t="s">
        <v>11</v>
      </c>
      <c r="E96" s="12">
        <v>22.5</v>
      </c>
      <c r="F96" s="11">
        <f>LOOKUP(E96,{0,-2.9,-1.9,-0.9,0.1,1.1,2.1,3.5,4.9,6.3,7.7,9.1,10.5,11.9,13.3,14.7,16.1,18.3,20.5,22.4,24.3},{0,10,20,30,40,50,60,62,64,66,68,70,72,74,76,78,80,85,90,95,100})</f>
        <v>95</v>
      </c>
      <c r="G96" s="12">
        <v>250</v>
      </c>
      <c r="H96" s="11">
        <f>LOOKUP(G96,{0,175,180,185,190,195,200,204,208,212,216,220,224,228,232,236,240,248,255,260,265},{0,10,20,30,40,50,60,62,64,66,68,70,72,74,76,78,80,85,90,95,100})</f>
        <v>85</v>
      </c>
      <c r="I96" s="12">
        <v>3</v>
      </c>
      <c r="J96" s="11">
        <f>LOOKUP(I96,{0,3,4,5,6,7,8,9,10,11,12,13,14,15,16,17},{0,10,20,30,40,50,60,64,68,72,76,80,85,90,95,100})</f>
        <v>10</v>
      </c>
      <c r="K96" s="12"/>
      <c r="L96" s="12"/>
      <c r="M96" s="12">
        <f t="shared" si="49"/>
        <v>10</v>
      </c>
      <c r="N96" s="12">
        <v>7.1</v>
      </c>
      <c r="O96" s="12">
        <f t="shared" si="50"/>
        <v>4.9</v>
      </c>
      <c r="P96" s="11">
        <f>LOOKUP(O96,{0,1.6,1.8,2,2.2,2.4,2.6,2.8,3,3.2,3.4,3.6,3.8,4,4.2,4.4,4.6,4.7,4.8,4.9,5},{0,10,20,30,40,50,60,62,64,66,68,70,72,74,76,78,80,85,90,95,100})</f>
        <v>95</v>
      </c>
      <c r="Q96" s="12">
        <v>3.35</v>
      </c>
      <c r="R96" s="12">
        <f t="shared" ref="R96:R98" si="54">10-Q96</f>
        <v>6.65</v>
      </c>
      <c r="S96" s="11">
        <f>LOOKUP(R96,{0,3.8,4,4.6,4.8,5,5.6,5.65,5.7,5.75,5.8,5.85,5.9,5.95,6,6.45,6.5,6.58,6.65,6.7,6.75},{0,10,20,30,40,50,60,62,64,66,68,70,72,74,76,78,80,85,90,95,100})</f>
        <v>90</v>
      </c>
      <c r="T96" s="12"/>
      <c r="U96" s="12"/>
      <c r="V96" s="12">
        <f t="shared" ref="V96:V98" si="55">S96+U96</f>
        <v>90</v>
      </c>
      <c r="W96" s="12"/>
      <c r="X96" s="20">
        <f t="shared" si="40"/>
        <v>56</v>
      </c>
      <c r="Y96" s="20">
        <f t="shared" ref="Y96:Y98" si="56">X96/0.7+L96+U96</f>
        <v>80</v>
      </c>
    </row>
    <row r="97" ht="15.6" hidden="1" outlineLevel="2" spans="1:25">
      <c r="A97" s="12">
        <v>203</v>
      </c>
      <c r="B97" s="12">
        <v>26</v>
      </c>
      <c r="C97" s="6" t="s">
        <v>140</v>
      </c>
      <c r="D97" s="6" t="s">
        <v>11</v>
      </c>
      <c r="E97" s="12">
        <v>6</v>
      </c>
      <c r="F97" s="11">
        <f>LOOKUP(E97,{0,-2.9,-1.9,-0.9,0.1,1.1,2.1,3.5,4.9,6.3,7.7,9.1,10.5,11.9,13.3,14.7,16.1,18.3,20.5,22.4,24.3},{0,10,20,30,40,50,60,62,64,66,68,70,72,74,76,78,80,85,90,95,100})</f>
        <v>64</v>
      </c>
      <c r="G97" s="12">
        <v>190</v>
      </c>
      <c r="H97" s="11">
        <f>LOOKUP(G97,{0,175,180,185,190,195,200,204,208,212,216,220,224,228,232,236,240,248,255,260,265},{0,10,20,30,40,50,60,62,64,66,68,70,72,74,76,78,80,85,90,95,100})</f>
        <v>40</v>
      </c>
      <c r="I97" s="12">
        <v>0</v>
      </c>
      <c r="J97" s="11">
        <f>LOOKUP(I97,{0,3,4,5,6,7,8,9,10,11,12,13,14,15,16,17},{0,10,20,30,40,50,60,64,68,72,76,80,85,90,95,100})</f>
        <v>0</v>
      </c>
      <c r="K97" s="12"/>
      <c r="L97" s="12"/>
      <c r="M97" s="12">
        <f t="shared" si="49"/>
        <v>0</v>
      </c>
      <c r="N97" s="12">
        <v>7.8</v>
      </c>
      <c r="O97" s="12">
        <f t="shared" si="50"/>
        <v>4.2</v>
      </c>
      <c r="P97" s="11">
        <f>LOOKUP(O97,{0,1.6,1.8,2,2.2,2.4,2.6,2.8,3,3.2,3.4,3.6,3.8,4,4.2,4.4,4.6,4.7,4.8,4.9,5},{0,10,20,30,40,50,60,62,64,66,68,70,72,74,76,78,80,85,90,95,100})</f>
        <v>76</v>
      </c>
      <c r="Q97" s="12">
        <v>3.34</v>
      </c>
      <c r="R97" s="12">
        <f t="shared" si="54"/>
        <v>6.66</v>
      </c>
      <c r="S97" s="11">
        <f>LOOKUP(R97,{0,3.8,4,4.6,4.8,5,5.6,5.65,5.7,5.75,5.8,5.85,5.9,5.95,6,6.45,6.5,6.58,6.65,6.7,6.75},{0,10,20,30,40,50,60,62,64,66,68,70,72,74,76,78,80,85,90,95,100})</f>
        <v>90</v>
      </c>
      <c r="T97" s="12"/>
      <c r="U97" s="12"/>
      <c r="V97" s="12">
        <f t="shared" si="55"/>
        <v>90</v>
      </c>
      <c r="W97" s="12"/>
      <c r="X97" s="20">
        <f t="shared" si="40"/>
        <v>43.6</v>
      </c>
      <c r="Y97" s="20">
        <f t="shared" si="56"/>
        <v>62.2857142857143</v>
      </c>
    </row>
    <row r="98" ht="15.6" hidden="1" outlineLevel="2" spans="1:25">
      <c r="A98" s="12">
        <v>203</v>
      </c>
      <c r="B98" s="12">
        <v>27</v>
      </c>
      <c r="C98" s="6" t="s">
        <v>141</v>
      </c>
      <c r="D98" s="6" t="s">
        <v>11</v>
      </c>
      <c r="E98" s="12">
        <v>24</v>
      </c>
      <c r="F98" s="11">
        <f>LOOKUP(E98,{0,-2.9,-1.9,-0.9,0.1,1.1,2.1,3.5,4.9,6.3,7.7,9.1,10.5,11.9,13.3,14.7,16.1,18.3,20.5,22.4,24.3},{0,10,20,30,40,50,60,62,64,66,68,70,72,74,76,78,80,85,90,95,100})</f>
        <v>95</v>
      </c>
      <c r="G98" s="12">
        <v>285</v>
      </c>
      <c r="H98" s="11">
        <f>LOOKUP(G98,{0,175,180,185,190,195,200,204,208,212,216,220,224,228,232,236,240,248,255,260,265},{0,10,20,30,40,50,60,62,64,66,68,70,72,74,76,78,80,85,90,95,100})</f>
        <v>100</v>
      </c>
      <c r="I98" s="12">
        <v>18</v>
      </c>
      <c r="J98" s="11">
        <f>LOOKUP(I98,{0,3,4,5,6,7,8,9,10,11,12,13,14,15,16,17},{0,10,20,30,40,50,60,64,68,72,76,80,85,90,95,100})</f>
        <v>100</v>
      </c>
      <c r="K98" s="12">
        <f>I98-17</f>
        <v>1</v>
      </c>
      <c r="L98" s="11">
        <f>LOOKUP(K98,{0,1,2,3,4,5,6,7,8,9,10},{0,1,2,3,4,5,6,7,8,9,10})</f>
        <v>1</v>
      </c>
      <c r="M98" s="12">
        <f t="shared" si="49"/>
        <v>101</v>
      </c>
      <c r="N98" s="12">
        <v>6.6</v>
      </c>
      <c r="O98" s="12">
        <f t="shared" si="50"/>
        <v>5.4</v>
      </c>
      <c r="P98" s="11">
        <f>LOOKUP(O98,{0,1.6,1.8,2,2.2,2.4,2.6,2.8,3,3.2,3.4,3.6,3.8,4,4.2,4.4,4.6,4.7,4.8,4.9,5},{0,10,20,30,40,50,60,62,64,66,68,70,72,74,76,78,80,85,90,95,100})</f>
        <v>100</v>
      </c>
      <c r="Q98" s="12">
        <v>3.17</v>
      </c>
      <c r="R98" s="12">
        <f t="shared" si="54"/>
        <v>6.83</v>
      </c>
      <c r="S98" s="11">
        <f>LOOKUP(R98,{0,3.8,4,4.6,4.8,5,5.6,5.65,5.7,5.75,5.8,5.85,5.9,5.95,6,6.45,6.5,6.58,6.65,6.7,6.75},{0,10,20,30,40,50,60,62,64,66,68,70,72,74,76,78,80,85,90,95,100})</f>
        <v>100</v>
      </c>
      <c r="T98" s="12">
        <f>3.25-Q98</f>
        <v>0.0800000000000001</v>
      </c>
      <c r="U98" s="11">
        <f>LOOKUP(T98,{0,0.04,0.08,0.12,0.16,0.2,0.23,0.26,0.29,0.32,0.35},{0,1,2,3,4,5,6,7,8,9,10})</f>
        <v>2</v>
      </c>
      <c r="V98" s="12">
        <f t="shared" si="55"/>
        <v>102</v>
      </c>
      <c r="W98" s="12"/>
      <c r="X98" s="20">
        <f t="shared" si="40"/>
        <v>69.5</v>
      </c>
      <c r="Y98" s="20">
        <f t="shared" si="56"/>
        <v>102.285714285714</v>
      </c>
    </row>
    <row r="99" ht="15.6" hidden="1" outlineLevel="2" spans="1:25">
      <c r="A99" s="12">
        <v>203</v>
      </c>
      <c r="B99" s="12">
        <v>28</v>
      </c>
      <c r="C99" s="6" t="s">
        <v>142</v>
      </c>
      <c r="D99" s="6" t="s">
        <v>11</v>
      </c>
      <c r="E99" s="12"/>
      <c r="F99" s="11"/>
      <c r="G99" s="12"/>
      <c r="H99" s="11"/>
      <c r="I99" s="12"/>
      <c r="J99" s="11"/>
      <c r="K99" s="12"/>
      <c r="L99" s="12"/>
      <c r="M99" s="12"/>
      <c r="N99" s="12"/>
      <c r="O99" s="12"/>
      <c r="P99" s="11"/>
      <c r="Q99" s="12"/>
      <c r="R99" s="12"/>
      <c r="S99" s="11"/>
      <c r="T99" s="12"/>
      <c r="U99" s="11"/>
      <c r="V99" s="12"/>
      <c r="W99" s="12" t="s">
        <v>16</v>
      </c>
      <c r="X99" s="20">
        <f t="shared" si="40"/>
        <v>0</v>
      </c>
      <c r="Y99" s="20">
        <v>50</v>
      </c>
    </row>
    <row r="100" customFormat="1" ht="15.6" hidden="1" outlineLevel="2" spans="1:25">
      <c r="A100" s="12">
        <v>203</v>
      </c>
      <c r="B100" s="12">
        <v>29</v>
      </c>
      <c r="C100" s="6" t="s">
        <v>143</v>
      </c>
      <c r="D100" s="6" t="s">
        <v>11</v>
      </c>
      <c r="E100" s="12">
        <v>7</v>
      </c>
      <c r="F100" s="11">
        <f>LOOKUP(E100,{0,-2.9,-1.9,-0.9,0.1,1.1,2.1,3.5,4.9,6.3,7.7,9.1,10.5,11.9,13.3,14.7,16.1,18.3,20.5,22.4,24.3},{0,10,20,30,40,50,60,62,64,66,68,70,72,74,76,78,80,85,90,95,100})</f>
        <v>66</v>
      </c>
      <c r="G100" s="12">
        <v>257</v>
      </c>
      <c r="H100" s="11">
        <f>LOOKUP(G100,{0,175,180,185,190,195,200,204,208,212,216,220,224,228,232,236,240,248,255,260,265},{0,10,20,30,40,50,60,62,64,66,68,70,72,74,76,78,80,85,90,95,100})</f>
        <v>90</v>
      </c>
      <c r="I100" s="12">
        <v>23</v>
      </c>
      <c r="J100" s="11">
        <f>LOOKUP(I100,{0,3,4,5,6,7,8,9,10,11,12,13,14,15,16,17},{0,10,20,30,40,50,60,64,68,72,76,80,85,90,95,100})</f>
        <v>100</v>
      </c>
      <c r="K100" s="12">
        <f>I100-17</f>
        <v>6</v>
      </c>
      <c r="L100" s="16">
        <f>LOOKUP(K100,{0,1,2,3,4,5,6,7,8,9,10},{0,1,2,3,4,5,6,7,8,9,10})</f>
        <v>6</v>
      </c>
      <c r="M100" s="12">
        <f t="shared" ref="M100:M104" si="57">J100+L100</f>
        <v>106</v>
      </c>
      <c r="N100" s="12">
        <v>7.5</v>
      </c>
      <c r="O100" s="12">
        <f t="shared" ref="O100:O104" si="58">12-N100</f>
        <v>4.5</v>
      </c>
      <c r="P100" s="11">
        <f>LOOKUP(O100,{0,1.6,1.8,2,2.2,2.4,2.6,2.8,3,3.2,3.4,3.6,3.8,4,4.2,4.4,4.6,4.7,4.8,4.9,5},{0,10,20,30,40,50,60,62,64,66,68,70,72,74,76,78,80,85,90,95,100})</f>
        <v>78</v>
      </c>
      <c r="Q100" s="12">
        <v>3.33</v>
      </c>
      <c r="R100" s="12">
        <f t="shared" ref="R100:R104" si="59">10-Q100</f>
        <v>6.67</v>
      </c>
      <c r="S100" s="11">
        <f>LOOKUP(R100,{0,3.8,4,4.6,4.8,5,5.6,5.65,5.7,5.75,5.8,5.85,5.9,5.95,6,6.45,6.5,6.58,6.65,6.7,6.75},{0,10,20,30,40,50,60,62,64,66,68,70,72,74,76,78,80,85,90,95,100})</f>
        <v>90</v>
      </c>
      <c r="T100" s="12"/>
      <c r="U100" s="12"/>
      <c r="V100" s="12">
        <f t="shared" ref="V100:V104" si="60">S100+U100</f>
        <v>90</v>
      </c>
      <c r="W100" s="12"/>
      <c r="X100" s="20">
        <f t="shared" si="40"/>
        <v>59.2</v>
      </c>
      <c r="Y100" s="20">
        <f t="shared" ref="Y100:Y104" si="61">X100/0.7+L100+U100</f>
        <v>90.5714285714286</v>
      </c>
    </row>
    <row r="101" customFormat="1" ht="15.6" hidden="1" outlineLevel="2" spans="1:25">
      <c r="A101" s="12">
        <v>203</v>
      </c>
      <c r="B101" s="12">
        <v>30</v>
      </c>
      <c r="C101" s="6" t="s">
        <v>144</v>
      </c>
      <c r="D101" s="6" t="s">
        <v>11</v>
      </c>
      <c r="E101" s="12">
        <v>11</v>
      </c>
      <c r="F101" s="11">
        <f>LOOKUP(E101,{0,-2.9,-1.9,-0.9,0.1,1.1,2.1,3.5,4.9,6.3,7.7,9.1,10.5,11.9,13.3,14.7,16.1,18.3,20.5,22.4,24.3},{0,10,20,30,40,50,60,62,64,66,68,70,72,74,76,78,80,85,90,95,100})</f>
        <v>72</v>
      </c>
      <c r="G101" s="12">
        <v>195</v>
      </c>
      <c r="H101" s="11">
        <f>LOOKUP(G101,{0,175,180,185,190,195,200,204,208,212,216,220,224,228,232,236,240,248,255,260,265},{0,10,20,30,40,50,60,62,64,66,68,70,72,74,76,78,80,85,90,95,100})</f>
        <v>50</v>
      </c>
      <c r="I101" s="12">
        <v>3</v>
      </c>
      <c r="J101" s="11">
        <f>LOOKUP(I101,{0,3,4,5,6,7,8,9,10,11,12,13,14,15,16,17},{0,10,20,30,40,50,60,64,68,72,76,80,85,90,95,100})</f>
        <v>10</v>
      </c>
      <c r="K101" s="12"/>
      <c r="L101" s="12"/>
      <c r="M101" s="12">
        <f t="shared" si="57"/>
        <v>10</v>
      </c>
      <c r="N101" s="12">
        <v>7.5</v>
      </c>
      <c r="O101" s="12">
        <f t="shared" si="58"/>
        <v>4.5</v>
      </c>
      <c r="P101" s="11">
        <f>LOOKUP(O101,{0,1.6,1.8,2,2.2,2.4,2.6,2.8,3,3.2,3.4,3.6,3.8,4,4.2,4.4,4.6,4.7,4.8,4.9,5},{0,10,20,30,40,50,60,62,64,66,68,70,72,74,76,78,80,85,90,95,100})</f>
        <v>78</v>
      </c>
      <c r="Q101" s="12">
        <v>4.09</v>
      </c>
      <c r="R101" s="12">
        <f t="shared" si="59"/>
        <v>5.91</v>
      </c>
      <c r="S101" s="11">
        <f>LOOKUP(R101,{0,3.8,4,4.6,4.8,5,5.6,5.65,5.7,5.75,5.8,5.85,5.9,5.95,6,6.45,6.5,6.58,6.65,6.7,6.75},{0,10,20,30,40,50,60,62,64,66,68,70,72,74,76,78,80,85,90,95,100})</f>
        <v>72</v>
      </c>
      <c r="T101" s="12"/>
      <c r="U101" s="12"/>
      <c r="V101" s="12">
        <f t="shared" si="60"/>
        <v>72</v>
      </c>
      <c r="W101" s="12"/>
      <c r="X101" s="20">
        <f t="shared" si="40"/>
        <v>43.2</v>
      </c>
      <c r="Y101" s="20">
        <f t="shared" si="61"/>
        <v>61.7142857142857</v>
      </c>
    </row>
    <row r="102" customFormat="1" ht="15.6" hidden="1" outlineLevel="2" spans="1:25">
      <c r="A102" s="12">
        <v>203</v>
      </c>
      <c r="B102" s="12">
        <v>31</v>
      </c>
      <c r="C102" s="6" t="s">
        <v>145</v>
      </c>
      <c r="D102" s="6" t="s">
        <v>11</v>
      </c>
      <c r="E102" s="12">
        <v>16</v>
      </c>
      <c r="F102" s="11">
        <f>LOOKUP(E102,{0,-2.9,-1.9,-0.9,0.1,1.1,2.1,3.5,4.9,6.3,7.7,9.1,10.5,11.9,13.3,14.7,16.1,18.3,20.5,22.4,24.3},{0,10,20,30,40,50,60,62,64,66,68,70,72,74,76,78,80,85,90,95,100})</f>
        <v>78</v>
      </c>
      <c r="G102" s="12">
        <v>195</v>
      </c>
      <c r="H102" s="11">
        <f>LOOKUP(G102,{0,175,180,185,190,195,200,204,208,212,216,220,224,228,232,236,240,248,255,260,265},{0,10,20,30,40,50,60,62,64,66,68,70,72,74,76,78,80,85,90,95,100})</f>
        <v>50</v>
      </c>
      <c r="I102" s="12">
        <v>2</v>
      </c>
      <c r="J102" s="11">
        <f>LOOKUP(I102,{0,3,4,5,6,7,8,9,10,11,12,13,14,15,16,17},{0,10,20,30,40,50,60,64,68,72,76,80,85,90,95,100})</f>
        <v>0</v>
      </c>
      <c r="K102" s="12"/>
      <c r="L102" s="12"/>
      <c r="M102" s="12">
        <f t="shared" si="57"/>
        <v>0</v>
      </c>
      <c r="N102" s="12" t="s">
        <v>146</v>
      </c>
      <c r="O102" s="12" t="e">
        <f t="shared" si="58"/>
        <v>#VALUE!</v>
      </c>
      <c r="P102" s="11"/>
      <c r="Q102" s="12">
        <v>3.39</v>
      </c>
      <c r="R102" s="12">
        <f t="shared" si="59"/>
        <v>6.61</v>
      </c>
      <c r="S102" s="11">
        <f>LOOKUP(R102,{0,3.8,4,4.6,4.8,5,5.6,5.65,5.7,5.75,5.8,5.85,5.9,5.95,6,6.45,6.5,6.58,6.65,6.7,6.75},{0,10,20,30,40,50,60,62,64,66,68,70,72,74,76,78,80,85,90,95,100})</f>
        <v>85</v>
      </c>
      <c r="T102" s="12"/>
      <c r="U102" s="12"/>
      <c r="V102" s="12">
        <f t="shared" si="60"/>
        <v>85</v>
      </c>
      <c r="W102" s="12"/>
      <c r="X102" s="20">
        <f t="shared" si="40"/>
        <v>29.8</v>
      </c>
      <c r="Y102" s="23">
        <v>50</v>
      </c>
    </row>
    <row r="103" customFormat="1" ht="15.6" hidden="1" outlineLevel="2" spans="1:25">
      <c r="A103" s="12">
        <v>203</v>
      </c>
      <c r="B103" s="12">
        <v>32</v>
      </c>
      <c r="C103" s="6" t="s">
        <v>147</v>
      </c>
      <c r="D103" s="6" t="s">
        <v>11</v>
      </c>
      <c r="E103" s="12">
        <v>6</v>
      </c>
      <c r="F103" s="11">
        <f>LOOKUP(E103,{0,-2.9,-1.9,-0.9,0.1,1.1,2.1,3.5,4.9,6.3,7.7,9.1,10.5,11.9,13.3,14.7,16.1,18.3,20.5,22.4,24.3},{0,10,20,30,40,50,60,62,64,66,68,70,72,74,76,78,80,85,90,95,100})</f>
        <v>64</v>
      </c>
      <c r="G103" s="12">
        <v>245</v>
      </c>
      <c r="H103" s="11">
        <f>LOOKUP(G103,{0,175,180,185,190,195,200,204,208,212,216,220,224,228,232,236,240,248,255,260,265},{0,10,20,30,40,50,60,62,64,66,68,70,72,74,76,78,80,85,90,95,100})</f>
        <v>80</v>
      </c>
      <c r="I103" s="12">
        <v>7</v>
      </c>
      <c r="J103" s="11">
        <f>LOOKUP(I103,{0,3,4,5,6,7,8,9,10,11,12,13,14,15,16,17},{0,10,20,30,40,50,60,64,68,72,76,80,85,90,95,100})</f>
        <v>50</v>
      </c>
      <c r="K103" s="12"/>
      <c r="L103" s="12"/>
      <c r="M103" s="12">
        <f t="shared" si="57"/>
        <v>50</v>
      </c>
      <c r="N103" s="12">
        <v>6.5</v>
      </c>
      <c r="O103" s="12">
        <f t="shared" si="58"/>
        <v>5.5</v>
      </c>
      <c r="P103" s="11">
        <f>LOOKUP(O103,{0,1.6,1.8,2,2.2,2.4,2.6,2.8,3,3.2,3.4,3.6,3.8,4,4.2,4.4,4.6,4.7,4.8,4.9,5},{0,10,20,30,40,50,60,62,64,66,68,70,72,74,76,78,80,85,90,95,100})</f>
        <v>100</v>
      </c>
      <c r="Q103" s="12">
        <v>3.19</v>
      </c>
      <c r="R103" s="12">
        <f t="shared" si="59"/>
        <v>6.81</v>
      </c>
      <c r="S103" s="11">
        <f>LOOKUP(R103,{0,3.8,4,4.6,4.8,5,5.6,5.65,5.7,5.75,5.8,5.85,5.9,5.95,6,6.45,6.5,6.58,6.65,6.7,6.75},{0,10,20,30,40,50,60,62,64,66,68,70,72,74,76,78,80,85,90,95,100})</f>
        <v>100</v>
      </c>
      <c r="T103" s="12">
        <f>3.25-Q103</f>
        <v>0.0600000000000001</v>
      </c>
      <c r="U103" s="11">
        <f>LOOKUP(T103,{0,0.04,0.08,0.12,0.16,0.2,0.23,0.26,0.29,0.32,0.35},{0,1,2,3,4,5,6,7,8,9,10})</f>
        <v>1</v>
      </c>
      <c r="V103" s="12">
        <f t="shared" si="60"/>
        <v>101</v>
      </c>
      <c r="W103" s="12"/>
      <c r="X103" s="20">
        <f t="shared" si="40"/>
        <v>59.4</v>
      </c>
      <c r="Y103" s="20">
        <f t="shared" si="61"/>
        <v>85.8571428571429</v>
      </c>
    </row>
    <row r="104" customFormat="1" ht="15.6" hidden="1" outlineLevel="2" spans="1:25">
      <c r="A104" s="12">
        <v>203</v>
      </c>
      <c r="B104" s="12">
        <v>33</v>
      </c>
      <c r="C104" s="6" t="s">
        <v>148</v>
      </c>
      <c r="D104" s="6" t="s">
        <v>11</v>
      </c>
      <c r="E104" s="12">
        <v>17</v>
      </c>
      <c r="F104" s="11">
        <f>LOOKUP(E104,{0,-2.9,-1.9,-0.9,0.1,1.1,2.1,3.5,4.9,6.3,7.7,9.1,10.5,11.9,13.3,14.7,16.1,18.3,20.5,22.4,24.3},{0,10,20,30,40,50,60,62,64,66,68,70,72,74,76,78,80,85,90,95,100})</f>
        <v>80</v>
      </c>
      <c r="G104" s="12">
        <v>250</v>
      </c>
      <c r="H104" s="11">
        <f>LOOKUP(G104,{0,175,180,185,190,195,200,204,208,212,216,220,224,228,232,236,240,248,255,260,265},{0,10,20,30,40,50,60,62,64,66,68,70,72,74,76,78,80,85,90,95,100})</f>
        <v>85</v>
      </c>
      <c r="I104" s="12">
        <v>17</v>
      </c>
      <c r="J104" s="11">
        <f>LOOKUP(I104,{0,3,4,5,6,7,8,9,10,11,12,13,14,15,16,17},{0,10,20,30,40,50,60,64,68,72,76,80,85,90,95,100})</f>
        <v>100</v>
      </c>
      <c r="K104" s="12">
        <f>I104-17</f>
        <v>0</v>
      </c>
      <c r="L104" s="11">
        <f>LOOKUP(K104,{0,1,2,3,4,5,6,7,8,9,10},{0,1,2,3,4,5,6,7,8,9,10})</f>
        <v>0</v>
      </c>
      <c r="M104" s="12">
        <f t="shared" si="57"/>
        <v>100</v>
      </c>
      <c r="N104" s="12">
        <v>7.5</v>
      </c>
      <c r="O104" s="12">
        <f t="shared" si="58"/>
        <v>4.5</v>
      </c>
      <c r="P104" s="11">
        <f>LOOKUP(O104,{0,1.6,1.8,2,2.2,2.4,2.6,2.8,3,3.2,3.4,3.6,3.8,4,4.2,4.4,4.6,4.7,4.8,4.9,5},{0,10,20,30,40,50,60,62,64,66,68,70,72,74,76,78,80,85,90,95,100})</f>
        <v>78</v>
      </c>
      <c r="Q104" s="12">
        <v>3.26</v>
      </c>
      <c r="R104" s="12">
        <f t="shared" si="59"/>
        <v>6.74</v>
      </c>
      <c r="S104" s="11">
        <f>LOOKUP(R104,{0,3.8,4,4.6,4.8,5,5.6,5.65,5.7,5.75,5.8,5.85,5.9,5.95,6,6.45,6.5,6.58,6.65,6.7,6.75},{0,10,20,30,40,50,60,62,64,66,68,70,72,74,76,78,80,85,90,95,100})</f>
        <v>95</v>
      </c>
      <c r="T104" s="12"/>
      <c r="U104" s="12"/>
      <c r="V104" s="12">
        <f t="shared" si="60"/>
        <v>95</v>
      </c>
      <c r="W104" s="12"/>
      <c r="X104" s="20">
        <f t="shared" si="40"/>
        <v>61.1</v>
      </c>
      <c r="Y104" s="20">
        <f t="shared" si="61"/>
        <v>87.2857142857143</v>
      </c>
    </row>
    <row r="105" ht="15.6" outlineLevel="1" collapsed="1" spans="1:25">
      <c r="A105" s="14" t="s">
        <v>857</v>
      </c>
      <c r="B105" s="12"/>
      <c r="C105" s="6"/>
      <c r="D105" s="6"/>
      <c r="E105" s="12"/>
      <c r="F105" s="11">
        <f>SUBTOTAL(1,F72:F104)</f>
        <v>77.7</v>
      </c>
      <c r="G105" s="12"/>
      <c r="H105" s="11">
        <f>SUBTOTAL(1,H72:H104)</f>
        <v>80.4</v>
      </c>
      <c r="I105" s="12"/>
      <c r="J105" s="11">
        <f>SUBTOTAL(1,J72:J104)</f>
        <v>58.0666666666667</v>
      </c>
      <c r="K105" s="12"/>
      <c r="L105" s="11"/>
      <c r="M105" s="12">
        <f>SUBTOTAL(1,M72:M104)</f>
        <v>59.3666666666667</v>
      </c>
      <c r="N105" s="12"/>
      <c r="O105" s="12"/>
      <c r="P105" s="11">
        <f>SUBTOTAL(1,P72:P104)</f>
        <v>87.2857142857143</v>
      </c>
      <c r="Q105" s="12"/>
      <c r="R105" s="12"/>
      <c r="S105" s="11">
        <f>SUBTOTAL(1,S72:S104)</f>
        <v>89.3703703703704</v>
      </c>
      <c r="T105" s="12"/>
      <c r="U105" s="12"/>
      <c r="V105" s="12">
        <f>SUBTOTAL(1,V72:V104)</f>
        <v>89.7037037037037</v>
      </c>
      <c r="W105" s="12"/>
      <c r="X105" s="20">
        <f>SUBTOTAL(1,X72:X104)</f>
        <v>49.0878787878788</v>
      </c>
      <c r="Y105" s="20">
        <f>SUBTOTAL(1,Y72:Y104)</f>
        <v>76.6580086580087</v>
      </c>
    </row>
    <row r="106" ht="15.6" hidden="1" outlineLevel="2" spans="1:25">
      <c r="A106" s="12">
        <v>204</v>
      </c>
      <c r="B106" s="12">
        <v>1</v>
      </c>
      <c r="C106" s="13" t="s">
        <v>161</v>
      </c>
      <c r="D106" s="6" t="s">
        <v>11</v>
      </c>
      <c r="E106" s="12">
        <v>14.5</v>
      </c>
      <c r="F106" s="11">
        <f>LOOKUP(E106,{0,-2.9,-1.9,-0.9,0.1,1.1,2.1,3.5,4.9,6.3,7.7,9.1,10.5,11.9,13.3,14.7,16.1,18.3,20.5,22.4,24.3},{0,10,20,30,40,50,60,62,64,66,68,70,72,74,76,78,80,85,90,95,100})</f>
        <v>76</v>
      </c>
      <c r="G106" s="12">
        <v>231</v>
      </c>
      <c r="H106" s="11">
        <f>LOOKUP(G106,{0,175,180,185,190,195,200,204,208,212,216,220,224,228,232,236,240,248,255,260,265},{0,10,20,30,40,50,60,62,64,66,68,70,72,74,76,78,80,85,90,95,100})</f>
        <v>74</v>
      </c>
      <c r="I106" s="12">
        <v>1</v>
      </c>
      <c r="J106" s="11">
        <f>LOOKUP(I106,{0,3,4,5,6,7,8,9,10,11,12,13,14,15,16,17},{0,10,20,30,40,50,60,64,68,72,76,80,85,90,95,100})</f>
        <v>0</v>
      </c>
      <c r="K106" s="12"/>
      <c r="L106" s="12"/>
      <c r="M106" s="12">
        <f t="shared" ref="M106:M112" si="62">J106+L106</f>
        <v>0</v>
      </c>
      <c r="N106" s="12">
        <v>7.7</v>
      </c>
      <c r="O106" s="12">
        <f t="shared" ref="O106:O112" si="63">12-N106</f>
        <v>4.3</v>
      </c>
      <c r="P106" s="11">
        <f>LOOKUP(O106,{0,1.6,1.8,2,2.2,2.4,2.6,2.8,3,3.2,3.4,3.6,3.8,4,4.2,4.4,4.6,4.7,4.8,4.9,5},{0,10,20,30,40,50,60,62,64,66,68,70,72,74,76,78,80,85,90,95,100})</f>
        <v>76</v>
      </c>
      <c r="Q106" s="12">
        <v>3.56</v>
      </c>
      <c r="R106" s="12">
        <f t="shared" ref="R106:R112" si="64">10-Q106</f>
        <v>6.44</v>
      </c>
      <c r="S106" s="11">
        <f>LOOKUP(R106,{0,3.8,4,4.6,4.8,5,5.6,5.65,5.7,5.75,5.8,5.85,5.9,5.95,6,6.45,6.5,6.58,6.65,6.7,6.75},{0,10,20,30,40,50,60,62,64,66,68,70,72,74,76,78,80,85,90,95,100})</f>
        <v>76</v>
      </c>
      <c r="T106" s="12"/>
      <c r="U106" s="12"/>
      <c r="V106" s="12">
        <f t="shared" ref="V106:V112" si="65">S106+U106</f>
        <v>76</v>
      </c>
      <c r="W106" s="12"/>
      <c r="X106" s="20">
        <f t="shared" ref="X106:X112" si="66">F106*0.1+H106*0.1+J106*0.1+P106*0.2+S106*0.2</f>
        <v>45.4</v>
      </c>
      <c r="Y106" s="20">
        <f t="shared" ref="Y106:Y112" si="67">X106/0.7+L106+U106</f>
        <v>64.8571428571429</v>
      </c>
    </row>
    <row r="107" ht="15.6" hidden="1" outlineLevel="2" spans="1:25">
      <c r="A107" s="12">
        <v>204</v>
      </c>
      <c r="B107" s="12">
        <v>2</v>
      </c>
      <c r="C107" s="6" t="s">
        <v>162</v>
      </c>
      <c r="D107" s="6" t="s">
        <v>11</v>
      </c>
      <c r="E107" s="12">
        <v>7.6</v>
      </c>
      <c r="F107" s="11">
        <f>LOOKUP(E107,{0,-2.9,-1.9,-0.9,0.1,1.1,2.1,3.5,4.9,6.3,7.7,9.1,10.5,11.9,13.3,14.7,16.1,18.3,20.5,22.4,24.3},{0,10,20,30,40,50,60,62,64,66,68,70,72,74,76,78,80,85,90,95,100})</f>
        <v>66</v>
      </c>
      <c r="G107" s="12">
        <v>242</v>
      </c>
      <c r="H107" s="11">
        <f>LOOKUP(G107,{0,175,180,185,190,195,200,204,208,212,216,220,224,228,232,236,240,248,255,260,265},{0,10,20,30,40,50,60,62,64,66,68,70,72,74,76,78,80,85,90,95,100})</f>
        <v>80</v>
      </c>
      <c r="I107" s="12">
        <v>3</v>
      </c>
      <c r="J107" s="11">
        <f>LOOKUP(I107,{0,3,4,5,6,7,8,9,10,11,12,13,14,15,16,17},{0,10,20,30,40,50,60,64,68,72,76,80,85,90,95,100})</f>
        <v>10</v>
      </c>
      <c r="K107" s="12"/>
      <c r="L107" s="12"/>
      <c r="M107" s="12">
        <f t="shared" si="62"/>
        <v>10</v>
      </c>
      <c r="N107" s="12">
        <v>7.3</v>
      </c>
      <c r="O107" s="12">
        <f t="shared" si="63"/>
        <v>4.7</v>
      </c>
      <c r="P107" s="11">
        <f>LOOKUP(O107,{0,1.6,1.8,2,2.2,2.4,2.6,2.8,3,3.2,3.4,3.6,3.8,4,4.2,4.4,4.6,4.7,4.8,4.9,5},{0,10,20,30,40,50,60,62,64,66,68,70,72,74,76,78,80,85,90,95,100})</f>
        <v>85</v>
      </c>
      <c r="Q107" s="12">
        <v>3.42</v>
      </c>
      <c r="R107" s="12">
        <f t="shared" si="64"/>
        <v>6.58</v>
      </c>
      <c r="S107" s="11">
        <f>LOOKUP(R107,{0,3.8,4,4.6,4.8,5,5.6,5.65,5.7,5.75,5.8,5.85,5.9,5.95,6,6.45,6.5,6.58,6.65,6.7,6.75},{0,10,20,30,40,50,60,62,64,66,68,70,72,74,76,78,80,85,90,95,100})</f>
        <v>85</v>
      </c>
      <c r="T107" s="12"/>
      <c r="U107" s="12"/>
      <c r="V107" s="12">
        <f t="shared" si="65"/>
        <v>85</v>
      </c>
      <c r="W107" s="12"/>
      <c r="X107" s="20">
        <f t="shared" si="66"/>
        <v>49.6</v>
      </c>
      <c r="Y107" s="20">
        <f t="shared" si="67"/>
        <v>70.8571428571429</v>
      </c>
    </row>
    <row r="108" ht="15.6" hidden="1" outlineLevel="2" spans="1:25">
      <c r="A108" s="12">
        <v>204</v>
      </c>
      <c r="B108" s="12">
        <v>3</v>
      </c>
      <c r="C108" s="6" t="s">
        <v>163</v>
      </c>
      <c r="D108" s="6" t="s">
        <v>11</v>
      </c>
      <c r="E108" s="12">
        <v>17.6</v>
      </c>
      <c r="F108" s="11">
        <f>LOOKUP(E108,{0,-2.9,-1.9,-0.9,0.1,1.1,2.1,3.5,4.9,6.3,7.7,9.1,10.5,11.9,13.3,14.7,16.1,18.3,20.5,22.4,24.3},{0,10,20,30,40,50,60,62,64,66,68,70,72,74,76,78,80,85,90,95,100})</f>
        <v>80</v>
      </c>
      <c r="G108" s="12">
        <v>262</v>
      </c>
      <c r="H108" s="11">
        <f>LOOKUP(G108,{0,175,180,185,190,195,200,204,208,212,216,220,224,228,232,236,240,248,255,260,265},{0,10,20,30,40,50,60,62,64,66,68,70,72,74,76,78,80,85,90,95,100})</f>
        <v>95</v>
      </c>
      <c r="I108" s="12">
        <v>14</v>
      </c>
      <c r="J108" s="11">
        <f>LOOKUP(I108,{0,3,4,5,6,7,8,9,10,11,12,13,14,15,16,17},{0,10,20,30,40,50,60,64,68,72,76,80,85,90,95,100})</f>
        <v>85</v>
      </c>
      <c r="K108" s="12"/>
      <c r="L108" s="12"/>
      <c r="M108" s="12">
        <f t="shared" si="62"/>
        <v>85</v>
      </c>
      <c r="N108" s="12">
        <v>7.3</v>
      </c>
      <c r="O108" s="12">
        <f t="shared" si="63"/>
        <v>4.7</v>
      </c>
      <c r="P108" s="11">
        <f>LOOKUP(O108,{0,1.6,1.8,2,2.2,2.4,2.6,2.8,3,3.2,3.4,3.6,3.8,4,4.2,4.4,4.6,4.7,4.8,4.9,5},{0,10,20,30,40,50,60,62,64,66,68,70,72,74,76,78,80,85,90,95,100})</f>
        <v>85</v>
      </c>
      <c r="Q108" s="12">
        <v>3.34</v>
      </c>
      <c r="R108" s="12">
        <f t="shared" si="64"/>
        <v>6.66</v>
      </c>
      <c r="S108" s="11">
        <f>LOOKUP(R108,{0,3.8,4,4.6,4.8,5,5.6,5.65,5.7,5.75,5.8,5.85,5.9,5.95,6,6.45,6.5,6.58,6.65,6.7,6.75},{0,10,20,30,40,50,60,62,64,66,68,70,72,74,76,78,80,85,90,95,100})</f>
        <v>90</v>
      </c>
      <c r="T108" s="12"/>
      <c r="U108" s="12"/>
      <c r="V108" s="12">
        <f t="shared" si="65"/>
        <v>90</v>
      </c>
      <c r="W108" s="12"/>
      <c r="X108" s="20">
        <f t="shared" si="66"/>
        <v>61</v>
      </c>
      <c r="Y108" s="20">
        <f t="shared" si="67"/>
        <v>87.1428571428572</v>
      </c>
    </row>
    <row r="109" ht="15.6" hidden="1" outlineLevel="2" spans="1:25">
      <c r="A109" s="12">
        <v>204</v>
      </c>
      <c r="B109" s="12">
        <v>4</v>
      </c>
      <c r="C109" s="6" t="s">
        <v>164</v>
      </c>
      <c r="D109" s="6" t="s">
        <v>11</v>
      </c>
      <c r="E109" s="12">
        <v>26</v>
      </c>
      <c r="F109" s="11">
        <f>LOOKUP(E109,{0,-2.9,-1.9,-0.9,0.1,1.1,2.1,3.5,4.9,6.3,7.7,9.1,10.5,11.9,13.3,14.7,16.1,18.3,20.5,22.4,24.3},{0,10,20,30,40,50,60,62,64,66,68,70,72,74,76,78,80,85,90,95,100})</f>
        <v>100</v>
      </c>
      <c r="G109" s="12">
        <v>251</v>
      </c>
      <c r="H109" s="11">
        <f>LOOKUP(G109,{0,175,180,185,190,195,200,204,208,212,216,220,224,228,232,236,240,248,255,260,265},{0,10,20,30,40,50,60,62,64,66,68,70,72,74,76,78,80,85,90,95,100})</f>
        <v>85</v>
      </c>
      <c r="I109" s="12">
        <v>19</v>
      </c>
      <c r="J109" s="11">
        <f>LOOKUP(I109,{0,3,4,5,6,7,8,9,10,11,12,13,14,15,16,17},{0,10,20,30,40,50,60,64,68,72,76,80,85,90,95,100})</f>
        <v>100</v>
      </c>
      <c r="K109" s="12">
        <f>I109-17</f>
        <v>2</v>
      </c>
      <c r="L109" s="11">
        <f>LOOKUP(K109,{0,1,2,3,4,5,6,7,8,9,10},{0,1,2,3,4,5,6,7,8,9,10})</f>
        <v>2</v>
      </c>
      <c r="M109" s="12">
        <f t="shared" si="62"/>
        <v>102</v>
      </c>
      <c r="N109" s="12">
        <v>7.4</v>
      </c>
      <c r="O109" s="12">
        <f t="shared" si="63"/>
        <v>4.6</v>
      </c>
      <c r="P109" s="11">
        <f>LOOKUP(O109,{0,1.6,1.8,2,2.2,2.4,2.6,2.8,3,3.2,3.4,3.6,3.8,4,4.2,4.4,4.6,4.7,4.8,4.9,5},{0,10,20,30,40,50,60,62,64,66,68,70,72,74,76,78,80,85,90,95,100})</f>
        <v>80</v>
      </c>
      <c r="Q109" s="12">
        <v>3.39</v>
      </c>
      <c r="R109" s="12">
        <f t="shared" si="64"/>
        <v>6.61</v>
      </c>
      <c r="S109" s="11">
        <f>LOOKUP(R109,{0,3.8,4,4.6,4.8,5,5.6,5.65,5.7,5.75,5.8,5.85,5.9,5.95,6,6.45,6.5,6.58,6.65,6.7,6.75},{0,10,20,30,40,50,60,62,64,66,68,70,72,74,76,78,80,85,90,95,100})</f>
        <v>85</v>
      </c>
      <c r="T109" s="12"/>
      <c r="U109" s="12"/>
      <c r="V109" s="12">
        <f t="shared" si="65"/>
        <v>85</v>
      </c>
      <c r="W109" s="12"/>
      <c r="X109" s="20">
        <f t="shared" si="66"/>
        <v>61.5</v>
      </c>
      <c r="Y109" s="20">
        <f t="shared" si="67"/>
        <v>89.8571428571429</v>
      </c>
    </row>
    <row r="110" ht="15.6" hidden="1" outlineLevel="2" spans="1:25">
      <c r="A110" s="12">
        <v>204</v>
      </c>
      <c r="B110" s="12">
        <v>5</v>
      </c>
      <c r="C110" s="6" t="s">
        <v>165</v>
      </c>
      <c r="D110" s="6" t="s">
        <v>11</v>
      </c>
      <c r="E110" s="12">
        <v>12.4</v>
      </c>
      <c r="F110" s="11">
        <f>LOOKUP(E110,{0,-2.9,-1.9,-0.9,0.1,1.1,2.1,3.5,4.9,6.3,7.7,9.1,10.5,11.9,13.3,14.7,16.1,18.3,20.5,22.4,24.3},{0,10,20,30,40,50,60,62,64,66,68,70,72,74,76,78,80,85,90,95,100})</f>
        <v>74</v>
      </c>
      <c r="G110" s="12">
        <v>249</v>
      </c>
      <c r="H110" s="11">
        <f>LOOKUP(G110,{0,175,180,185,190,195,200,204,208,212,216,220,224,228,232,236,240,248,255,260,265},{0,10,20,30,40,50,60,62,64,66,68,70,72,74,76,78,80,85,90,95,100})</f>
        <v>85</v>
      </c>
      <c r="I110" s="12">
        <v>6</v>
      </c>
      <c r="J110" s="11">
        <f>LOOKUP(I110,{0,3,4,5,6,7,8,9,10,11,12,13,14,15,16,17},{0,10,20,30,40,50,60,64,68,72,76,80,85,90,95,100})</f>
        <v>40</v>
      </c>
      <c r="K110" s="12"/>
      <c r="L110" s="12"/>
      <c r="M110" s="12">
        <f t="shared" si="62"/>
        <v>40</v>
      </c>
      <c r="N110" s="12">
        <v>7.1</v>
      </c>
      <c r="O110" s="12">
        <f t="shared" si="63"/>
        <v>4.9</v>
      </c>
      <c r="P110" s="11">
        <f>LOOKUP(O110,{0,1.6,1.8,2,2.2,2.4,2.6,2.8,3,3.2,3.4,3.6,3.8,4,4.2,4.4,4.6,4.7,4.8,4.9,5},{0,10,20,30,40,50,60,62,64,66,68,70,72,74,76,78,80,85,90,95,100})</f>
        <v>95</v>
      </c>
      <c r="Q110" s="12">
        <v>3.32</v>
      </c>
      <c r="R110" s="12">
        <f t="shared" si="64"/>
        <v>6.68</v>
      </c>
      <c r="S110" s="11">
        <f>LOOKUP(R110,{0,3.8,4,4.6,4.8,5,5.6,5.65,5.7,5.75,5.8,5.85,5.9,5.95,6,6.45,6.5,6.58,6.65,6.7,6.75},{0,10,20,30,40,50,60,62,64,66,68,70,72,74,76,78,80,85,90,95,100})</f>
        <v>90</v>
      </c>
      <c r="T110" s="12"/>
      <c r="U110" s="12"/>
      <c r="V110" s="12">
        <f t="shared" si="65"/>
        <v>90</v>
      </c>
      <c r="W110" s="12"/>
      <c r="X110" s="20">
        <f t="shared" si="66"/>
        <v>56.9</v>
      </c>
      <c r="Y110" s="20">
        <f t="shared" si="67"/>
        <v>81.2857142857143</v>
      </c>
    </row>
    <row r="111" ht="15.6" hidden="1" outlineLevel="2" spans="1:25">
      <c r="A111" s="12">
        <v>204</v>
      </c>
      <c r="B111" s="12">
        <v>6</v>
      </c>
      <c r="C111" s="6" t="s">
        <v>166</v>
      </c>
      <c r="D111" s="6" t="s">
        <v>11</v>
      </c>
      <c r="E111" s="12">
        <v>9</v>
      </c>
      <c r="F111" s="11">
        <f>LOOKUP(E111,{0,-2.9,-1.9,-0.9,0.1,1.1,2.1,3.5,4.9,6.3,7.7,9.1,10.5,11.9,13.3,14.7,16.1,18.3,20.5,22.4,24.3},{0,10,20,30,40,50,60,62,64,66,68,70,72,74,76,78,80,85,90,95,100})</f>
        <v>68</v>
      </c>
      <c r="G111" s="12">
        <v>222</v>
      </c>
      <c r="H111" s="11">
        <f>LOOKUP(G111,{0,175,180,185,190,195,200,204,208,212,216,220,224,228,232,236,240,248,255,260,265},{0,10,20,30,40,50,60,62,64,66,68,70,72,74,76,78,80,85,90,95,100})</f>
        <v>70</v>
      </c>
      <c r="I111" s="12">
        <v>0</v>
      </c>
      <c r="J111" s="11">
        <f>LOOKUP(I111,{0,3,4,5,6,7,8,9,10,11,12,13,14,15,16,17},{0,10,20,30,40,50,60,64,68,72,76,80,85,90,95,100})</f>
        <v>0</v>
      </c>
      <c r="K111" s="12"/>
      <c r="L111" s="12"/>
      <c r="M111" s="12">
        <f t="shared" si="62"/>
        <v>0</v>
      </c>
      <c r="N111" s="12">
        <v>7.9</v>
      </c>
      <c r="O111" s="12">
        <f t="shared" si="63"/>
        <v>4.1</v>
      </c>
      <c r="P111" s="11">
        <f>LOOKUP(O111,{0,1.6,1.8,2,2.2,2.4,2.6,2.8,3,3.2,3.4,3.6,3.8,4,4.2,4.4,4.6,4.7,4.8,4.9,5},{0,10,20,30,40,50,60,62,64,66,68,70,72,74,76,78,80,85,90,95,100})</f>
        <v>74</v>
      </c>
      <c r="Q111" s="12">
        <v>3.58</v>
      </c>
      <c r="R111" s="12">
        <f t="shared" si="64"/>
        <v>6.42</v>
      </c>
      <c r="S111" s="11">
        <f>LOOKUP(R111,{0,3.8,4,4.6,4.8,5,5.6,5.65,5.7,5.75,5.8,5.85,5.9,5.95,6,6.45,6.5,6.58,6.65,6.7,6.75},{0,10,20,30,40,50,60,62,64,66,68,70,72,74,76,78,80,85,90,95,100})</f>
        <v>76</v>
      </c>
      <c r="T111" s="12"/>
      <c r="U111" s="12"/>
      <c r="V111" s="12">
        <f t="shared" si="65"/>
        <v>76</v>
      </c>
      <c r="W111" s="12"/>
      <c r="X111" s="20">
        <f t="shared" si="66"/>
        <v>43.8</v>
      </c>
      <c r="Y111" s="20">
        <f t="shared" si="67"/>
        <v>62.5714285714286</v>
      </c>
    </row>
    <row r="112" ht="15.6" hidden="1" outlineLevel="2" spans="1:25">
      <c r="A112" s="12">
        <v>204</v>
      </c>
      <c r="B112" s="12">
        <v>7</v>
      </c>
      <c r="C112" s="6" t="s">
        <v>167</v>
      </c>
      <c r="D112" s="6" t="s">
        <v>11</v>
      </c>
      <c r="E112" s="12">
        <v>11.3</v>
      </c>
      <c r="F112" s="11">
        <f>LOOKUP(E112,{0,-2.9,-1.9,-0.9,0.1,1.1,2.1,3.5,4.9,6.3,7.7,9.1,10.5,11.9,13.3,14.7,16.1,18.3,20.5,22.4,24.3},{0,10,20,30,40,50,60,62,64,66,68,70,72,74,76,78,80,85,90,95,100})</f>
        <v>72</v>
      </c>
      <c r="G112" s="12">
        <v>216</v>
      </c>
      <c r="H112" s="11">
        <f>LOOKUP(G112,{0,175,180,185,190,195,200,204,208,212,216,220,224,228,232,236,240,248,255,260,265},{0,10,20,30,40,50,60,62,64,66,68,70,72,74,76,78,80,85,90,95,100})</f>
        <v>68</v>
      </c>
      <c r="I112" s="12">
        <v>3</v>
      </c>
      <c r="J112" s="11">
        <f>LOOKUP(I112,{0,3,4,5,6,7,8,9,10,11,12,13,14,15,16,17},{0,10,20,30,40,50,60,64,68,72,76,80,85,90,95,100})</f>
        <v>10</v>
      </c>
      <c r="K112" s="12"/>
      <c r="L112" s="12"/>
      <c r="M112" s="12">
        <f t="shared" si="62"/>
        <v>10</v>
      </c>
      <c r="N112" s="12">
        <v>7.3</v>
      </c>
      <c r="O112" s="12">
        <f t="shared" si="63"/>
        <v>4.7</v>
      </c>
      <c r="P112" s="11">
        <f>LOOKUP(O112,{0,1.6,1.8,2,2.2,2.4,2.6,2.8,3,3.2,3.4,3.6,3.8,4,4.2,4.4,4.6,4.7,4.8,4.9,5},{0,10,20,30,40,50,60,62,64,66,68,70,72,74,76,78,80,85,90,95,100})</f>
        <v>85</v>
      </c>
      <c r="Q112" s="12">
        <v>3.5</v>
      </c>
      <c r="R112" s="12">
        <f t="shared" si="64"/>
        <v>6.5</v>
      </c>
      <c r="S112" s="11">
        <f>LOOKUP(R112,{0,3.8,4,4.6,4.8,5,5.6,5.65,5.7,5.75,5.8,5.85,5.9,5.95,6,6.45,6.5,6.58,6.65,6.7,6.75},{0,10,20,30,40,50,60,62,64,66,68,70,72,74,76,78,80,85,90,95,100})</f>
        <v>80</v>
      </c>
      <c r="T112" s="12"/>
      <c r="U112" s="12"/>
      <c r="V112" s="12">
        <f t="shared" si="65"/>
        <v>80</v>
      </c>
      <c r="W112" s="12"/>
      <c r="X112" s="20">
        <f t="shared" si="66"/>
        <v>48</v>
      </c>
      <c r="Y112" s="20">
        <f t="shared" si="67"/>
        <v>68.5714285714286</v>
      </c>
    </row>
    <row r="113" ht="15.6" outlineLevel="1" collapsed="1" spans="1:25">
      <c r="A113" s="14" t="s">
        <v>858</v>
      </c>
      <c r="B113" s="12"/>
      <c r="C113" s="6"/>
      <c r="D113" s="6"/>
      <c r="E113" s="12"/>
      <c r="F113" s="11">
        <f>SUBTOTAL(1,F106:F112)</f>
        <v>76.5714285714286</v>
      </c>
      <c r="G113" s="12"/>
      <c r="H113" s="11">
        <f>SUBTOTAL(1,H106:H112)</f>
        <v>79.5714285714286</v>
      </c>
      <c r="I113" s="12"/>
      <c r="J113" s="11">
        <f>SUBTOTAL(1,J106:J112)</f>
        <v>35</v>
      </c>
      <c r="K113" s="12"/>
      <c r="L113" s="12"/>
      <c r="M113" s="12">
        <f>SUBTOTAL(1,M106:M112)</f>
        <v>35.2857142857143</v>
      </c>
      <c r="N113" s="12"/>
      <c r="O113" s="12"/>
      <c r="P113" s="11">
        <f>SUBTOTAL(1,P106:P112)</f>
        <v>82.8571428571429</v>
      </c>
      <c r="Q113" s="12"/>
      <c r="R113" s="12"/>
      <c r="S113" s="11">
        <f>SUBTOTAL(1,S106:S112)</f>
        <v>83.1428571428571</v>
      </c>
      <c r="T113" s="12"/>
      <c r="U113" s="12"/>
      <c r="V113" s="12">
        <f>SUBTOTAL(1,V106:V112)</f>
        <v>83.1428571428571</v>
      </c>
      <c r="W113" s="12"/>
      <c r="X113" s="20">
        <f>SUBTOTAL(1,X106:X112)</f>
        <v>52.3142857142857</v>
      </c>
      <c r="Y113" s="20">
        <f>SUBTOTAL(1,Y106:Y112)</f>
        <v>75.0204081632653</v>
      </c>
    </row>
    <row r="114" ht="15.6" hidden="1" outlineLevel="2" spans="1:25">
      <c r="A114" s="12">
        <v>205</v>
      </c>
      <c r="B114" s="12">
        <v>1</v>
      </c>
      <c r="C114" s="13" t="s">
        <v>213</v>
      </c>
      <c r="D114" s="6" t="s">
        <v>11</v>
      </c>
      <c r="E114" s="12"/>
      <c r="F114" s="11"/>
      <c r="G114" s="12"/>
      <c r="H114" s="11"/>
      <c r="I114" s="12"/>
      <c r="J114" s="11"/>
      <c r="K114" s="12"/>
      <c r="L114" s="12"/>
      <c r="M114" s="12"/>
      <c r="N114" s="12">
        <v>7.1</v>
      </c>
      <c r="O114" s="12">
        <f t="shared" ref="O114:O118" si="68">12-N114</f>
        <v>4.9</v>
      </c>
      <c r="P114" s="11">
        <f>LOOKUP(O114,{0,1.6,1.8,2,2.2,2.4,2.6,2.8,3,3.2,3.4,3.6,3.8,4,4.2,4.4,4.6,4.7,4.8,4.9,5},{0,10,20,30,40,50,60,62,64,66,68,70,72,74,76,78,80,85,90,95,100})</f>
        <v>95</v>
      </c>
      <c r="Q114" s="12"/>
      <c r="R114" s="12"/>
      <c r="S114" s="11"/>
      <c r="T114" s="12"/>
      <c r="U114" s="11"/>
      <c r="V114" s="12"/>
      <c r="W114" s="12" t="s">
        <v>16</v>
      </c>
      <c r="X114" s="20">
        <f t="shared" ref="X114:X152" si="69">F114*0.1+H114*0.1+J114*0.1+P114*0.2+S114*0.2</f>
        <v>19</v>
      </c>
      <c r="Y114" s="20">
        <v>50</v>
      </c>
    </row>
    <row r="115" ht="15.6" hidden="1" outlineLevel="2" spans="1:25">
      <c r="A115" s="12">
        <v>205</v>
      </c>
      <c r="B115" s="12">
        <v>2</v>
      </c>
      <c r="C115" s="6" t="s">
        <v>214</v>
      </c>
      <c r="D115" s="6" t="s">
        <v>11</v>
      </c>
      <c r="E115" s="12">
        <v>7</v>
      </c>
      <c r="F115" s="11">
        <f>LOOKUP(E115,{0,-2.9,-1.9,-0.9,0.1,1.1,2.1,3.5,4.9,6.3,7.7,9.1,10.5,11.9,13.3,14.7,16.1,18.3,20.5,22.4,24.3},{0,10,20,30,40,50,60,62,64,66,68,70,72,74,76,78,80,85,90,95,100})</f>
        <v>66</v>
      </c>
      <c r="G115" s="12">
        <v>203</v>
      </c>
      <c r="H115" s="11">
        <f>LOOKUP(G115,{0,175,180,185,190,195,200,204,208,212,216,220,224,228,232,236,240,248,255,260,265},{0,10,20,30,40,50,60,62,64,66,68,70,72,74,76,78,80,85,90,95,100})</f>
        <v>60</v>
      </c>
      <c r="I115" s="12">
        <v>0</v>
      </c>
      <c r="J115" s="11">
        <f>LOOKUP(I115,{0,3,4,5,6,7,8,9,10,11,12,13,14,15,16,17},{0,10,20,30,40,50,60,64,68,72,76,80,85,90,95,100})</f>
        <v>0</v>
      </c>
      <c r="K115" s="12"/>
      <c r="L115" s="12"/>
      <c r="M115" s="12">
        <f t="shared" ref="M115:M118" si="70">J115+L115</f>
        <v>0</v>
      </c>
      <c r="N115" s="12">
        <v>8</v>
      </c>
      <c r="O115" s="12">
        <f t="shared" si="68"/>
        <v>4</v>
      </c>
      <c r="P115" s="11">
        <f>LOOKUP(O115,{0,1.6,1.8,2,2.2,2.4,2.6,2.8,3,3.2,3.4,3.6,3.8,4,4.2,4.4,4.6,4.7,4.8,4.9,5},{0,10,20,30,40,50,60,62,64,66,68,70,72,74,76,78,80,85,90,95,100})</f>
        <v>74</v>
      </c>
      <c r="Q115" s="12">
        <v>5.17</v>
      </c>
      <c r="R115" s="12">
        <f t="shared" ref="R115:R118" si="71">10-Q115</f>
        <v>4.83</v>
      </c>
      <c r="S115" s="11">
        <f>LOOKUP(R115,{0,3.8,4,4.6,4.8,5,5.6,5.65,5.7,5.75,5.8,5.85,5.9,5.95,6,6.45,6.5,6.58,6.65,6.7,6.75},{0,10,20,30,40,50,60,62,64,66,68,70,72,74,76,78,80,85,90,95,100})</f>
        <v>40</v>
      </c>
      <c r="T115" s="12"/>
      <c r="U115" s="12"/>
      <c r="V115" s="12">
        <f t="shared" ref="V115:V118" si="72">S115+U115</f>
        <v>40</v>
      </c>
      <c r="W115" s="12"/>
      <c r="X115" s="20">
        <f t="shared" si="69"/>
        <v>35.4</v>
      </c>
      <c r="Y115" s="20">
        <f t="shared" ref="Y115:Y118" si="73">X115/0.7+L115+U115</f>
        <v>50.5714285714286</v>
      </c>
    </row>
    <row r="116" ht="15.6" hidden="1" outlineLevel="2" spans="1:25">
      <c r="A116" s="12">
        <v>205</v>
      </c>
      <c r="B116" s="12">
        <v>3</v>
      </c>
      <c r="C116" s="6" t="s">
        <v>215</v>
      </c>
      <c r="D116" s="6" t="s">
        <v>11</v>
      </c>
      <c r="E116" s="12">
        <v>9.6</v>
      </c>
      <c r="F116" s="11">
        <f>LOOKUP(E116,{0,-2.9,-1.9,-0.9,0.1,1.1,2.1,3.5,4.9,6.3,7.7,9.1,10.5,11.9,13.3,14.7,16.1,18.3,20.5,22.4,24.3},{0,10,20,30,40,50,60,62,64,66,68,70,72,74,76,78,80,85,90,95,100})</f>
        <v>70</v>
      </c>
      <c r="G116" s="12">
        <v>236</v>
      </c>
      <c r="H116" s="11">
        <f>LOOKUP(G116,{0,175,180,185,190,195,200,204,208,212,216,220,224,228,232,236,240,248,255,260,265},{0,10,20,30,40,50,60,62,64,66,68,70,72,74,76,78,80,85,90,95,100})</f>
        <v>78</v>
      </c>
      <c r="I116" s="12">
        <v>27</v>
      </c>
      <c r="J116" s="11">
        <f>LOOKUP(I116,{0,3,4,5,6,7,8,9,10,11,12,13,14,15,16,17},{0,10,20,30,40,50,60,64,68,72,76,80,85,90,95,100})</f>
        <v>100</v>
      </c>
      <c r="K116" s="12">
        <f>I116-17</f>
        <v>10</v>
      </c>
      <c r="L116" s="11">
        <f>LOOKUP(K116,{0,1,2,3,4,5,6,7,8,9,10},{0,1,2,3,4,5,6,7,8,9,10})</f>
        <v>10</v>
      </c>
      <c r="M116" s="12">
        <f t="shared" si="70"/>
        <v>110</v>
      </c>
      <c r="N116" s="12">
        <v>7.3</v>
      </c>
      <c r="O116" s="12">
        <f t="shared" si="68"/>
        <v>4.7</v>
      </c>
      <c r="P116" s="11">
        <f>LOOKUP(O116,{0,1.6,1.8,2,2.2,2.4,2.6,2.8,3,3.2,3.4,3.6,3.8,4,4.2,4.4,4.6,4.7,4.8,4.9,5},{0,10,20,30,40,50,60,62,64,66,68,70,72,74,76,78,80,85,90,95,100})</f>
        <v>85</v>
      </c>
      <c r="Q116" s="12">
        <v>3.59</v>
      </c>
      <c r="R116" s="12">
        <f t="shared" si="71"/>
        <v>6.41</v>
      </c>
      <c r="S116" s="11">
        <f>LOOKUP(R116,{0,3.8,4,4.6,4.8,5,5.6,5.65,5.7,5.75,5.8,5.85,5.9,5.95,6,6.45,6.5,6.58,6.65,6.7,6.75},{0,10,20,30,40,50,60,62,64,66,68,70,72,74,76,78,80,85,90,95,100})</f>
        <v>76</v>
      </c>
      <c r="T116" s="12"/>
      <c r="U116" s="12"/>
      <c r="V116" s="12">
        <f t="shared" si="72"/>
        <v>76</v>
      </c>
      <c r="W116" s="12"/>
      <c r="X116" s="20">
        <f t="shared" si="69"/>
        <v>57</v>
      </c>
      <c r="Y116" s="20">
        <f t="shared" si="73"/>
        <v>91.4285714285714</v>
      </c>
    </row>
    <row r="117" ht="15.6" hidden="1" outlineLevel="2" spans="1:25">
      <c r="A117" s="12">
        <v>205</v>
      </c>
      <c r="B117" s="12">
        <v>4</v>
      </c>
      <c r="C117" s="6" t="s">
        <v>216</v>
      </c>
      <c r="D117" s="6" t="s">
        <v>11</v>
      </c>
      <c r="E117" s="12">
        <v>7.5</v>
      </c>
      <c r="F117" s="11">
        <f>LOOKUP(E117,{0,-2.9,-1.9,-0.9,0.1,1.1,2.1,3.5,4.9,6.3,7.7,9.1,10.5,11.9,13.3,14.7,16.1,18.3,20.5,22.4,24.3},{0,10,20,30,40,50,60,62,64,66,68,70,72,74,76,78,80,85,90,95,100})</f>
        <v>66</v>
      </c>
      <c r="G117" s="12">
        <v>220</v>
      </c>
      <c r="H117" s="11">
        <f>LOOKUP(G117,{0,175,180,185,190,195,200,204,208,212,216,220,224,228,232,236,240,248,255,260,265},{0,10,20,30,40,50,60,62,64,66,68,70,72,74,76,78,80,85,90,95,100})</f>
        <v>70</v>
      </c>
      <c r="I117" s="12">
        <v>20</v>
      </c>
      <c r="J117" s="11">
        <f>LOOKUP(I117,{0,3,4,5,6,7,8,9,10,11,12,13,14,15,16,17},{0,10,20,30,40,50,60,64,68,72,76,80,85,90,95,100})</f>
        <v>100</v>
      </c>
      <c r="K117" s="12">
        <f>I117-17</f>
        <v>3</v>
      </c>
      <c r="L117" s="11">
        <f>LOOKUP(K117,{0,1,2,3,4,5,6,7,8,9,10},{0,1,2,3,4,5,6,7,8,9,10})</f>
        <v>3</v>
      </c>
      <c r="M117" s="12">
        <f t="shared" si="70"/>
        <v>103</v>
      </c>
      <c r="N117" s="12">
        <v>7.2</v>
      </c>
      <c r="O117" s="12">
        <f t="shared" si="68"/>
        <v>4.8</v>
      </c>
      <c r="P117" s="11">
        <f>LOOKUP(O117,{0,1.6,1.8,2,2.2,2.4,2.6,2.8,3,3.2,3.4,3.6,3.8,4,4.2,4.4,4.6,4.7,4.8,4.9,5},{0,10,20,30,40,50,60,62,64,66,68,70,72,74,76,78,80,85,90,95,100})</f>
        <v>90</v>
      </c>
      <c r="Q117" s="12">
        <v>3.5</v>
      </c>
      <c r="R117" s="12">
        <f t="shared" si="71"/>
        <v>6.5</v>
      </c>
      <c r="S117" s="11">
        <f>LOOKUP(R117,{0,3.8,4,4.6,4.8,5,5.6,5.65,5.7,5.75,5.8,5.85,5.9,5.95,6,6.45,6.5,6.58,6.65,6.7,6.75},{0,10,20,30,40,50,60,62,64,66,68,70,72,74,76,78,80,85,90,95,100})</f>
        <v>80</v>
      </c>
      <c r="T117" s="12"/>
      <c r="U117" s="12"/>
      <c r="V117" s="12">
        <f t="shared" si="72"/>
        <v>80</v>
      </c>
      <c r="W117" s="12"/>
      <c r="X117" s="20">
        <f t="shared" si="69"/>
        <v>57.6</v>
      </c>
      <c r="Y117" s="20">
        <f t="shared" si="73"/>
        <v>85.2857142857143</v>
      </c>
    </row>
    <row r="118" ht="15.6" hidden="1" outlineLevel="2" spans="1:25">
      <c r="A118" s="12">
        <v>205</v>
      </c>
      <c r="B118" s="12">
        <v>5</v>
      </c>
      <c r="C118" s="6" t="s">
        <v>217</v>
      </c>
      <c r="D118" s="6" t="s">
        <v>11</v>
      </c>
      <c r="E118" s="12">
        <v>10.6</v>
      </c>
      <c r="F118" s="11">
        <f>LOOKUP(E118,{0,-2.9,-1.9,-0.9,0.1,1.1,2.1,3.5,4.9,6.3,7.7,9.1,10.5,11.9,13.3,14.7,16.1,18.3,20.5,22.4,24.3},{0,10,20,30,40,50,60,62,64,66,68,70,72,74,76,78,80,85,90,95,100})</f>
        <v>72</v>
      </c>
      <c r="G118" s="12">
        <v>190</v>
      </c>
      <c r="H118" s="11">
        <f>LOOKUP(G118,{0,175,180,185,190,195,200,204,208,212,216,220,224,228,232,236,240,248,255,260,265},{0,10,20,30,40,50,60,62,64,66,68,70,72,74,76,78,80,85,90,95,100})</f>
        <v>40</v>
      </c>
      <c r="I118" s="12">
        <v>3</v>
      </c>
      <c r="J118" s="11">
        <f>LOOKUP(I118,{0,3,4,5,6,7,8,9,10,11,12,13,14,15,16,17},{0,10,20,30,40,50,60,64,68,72,76,80,85,90,95,100})</f>
        <v>10</v>
      </c>
      <c r="K118" s="12"/>
      <c r="L118" s="12"/>
      <c r="M118" s="12">
        <f t="shared" si="70"/>
        <v>10</v>
      </c>
      <c r="N118" s="12">
        <v>8.1</v>
      </c>
      <c r="O118" s="12">
        <f t="shared" si="68"/>
        <v>3.9</v>
      </c>
      <c r="P118" s="11">
        <f>LOOKUP(O118,{0,1.6,1.8,2,2.2,2.4,2.6,2.8,3,3.2,3.4,3.6,3.8,4,4.2,4.4,4.6,4.7,4.8,4.9,5},{0,10,20,30,40,50,60,62,64,66,68,70,72,74,76,78,80,85,90,95,100})</f>
        <v>72</v>
      </c>
      <c r="Q118" s="12">
        <v>5.02</v>
      </c>
      <c r="R118" s="12">
        <f t="shared" si="71"/>
        <v>4.98</v>
      </c>
      <c r="S118" s="11">
        <f>LOOKUP(R118,{0,3.8,4,4.6,4.8,5,5.6,5.65,5.7,5.75,5.8,5.85,5.9,5.95,6,6.45,6.5,6.58,6.65,6.7,6.75},{0,10,20,30,40,50,60,62,64,66,68,70,72,74,76,78,80,85,90,95,100})</f>
        <v>40</v>
      </c>
      <c r="T118" s="12"/>
      <c r="U118" s="12"/>
      <c r="V118" s="12">
        <f t="shared" si="72"/>
        <v>40</v>
      </c>
      <c r="W118" s="12"/>
      <c r="X118" s="20">
        <f t="shared" si="69"/>
        <v>34.6</v>
      </c>
      <c r="Y118" s="20">
        <f t="shared" si="73"/>
        <v>49.4285714285714</v>
      </c>
    </row>
    <row r="119" ht="15.6" hidden="1" outlineLevel="2" spans="1:25">
      <c r="A119" s="12">
        <v>205</v>
      </c>
      <c r="B119" s="12">
        <v>6</v>
      </c>
      <c r="C119" s="6" t="s">
        <v>218</v>
      </c>
      <c r="D119" s="6" t="s">
        <v>11</v>
      </c>
      <c r="E119" s="12"/>
      <c r="F119" s="11"/>
      <c r="G119" s="12"/>
      <c r="H119" s="11"/>
      <c r="I119" s="12"/>
      <c r="J119" s="11"/>
      <c r="K119" s="12"/>
      <c r="L119" s="12"/>
      <c r="M119" s="12"/>
      <c r="N119" s="12"/>
      <c r="O119" s="12"/>
      <c r="P119" s="11"/>
      <c r="Q119" s="12"/>
      <c r="R119" s="12"/>
      <c r="S119" s="11"/>
      <c r="T119" s="12"/>
      <c r="U119" s="11"/>
      <c r="V119" s="12"/>
      <c r="W119" s="12"/>
      <c r="X119" s="20">
        <f t="shared" si="69"/>
        <v>0</v>
      </c>
      <c r="Y119" s="23">
        <v>50</v>
      </c>
    </row>
    <row r="120" ht="15.6" hidden="1" outlineLevel="2" spans="1:25">
      <c r="A120" s="12">
        <v>205</v>
      </c>
      <c r="B120" s="12">
        <v>7</v>
      </c>
      <c r="C120" s="6" t="s">
        <v>219</v>
      </c>
      <c r="D120" s="6" t="s">
        <v>11</v>
      </c>
      <c r="E120" s="12">
        <v>2.3</v>
      </c>
      <c r="F120" s="11">
        <f>LOOKUP(E120,{0,-2.9,-1.9,-0.9,0.1,1.1,2.1,3.5,4.9,6.3,7.7,9.1,10.5,11.9,13.3,14.7,16.1,18.3,20.5,22.4,24.3},{0,10,20,30,40,50,60,62,64,66,68,70,72,74,76,78,80,85,90,95,100})</f>
        <v>60</v>
      </c>
      <c r="G120" s="12">
        <v>220</v>
      </c>
      <c r="H120" s="11">
        <f>LOOKUP(G120,{0,175,180,185,190,195,200,204,208,212,216,220,224,228,232,236,240,248,255,260,265},{0,10,20,30,40,50,60,62,64,66,68,70,72,74,76,78,80,85,90,95,100})</f>
        <v>70</v>
      </c>
      <c r="I120" s="12">
        <v>0</v>
      </c>
      <c r="J120" s="11">
        <f>LOOKUP(I120,{0,3,4,5,6,7,8,9,10,11,12,13,14,15,16,17},{0,10,20,30,40,50,60,64,68,72,76,80,85,90,95,100})</f>
        <v>0</v>
      </c>
      <c r="K120" s="12"/>
      <c r="L120" s="15"/>
      <c r="M120" s="12">
        <f t="shared" ref="M120:M136" si="74">J120+L120</f>
        <v>0</v>
      </c>
      <c r="N120" s="12">
        <v>7.7</v>
      </c>
      <c r="O120" s="12">
        <f t="shared" ref="O120:O123" si="75">12-N120</f>
        <v>4.3</v>
      </c>
      <c r="P120" s="11">
        <f>LOOKUP(O120,{0,1.6,1.8,2,2.2,2.4,2.6,2.8,3,3.2,3.4,3.6,3.8,4,4.2,4.4,4.6,4.7,4.8,4.9,5},{0,10,20,30,40,50,60,62,64,66,68,70,72,74,76,78,80,85,90,95,100})</f>
        <v>76</v>
      </c>
      <c r="Q120" s="12">
        <v>4.38</v>
      </c>
      <c r="R120" s="12">
        <f t="shared" ref="R120:R136" si="76">10-Q120</f>
        <v>5.62</v>
      </c>
      <c r="S120" s="11">
        <f>LOOKUP(R120,{0,3.8,4,4.6,4.8,5,5.6,5.65,5.7,5.75,5.8,5.85,5.9,5.95,6,6.45,6.5,6.58,6.65,6.7,6.75},{0,10,20,30,40,50,60,62,64,66,68,70,72,74,76,78,80,85,90,95,100})</f>
        <v>60</v>
      </c>
      <c r="T120" s="12"/>
      <c r="U120" s="12"/>
      <c r="V120" s="12">
        <f t="shared" ref="V120:V136" si="77">S120+U120</f>
        <v>60</v>
      </c>
      <c r="W120" s="12"/>
      <c r="X120" s="20">
        <f t="shared" si="69"/>
        <v>40.2</v>
      </c>
      <c r="Y120" s="20">
        <f t="shared" ref="Y120:Y123" si="78">X120/0.7+L120+U120</f>
        <v>57.4285714285714</v>
      </c>
    </row>
    <row r="121" customFormat="1" ht="15.6" hidden="1" outlineLevel="2" spans="1:25">
      <c r="A121" s="12">
        <v>205</v>
      </c>
      <c r="B121" s="12">
        <v>8</v>
      </c>
      <c r="C121" s="6" t="s">
        <v>220</v>
      </c>
      <c r="D121" s="6" t="s">
        <v>11</v>
      </c>
      <c r="E121" s="12">
        <v>14</v>
      </c>
      <c r="F121" s="11">
        <f>LOOKUP(E121,{0,-2.9,-1.9,-0.9,0.1,1.1,2.1,3.5,4.9,6.3,7.7,9.1,10.5,11.9,13.3,14.7,16.1,18.3,20.5,22.4,24.3},{0,10,20,30,40,50,60,62,64,66,68,70,72,74,76,78,80,85,90,95,100})</f>
        <v>76</v>
      </c>
      <c r="G121" s="12">
        <v>219</v>
      </c>
      <c r="H121" s="11">
        <f>LOOKUP(G121,{0,175,180,185,190,195,200,204,208,212,216,220,224,228,232,236,240,248,255,260,265},{0,10,20,30,40,50,60,62,64,66,68,70,72,74,76,78,80,85,90,95,100})</f>
        <v>68</v>
      </c>
      <c r="I121" s="12">
        <v>3</v>
      </c>
      <c r="J121" s="11">
        <f>LOOKUP(I121,{0,3,4,5,6,7,8,9,10,11,12,13,14,15,16,17},{0,10,20,30,40,50,60,64,68,72,76,80,85,90,95,100})</f>
        <v>10</v>
      </c>
      <c r="K121" s="12"/>
      <c r="L121" s="15"/>
      <c r="M121" s="12">
        <f t="shared" si="74"/>
        <v>10</v>
      </c>
      <c r="N121" s="12">
        <v>7.4</v>
      </c>
      <c r="O121" s="12">
        <f t="shared" si="75"/>
        <v>4.6</v>
      </c>
      <c r="P121" s="11">
        <f>LOOKUP(O121,{0,1.6,1.8,2,2.2,2.4,2.6,2.8,3,3.2,3.4,3.6,3.8,4,4.2,4.4,4.6,4.7,4.8,4.9,5},{0,10,20,30,40,50,60,62,64,66,68,70,72,74,76,78,80,85,90,95,100})</f>
        <v>80</v>
      </c>
      <c r="Q121" s="12">
        <v>4.04</v>
      </c>
      <c r="R121" s="12">
        <f t="shared" si="76"/>
        <v>5.96</v>
      </c>
      <c r="S121" s="11">
        <f>LOOKUP(R121,{0,3.8,4,4.6,4.8,5,5.6,5.65,5.7,5.75,5.8,5.85,5.9,5.95,6,6.45,6.5,6.58,6.65,6.7,6.75},{0,10,20,30,40,50,60,62,64,66,68,70,72,74,76,78,80,85,90,95,100})</f>
        <v>74</v>
      </c>
      <c r="T121" s="12"/>
      <c r="U121" s="12"/>
      <c r="V121" s="12">
        <f t="shared" si="77"/>
        <v>74</v>
      </c>
      <c r="W121" s="12"/>
      <c r="X121" s="20">
        <f t="shared" si="69"/>
        <v>46.2</v>
      </c>
      <c r="Y121" s="20">
        <f t="shared" si="78"/>
        <v>66</v>
      </c>
    </row>
    <row r="122" s="1" customFormat="1" ht="15.6" hidden="1" outlineLevel="2" spans="1:25">
      <c r="A122" s="12">
        <v>205</v>
      </c>
      <c r="B122" s="12">
        <v>9</v>
      </c>
      <c r="C122" s="6" t="s">
        <v>221</v>
      </c>
      <c r="D122" s="6" t="s">
        <v>11</v>
      </c>
      <c r="E122" s="12"/>
      <c r="F122" s="11"/>
      <c r="G122" s="12"/>
      <c r="H122" s="11"/>
      <c r="I122" s="12"/>
      <c r="J122" s="11"/>
      <c r="K122" s="12"/>
      <c r="L122" s="15"/>
      <c r="M122" s="12"/>
      <c r="N122" s="12"/>
      <c r="O122" s="12"/>
      <c r="P122" s="11"/>
      <c r="Q122" s="12"/>
      <c r="R122" s="12"/>
      <c r="S122" s="11"/>
      <c r="T122" s="12"/>
      <c r="U122" s="11"/>
      <c r="V122" s="12"/>
      <c r="W122" s="12"/>
      <c r="X122" s="20">
        <f t="shared" si="69"/>
        <v>0</v>
      </c>
      <c r="Y122" s="23">
        <v>50</v>
      </c>
    </row>
    <row r="123" ht="15.6" hidden="1" outlineLevel="2" spans="1:25">
      <c r="A123" s="12">
        <v>205</v>
      </c>
      <c r="B123" s="12">
        <v>10</v>
      </c>
      <c r="C123" s="6" t="s">
        <v>222</v>
      </c>
      <c r="D123" s="6" t="s">
        <v>11</v>
      </c>
      <c r="E123" s="12">
        <v>14</v>
      </c>
      <c r="F123" s="11">
        <f>LOOKUP(E123,{0,-2.9,-1.9,-0.9,0.1,1.1,2.1,3.5,4.9,6.3,7.7,9.1,10.5,11.9,13.3,14.7,16.1,18.3,20.5,22.4,24.3},{0,10,20,30,40,50,60,62,64,66,68,70,72,74,76,78,80,85,90,95,100})</f>
        <v>76</v>
      </c>
      <c r="G123" s="12">
        <v>235</v>
      </c>
      <c r="H123" s="11">
        <f>LOOKUP(G123,{0,175,180,185,190,195,200,204,208,212,216,220,224,228,232,236,240,248,255,260,265},{0,10,20,30,40,50,60,62,64,66,68,70,72,74,76,78,80,85,90,95,100})</f>
        <v>76</v>
      </c>
      <c r="I123" s="12">
        <v>17</v>
      </c>
      <c r="J123" s="11">
        <f>LOOKUP(I123,{0,3,4,5,6,7,8,9,10,11,12,13,14,15,16,17},{0,10,20,30,40,50,60,64,68,72,76,80,85,90,95,100})</f>
        <v>100</v>
      </c>
      <c r="K123" s="12">
        <f>I123-17</f>
        <v>0</v>
      </c>
      <c r="L123" s="16">
        <f>LOOKUP(K123,{0,1,2,3,4,5,6,7,8,9,10},{0,1,2,3,4,5,6,7,8,9,10})</f>
        <v>0</v>
      </c>
      <c r="M123" s="12">
        <f t="shared" si="74"/>
        <v>100</v>
      </c>
      <c r="N123" s="12">
        <v>7.3</v>
      </c>
      <c r="O123" s="12">
        <f t="shared" si="75"/>
        <v>4.7</v>
      </c>
      <c r="P123" s="11">
        <f>LOOKUP(O123,{0,1.6,1.8,2,2.2,2.4,2.6,2.8,3,3.2,3.4,3.6,3.8,4,4.2,4.4,4.6,4.7,4.8,4.9,5},{0,10,20,30,40,50,60,62,64,66,68,70,72,74,76,78,80,85,90,95,100})</f>
        <v>85</v>
      </c>
      <c r="Q123" s="12">
        <v>4.08</v>
      </c>
      <c r="R123" s="12">
        <f t="shared" si="76"/>
        <v>5.92</v>
      </c>
      <c r="S123" s="11">
        <f>LOOKUP(R123,{0,3.8,4,4.6,4.8,5,5.6,5.65,5.7,5.75,5.8,5.85,5.9,5.95,6,6.45,6.5,6.58,6.65,6.7,6.75},{0,10,20,30,40,50,60,62,64,66,68,70,72,74,76,78,80,85,90,95,100})</f>
        <v>72</v>
      </c>
      <c r="T123" s="12"/>
      <c r="U123" s="12"/>
      <c r="V123" s="12">
        <f t="shared" si="77"/>
        <v>72</v>
      </c>
      <c r="W123" s="12"/>
      <c r="X123" s="20">
        <f t="shared" si="69"/>
        <v>56.6</v>
      </c>
      <c r="Y123" s="20">
        <f t="shared" si="78"/>
        <v>80.8571428571429</v>
      </c>
    </row>
    <row r="124" ht="15.6" hidden="1" outlineLevel="2" spans="1:25">
      <c r="A124" s="12">
        <v>205</v>
      </c>
      <c r="B124" s="12">
        <v>11</v>
      </c>
      <c r="C124" s="13" t="s">
        <v>224</v>
      </c>
      <c r="D124" s="6" t="s">
        <v>11</v>
      </c>
      <c r="E124" s="12">
        <v>1</v>
      </c>
      <c r="F124" s="11">
        <f>LOOKUP(E124,{0,-2.9,-1.9,-0.9,0.1,1.1,2.1,3.5,4.9,6.3,7.7,9.1,10.5,11.9,13.3,14.7,16.1,18.3,20.5,22.4,24.3},{0,10,20,30,40,50,60,62,64,66,68,70,72,74,76,78,80,85,90,95,100})</f>
        <v>40</v>
      </c>
      <c r="G124" s="12">
        <v>243</v>
      </c>
      <c r="H124" s="11">
        <f>LOOKUP(G124,{0,175,180,185,190,195,200,204,208,212,216,220,224,228,232,236,240,248,255,260,265},{0,10,20,30,40,50,60,62,64,66,68,70,72,74,76,78,80,85,90,95,100})</f>
        <v>80</v>
      </c>
      <c r="I124" s="12">
        <v>6</v>
      </c>
      <c r="J124" s="11">
        <f>LOOKUP(I124,{0,3,4,5,6,7,8,9,10,11,12,13,14,15,16,17},{0,10,20,30,40,50,60,64,68,72,76,80,85,90,95,100})</f>
        <v>40</v>
      </c>
      <c r="K124" s="12"/>
      <c r="L124" s="12"/>
      <c r="M124" s="12">
        <f t="shared" si="74"/>
        <v>40</v>
      </c>
      <c r="N124" s="12"/>
      <c r="O124" s="12"/>
      <c r="P124" s="11"/>
      <c r="Q124" s="12">
        <v>3.51</v>
      </c>
      <c r="R124" s="12">
        <f t="shared" si="76"/>
        <v>6.49</v>
      </c>
      <c r="S124" s="11">
        <f>LOOKUP(R124,{0,3.8,4,4.6,4.8,5,5.6,5.65,5.7,5.75,5.8,5.85,5.9,5.95,6,6.45,6.5,6.58,6.65,6.7,6.75},{0,10,20,30,40,50,60,62,64,66,68,70,72,74,76,78,80,85,90,95,100})</f>
        <v>78</v>
      </c>
      <c r="T124" s="12"/>
      <c r="U124" s="12"/>
      <c r="V124" s="12">
        <f t="shared" si="77"/>
        <v>78</v>
      </c>
      <c r="W124" s="12"/>
      <c r="X124" s="20">
        <f t="shared" si="69"/>
        <v>31.6</v>
      </c>
      <c r="Y124" s="23">
        <v>50</v>
      </c>
    </row>
    <row r="125" ht="15.6" hidden="1" outlineLevel="2" spans="1:25">
      <c r="A125" s="12">
        <v>205</v>
      </c>
      <c r="B125" s="12">
        <v>12</v>
      </c>
      <c r="C125" s="6" t="s">
        <v>225</v>
      </c>
      <c r="D125" s="6" t="s">
        <v>11</v>
      </c>
      <c r="E125" s="12">
        <v>10</v>
      </c>
      <c r="F125" s="11">
        <f>LOOKUP(E125,{0,-2.9,-1.9,-0.9,0.1,1.1,2.1,3.5,4.9,6.3,7.7,9.1,10.5,11.9,13.3,14.7,16.1,18.3,20.5,22.4,24.3},{0,10,20,30,40,50,60,62,64,66,68,70,72,74,76,78,80,85,90,95,100})</f>
        <v>70</v>
      </c>
      <c r="G125" s="12">
        <v>190</v>
      </c>
      <c r="H125" s="11">
        <f>LOOKUP(G125,{0,175,180,185,190,195,200,204,208,212,216,220,224,228,232,236,240,248,255,260,265},{0,10,20,30,40,50,60,62,64,66,68,70,72,74,76,78,80,85,90,95,100})</f>
        <v>40</v>
      </c>
      <c r="I125" s="12">
        <v>1</v>
      </c>
      <c r="J125" s="11">
        <f>LOOKUP(I125,{0,3,4,5,6,7,8,9,10,11,12,13,14,15,16,17},{0,10,20,30,40,50,60,64,68,72,76,80,85,90,95,100})</f>
        <v>0</v>
      </c>
      <c r="K125" s="12"/>
      <c r="L125" s="12"/>
      <c r="M125" s="12">
        <f t="shared" si="74"/>
        <v>0</v>
      </c>
      <c r="N125" s="12">
        <v>8</v>
      </c>
      <c r="O125" s="12">
        <f t="shared" ref="O125:O151" si="79">12-N125</f>
        <v>4</v>
      </c>
      <c r="P125" s="11">
        <f>LOOKUP(O125,{0,1.6,1.8,2,2.2,2.4,2.6,2.8,3,3.2,3.4,3.6,3.8,4,4.2,4.4,4.6,4.7,4.8,4.9,5},{0,10,20,30,40,50,60,62,64,66,68,70,72,74,76,78,80,85,90,95,100})</f>
        <v>74</v>
      </c>
      <c r="Q125" s="12">
        <v>4.36</v>
      </c>
      <c r="R125" s="12">
        <f t="shared" si="76"/>
        <v>5.64</v>
      </c>
      <c r="S125" s="11">
        <f>LOOKUP(R125,{0,3.8,4,4.6,4.8,5,5.6,5.65,5.7,5.75,5.8,5.85,5.9,5.95,6,6.45,6.5,6.58,6.65,6.7,6.75},{0,10,20,30,40,50,60,62,64,66,68,70,72,74,76,78,80,85,90,95,100})</f>
        <v>60</v>
      </c>
      <c r="T125" s="12"/>
      <c r="U125" s="12"/>
      <c r="V125" s="12">
        <f t="shared" si="77"/>
        <v>60</v>
      </c>
      <c r="W125" s="12"/>
      <c r="X125" s="20">
        <f t="shared" si="69"/>
        <v>37.8</v>
      </c>
      <c r="Y125" s="20">
        <f t="shared" ref="Y125:Y136" si="80">X125/0.7+L125+U125</f>
        <v>54</v>
      </c>
    </row>
    <row r="126" ht="15.6" hidden="1" outlineLevel="2" spans="1:25">
      <c r="A126" s="12">
        <v>205</v>
      </c>
      <c r="B126" s="12">
        <v>13</v>
      </c>
      <c r="C126" s="6" t="s">
        <v>226</v>
      </c>
      <c r="D126" s="6" t="s">
        <v>11</v>
      </c>
      <c r="E126" s="12">
        <v>14</v>
      </c>
      <c r="F126" s="11">
        <f>LOOKUP(E126,{0,-2.9,-1.9,-0.9,0.1,1.1,2.1,3.5,4.9,6.3,7.7,9.1,10.5,11.9,13.3,14.7,16.1,18.3,20.5,22.4,24.3},{0,10,20,30,40,50,60,62,64,66,68,70,72,74,76,78,80,85,90,95,100})</f>
        <v>76</v>
      </c>
      <c r="G126" s="12">
        <v>223</v>
      </c>
      <c r="H126" s="11">
        <f>LOOKUP(G126,{0,175,180,185,190,195,200,204,208,212,216,220,224,228,232,236,240,248,255,260,265},{0,10,20,30,40,50,60,62,64,66,68,70,72,74,76,78,80,85,90,95,100})</f>
        <v>70</v>
      </c>
      <c r="I126" s="12">
        <v>5</v>
      </c>
      <c r="J126" s="11">
        <f>LOOKUP(I126,{0,3,4,5,6,7,8,9,10,11,12,13,14,15,16,17},{0,10,20,30,40,50,60,64,68,72,76,80,85,90,95,100})</f>
        <v>30</v>
      </c>
      <c r="K126" s="12"/>
      <c r="L126" s="12"/>
      <c r="M126" s="12">
        <f t="shared" si="74"/>
        <v>30</v>
      </c>
      <c r="N126" s="12">
        <v>7.3</v>
      </c>
      <c r="O126" s="12">
        <f t="shared" si="79"/>
        <v>4.7</v>
      </c>
      <c r="P126" s="11">
        <f>LOOKUP(O126,{0,1.6,1.8,2,2.2,2.4,2.6,2.8,3,3.2,3.4,3.6,3.8,4,4.2,4.4,4.6,4.7,4.8,4.9,5},{0,10,20,30,40,50,60,62,64,66,68,70,72,74,76,78,80,85,90,95,100})</f>
        <v>85</v>
      </c>
      <c r="Q126" s="12">
        <v>4.14</v>
      </c>
      <c r="R126" s="12">
        <f t="shared" si="76"/>
        <v>5.86</v>
      </c>
      <c r="S126" s="11">
        <f>LOOKUP(R126,{0,3.8,4,4.6,4.8,5,5.6,5.65,5.7,5.75,5.8,5.85,5.9,5.95,6,6.45,6.5,6.58,6.65,6.7,6.75},{0,10,20,30,40,50,60,62,64,66,68,70,72,74,76,78,80,85,90,95,100})</f>
        <v>70</v>
      </c>
      <c r="T126" s="12"/>
      <c r="U126" s="12"/>
      <c r="V126" s="12">
        <f t="shared" si="77"/>
        <v>70</v>
      </c>
      <c r="W126" s="12"/>
      <c r="X126" s="20">
        <f t="shared" si="69"/>
        <v>48.6</v>
      </c>
      <c r="Y126" s="20">
        <f t="shared" si="80"/>
        <v>69.4285714285714</v>
      </c>
    </row>
    <row r="127" ht="15.6" hidden="1" outlineLevel="2" spans="1:25">
      <c r="A127" s="12">
        <v>205</v>
      </c>
      <c r="B127" s="12">
        <v>14</v>
      </c>
      <c r="C127" s="6" t="s">
        <v>227</v>
      </c>
      <c r="D127" s="6" t="s">
        <v>11</v>
      </c>
      <c r="E127" s="12">
        <v>22.5</v>
      </c>
      <c r="F127" s="11">
        <f>LOOKUP(E127,{0,-2.9,-1.9,-0.9,0.1,1.1,2.1,3.5,4.9,6.3,7.7,9.1,10.5,11.9,13.3,14.7,16.1,18.3,20.5,22.4,24.3},{0,10,20,30,40,50,60,62,64,66,68,70,72,74,76,78,80,85,90,95,100})</f>
        <v>95</v>
      </c>
      <c r="G127" s="12">
        <v>247</v>
      </c>
      <c r="H127" s="11">
        <f>LOOKUP(G127,{0,175,180,185,190,195,200,204,208,212,216,220,224,228,232,236,240,248,255,260,265},{0,10,20,30,40,50,60,62,64,66,68,70,72,74,76,78,80,85,90,95,100})</f>
        <v>80</v>
      </c>
      <c r="I127" s="12">
        <v>8</v>
      </c>
      <c r="J127" s="11">
        <f>LOOKUP(I127,{0,3,4,5,6,7,8,9,10,11,12,13,14,15,16,17},{0,10,20,30,40,50,60,64,68,72,76,80,85,90,95,100})</f>
        <v>60</v>
      </c>
      <c r="K127" s="12"/>
      <c r="L127" s="15"/>
      <c r="M127" s="12">
        <f t="shared" si="74"/>
        <v>60</v>
      </c>
      <c r="N127" s="12">
        <v>7.4</v>
      </c>
      <c r="O127" s="12">
        <f t="shared" si="79"/>
        <v>4.6</v>
      </c>
      <c r="P127" s="11">
        <f>LOOKUP(O127,{0,1.6,1.8,2,2.2,2.4,2.6,2.8,3,3.2,3.4,3.6,3.8,4,4.2,4.4,4.6,4.7,4.8,4.9,5},{0,10,20,30,40,50,60,62,64,66,68,70,72,74,76,78,80,85,90,95,100})</f>
        <v>80</v>
      </c>
      <c r="Q127" s="12">
        <v>3.22</v>
      </c>
      <c r="R127" s="12">
        <f t="shared" si="76"/>
        <v>6.78</v>
      </c>
      <c r="S127" s="11">
        <f>LOOKUP(R127,{0,3.8,4,4.6,4.8,5,5.6,5.65,5.7,5.75,5.8,5.85,5.9,5.95,6,6.45,6.5,6.58,6.65,6.7,6.75},{0,10,20,30,40,50,60,62,64,66,68,70,72,74,76,78,80,85,90,95,100})</f>
        <v>100</v>
      </c>
      <c r="T127" s="12">
        <f>3.25-Q127</f>
        <v>0.0299999999999998</v>
      </c>
      <c r="U127" s="11">
        <f>LOOKUP(T127,{0,0.04,0.08,0.12,0.16,0.2,0.23,0.26,0.29,0.32,0.35},{0,1,2,3,4,5,6,7,8,9,10})</f>
        <v>0</v>
      </c>
      <c r="V127" s="12">
        <f t="shared" si="77"/>
        <v>100</v>
      </c>
      <c r="W127" s="12"/>
      <c r="X127" s="20">
        <f t="shared" si="69"/>
        <v>59.5</v>
      </c>
      <c r="Y127" s="20">
        <f t="shared" si="80"/>
        <v>85</v>
      </c>
    </row>
    <row r="128" ht="15.6" hidden="1" outlineLevel="2" spans="1:25">
      <c r="A128" s="12">
        <v>205</v>
      </c>
      <c r="B128" s="12">
        <v>15</v>
      </c>
      <c r="C128" s="6" t="s">
        <v>228</v>
      </c>
      <c r="D128" s="6" t="s">
        <v>11</v>
      </c>
      <c r="E128" s="12">
        <v>2</v>
      </c>
      <c r="F128" s="11">
        <f>LOOKUP(E128,{0,-2.9,-1.9,-0.9,0.1,1.1,2.1,3.5,4.9,6.3,7.7,9.1,10.5,11.9,13.3,14.7,16.1,18.3,20.5,22.4,24.3},{0,10,20,30,40,50,60,62,64,66,68,70,72,74,76,78,80,85,90,95,100})</f>
        <v>50</v>
      </c>
      <c r="G128" s="12">
        <v>210</v>
      </c>
      <c r="H128" s="11">
        <f>LOOKUP(G128,{0,175,180,185,190,195,200,204,208,212,216,220,224,228,232,236,240,248,255,260,265},{0,10,20,30,40,50,60,62,64,66,68,70,72,74,76,78,80,85,90,95,100})</f>
        <v>64</v>
      </c>
      <c r="I128" s="12">
        <v>5</v>
      </c>
      <c r="J128" s="11">
        <f>LOOKUP(I128,{0,3,4,5,6,7,8,9,10,11,12,13,14,15,16,17},{0,10,20,30,40,50,60,64,68,72,76,80,85,90,95,100})</f>
        <v>30</v>
      </c>
      <c r="K128" s="12"/>
      <c r="L128" s="12"/>
      <c r="M128" s="12">
        <f t="shared" si="74"/>
        <v>30</v>
      </c>
      <c r="N128" s="12">
        <v>7.4</v>
      </c>
      <c r="O128" s="12">
        <f t="shared" si="79"/>
        <v>4.6</v>
      </c>
      <c r="P128" s="11">
        <f>LOOKUP(O128,{0,1.6,1.8,2,2.2,2.4,2.6,2.8,3,3.2,3.4,3.6,3.8,4,4.2,4.4,4.6,4.7,4.8,4.9,5},{0,10,20,30,40,50,60,62,64,66,68,70,72,74,76,78,80,85,90,95,100})</f>
        <v>80</v>
      </c>
      <c r="Q128" s="12">
        <v>4.09</v>
      </c>
      <c r="R128" s="12">
        <f t="shared" si="76"/>
        <v>5.91</v>
      </c>
      <c r="S128" s="11">
        <f>LOOKUP(R128,{0,3.8,4,4.6,4.8,5,5.6,5.65,5.7,5.75,5.8,5.85,5.9,5.95,6,6.45,6.5,6.58,6.65,6.7,6.75},{0,10,20,30,40,50,60,62,64,66,68,70,72,74,76,78,80,85,90,95,100})</f>
        <v>72</v>
      </c>
      <c r="T128" s="12"/>
      <c r="U128" s="12"/>
      <c r="V128" s="12">
        <f t="shared" si="77"/>
        <v>72</v>
      </c>
      <c r="W128" s="12"/>
      <c r="X128" s="20">
        <f t="shared" si="69"/>
        <v>44.8</v>
      </c>
      <c r="Y128" s="20">
        <f t="shared" si="80"/>
        <v>64</v>
      </c>
    </row>
    <row r="129" ht="15.6" hidden="1" outlineLevel="2" spans="1:25">
      <c r="A129" s="12">
        <v>205</v>
      </c>
      <c r="B129" s="12">
        <v>16</v>
      </c>
      <c r="C129" s="6" t="s">
        <v>229</v>
      </c>
      <c r="D129" s="6" t="s">
        <v>11</v>
      </c>
      <c r="E129" s="12">
        <v>24.5</v>
      </c>
      <c r="F129" s="11">
        <f>LOOKUP(E129,{0,-2.9,-1.9,-0.9,0.1,1.1,2.1,3.5,4.9,6.3,7.7,9.1,10.5,11.9,13.3,14.7,16.1,18.3,20.5,22.4,24.3},{0,10,20,30,40,50,60,62,64,66,68,70,72,74,76,78,80,85,90,95,100})</f>
        <v>100</v>
      </c>
      <c r="G129" s="12">
        <v>250</v>
      </c>
      <c r="H129" s="11">
        <f>LOOKUP(G129,{0,175,180,185,190,195,200,204,208,212,216,220,224,228,232,236,240,248,255,260,265},{0,10,20,30,40,50,60,62,64,66,68,70,72,74,76,78,80,85,90,95,100})</f>
        <v>85</v>
      </c>
      <c r="I129" s="12">
        <v>1</v>
      </c>
      <c r="J129" s="11">
        <f>LOOKUP(I129,{0,3,4,5,6,7,8,9,10,11,12,13,14,15,16,17},{0,10,20,30,40,50,60,64,68,72,76,80,85,90,95,100})</f>
        <v>0</v>
      </c>
      <c r="K129" s="12"/>
      <c r="L129" s="12"/>
      <c r="M129" s="12">
        <f t="shared" si="74"/>
        <v>0</v>
      </c>
      <c r="N129" s="12">
        <v>7.2</v>
      </c>
      <c r="O129" s="12">
        <f t="shared" si="79"/>
        <v>4.8</v>
      </c>
      <c r="P129" s="11">
        <f>LOOKUP(O129,{0,1.6,1.8,2,2.2,2.4,2.6,2.8,3,3.2,3.4,3.6,3.8,4,4.2,4.4,4.6,4.7,4.8,4.9,5},{0,10,20,30,40,50,60,62,64,66,68,70,72,74,76,78,80,85,90,95,100})</f>
        <v>90</v>
      </c>
      <c r="Q129" s="12">
        <v>4.02</v>
      </c>
      <c r="R129" s="12">
        <f t="shared" si="76"/>
        <v>5.98</v>
      </c>
      <c r="S129" s="11">
        <f>LOOKUP(R129,{0,3.8,4,4.6,4.8,5,5.6,5.65,5.7,5.75,5.8,5.85,5.9,5.95,6,6.45,6.5,6.58,6.65,6.7,6.75},{0,10,20,30,40,50,60,62,64,66,68,70,72,74,76,78,80,85,90,95,100})</f>
        <v>74</v>
      </c>
      <c r="T129" s="12"/>
      <c r="U129" s="12"/>
      <c r="V129" s="12">
        <f t="shared" si="77"/>
        <v>74</v>
      </c>
      <c r="W129" s="12"/>
      <c r="X129" s="20">
        <f t="shared" si="69"/>
        <v>51.3</v>
      </c>
      <c r="Y129" s="20">
        <f t="shared" si="80"/>
        <v>73.2857142857143</v>
      </c>
    </row>
    <row r="130" ht="15.6" hidden="1" outlineLevel="2" spans="1:25">
      <c r="A130" s="12">
        <v>205</v>
      </c>
      <c r="B130" s="12">
        <v>17</v>
      </c>
      <c r="C130" s="6" t="s">
        <v>230</v>
      </c>
      <c r="D130" s="6" t="s">
        <v>11</v>
      </c>
      <c r="E130" s="12">
        <v>7.5</v>
      </c>
      <c r="F130" s="11">
        <f>LOOKUP(E130,{0,-2.9,-1.9,-0.9,0.1,1.1,2.1,3.5,4.9,6.3,7.7,9.1,10.5,11.9,13.3,14.7,16.1,18.3,20.5,22.4,24.3},{0,10,20,30,40,50,60,62,64,66,68,70,72,74,76,78,80,85,90,95,100})</f>
        <v>66</v>
      </c>
      <c r="G130" s="12">
        <v>237</v>
      </c>
      <c r="H130" s="11">
        <f>LOOKUP(G130,{0,175,180,185,190,195,200,204,208,212,216,220,224,228,232,236,240,248,255,260,265},{0,10,20,30,40,50,60,62,64,66,68,70,72,74,76,78,80,85,90,95,100})</f>
        <v>78</v>
      </c>
      <c r="I130" s="12">
        <v>12</v>
      </c>
      <c r="J130" s="11">
        <f>LOOKUP(I130,{0,3,4,5,6,7,8,9,10,11,12,13,14,15,16,17},{0,10,20,30,40,50,60,64,68,72,76,80,85,90,95,100})</f>
        <v>76</v>
      </c>
      <c r="K130" s="12"/>
      <c r="L130" s="12"/>
      <c r="M130" s="12">
        <f t="shared" si="74"/>
        <v>76</v>
      </c>
      <c r="N130" s="12">
        <v>6.9</v>
      </c>
      <c r="O130" s="12">
        <f t="shared" si="79"/>
        <v>5.1</v>
      </c>
      <c r="P130" s="11">
        <f>LOOKUP(O130,{0,1.6,1.8,2,2.2,2.4,2.6,2.8,3,3.2,3.4,3.6,3.8,4,4.2,4.4,4.6,4.7,4.8,4.9,5},{0,10,20,30,40,50,60,62,64,66,68,70,72,74,76,78,80,85,90,95,100})</f>
        <v>100</v>
      </c>
      <c r="Q130" s="12">
        <v>3.54</v>
      </c>
      <c r="R130" s="12">
        <f t="shared" si="76"/>
        <v>6.46</v>
      </c>
      <c r="S130" s="11">
        <f>LOOKUP(R130,{0,3.8,4,4.6,4.8,5,5.6,5.65,5.7,5.75,5.8,5.85,5.9,5.95,6,6.45,6.5,6.58,6.65,6.7,6.75},{0,10,20,30,40,50,60,62,64,66,68,70,72,74,76,78,80,85,90,95,100})</f>
        <v>78</v>
      </c>
      <c r="T130" s="12"/>
      <c r="U130" s="12"/>
      <c r="V130" s="12">
        <f t="shared" si="77"/>
        <v>78</v>
      </c>
      <c r="W130" s="12"/>
      <c r="X130" s="20">
        <f t="shared" si="69"/>
        <v>57.6</v>
      </c>
      <c r="Y130" s="20">
        <f t="shared" si="80"/>
        <v>82.2857142857143</v>
      </c>
    </row>
    <row r="131" ht="15.6" hidden="1" outlineLevel="2" spans="1:25">
      <c r="A131" s="12">
        <v>205</v>
      </c>
      <c r="B131" s="12">
        <v>18</v>
      </c>
      <c r="C131" s="6" t="s">
        <v>231</v>
      </c>
      <c r="D131" s="6" t="s">
        <v>11</v>
      </c>
      <c r="E131" s="12">
        <v>3</v>
      </c>
      <c r="F131" s="11">
        <f>LOOKUP(E131,{0,-2.9,-1.9,-0.9,0.1,1.1,2.1,3.5,4.9,6.3,7.7,9.1,10.5,11.9,13.3,14.7,16.1,18.3,20.5,22.4,24.3},{0,10,20,30,40,50,60,62,64,66,68,70,72,74,76,78,80,85,90,95,100})</f>
        <v>60</v>
      </c>
      <c r="G131" s="12">
        <v>250</v>
      </c>
      <c r="H131" s="11">
        <f>LOOKUP(G131,{0,175,180,185,190,195,200,204,208,212,216,220,224,228,232,236,240,248,255,260,265},{0,10,20,30,40,50,60,62,64,66,68,70,72,74,76,78,80,85,90,95,100})</f>
        <v>85</v>
      </c>
      <c r="I131" s="12">
        <v>13</v>
      </c>
      <c r="J131" s="11">
        <f>LOOKUP(I131,{0,3,4,5,6,7,8,9,10,11,12,13,14,15,16,17},{0,10,20,30,40,50,60,64,68,72,76,80,85,90,95,100})</f>
        <v>80</v>
      </c>
      <c r="K131" s="12"/>
      <c r="L131" s="12"/>
      <c r="M131" s="12">
        <f t="shared" si="74"/>
        <v>80</v>
      </c>
      <c r="N131" s="12">
        <v>7.1</v>
      </c>
      <c r="O131" s="12">
        <f t="shared" si="79"/>
        <v>4.9</v>
      </c>
      <c r="P131" s="11">
        <f>LOOKUP(O131,{0,1.6,1.8,2,2.2,2.4,2.6,2.8,3,3.2,3.4,3.6,3.8,4,4.2,4.4,4.6,4.7,4.8,4.9,5},{0,10,20,30,40,50,60,62,64,66,68,70,72,74,76,78,80,85,90,95,100})</f>
        <v>95</v>
      </c>
      <c r="Q131" s="12">
        <v>3.38</v>
      </c>
      <c r="R131" s="12">
        <f t="shared" si="76"/>
        <v>6.62</v>
      </c>
      <c r="S131" s="11">
        <f>LOOKUP(R131,{0,3.8,4,4.6,4.8,5,5.6,5.65,5.7,5.75,5.8,5.85,5.9,5.95,6,6.45,6.5,6.58,6.65,6.7,6.75},{0,10,20,30,40,50,60,62,64,66,68,70,72,74,76,78,80,85,90,95,100})</f>
        <v>85</v>
      </c>
      <c r="T131" s="12"/>
      <c r="U131" s="12"/>
      <c r="V131" s="12">
        <f t="shared" si="77"/>
        <v>85</v>
      </c>
      <c r="W131" s="12"/>
      <c r="X131" s="20">
        <f t="shared" si="69"/>
        <v>58.5</v>
      </c>
      <c r="Y131" s="20">
        <f t="shared" si="80"/>
        <v>83.5714285714286</v>
      </c>
    </row>
    <row r="132" ht="15.6" hidden="1" outlineLevel="2" spans="1:25">
      <c r="A132" s="12">
        <v>205</v>
      </c>
      <c r="B132" s="12">
        <v>19</v>
      </c>
      <c r="C132" s="6" t="s">
        <v>232</v>
      </c>
      <c r="D132" s="6" t="s">
        <v>11</v>
      </c>
      <c r="E132" s="12">
        <v>17</v>
      </c>
      <c r="F132" s="11">
        <f>LOOKUP(E132,{0,-2.9,-1.9,-0.9,0.1,1.1,2.1,3.5,4.9,6.3,7.7,9.1,10.5,11.9,13.3,14.7,16.1,18.3,20.5,22.4,24.3},{0,10,20,30,40,50,60,62,64,66,68,70,72,74,76,78,80,85,90,95,100})</f>
        <v>80</v>
      </c>
      <c r="G132" s="12">
        <v>225</v>
      </c>
      <c r="H132" s="11">
        <f>LOOKUP(G132,{0,175,180,185,190,195,200,204,208,212,216,220,224,228,232,236,240,248,255,260,265},{0,10,20,30,40,50,60,62,64,66,68,70,72,74,76,78,80,85,90,95,100})</f>
        <v>72</v>
      </c>
      <c r="I132" s="12">
        <v>17</v>
      </c>
      <c r="J132" s="11">
        <f>LOOKUP(I132,{0,3,4,5,6,7,8,9,10,11,12,13,14,15,16,17},{0,10,20,30,40,50,60,64,68,72,76,80,85,90,95,100})</f>
        <v>100</v>
      </c>
      <c r="K132" s="12">
        <f>I132-17</f>
        <v>0</v>
      </c>
      <c r="L132" s="16">
        <f>LOOKUP(K132,{0,1,2,3,4,5,6,7,8,9,10},{0,1,2,3,4,5,6,7,8,9,10})</f>
        <v>0</v>
      </c>
      <c r="M132" s="12">
        <f t="shared" si="74"/>
        <v>100</v>
      </c>
      <c r="N132" s="12">
        <v>7.2</v>
      </c>
      <c r="O132" s="12">
        <f t="shared" si="79"/>
        <v>4.8</v>
      </c>
      <c r="P132" s="11">
        <f>LOOKUP(O132,{0,1.6,1.8,2,2.2,2.4,2.6,2.8,3,3.2,3.4,3.6,3.8,4,4.2,4.4,4.6,4.7,4.8,4.9,5},{0,10,20,30,40,50,60,62,64,66,68,70,72,74,76,78,80,85,90,95,100})</f>
        <v>90</v>
      </c>
      <c r="Q132" s="12">
        <v>4.12</v>
      </c>
      <c r="R132" s="12">
        <f t="shared" si="76"/>
        <v>5.88</v>
      </c>
      <c r="S132" s="11">
        <f>LOOKUP(R132,{0,3.8,4,4.6,4.8,5,5.6,5.65,5.7,5.75,5.8,5.85,5.9,5.95,6,6.45,6.5,6.58,6.65,6.7,6.75},{0,10,20,30,40,50,60,62,64,66,68,70,72,74,76,78,80,85,90,95,100})</f>
        <v>70</v>
      </c>
      <c r="T132" s="12"/>
      <c r="U132" s="12"/>
      <c r="V132" s="12">
        <f t="shared" si="77"/>
        <v>70</v>
      </c>
      <c r="W132" s="12"/>
      <c r="X132" s="20">
        <f t="shared" si="69"/>
        <v>57.2</v>
      </c>
      <c r="Y132" s="20">
        <f t="shared" si="80"/>
        <v>81.7142857142857</v>
      </c>
    </row>
    <row r="133" ht="15.6" hidden="1" outlineLevel="2" spans="1:25">
      <c r="A133" s="12">
        <v>205</v>
      </c>
      <c r="B133" s="12">
        <v>20</v>
      </c>
      <c r="C133" s="6" t="s">
        <v>233</v>
      </c>
      <c r="D133" s="6" t="s">
        <v>11</v>
      </c>
      <c r="E133" s="12">
        <v>8</v>
      </c>
      <c r="F133" s="11">
        <f>LOOKUP(E133,{0,-2.9,-1.9,-0.9,0.1,1.1,2.1,3.5,4.9,6.3,7.7,9.1,10.5,11.9,13.3,14.7,16.1,18.3,20.5,22.4,24.3},{0,10,20,30,40,50,60,62,64,66,68,70,72,74,76,78,80,85,90,95,100})</f>
        <v>68</v>
      </c>
      <c r="G133" s="12">
        <v>265</v>
      </c>
      <c r="H133" s="11">
        <f>LOOKUP(G133,{0,175,180,185,190,195,200,204,208,212,216,220,224,228,232,236,240,248,255,260,265},{0,10,20,30,40,50,60,62,64,66,68,70,72,74,76,78,80,85,90,95,100})</f>
        <v>100</v>
      </c>
      <c r="I133" s="12">
        <v>8</v>
      </c>
      <c r="J133" s="11">
        <f>LOOKUP(I133,{0,3,4,5,6,7,8,9,10,11,12,13,14,15,16,17},{0,10,20,30,40,50,60,64,68,72,76,80,85,90,95,100})</f>
        <v>60</v>
      </c>
      <c r="K133" s="12"/>
      <c r="L133" s="12"/>
      <c r="M133" s="12">
        <f t="shared" si="74"/>
        <v>60</v>
      </c>
      <c r="N133" s="12">
        <v>7</v>
      </c>
      <c r="O133" s="12">
        <f t="shared" si="79"/>
        <v>5</v>
      </c>
      <c r="P133" s="11">
        <f>LOOKUP(O133,{0,1.6,1.8,2,2.2,2.4,2.6,2.8,3,3.2,3.4,3.6,3.8,4,4.2,4.4,4.6,4.7,4.8,4.9,5},{0,10,20,30,40,50,60,62,64,66,68,70,72,74,76,78,80,85,90,95,100})</f>
        <v>100</v>
      </c>
      <c r="Q133" s="12">
        <v>4.03</v>
      </c>
      <c r="R133" s="12">
        <f t="shared" si="76"/>
        <v>5.97</v>
      </c>
      <c r="S133" s="11">
        <f>LOOKUP(R133,{0,3.8,4,4.6,4.8,5,5.6,5.65,5.7,5.75,5.8,5.85,5.9,5.95,6,6.45,6.5,6.58,6.65,6.7,6.75},{0,10,20,30,40,50,60,62,64,66,68,70,72,74,76,78,80,85,90,95,100})</f>
        <v>74</v>
      </c>
      <c r="T133" s="12"/>
      <c r="U133" s="12"/>
      <c r="V133" s="12">
        <f t="shared" si="77"/>
        <v>74</v>
      </c>
      <c r="W133" s="12"/>
      <c r="X133" s="20">
        <f t="shared" si="69"/>
        <v>57.6</v>
      </c>
      <c r="Y133" s="20">
        <f t="shared" si="80"/>
        <v>82.2857142857143</v>
      </c>
    </row>
    <row r="134" ht="15.6" hidden="1" outlineLevel="2" spans="1:25">
      <c r="A134" s="12">
        <v>205</v>
      </c>
      <c r="B134" s="12">
        <v>21</v>
      </c>
      <c r="C134" s="13" t="s">
        <v>235</v>
      </c>
      <c r="D134" s="6" t="s">
        <v>11</v>
      </c>
      <c r="E134" s="12">
        <v>-7</v>
      </c>
      <c r="F134" s="11">
        <v>0</v>
      </c>
      <c r="G134" s="12">
        <v>237</v>
      </c>
      <c r="H134" s="11">
        <f>LOOKUP(G134,{0,175,180,185,190,195,200,204,208,212,216,220,224,228,232,236,240,248,255,260,265},{0,10,20,30,40,50,60,62,64,66,68,70,72,74,76,78,80,85,90,95,100})</f>
        <v>78</v>
      </c>
      <c r="I134" s="12">
        <v>2</v>
      </c>
      <c r="J134" s="11">
        <f>LOOKUP(I134,{0,3,4,5,6,7,8,9,10,11,12,13,14,15,16,17},{0,10,20,30,40,50,60,64,68,72,76,80,85,90,95,100})</f>
        <v>0</v>
      </c>
      <c r="K134" s="12"/>
      <c r="L134" s="12"/>
      <c r="M134" s="12">
        <f t="shared" si="74"/>
        <v>0</v>
      </c>
      <c r="N134" s="12">
        <v>7.5</v>
      </c>
      <c r="O134" s="12">
        <f t="shared" si="79"/>
        <v>4.5</v>
      </c>
      <c r="P134" s="11">
        <f>LOOKUP(O134,{0,1.6,1.8,2,2.2,2.4,2.6,2.8,3,3.2,3.4,3.6,3.8,4,4.2,4.4,4.6,4.7,4.8,4.9,5},{0,10,20,30,40,50,60,62,64,66,68,70,72,74,76,78,80,85,90,95,100})</f>
        <v>78</v>
      </c>
      <c r="Q134" s="12">
        <v>4.1</v>
      </c>
      <c r="R134" s="12">
        <f t="shared" si="76"/>
        <v>5.9</v>
      </c>
      <c r="S134" s="11">
        <f>LOOKUP(R134,{0,3.8,4,4.6,4.8,5,5.6,5.65,5.7,5.75,5.8,5.85,5.9,5.95,6,6.45,6.5,6.58,6.65,6.7,6.75},{0,10,20,30,40,50,60,62,64,66,68,70,72,74,76,78,80,85,90,95,100})</f>
        <v>72</v>
      </c>
      <c r="T134" s="12"/>
      <c r="U134" s="12"/>
      <c r="V134" s="12">
        <f t="shared" si="77"/>
        <v>72</v>
      </c>
      <c r="W134" s="12"/>
      <c r="X134" s="20">
        <f t="shared" si="69"/>
        <v>37.8</v>
      </c>
      <c r="Y134" s="20">
        <f t="shared" si="80"/>
        <v>54</v>
      </c>
    </row>
    <row r="135" s="1" customFormat="1" ht="15.6" hidden="1" outlineLevel="2" spans="1:25">
      <c r="A135" s="12">
        <v>205</v>
      </c>
      <c r="B135" s="12">
        <v>22</v>
      </c>
      <c r="C135" s="6" t="s">
        <v>236</v>
      </c>
      <c r="D135" s="6" t="s">
        <v>11</v>
      </c>
      <c r="E135" s="12"/>
      <c r="F135" s="11"/>
      <c r="G135" s="12">
        <v>236</v>
      </c>
      <c r="H135" s="11">
        <f>LOOKUP(G135,{0,175,180,185,190,195,200,204,208,212,216,220,224,228,232,236,240,248,255,260,265},{0,10,20,30,40,50,60,62,64,66,68,70,72,74,76,78,80,85,90,95,100})</f>
        <v>78</v>
      </c>
      <c r="I135" s="12">
        <v>15</v>
      </c>
      <c r="J135" s="11">
        <f>LOOKUP(I135,{0,3,4,5,6,7,8,9,10,11,12,13,14,15,16,17},{0,10,20,30,40,50,60,64,68,72,76,80,85,90,95,100})</f>
        <v>90</v>
      </c>
      <c r="K135" s="12"/>
      <c r="L135" s="15"/>
      <c r="M135" s="12">
        <f t="shared" si="74"/>
        <v>90</v>
      </c>
      <c r="N135" s="12">
        <v>7</v>
      </c>
      <c r="O135" s="12">
        <f t="shared" si="79"/>
        <v>5</v>
      </c>
      <c r="P135" s="11">
        <f>LOOKUP(O135,{0,1.6,1.8,2,2.2,2.4,2.6,2.8,3,3.2,3.4,3.6,3.8,4,4.2,4.4,4.6,4.7,4.8,4.9,5},{0,10,20,30,40,50,60,62,64,66,68,70,72,74,76,78,80,85,90,95,100})</f>
        <v>100</v>
      </c>
      <c r="Q135" s="12">
        <v>4.1</v>
      </c>
      <c r="R135" s="12">
        <f t="shared" si="76"/>
        <v>5.9</v>
      </c>
      <c r="S135" s="11">
        <f>LOOKUP(R135,{0,3.8,4,4.6,4.8,5,5.6,5.65,5.7,5.75,5.8,5.85,5.9,5.95,6,6.45,6.5,6.58,6.65,6.7,6.75},{0,10,20,30,40,50,60,62,64,66,68,70,72,74,76,78,80,85,90,95,100})</f>
        <v>72</v>
      </c>
      <c r="T135" s="12"/>
      <c r="U135" s="12"/>
      <c r="V135" s="12">
        <f t="shared" si="77"/>
        <v>72</v>
      </c>
      <c r="W135" s="12" t="s">
        <v>146</v>
      </c>
      <c r="X135" s="20">
        <f t="shared" si="69"/>
        <v>51.2</v>
      </c>
      <c r="Y135" s="20">
        <f t="shared" si="80"/>
        <v>73.1428571428571</v>
      </c>
    </row>
    <row r="136" ht="15.6" hidden="1" outlineLevel="2" spans="1:25">
      <c r="A136" s="12">
        <v>205</v>
      </c>
      <c r="B136" s="12">
        <v>23</v>
      </c>
      <c r="C136" s="6" t="s">
        <v>237</v>
      </c>
      <c r="D136" s="6" t="s">
        <v>11</v>
      </c>
      <c r="E136" s="12">
        <v>18</v>
      </c>
      <c r="F136" s="11">
        <f>LOOKUP(E136,{0,-2.9,-1.9,-0.9,0.1,1.1,2.1,3.5,4.9,6.3,7.7,9.1,10.5,11.9,13.3,14.7,16.1,18.3,20.5,22.4,24.3},{0,10,20,30,40,50,60,62,64,66,68,70,72,74,76,78,80,85,90,95,100})</f>
        <v>80</v>
      </c>
      <c r="G136" s="12">
        <v>228</v>
      </c>
      <c r="H136" s="11">
        <f>LOOKUP(G136,{0,175,180,185,190,195,200,204,208,212,216,220,224,228,232,236,240,248,255,260,265},{0,10,20,30,40,50,60,62,64,66,68,70,72,74,76,78,80,85,90,95,100})</f>
        <v>74</v>
      </c>
      <c r="I136" s="12">
        <v>1</v>
      </c>
      <c r="J136" s="11">
        <f>LOOKUP(I136,{0,3,4,5,6,7,8,9,10,11,12,13,14,15,16,17},{0,10,20,30,40,50,60,64,68,72,76,80,85,90,95,100})</f>
        <v>0</v>
      </c>
      <c r="K136" s="12"/>
      <c r="L136" s="15"/>
      <c r="M136" s="12">
        <f t="shared" si="74"/>
        <v>0</v>
      </c>
      <c r="N136" s="12">
        <v>7.5</v>
      </c>
      <c r="O136" s="12">
        <f t="shared" si="79"/>
        <v>4.5</v>
      </c>
      <c r="P136" s="11">
        <f>LOOKUP(O136,{0,1.6,1.8,2,2.2,2.4,2.6,2.8,3,3.2,3.4,3.6,3.8,4,4.2,4.4,4.6,4.7,4.8,4.9,5},{0,10,20,30,40,50,60,62,64,66,68,70,72,74,76,78,80,85,90,95,100})</f>
        <v>78</v>
      </c>
      <c r="Q136" s="12">
        <v>3.57</v>
      </c>
      <c r="R136" s="12">
        <f t="shared" si="76"/>
        <v>6.43</v>
      </c>
      <c r="S136" s="11">
        <f>LOOKUP(R136,{0,3.8,4,4.6,4.8,5,5.6,5.65,5.7,5.75,5.8,5.85,5.9,5.95,6,6.45,6.5,6.58,6.65,6.7,6.75},{0,10,20,30,40,50,60,62,64,66,68,70,72,74,76,78,80,85,90,95,100})</f>
        <v>76</v>
      </c>
      <c r="T136" s="12"/>
      <c r="U136" s="12"/>
      <c r="V136" s="12">
        <f t="shared" si="77"/>
        <v>76</v>
      </c>
      <c r="W136" s="12"/>
      <c r="X136" s="20">
        <f t="shared" si="69"/>
        <v>46.2</v>
      </c>
      <c r="Y136" s="20">
        <f t="shared" si="80"/>
        <v>66</v>
      </c>
    </row>
    <row r="137" ht="15.6" hidden="1" outlineLevel="2" spans="1:25">
      <c r="A137" s="12">
        <v>205</v>
      </c>
      <c r="B137" s="12">
        <v>24</v>
      </c>
      <c r="C137" s="6" t="s">
        <v>238</v>
      </c>
      <c r="D137" s="6" t="s">
        <v>11</v>
      </c>
      <c r="E137" s="12"/>
      <c r="F137" s="11"/>
      <c r="G137" s="12"/>
      <c r="H137" s="11"/>
      <c r="I137" s="12"/>
      <c r="J137" s="11"/>
      <c r="K137" s="12"/>
      <c r="L137" s="15"/>
      <c r="M137" s="12"/>
      <c r="N137" s="12">
        <v>7.1</v>
      </c>
      <c r="O137" s="12">
        <f t="shared" si="79"/>
        <v>4.9</v>
      </c>
      <c r="P137" s="11">
        <f>LOOKUP(O137,{0,1.6,1.8,2,2.2,2.4,2.6,2.8,3,3.2,3.4,3.6,3.8,4,4.2,4.4,4.6,4.7,4.8,4.9,5},{0,10,20,30,40,50,60,62,64,66,68,70,72,74,76,78,80,85,90,95,100})</f>
        <v>95</v>
      </c>
      <c r="Q137" s="12"/>
      <c r="R137" s="12"/>
      <c r="S137" s="11"/>
      <c r="T137" s="12"/>
      <c r="U137" s="11"/>
      <c r="V137" s="12"/>
      <c r="W137" s="12" t="s">
        <v>14</v>
      </c>
      <c r="X137" s="20">
        <f t="shared" si="69"/>
        <v>19</v>
      </c>
      <c r="Y137" s="20">
        <v>50</v>
      </c>
    </row>
    <row r="138" ht="15.6" hidden="1" outlineLevel="2" spans="1:25">
      <c r="A138" s="12">
        <v>205</v>
      </c>
      <c r="B138" s="12">
        <v>25</v>
      </c>
      <c r="C138" s="6" t="s">
        <v>239</v>
      </c>
      <c r="D138" s="6" t="s">
        <v>11</v>
      </c>
      <c r="E138" s="12">
        <v>15.5</v>
      </c>
      <c r="F138" s="11">
        <f>LOOKUP(E138,{0,-2.9,-1.9,-0.9,0.1,1.1,2.1,3.5,4.9,6.3,7.7,9.1,10.5,11.9,13.3,14.7,16.1,18.3,20.5,22.4,24.3},{0,10,20,30,40,50,60,62,64,66,68,70,72,74,76,78,80,85,90,95,100})</f>
        <v>78</v>
      </c>
      <c r="G138" s="12">
        <v>272</v>
      </c>
      <c r="H138" s="11">
        <f>LOOKUP(G138,{0,175,180,185,190,195,200,204,208,212,216,220,224,228,232,236,240,248,255,260,265},{0,10,20,30,40,50,60,62,64,66,68,70,72,74,76,78,80,85,90,95,100})</f>
        <v>100</v>
      </c>
      <c r="I138" s="12">
        <v>10</v>
      </c>
      <c r="J138" s="11">
        <f>LOOKUP(I138,{0,3,4,5,6,7,8,9,10,11,12,13,14,15,16,17},{0,10,20,30,40,50,60,64,68,72,76,80,85,90,95,100})</f>
        <v>68</v>
      </c>
      <c r="K138" s="12"/>
      <c r="L138" s="15"/>
      <c r="M138" s="12">
        <f t="shared" ref="M138:M152" si="81">J138+L138</f>
        <v>68</v>
      </c>
      <c r="N138" s="12">
        <v>6.9</v>
      </c>
      <c r="O138" s="12">
        <f t="shared" si="79"/>
        <v>5.1</v>
      </c>
      <c r="P138" s="11">
        <f>LOOKUP(O138,{0,1.6,1.8,2,2.2,2.4,2.6,2.8,3,3.2,3.4,3.6,3.8,4,4.2,4.4,4.6,4.7,4.8,4.9,5},{0,10,20,30,40,50,60,62,64,66,68,70,72,74,76,78,80,85,90,95,100})</f>
        <v>100</v>
      </c>
      <c r="Q138" s="12">
        <v>3.3</v>
      </c>
      <c r="R138" s="12">
        <f t="shared" ref="R138:R152" si="82">10-Q138</f>
        <v>6.7</v>
      </c>
      <c r="S138" s="11">
        <f>LOOKUP(R138,{0,3.8,4,4.6,4.8,5,5.6,5.65,5.7,5.75,5.8,5.85,5.9,5.95,6,6.45,6.5,6.58,6.65,6.7,6.75},{0,10,20,30,40,50,60,62,64,66,68,70,72,74,76,78,80,85,90,95,100})</f>
        <v>95</v>
      </c>
      <c r="T138" s="12"/>
      <c r="U138" s="12"/>
      <c r="V138" s="12">
        <f t="shared" ref="V138:V152" si="83">S138+U138</f>
        <v>95</v>
      </c>
      <c r="W138" s="12"/>
      <c r="X138" s="20">
        <f t="shared" si="69"/>
        <v>63.6</v>
      </c>
      <c r="Y138" s="20">
        <f t="shared" ref="Y138:Y142" si="84">X138/0.7+L138+U138</f>
        <v>90.8571428571429</v>
      </c>
    </row>
    <row r="139" ht="15.6" hidden="1" outlineLevel="2" spans="1:25">
      <c r="A139" s="12">
        <v>205</v>
      </c>
      <c r="B139" s="12">
        <v>26</v>
      </c>
      <c r="C139" s="6" t="s">
        <v>240</v>
      </c>
      <c r="D139" s="6" t="s">
        <v>11</v>
      </c>
      <c r="E139" s="12">
        <v>20</v>
      </c>
      <c r="F139" s="11">
        <f>LOOKUP(E139,{0,-2.9,-1.9,-0.9,0.1,1.1,2.1,3.5,4.9,6.3,7.7,9.1,10.5,11.9,13.3,14.7,16.1,18.3,20.5,22.4,24.3},{0,10,20,30,40,50,60,62,64,66,68,70,72,74,76,78,80,85,90,95,100})</f>
        <v>85</v>
      </c>
      <c r="G139" s="12">
        <v>238</v>
      </c>
      <c r="H139" s="11">
        <f>LOOKUP(G139,{0,175,180,185,190,195,200,204,208,212,216,220,224,228,232,236,240,248,255,260,265},{0,10,20,30,40,50,60,62,64,66,68,70,72,74,76,78,80,85,90,95,100})</f>
        <v>78</v>
      </c>
      <c r="I139" s="12">
        <v>15</v>
      </c>
      <c r="J139" s="11">
        <f>LOOKUP(I139,{0,3,4,5,6,7,8,9,10,11,12,13,14,15,16,17},{0,10,20,30,40,50,60,64,68,72,76,80,85,90,95,100})</f>
        <v>90</v>
      </c>
      <c r="K139" s="12"/>
      <c r="L139" s="12"/>
      <c r="M139" s="12">
        <f t="shared" si="81"/>
        <v>90</v>
      </c>
      <c r="N139" s="12">
        <v>7.4</v>
      </c>
      <c r="O139" s="12">
        <f t="shared" si="79"/>
        <v>4.6</v>
      </c>
      <c r="P139" s="11">
        <f>LOOKUP(O139,{0,1.6,1.8,2,2.2,2.4,2.6,2.8,3,3.2,3.4,3.6,3.8,4,4.2,4.4,4.6,4.7,4.8,4.9,5},{0,10,20,30,40,50,60,62,64,66,68,70,72,74,76,78,80,85,90,95,100})</f>
        <v>80</v>
      </c>
      <c r="Q139" s="12">
        <v>4.04</v>
      </c>
      <c r="R139" s="12">
        <f t="shared" si="82"/>
        <v>5.96</v>
      </c>
      <c r="S139" s="11">
        <f>LOOKUP(R139,{0,3.8,4,4.6,4.8,5,5.6,5.65,5.7,5.75,5.8,5.85,5.9,5.95,6,6.45,6.5,6.58,6.65,6.7,6.75},{0,10,20,30,40,50,60,62,64,66,68,70,72,74,76,78,80,85,90,95,100})</f>
        <v>74</v>
      </c>
      <c r="T139" s="12"/>
      <c r="U139" s="12"/>
      <c r="V139" s="12">
        <f t="shared" si="83"/>
        <v>74</v>
      </c>
      <c r="W139" s="12"/>
      <c r="X139" s="20">
        <f t="shared" si="69"/>
        <v>56.1</v>
      </c>
      <c r="Y139" s="20">
        <f t="shared" si="84"/>
        <v>80.1428571428571</v>
      </c>
    </row>
    <row r="140" ht="15.6" hidden="1" outlineLevel="2" spans="1:25">
      <c r="A140" s="12">
        <v>205</v>
      </c>
      <c r="B140" s="12">
        <v>27</v>
      </c>
      <c r="C140" s="6" t="s">
        <v>241</v>
      </c>
      <c r="D140" s="6" t="s">
        <v>11</v>
      </c>
      <c r="E140" s="12">
        <v>15</v>
      </c>
      <c r="F140" s="11">
        <f>LOOKUP(E140,{0,-2.9,-1.9,-0.9,0.1,1.1,2.1,3.5,4.9,6.3,7.7,9.1,10.5,11.9,13.3,14.7,16.1,18.3,20.5,22.4,24.3},{0,10,20,30,40,50,60,62,64,66,68,70,72,74,76,78,80,85,90,95,100})</f>
        <v>78</v>
      </c>
      <c r="G140" s="12">
        <v>252</v>
      </c>
      <c r="H140" s="11">
        <f>LOOKUP(G140,{0,175,180,185,190,195,200,204,208,212,216,220,224,228,232,236,240,248,255,260,265},{0,10,20,30,40,50,60,62,64,66,68,70,72,74,76,78,80,85,90,95,100})</f>
        <v>85</v>
      </c>
      <c r="I140" s="12">
        <v>4</v>
      </c>
      <c r="J140" s="11">
        <f>LOOKUP(I140,{0,3,4,5,6,7,8,9,10,11,12,13,14,15,16,17},{0,10,20,30,40,50,60,64,68,72,76,80,85,90,95,100})</f>
        <v>20</v>
      </c>
      <c r="K140" s="12"/>
      <c r="L140" s="12"/>
      <c r="M140" s="12">
        <f t="shared" si="81"/>
        <v>20</v>
      </c>
      <c r="N140" s="12">
        <v>7</v>
      </c>
      <c r="O140" s="12">
        <f t="shared" si="79"/>
        <v>5</v>
      </c>
      <c r="P140" s="11">
        <f>LOOKUP(O140,{0,1.6,1.8,2,2.2,2.4,2.6,2.8,3,3.2,3.4,3.6,3.8,4,4.2,4.4,4.6,4.7,4.8,4.9,5},{0,10,20,30,40,50,60,62,64,66,68,70,72,74,76,78,80,85,90,95,100})</f>
        <v>100</v>
      </c>
      <c r="Q140" s="12">
        <v>4.05</v>
      </c>
      <c r="R140" s="12">
        <f t="shared" si="82"/>
        <v>5.95</v>
      </c>
      <c r="S140" s="11">
        <f>LOOKUP(R140,{0,3.8,4,4.6,4.8,5,5.6,5.65,5.7,5.75,5.8,5.85,5.9,5.95,6,6.45,6.5,6.58,6.65,6.7,6.75},{0,10,20,30,40,50,60,62,64,66,68,70,72,74,76,78,80,85,90,95,100})</f>
        <v>74</v>
      </c>
      <c r="T140" s="12"/>
      <c r="U140" s="12"/>
      <c r="V140" s="12">
        <f t="shared" si="83"/>
        <v>74</v>
      </c>
      <c r="W140" s="12"/>
      <c r="X140" s="20">
        <f t="shared" si="69"/>
        <v>53.1</v>
      </c>
      <c r="Y140" s="20">
        <f t="shared" si="84"/>
        <v>75.8571428571428</v>
      </c>
    </row>
    <row r="141" ht="15.6" hidden="1" outlineLevel="2" spans="1:25">
      <c r="A141" s="12">
        <v>205</v>
      </c>
      <c r="B141" s="12">
        <v>28</v>
      </c>
      <c r="C141" s="6" t="s">
        <v>242</v>
      </c>
      <c r="D141" s="6" t="s">
        <v>11</v>
      </c>
      <c r="E141" s="12">
        <v>15</v>
      </c>
      <c r="F141" s="11">
        <f>LOOKUP(E141,{0,-2.9,-1.9,-0.9,0.1,1.1,2.1,3.5,4.9,6.3,7.7,9.1,10.5,11.9,13.3,14.7,16.1,18.3,20.5,22.4,24.3},{0,10,20,30,40,50,60,62,64,66,68,70,72,74,76,78,80,85,90,95,100})</f>
        <v>78</v>
      </c>
      <c r="G141" s="12">
        <v>279</v>
      </c>
      <c r="H141" s="11">
        <f>LOOKUP(G141,{0,175,180,185,190,195,200,204,208,212,216,220,224,228,232,236,240,248,255,260,265},{0,10,20,30,40,50,60,62,64,66,68,70,72,74,76,78,80,85,90,95,100})</f>
        <v>100</v>
      </c>
      <c r="I141" s="12">
        <v>10</v>
      </c>
      <c r="J141" s="11">
        <f>LOOKUP(I141,{0,3,4,5,6,7,8,9,10,11,12,13,14,15,16,17},{0,10,20,30,40,50,60,64,68,72,76,80,85,90,95,100})</f>
        <v>68</v>
      </c>
      <c r="K141" s="12"/>
      <c r="L141" s="12"/>
      <c r="M141" s="12">
        <f t="shared" si="81"/>
        <v>68</v>
      </c>
      <c r="N141" s="12">
        <v>7.3</v>
      </c>
      <c r="O141" s="12">
        <f t="shared" si="79"/>
        <v>4.7</v>
      </c>
      <c r="P141" s="11">
        <f>LOOKUP(O141,{0,1.6,1.8,2,2.2,2.4,2.6,2.8,3,3.2,3.4,3.6,3.8,4,4.2,4.4,4.6,4.7,4.8,4.9,5},{0,10,20,30,40,50,60,62,64,66,68,70,72,74,76,78,80,85,90,95,100})</f>
        <v>85</v>
      </c>
      <c r="Q141" s="12">
        <v>3.36</v>
      </c>
      <c r="R141" s="12">
        <f t="shared" si="82"/>
        <v>6.64</v>
      </c>
      <c r="S141" s="11">
        <f>LOOKUP(R141,{0,3.8,4,4.6,4.8,5,5.6,5.65,5.7,5.75,5.8,5.85,5.9,5.95,6,6.45,6.5,6.58,6.65,6.7,6.75},{0,10,20,30,40,50,60,62,64,66,68,70,72,74,76,78,80,85,90,95,100})</f>
        <v>85</v>
      </c>
      <c r="T141" s="12"/>
      <c r="U141" s="12"/>
      <c r="V141" s="12">
        <f t="shared" si="83"/>
        <v>85</v>
      </c>
      <c r="W141" s="12"/>
      <c r="X141" s="20">
        <f t="shared" si="69"/>
        <v>58.6</v>
      </c>
      <c r="Y141" s="20">
        <f t="shared" si="84"/>
        <v>83.7142857142857</v>
      </c>
    </row>
    <row r="142" ht="15.6" hidden="1" outlineLevel="2" spans="1:25">
      <c r="A142" s="12">
        <v>205</v>
      </c>
      <c r="B142" s="12">
        <v>29</v>
      </c>
      <c r="C142" s="6" t="s">
        <v>243</v>
      </c>
      <c r="D142" s="6" t="s">
        <v>11</v>
      </c>
      <c r="E142" s="12">
        <v>18.5</v>
      </c>
      <c r="F142" s="11">
        <f>LOOKUP(E142,{0,-2.9,-1.9,-0.9,0.1,1.1,2.1,3.5,4.9,6.3,7.7,9.1,10.5,11.9,13.3,14.7,16.1,18.3,20.5,22.4,24.3},{0,10,20,30,40,50,60,62,64,66,68,70,72,74,76,78,80,85,90,95,100})</f>
        <v>85</v>
      </c>
      <c r="G142" s="12">
        <v>198</v>
      </c>
      <c r="H142" s="11">
        <f>LOOKUP(G142,{0,175,180,185,190,195,200,204,208,212,216,220,224,228,232,236,240,248,255,260,265},{0,10,20,30,40,50,60,62,64,66,68,70,72,74,76,78,80,85,90,95,100})</f>
        <v>50</v>
      </c>
      <c r="I142" s="12">
        <v>5</v>
      </c>
      <c r="J142" s="11">
        <f>LOOKUP(I142,{0,3,4,5,6,7,8,9,10,11,12,13,14,15,16,17},{0,10,20,30,40,50,60,64,68,72,76,80,85,90,95,100})</f>
        <v>30</v>
      </c>
      <c r="K142" s="12"/>
      <c r="L142" s="15"/>
      <c r="M142" s="12">
        <f t="shared" si="81"/>
        <v>30</v>
      </c>
      <c r="N142" s="12">
        <v>9.2</v>
      </c>
      <c r="O142" s="12">
        <f t="shared" si="79"/>
        <v>2.8</v>
      </c>
      <c r="P142" s="11">
        <f>LOOKUP(O142,{0,1.6,1.8,2,2.2,2.4,2.6,2.8,3,3.2,3.4,3.6,3.8,4,4.2,4.4,4.6,4.7,4.8,4.9,5},{0,10,20,30,40,50,60,62,64,66,68,70,72,74,76,78,80,85,90,95,100})</f>
        <v>62</v>
      </c>
      <c r="Q142" s="12">
        <v>4.17</v>
      </c>
      <c r="R142" s="12">
        <f t="shared" si="82"/>
        <v>5.83</v>
      </c>
      <c r="S142" s="11">
        <f>LOOKUP(R142,{0,3.8,4,4.6,4.8,5,5.6,5.65,5.7,5.75,5.8,5.85,5.9,5.95,6,6.45,6.5,6.58,6.65,6.7,6.75},{0,10,20,30,40,50,60,62,64,66,68,70,72,74,76,78,80,85,90,95,100})</f>
        <v>68</v>
      </c>
      <c r="T142" s="12"/>
      <c r="U142" s="12"/>
      <c r="V142" s="12">
        <f t="shared" si="83"/>
        <v>68</v>
      </c>
      <c r="W142" s="12"/>
      <c r="X142" s="20">
        <f t="shared" si="69"/>
        <v>42.5</v>
      </c>
      <c r="Y142" s="20">
        <f t="shared" si="84"/>
        <v>60.7142857142857</v>
      </c>
    </row>
    <row r="143" ht="15.6" hidden="1" outlineLevel="2" spans="1:25">
      <c r="A143" s="12">
        <v>205</v>
      </c>
      <c r="B143" s="12">
        <v>30</v>
      </c>
      <c r="C143" s="6" t="s">
        <v>244</v>
      </c>
      <c r="D143" s="6" t="s">
        <v>11</v>
      </c>
      <c r="E143" s="12"/>
      <c r="F143" s="11"/>
      <c r="G143" s="12">
        <v>214</v>
      </c>
      <c r="H143" s="11">
        <f>LOOKUP(G143,{0,175,180,185,190,195,200,204,208,212,216,220,224,228,232,236,240,248,255,260,265},{0,10,20,30,40,50,60,62,64,66,68,70,72,74,76,78,80,85,90,95,100})</f>
        <v>66</v>
      </c>
      <c r="I143" s="12">
        <v>2</v>
      </c>
      <c r="J143" s="11">
        <f>LOOKUP(I143,{0,3,4,5,6,7,8,9,10,11,12,13,14,15,16,17},{0,10,20,30,40,50,60,64,68,72,76,80,85,90,95,100})</f>
        <v>0</v>
      </c>
      <c r="K143" s="12"/>
      <c r="L143" s="12"/>
      <c r="M143" s="12">
        <f t="shared" si="81"/>
        <v>0</v>
      </c>
      <c r="N143" s="12">
        <v>7.7</v>
      </c>
      <c r="O143" s="12">
        <f t="shared" si="79"/>
        <v>4.3</v>
      </c>
      <c r="P143" s="11">
        <f>LOOKUP(O143,{0,1.6,1.8,2,2.2,2.4,2.6,2.8,3,3.2,3.4,3.6,3.8,4,4.2,4.4,4.6,4.7,4.8,4.9,5},{0,10,20,30,40,50,60,62,64,66,68,70,72,74,76,78,80,85,90,95,100})</f>
        <v>76</v>
      </c>
      <c r="Q143" s="12">
        <v>4.39</v>
      </c>
      <c r="R143" s="12">
        <f t="shared" si="82"/>
        <v>5.61</v>
      </c>
      <c r="S143" s="11">
        <f>LOOKUP(R143,{0,3.8,4,4.6,4.8,5,5.6,5.65,5.7,5.75,5.8,5.85,5.9,5.95,6,6.45,6.5,6.58,6.65,6.7,6.75},{0,10,20,30,40,50,60,62,64,66,68,70,72,74,76,78,80,85,90,95,100})</f>
        <v>60</v>
      </c>
      <c r="T143" s="12"/>
      <c r="U143" s="12"/>
      <c r="V143" s="12">
        <f t="shared" si="83"/>
        <v>60</v>
      </c>
      <c r="W143" s="12" t="s">
        <v>146</v>
      </c>
      <c r="X143" s="20">
        <f t="shared" si="69"/>
        <v>33.8</v>
      </c>
      <c r="Y143" s="20">
        <v>50</v>
      </c>
    </row>
    <row r="144" s="1" customFormat="1" ht="15.6" hidden="1" outlineLevel="2" spans="1:25">
      <c r="A144" s="12">
        <v>205</v>
      </c>
      <c r="B144" s="12">
        <v>31</v>
      </c>
      <c r="C144" s="13" t="s">
        <v>246</v>
      </c>
      <c r="D144" s="6" t="s">
        <v>11</v>
      </c>
      <c r="E144" s="12">
        <v>22.5</v>
      </c>
      <c r="F144" s="11">
        <f>LOOKUP(E144,{0,-2.9,-1.9,-0.9,0.1,1.1,2.1,3.5,4.9,6.3,7.7,9.1,10.5,11.9,13.3,14.7,16.1,18.3,20.5,22.4,24.3},{0,10,20,30,40,50,60,62,64,66,68,70,72,74,76,78,80,85,90,95,100})</f>
        <v>95</v>
      </c>
      <c r="G144" s="12">
        <v>247</v>
      </c>
      <c r="H144" s="11">
        <f>LOOKUP(G144,{0,175,180,185,190,195,200,204,208,212,216,220,224,228,232,236,240,248,255,260,265},{0,10,20,30,40,50,60,62,64,66,68,70,72,74,76,78,80,85,90,95,100})</f>
        <v>80</v>
      </c>
      <c r="I144" s="12">
        <v>9</v>
      </c>
      <c r="J144" s="11">
        <f>LOOKUP(I144,{0,3,4,5,6,7,8,9,10,11,12,13,14,15,16,17},{0,10,20,30,40,50,60,64,68,72,76,80,85,90,95,100})</f>
        <v>64</v>
      </c>
      <c r="K144" s="12"/>
      <c r="L144" s="12"/>
      <c r="M144" s="12">
        <f t="shared" si="81"/>
        <v>64</v>
      </c>
      <c r="N144" s="12">
        <v>7</v>
      </c>
      <c r="O144" s="12">
        <f t="shared" si="79"/>
        <v>5</v>
      </c>
      <c r="P144" s="11">
        <f>LOOKUP(O144,{0,1.6,1.8,2,2.2,2.4,2.6,2.8,3,3.2,3.4,3.6,3.8,4,4.2,4.4,4.6,4.7,4.8,4.9,5},{0,10,20,30,40,50,60,62,64,66,68,70,72,74,76,78,80,85,90,95,100})</f>
        <v>100</v>
      </c>
      <c r="Q144" s="12">
        <v>4.04</v>
      </c>
      <c r="R144" s="12">
        <f t="shared" si="82"/>
        <v>5.96</v>
      </c>
      <c r="S144" s="11">
        <f>LOOKUP(R144,{0,3.8,4,4.6,4.8,5,5.6,5.65,5.7,5.75,5.8,5.85,5.9,5.95,6,6.45,6.5,6.58,6.65,6.7,6.75},{0,10,20,30,40,50,60,62,64,66,68,70,72,74,76,78,80,85,90,95,100})</f>
        <v>74</v>
      </c>
      <c r="T144" s="12"/>
      <c r="U144" s="12"/>
      <c r="V144" s="12">
        <f t="shared" si="83"/>
        <v>74</v>
      </c>
      <c r="W144" s="12"/>
      <c r="X144" s="20">
        <f t="shared" si="69"/>
        <v>58.7</v>
      </c>
      <c r="Y144" s="20">
        <f t="shared" ref="Y144:Y152" si="85">X144/0.7+L144+U144</f>
        <v>83.8571428571429</v>
      </c>
    </row>
    <row r="145" ht="15.6" hidden="1" outlineLevel="2" spans="1:25">
      <c r="A145" s="12">
        <v>205</v>
      </c>
      <c r="B145" s="12">
        <v>32</v>
      </c>
      <c r="C145" s="6" t="s">
        <v>247</v>
      </c>
      <c r="D145" s="6" t="s">
        <v>11</v>
      </c>
      <c r="E145" s="12"/>
      <c r="F145" s="11"/>
      <c r="G145" s="12"/>
      <c r="H145" s="11"/>
      <c r="I145" s="12">
        <v>0</v>
      </c>
      <c r="J145" s="11">
        <f>LOOKUP(I145,{0,3,4,5,6,7,8,9,10,11,12,13,14,15,16,17},{0,10,20,30,40,50,60,64,68,72,76,80,85,90,95,100})</f>
        <v>0</v>
      </c>
      <c r="K145" s="12"/>
      <c r="L145" s="12"/>
      <c r="M145" s="12">
        <f t="shared" si="81"/>
        <v>0</v>
      </c>
      <c r="N145" s="12">
        <v>8.4</v>
      </c>
      <c r="O145" s="12">
        <f t="shared" si="79"/>
        <v>3.6</v>
      </c>
      <c r="P145" s="11">
        <f>LOOKUP(O145,{0,1.6,1.8,2,2.2,2.4,2.6,2.8,3,3.2,3.4,3.6,3.8,4,4.2,4.4,4.6,4.7,4.8,4.9,5},{0,10,20,30,40,50,60,62,64,66,68,70,72,74,76,78,80,85,90,95,100})</f>
        <v>70</v>
      </c>
      <c r="Q145" s="12">
        <v>4.47</v>
      </c>
      <c r="R145" s="12">
        <f t="shared" si="82"/>
        <v>5.53</v>
      </c>
      <c r="S145" s="11">
        <f>LOOKUP(R145,{0,3.8,4,4.6,4.8,5,5.6,5.65,5.7,5.75,5.8,5.85,5.9,5.95,6,6.45,6.5,6.58,6.65,6.7,6.75},{0,10,20,30,40,50,60,62,64,66,68,70,72,74,76,78,80,85,90,95,100})</f>
        <v>50</v>
      </c>
      <c r="T145" s="12"/>
      <c r="U145" s="12"/>
      <c r="V145" s="12">
        <f t="shared" si="83"/>
        <v>50</v>
      </c>
      <c r="W145" s="12" t="s">
        <v>16</v>
      </c>
      <c r="X145" s="20">
        <f t="shared" si="69"/>
        <v>24</v>
      </c>
      <c r="Y145" s="20">
        <v>50</v>
      </c>
    </row>
    <row r="146" ht="15.6" hidden="1" outlineLevel="2" spans="1:25">
      <c r="A146" s="12">
        <v>205</v>
      </c>
      <c r="B146" s="12">
        <v>33</v>
      </c>
      <c r="C146" s="6" t="s">
        <v>248</v>
      </c>
      <c r="D146" s="6" t="s">
        <v>11</v>
      </c>
      <c r="E146" s="12">
        <v>3.2</v>
      </c>
      <c r="F146" s="11">
        <f>LOOKUP(E146,{0,-2.9,-1.9,-0.9,0.1,1.1,2.1,3.5,4.9,6.3,7.7,9.1,10.5,11.9,13.3,14.7,16.1,18.3,20.5,22.4,24.3},{0,10,20,30,40,50,60,62,64,66,68,70,72,74,76,78,80,85,90,95,100})</f>
        <v>60</v>
      </c>
      <c r="G146" s="12">
        <v>218</v>
      </c>
      <c r="H146" s="11">
        <f>LOOKUP(G146,{0,175,180,185,190,195,200,204,208,212,216,220,224,228,232,236,240,248,255,260,265},{0,10,20,30,40,50,60,62,64,66,68,70,72,74,76,78,80,85,90,95,100})</f>
        <v>68</v>
      </c>
      <c r="I146" s="12">
        <v>0</v>
      </c>
      <c r="J146" s="11">
        <f>LOOKUP(I146,{0,3,4,5,6,7,8,9,10,11,12,13,14,15,16,17},{0,10,20,30,40,50,60,64,68,72,76,80,85,90,95,100})</f>
        <v>0</v>
      </c>
      <c r="K146" s="12"/>
      <c r="L146" s="12"/>
      <c r="M146" s="12">
        <f t="shared" si="81"/>
        <v>0</v>
      </c>
      <c r="N146" s="12">
        <v>8.2</v>
      </c>
      <c r="O146" s="12">
        <f t="shared" si="79"/>
        <v>3.8</v>
      </c>
      <c r="P146" s="11">
        <f>LOOKUP(O146,{0,1.6,1.8,2,2.2,2.4,2.6,2.8,3,3.2,3.4,3.6,3.8,4,4.2,4.4,4.6,4.7,4.8,4.9,5},{0,10,20,30,40,50,60,62,64,66,68,70,72,74,76,78,80,85,90,95,100})</f>
        <v>72</v>
      </c>
      <c r="Q146" s="12">
        <v>4.5</v>
      </c>
      <c r="R146" s="12">
        <f t="shared" si="82"/>
        <v>5.5</v>
      </c>
      <c r="S146" s="11">
        <f>LOOKUP(R146,{0,3.8,4,4.6,4.8,5,5.6,5.65,5.7,5.75,5.8,5.85,5.9,5.95,6,6.45,6.5,6.58,6.65,6.7,6.75},{0,10,20,30,40,50,60,62,64,66,68,70,72,74,76,78,80,85,90,95,100})</f>
        <v>50</v>
      </c>
      <c r="T146" s="12"/>
      <c r="U146" s="12"/>
      <c r="V146" s="12">
        <f t="shared" si="83"/>
        <v>50</v>
      </c>
      <c r="W146" s="12"/>
      <c r="X146" s="20">
        <f t="shared" si="69"/>
        <v>37.2</v>
      </c>
      <c r="Y146" s="20">
        <f t="shared" si="85"/>
        <v>53.1428571428572</v>
      </c>
    </row>
    <row r="147" ht="15.6" hidden="1" outlineLevel="2" spans="1:25">
      <c r="A147" s="12">
        <v>205</v>
      </c>
      <c r="B147" s="12">
        <v>34</v>
      </c>
      <c r="C147" s="6" t="s">
        <v>249</v>
      </c>
      <c r="D147" s="6" t="s">
        <v>11</v>
      </c>
      <c r="E147" s="12">
        <v>19</v>
      </c>
      <c r="F147" s="11">
        <f>LOOKUP(E147,{0,-2.9,-1.9,-0.9,0.1,1.1,2.1,3.5,4.9,6.3,7.7,9.1,10.5,11.9,13.3,14.7,16.1,18.3,20.5,22.4,24.3},{0,10,20,30,40,50,60,62,64,66,68,70,72,74,76,78,80,85,90,95,100})</f>
        <v>85</v>
      </c>
      <c r="G147" s="12">
        <v>242</v>
      </c>
      <c r="H147" s="11">
        <f>LOOKUP(G147,{0,175,180,185,190,195,200,204,208,212,216,220,224,228,232,236,240,248,255,260,265},{0,10,20,30,40,50,60,62,64,66,68,70,72,74,76,78,80,85,90,95,100})</f>
        <v>80</v>
      </c>
      <c r="I147" s="12">
        <v>17</v>
      </c>
      <c r="J147" s="11">
        <f>LOOKUP(I147,{0,3,4,5,6,7,8,9,10,11,12,13,14,15,16,17},{0,10,20,30,40,50,60,64,68,72,76,80,85,90,95,100})</f>
        <v>100</v>
      </c>
      <c r="K147" s="12">
        <f>I147-17</f>
        <v>0</v>
      </c>
      <c r="L147" s="11">
        <f>LOOKUP(K147,{0,1,2,3,4,5,6,7,8,9,10},{0,1,2,3,4,5,6,7,8,9,10})</f>
        <v>0</v>
      </c>
      <c r="M147" s="12">
        <f t="shared" si="81"/>
        <v>100</v>
      </c>
      <c r="N147" s="12">
        <v>7.7</v>
      </c>
      <c r="O147" s="12">
        <f t="shared" si="79"/>
        <v>4.3</v>
      </c>
      <c r="P147" s="11">
        <f>LOOKUP(O147,{0,1.6,1.8,2,2.2,2.4,2.6,2.8,3,3.2,3.4,3.6,3.8,4,4.2,4.4,4.6,4.7,4.8,4.9,5},{0,10,20,30,40,50,60,62,64,66,68,70,72,74,76,78,80,85,90,95,100})</f>
        <v>76</v>
      </c>
      <c r="Q147" s="12">
        <v>4.07</v>
      </c>
      <c r="R147" s="12">
        <f t="shared" si="82"/>
        <v>5.93</v>
      </c>
      <c r="S147" s="11">
        <f>LOOKUP(R147,{0,3.8,4,4.6,4.8,5,5.6,5.65,5.7,5.75,5.8,5.85,5.9,5.95,6,6.45,6.5,6.58,6.65,6.7,6.75},{0,10,20,30,40,50,60,62,64,66,68,70,72,74,76,78,80,85,90,95,100})</f>
        <v>72</v>
      </c>
      <c r="T147" s="12"/>
      <c r="U147" s="12"/>
      <c r="V147" s="12">
        <f t="shared" si="83"/>
        <v>72</v>
      </c>
      <c r="W147" s="12"/>
      <c r="X147" s="20">
        <f t="shared" si="69"/>
        <v>56.1</v>
      </c>
      <c r="Y147" s="20">
        <f t="shared" si="85"/>
        <v>80.1428571428572</v>
      </c>
    </row>
    <row r="148" ht="15.6" hidden="1" outlineLevel="2" spans="1:25">
      <c r="A148" s="12">
        <v>205</v>
      </c>
      <c r="B148" s="12">
        <v>35</v>
      </c>
      <c r="C148" s="6" t="s">
        <v>250</v>
      </c>
      <c r="D148" s="6" t="s">
        <v>11</v>
      </c>
      <c r="E148" s="12">
        <v>-11.6</v>
      </c>
      <c r="F148" s="11">
        <v>0</v>
      </c>
      <c r="G148" s="12">
        <v>217</v>
      </c>
      <c r="H148" s="11">
        <f>LOOKUP(G148,{0,175,180,185,190,195,200,204,208,212,216,220,224,228,232,236,240,248,255,260,265},{0,10,20,30,40,50,60,62,64,66,68,70,72,74,76,78,80,85,90,95,100})</f>
        <v>68</v>
      </c>
      <c r="I148" s="12">
        <v>3</v>
      </c>
      <c r="J148" s="11">
        <f>LOOKUP(I148,{0,3,4,5,6,7,8,9,10,11,12,13,14,15,16,17},{0,10,20,30,40,50,60,64,68,72,76,80,85,90,95,100})</f>
        <v>10</v>
      </c>
      <c r="K148" s="12"/>
      <c r="L148" s="15"/>
      <c r="M148" s="12">
        <f t="shared" si="81"/>
        <v>10</v>
      </c>
      <c r="N148" s="12">
        <v>7.5</v>
      </c>
      <c r="O148" s="12">
        <f t="shared" si="79"/>
        <v>4.5</v>
      </c>
      <c r="P148" s="11">
        <f>LOOKUP(O148,{0,1.6,1.8,2,2.2,2.4,2.6,2.8,3,3.2,3.4,3.6,3.8,4,4.2,4.4,4.6,4.7,4.8,4.9,5},{0,10,20,30,40,50,60,62,64,66,68,70,72,74,76,78,80,85,90,95,100})</f>
        <v>78</v>
      </c>
      <c r="Q148" s="12">
        <v>3.54</v>
      </c>
      <c r="R148" s="12">
        <f t="shared" si="82"/>
        <v>6.46</v>
      </c>
      <c r="S148" s="11">
        <f>LOOKUP(R148,{0,3.8,4,4.6,4.8,5,5.6,5.65,5.7,5.75,5.8,5.85,5.9,5.95,6,6.45,6.5,6.58,6.65,6.7,6.75},{0,10,20,30,40,50,60,62,64,66,68,70,72,74,76,78,80,85,90,95,100})</f>
        <v>78</v>
      </c>
      <c r="T148" s="12"/>
      <c r="U148" s="12"/>
      <c r="V148" s="12">
        <f t="shared" si="83"/>
        <v>78</v>
      </c>
      <c r="W148" s="12"/>
      <c r="X148" s="20">
        <f t="shared" si="69"/>
        <v>39</v>
      </c>
      <c r="Y148" s="20">
        <f t="shared" si="85"/>
        <v>55.7142857142857</v>
      </c>
    </row>
    <row r="149" ht="15.6" hidden="1" outlineLevel="2" spans="1:25">
      <c r="A149" s="12">
        <v>205</v>
      </c>
      <c r="B149" s="12">
        <v>36</v>
      </c>
      <c r="C149" s="6" t="s">
        <v>251</v>
      </c>
      <c r="D149" s="6" t="s">
        <v>11</v>
      </c>
      <c r="E149" s="12">
        <v>8.9</v>
      </c>
      <c r="F149" s="11">
        <f>LOOKUP(E149,{0,-2.9,-1.9,-0.9,0.1,1.1,2.1,3.5,4.9,6.3,7.7,9.1,10.5,11.9,13.3,14.7,16.1,18.3,20.5,22.4,24.3},{0,10,20,30,40,50,60,62,64,66,68,70,72,74,76,78,80,85,90,95,100})</f>
        <v>68</v>
      </c>
      <c r="G149" s="12">
        <v>260</v>
      </c>
      <c r="H149" s="11">
        <f>LOOKUP(G149,{0,175,180,185,190,195,200,204,208,212,216,220,224,228,232,236,240,248,255,260,265},{0,10,20,30,40,50,60,62,64,66,68,70,72,74,76,78,80,85,90,95,100})</f>
        <v>95</v>
      </c>
      <c r="I149" s="12">
        <v>10</v>
      </c>
      <c r="J149" s="11">
        <f>LOOKUP(I149,{0,3,4,5,6,7,8,9,10,11,12,13,14,15,16,17},{0,10,20,30,40,50,60,64,68,72,76,80,85,90,95,100})</f>
        <v>68</v>
      </c>
      <c r="K149" s="12"/>
      <c r="L149" s="12"/>
      <c r="M149" s="12">
        <f t="shared" si="81"/>
        <v>68</v>
      </c>
      <c r="N149" s="12">
        <v>6.7</v>
      </c>
      <c r="O149" s="12">
        <f t="shared" si="79"/>
        <v>5.3</v>
      </c>
      <c r="P149" s="11">
        <f>LOOKUP(O149,{0,1.6,1.8,2,2.2,2.4,2.6,2.8,3,3.2,3.4,3.6,3.8,4,4.2,4.4,4.6,4.7,4.8,4.9,5},{0,10,20,30,40,50,60,62,64,66,68,70,72,74,76,78,80,85,90,95,100})</f>
        <v>100</v>
      </c>
      <c r="Q149" s="12">
        <v>3.26</v>
      </c>
      <c r="R149" s="12">
        <f t="shared" si="82"/>
        <v>6.74</v>
      </c>
      <c r="S149" s="11">
        <f>LOOKUP(R149,{0,3.8,4,4.6,4.8,5,5.6,5.65,5.7,5.75,5.8,5.85,5.9,5.95,6,6.45,6.5,6.58,6.65,6.7,6.75},{0,10,20,30,40,50,60,62,64,66,68,70,72,74,76,78,80,85,90,95,100})</f>
        <v>95</v>
      </c>
      <c r="T149" s="12"/>
      <c r="U149" s="12"/>
      <c r="V149" s="12">
        <f t="shared" si="83"/>
        <v>95</v>
      </c>
      <c r="W149" s="12"/>
      <c r="X149" s="20">
        <f t="shared" si="69"/>
        <v>62.1</v>
      </c>
      <c r="Y149" s="20">
        <f t="shared" si="85"/>
        <v>88.7142857142857</v>
      </c>
    </row>
    <row r="150" ht="15.6" hidden="1" outlineLevel="2" spans="1:25">
      <c r="A150" s="12">
        <v>205</v>
      </c>
      <c r="B150" s="12">
        <v>37</v>
      </c>
      <c r="C150" s="6" t="s">
        <v>252</v>
      </c>
      <c r="D150" s="6" t="s">
        <v>11</v>
      </c>
      <c r="E150" s="12">
        <v>16</v>
      </c>
      <c r="F150" s="11">
        <f>LOOKUP(E150,{0,-2.9,-1.9,-0.9,0.1,1.1,2.1,3.5,4.9,6.3,7.7,9.1,10.5,11.9,13.3,14.7,16.1,18.3,20.5,22.4,24.3},{0,10,20,30,40,50,60,62,64,66,68,70,72,74,76,78,80,85,90,95,100})</f>
        <v>78</v>
      </c>
      <c r="G150" s="12">
        <v>225</v>
      </c>
      <c r="H150" s="11">
        <f>LOOKUP(G150,{0,175,180,185,190,195,200,204,208,212,216,220,224,228,232,236,240,248,255,260,265},{0,10,20,30,40,50,60,62,64,66,68,70,72,74,76,78,80,85,90,95,100})</f>
        <v>72</v>
      </c>
      <c r="I150" s="12">
        <v>3</v>
      </c>
      <c r="J150" s="11">
        <f>LOOKUP(I150,{0,3,4,5,6,7,8,9,10,11,12,13,14,15,16,17},{0,10,20,30,40,50,60,64,68,72,76,80,85,90,95,100})</f>
        <v>10</v>
      </c>
      <c r="K150" s="12"/>
      <c r="L150" s="12"/>
      <c r="M150" s="12">
        <f t="shared" si="81"/>
        <v>10</v>
      </c>
      <c r="N150" s="12">
        <v>7</v>
      </c>
      <c r="O150" s="12">
        <f t="shared" si="79"/>
        <v>5</v>
      </c>
      <c r="P150" s="11">
        <f>LOOKUP(O150,{0,1.6,1.8,2,2.2,2.4,2.6,2.8,3,3.2,3.4,3.6,3.8,4,4.2,4.4,4.6,4.7,4.8,4.9,5},{0,10,20,30,40,50,60,62,64,66,68,70,72,74,76,78,80,85,90,95,100})</f>
        <v>100</v>
      </c>
      <c r="Q150" s="12">
        <v>4.08</v>
      </c>
      <c r="R150" s="12">
        <f t="shared" si="82"/>
        <v>5.92</v>
      </c>
      <c r="S150" s="11">
        <f>LOOKUP(R150,{0,3.8,4,4.6,4.8,5,5.6,5.65,5.7,5.75,5.8,5.85,5.9,5.95,6,6.45,6.5,6.58,6.65,6.7,6.75},{0,10,20,30,40,50,60,62,64,66,68,70,72,74,76,78,80,85,90,95,100})</f>
        <v>72</v>
      </c>
      <c r="T150" s="12"/>
      <c r="U150" s="12"/>
      <c r="V150" s="12">
        <f t="shared" si="83"/>
        <v>72</v>
      </c>
      <c r="W150" s="12"/>
      <c r="X150" s="20">
        <f t="shared" si="69"/>
        <v>50.4</v>
      </c>
      <c r="Y150" s="20">
        <f t="shared" si="85"/>
        <v>72</v>
      </c>
    </row>
    <row r="151" ht="15.6" hidden="1" outlineLevel="2" spans="1:25">
      <c r="A151" s="12">
        <v>205</v>
      </c>
      <c r="B151" s="12">
        <v>38</v>
      </c>
      <c r="C151" s="6" t="s">
        <v>253</v>
      </c>
      <c r="D151" s="6" t="s">
        <v>11</v>
      </c>
      <c r="E151" s="12">
        <v>19</v>
      </c>
      <c r="F151" s="11">
        <f>LOOKUP(E151,{0,-2.9,-1.9,-0.9,0.1,1.1,2.1,3.5,4.9,6.3,7.7,9.1,10.5,11.9,13.3,14.7,16.1,18.3,20.5,22.4,24.3},{0,10,20,30,40,50,60,62,64,66,68,70,72,74,76,78,80,85,90,95,100})</f>
        <v>85</v>
      </c>
      <c r="G151" s="12">
        <v>235</v>
      </c>
      <c r="H151" s="11">
        <f>LOOKUP(G151,{0,175,180,185,190,195,200,204,208,212,216,220,224,228,232,236,240,248,255,260,265},{0,10,20,30,40,50,60,62,64,66,68,70,72,74,76,78,80,85,90,95,100})</f>
        <v>76</v>
      </c>
      <c r="I151" s="12">
        <v>7</v>
      </c>
      <c r="J151" s="11">
        <f>LOOKUP(I151,{0,3,4,5,6,7,8,9,10,11,12,13,14,15,16,17},{0,10,20,30,40,50,60,64,68,72,76,80,85,90,95,100})</f>
        <v>50</v>
      </c>
      <c r="K151" s="12"/>
      <c r="L151" s="12"/>
      <c r="M151" s="12">
        <f t="shared" si="81"/>
        <v>50</v>
      </c>
      <c r="N151" s="12">
        <v>7.5</v>
      </c>
      <c r="O151" s="12">
        <f t="shared" si="79"/>
        <v>4.5</v>
      </c>
      <c r="P151" s="11">
        <f>LOOKUP(O151,{0,1.6,1.8,2,2.2,2.4,2.6,2.8,3,3.2,3.4,3.6,3.8,4,4.2,4.4,4.6,4.7,4.8,4.9,5},{0,10,20,30,40,50,60,62,64,66,68,70,72,74,76,78,80,85,90,95,100})</f>
        <v>78</v>
      </c>
      <c r="Q151" s="12">
        <v>4.07</v>
      </c>
      <c r="R151" s="12">
        <f t="shared" si="82"/>
        <v>5.93</v>
      </c>
      <c r="S151" s="11">
        <f>LOOKUP(R151,{0,3.8,4,4.6,4.8,5,5.6,5.65,5.7,5.75,5.8,5.85,5.9,5.95,6,6.45,6.5,6.58,6.65,6.7,6.75},{0,10,20,30,40,50,60,62,64,66,68,70,72,74,76,78,80,85,90,95,100})</f>
        <v>72</v>
      </c>
      <c r="T151" s="12"/>
      <c r="U151" s="12"/>
      <c r="V151" s="12">
        <f t="shared" si="83"/>
        <v>72</v>
      </c>
      <c r="W151" s="12"/>
      <c r="X151" s="20">
        <f t="shared" si="69"/>
        <v>51.1</v>
      </c>
      <c r="Y151" s="20">
        <f t="shared" si="85"/>
        <v>73</v>
      </c>
    </row>
    <row r="152" ht="15.6" hidden="1" outlineLevel="2" spans="1:25">
      <c r="A152" s="12">
        <v>205</v>
      </c>
      <c r="B152" s="12">
        <v>39</v>
      </c>
      <c r="C152" s="6" t="s">
        <v>254</v>
      </c>
      <c r="D152" s="6" t="s">
        <v>11</v>
      </c>
      <c r="E152" s="12">
        <v>12</v>
      </c>
      <c r="F152" s="11">
        <f>LOOKUP(E152,{0,-2.9,-1.9,-0.9,0.1,1.1,2.1,3.5,4.9,6.3,7.7,9.1,10.5,11.9,13.3,14.7,16.1,18.3,20.5,22.4,24.3},{0,10,20,30,40,50,60,62,64,66,68,70,72,74,76,78,80,85,90,95,100})</f>
        <v>74</v>
      </c>
      <c r="G152" s="12">
        <v>265</v>
      </c>
      <c r="H152" s="11">
        <f>LOOKUP(G152,{0,175,180,185,190,195,200,204,208,212,216,220,224,228,232,236,240,248,255,260,265},{0,10,20,30,40,50,60,62,64,66,68,70,72,74,76,78,80,85,90,95,100})</f>
        <v>100</v>
      </c>
      <c r="I152" s="12">
        <v>12</v>
      </c>
      <c r="J152" s="11">
        <f>LOOKUP(I152,{0,3,4,5,6,7,8,9,10,11,12,13,14,15,16,17},{0,10,20,30,40,50,60,64,68,72,76,80,85,90,95,100})</f>
        <v>76</v>
      </c>
      <c r="K152" s="12"/>
      <c r="L152" s="12"/>
      <c r="M152" s="12">
        <f t="shared" si="81"/>
        <v>76</v>
      </c>
      <c r="N152" s="12"/>
      <c r="O152" s="12"/>
      <c r="P152" s="11"/>
      <c r="Q152" s="12">
        <v>3.24</v>
      </c>
      <c r="R152" s="12">
        <f t="shared" si="82"/>
        <v>6.76</v>
      </c>
      <c r="S152" s="11">
        <f>LOOKUP(R152,{0,3.8,4,4.6,4.8,5,5.6,5.65,5.7,5.75,5.8,5.85,5.9,5.95,6,6.45,6.5,6.58,6.65,6.7,6.75},{0,10,20,30,40,50,60,62,64,66,68,70,72,74,76,78,80,85,90,95,100})</f>
        <v>100</v>
      </c>
      <c r="T152" s="12">
        <f>3.25-Q152</f>
        <v>0.00999999999999979</v>
      </c>
      <c r="U152" s="11">
        <f>LOOKUP(T152,{0,0.04,0.08,0.12,0.16,0.2,0.23,0.26,0.29,0.32,0.35},{0,1,2,3,4,5,6,7,8,9,10})</f>
        <v>0</v>
      </c>
      <c r="V152" s="12">
        <f t="shared" si="83"/>
        <v>100</v>
      </c>
      <c r="W152" s="12"/>
      <c r="X152" s="20">
        <f t="shared" si="69"/>
        <v>45</v>
      </c>
      <c r="Y152" s="20">
        <f t="shared" si="85"/>
        <v>64.2857142857143</v>
      </c>
    </row>
    <row r="153" ht="15.6" outlineLevel="1" collapsed="1" spans="1:25">
      <c r="A153" s="14" t="s">
        <v>859</v>
      </c>
      <c r="B153" s="12"/>
      <c r="C153" s="6"/>
      <c r="D153" s="6"/>
      <c r="E153" s="12"/>
      <c r="F153" s="11">
        <f>SUBTOTAL(1,F114:F152)</f>
        <v>69.375</v>
      </c>
      <c r="G153" s="12"/>
      <c r="H153" s="11">
        <f>SUBTOTAL(1,H114:H152)</f>
        <v>75.4117647058823</v>
      </c>
      <c r="I153" s="12"/>
      <c r="J153" s="11">
        <f>SUBTOTAL(1,J114:J152)</f>
        <v>44</v>
      </c>
      <c r="K153" s="12"/>
      <c r="L153" s="12"/>
      <c r="M153" s="12">
        <f>SUBTOTAL(1,M114:M152)</f>
        <v>44.3714285714286</v>
      </c>
      <c r="N153" s="12"/>
      <c r="O153" s="12"/>
      <c r="P153" s="11">
        <f>SUBTOTAL(1,P114:P152)</f>
        <v>85.1142857142857</v>
      </c>
      <c r="Q153" s="12"/>
      <c r="R153" s="12"/>
      <c r="S153" s="11">
        <f>SUBTOTAL(1,S114:S152)</f>
        <v>72.6285714285714</v>
      </c>
      <c r="T153" s="12"/>
      <c r="U153" s="11"/>
      <c r="V153" s="12">
        <f>SUBTOTAL(1,V114:V152)</f>
        <v>72.6285714285714</v>
      </c>
      <c r="W153" s="12"/>
      <c r="X153" s="20">
        <f>SUBTOTAL(1,X114:X152)</f>
        <v>44.5282051282051</v>
      </c>
      <c r="Y153" s="20">
        <f>SUBTOTAL(1,Y114:Y152)</f>
        <v>68.2527472527473</v>
      </c>
    </row>
    <row r="154" ht="15.6" hidden="1" outlineLevel="2" spans="1:25">
      <c r="A154" s="12">
        <v>206</v>
      </c>
      <c r="B154" s="12">
        <v>1</v>
      </c>
      <c r="C154" s="13" t="s">
        <v>269</v>
      </c>
      <c r="D154" s="6" t="s">
        <v>11</v>
      </c>
      <c r="E154" s="12">
        <v>13</v>
      </c>
      <c r="F154" s="11">
        <f>LOOKUP(E154,{0,-2.9,-1.9,-0.9,0.1,1.1,2.1,3.5,4.9,6.3,7.7,9.1,10.5,11.9,13.3,14.7,16.1,18.3,20.5,22.4,24.3},{0,10,20,30,40,50,60,62,64,66,68,70,72,74,76,78,80,85,90,95,100})</f>
        <v>74</v>
      </c>
      <c r="G154" s="12">
        <v>253</v>
      </c>
      <c r="H154" s="11">
        <f>LOOKUP(G154,{0,175,180,185,190,195,200,204,208,212,216,220,224,228,232,236,240,248,255,260,265},{0,10,20,30,40,50,60,62,64,66,68,70,72,74,76,78,80,85,90,95,100})</f>
        <v>85</v>
      </c>
      <c r="I154" s="12">
        <v>20</v>
      </c>
      <c r="J154" s="11">
        <f>LOOKUP(I154,{0,3,4,5,6,7,8,9,10,11,12,13,14,15,16,17},{0,10,20,30,40,50,60,64,68,72,76,80,85,90,95,100})</f>
        <v>100</v>
      </c>
      <c r="K154" s="12">
        <f t="shared" ref="K154:K158" si="86">I154-17</f>
        <v>3</v>
      </c>
      <c r="L154" s="11">
        <f>LOOKUP(K154,{0,1,2,3,4,5,6,7,8,9,10},{0,1,2,3,4,5,6,7,8,9,10})</f>
        <v>3</v>
      </c>
      <c r="M154" s="12">
        <f t="shared" ref="M154:M156" si="87">J154+L154</f>
        <v>103</v>
      </c>
      <c r="N154" s="12">
        <v>7.3</v>
      </c>
      <c r="O154" s="12">
        <f t="shared" ref="O154:O156" si="88">12-N154</f>
        <v>4.7</v>
      </c>
      <c r="P154" s="11">
        <f>LOOKUP(O154,{0,1.6,1.8,2,2.2,2.4,2.6,2.8,3,3.2,3.4,3.6,3.8,4,4.2,4.4,4.6,4.7,4.8,4.9,5},{0,10,20,30,40,50,60,62,64,66,68,70,72,74,76,78,80,85,90,95,100})</f>
        <v>85</v>
      </c>
      <c r="Q154" s="12">
        <v>4.18</v>
      </c>
      <c r="R154" s="12">
        <f t="shared" ref="R154:R156" si="89">10-Q154</f>
        <v>5.82</v>
      </c>
      <c r="S154" s="11">
        <f>LOOKUP(R154,{0,3.8,4,4.6,4.8,5,5.6,5.65,5.7,5.75,5.8,5.85,5.9,5.95,6,6.45,6.5,6.58,6.65,6.7,6.75},{0,10,20,30,40,50,60,62,64,66,68,70,72,74,76,78,80,85,90,95,100})</f>
        <v>68</v>
      </c>
      <c r="T154" s="12"/>
      <c r="U154" s="12"/>
      <c r="V154" s="12">
        <f t="shared" ref="V154:V156" si="90">S154+U154</f>
        <v>68</v>
      </c>
      <c r="W154" s="12"/>
      <c r="X154" s="20">
        <f t="shared" ref="X154:X191" si="91">F154*0.1+H154*0.1+J154*0.1+P154*0.2+S154*0.2</f>
        <v>56.5</v>
      </c>
      <c r="Y154" s="20">
        <f t="shared" ref="Y154:Y156" si="92">X154/0.7+L154+U154</f>
        <v>83.7142857142857</v>
      </c>
    </row>
    <row r="155" ht="15.6" hidden="1" outlineLevel="2" spans="1:25">
      <c r="A155" s="12">
        <v>206</v>
      </c>
      <c r="B155" s="12">
        <v>2</v>
      </c>
      <c r="C155" s="6" t="s">
        <v>270</v>
      </c>
      <c r="D155" s="6" t="s">
        <v>11</v>
      </c>
      <c r="E155" s="12">
        <v>8.5</v>
      </c>
      <c r="F155" s="11">
        <f>LOOKUP(E155,{0,-2.9,-1.9,-0.9,0.1,1.1,2.1,3.5,4.9,6.3,7.7,9.1,10.5,11.9,13.3,14.7,16.1,18.3,20.5,22.4,24.3},{0,10,20,30,40,50,60,62,64,66,68,70,72,74,76,78,80,85,90,95,100})</f>
        <v>68</v>
      </c>
      <c r="G155" s="12">
        <v>237</v>
      </c>
      <c r="H155" s="11">
        <f>LOOKUP(G155,{0,175,180,185,190,195,200,204,208,212,216,220,224,228,232,236,240,248,255,260,265},{0,10,20,30,40,50,60,62,64,66,68,70,72,74,76,78,80,85,90,95,100})</f>
        <v>78</v>
      </c>
      <c r="I155" s="12">
        <v>3</v>
      </c>
      <c r="J155" s="11">
        <f>LOOKUP(I155,{0,3,4,5,6,7,8,9,10,11,12,13,14,15,16,17},{0,10,20,30,40,50,60,64,68,72,76,80,85,90,95,100})</f>
        <v>10</v>
      </c>
      <c r="K155" s="12"/>
      <c r="L155" s="12"/>
      <c r="M155" s="12">
        <f t="shared" si="87"/>
        <v>10</v>
      </c>
      <c r="N155" s="12">
        <v>7.1</v>
      </c>
      <c r="O155" s="12">
        <f t="shared" si="88"/>
        <v>4.9</v>
      </c>
      <c r="P155" s="11">
        <f>LOOKUP(O155,{0,1.6,1.8,2,2.2,2.4,2.6,2.8,3,3.2,3.4,3.6,3.8,4,4.2,4.4,4.6,4.7,4.8,4.9,5},{0,10,20,30,40,50,60,62,64,66,68,70,72,74,76,78,80,85,90,95,100})</f>
        <v>95</v>
      </c>
      <c r="Q155" s="12">
        <v>4.21</v>
      </c>
      <c r="R155" s="12">
        <f t="shared" si="89"/>
        <v>5.79</v>
      </c>
      <c r="S155" s="11">
        <f>LOOKUP(R155,{0,3.8,4,4.6,4.8,5,5.6,5.65,5.7,5.75,5.8,5.85,5.9,5.95,6,6.45,6.5,6.58,6.65,6.7,6.75},{0,10,20,30,40,50,60,62,64,66,68,70,72,74,76,78,80,85,90,95,100})</f>
        <v>66</v>
      </c>
      <c r="T155" s="12"/>
      <c r="U155" s="12"/>
      <c r="V155" s="12">
        <f t="shared" si="90"/>
        <v>66</v>
      </c>
      <c r="W155" s="12"/>
      <c r="X155" s="20">
        <f t="shared" si="91"/>
        <v>47.8</v>
      </c>
      <c r="Y155" s="20">
        <f t="shared" si="92"/>
        <v>68.2857142857143</v>
      </c>
    </row>
    <row r="156" ht="15.6" hidden="1" outlineLevel="2" spans="1:25">
      <c r="A156" s="12">
        <v>206</v>
      </c>
      <c r="B156" s="12">
        <v>3</v>
      </c>
      <c r="C156" s="6" t="s">
        <v>271</v>
      </c>
      <c r="D156" s="6" t="s">
        <v>11</v>
      </c>
      <c r="E156" s="12">
        <v>18</v>
      </c>
      <c r="F156" s="11">
        <f>LOOKUP(E156,{0,-2.9,-1.9,-0.9,0.1,1.1,2.1,3.5,4.9,6.3,7.7,9.1,10.5,11.9,13.3,14.7,16.1,18.3,20.5,22.4,24.3},{0,10,20,30,40,50,60,62,64,66,68,70,72,74,76,78,80,85,90,95,100})</f>
        <v>80</v>
      </c>
      <c r="G156" s="12">
        <v>260</v>
      </c>
      <c r="H156" s="11">
        <f>LOOKUP(G156,{0,175,180,185,190,195,200,204,208,212,216,220,224,228,232,236,240,248,255,260,265},{0,10,20,30,40,50,60,62,64,66,68,70,72,74,76,78,80,85,90,95,100})</f>
        <v>95</v>
      </c>
      <c r="I156" s="12">
        <v>20</v>
      </c>
      <c r="J156" s="11">
        <f>LOOKUP(I156,{0,3,4,5,6,7,8,9,10,11,12,13,14,15,16,17},{0,10,20,30,40,50,60,64,68,72,76,80,85,90,95,100})</f>
        <v>100</v>
      </c>
      <c r="K156" s="12">
        <f t="shared" si="86"/>
        <v>3</v>
      </c>
      <c r="L156" s="11">
        <f>LOOKUP(K156,{0,1,2,3,4,5,6,7,8,9,10},{0,1,2,3,4,5,6,7,8,9,10})</f>
        <v>3</v>
      </c>
      <c r="M156" s="12">
        <f t="shared" si="87"/>
        <v>103</v>
      </c>
      <c r="N156" s="12">
        <v>7.2</v>
      </c>
      <c r="O156" s="12">
        <f t="shared" si="88"/>
        <v>4.8</v>
      </c>
      <c r="P156" s="11">
        <f>LOOKUP(O156,{0,1.6,1.8,2,2.2,2.4,2.6,2.8,3,3.2,3.4,3.6,3.8,4,4.2,4.4,4.6,4.7,4.8,4.9,5},{0,10,20,30,40,50,60,62,64,66,68,70,72,74,76,78,80,85,90,95,100})</f>
        <v>90</v>
      </c>
      <c r="Q156" s="12">
        <v>4.39</v>
      </c>
      <c r="R156" s="12">
        <f t="shared" si="89"/>
        <v>5.61</v>
      </c>
      <c r="S156" s="11">
        <f>LOOKUP(R156,{0,3.8,4,4.6,4.8,5,5.6,5.65,5.7,5.75,5.8,5.85,5.9,5.95,6,6.45,6.5,6.58,6.65,6.7,6.75},{0,10,20,30,40,50,60,62,64,66,68,70,72,74,76,78,80,85,90,95,100})</f>
        <v>60</v>
      </c>
      <c r="T156" s="12"/>
      <c r="U156" s="12"/>
      <c r="V156" s="12">
        <f t="shared" si="90"/>
        <v>60</v>
      </c>
      <c r="W156" s="12"/>
      <c r="X156" s="20">
        <f t="shared" si="91"/>
        <v>57.5</v>
      </c>
      <c r="Y156" s="20">
        <f t="shared" si="92"/>
        <v>85.1428571428572</v>
      </c>
    </row>
    <row r="157" s="1" customFormat="1" ht="15.6" hidden="1" outlineLevel="2" spans="1:25">
      <c r="A157" s="12">
        <v>206</v>
      </c>
      <c r="B157" s="12">
        <v>4</v>
      </c>
      <c r="C157" s="6" t="s">
        <v>272</v>
      </c>
      <c r="D157" s="6" t="s">
        <v>11</v>
      </c>
      <c r="E157" s="12"/>
      <c r="F157" s="11"/>
      <c r="G157" s="12"/>
      <c r="H157" s="11"/>
      <c r="I157" s="12"/>
      <c r="J157" s="11"/>
      <c r="K157" s="12"/>
      <c r="L157" s="12"/>
      <c r="M157" s="12"/>
      <c r="N157" s="12"/>
      <c r="O157" s="12"/>
      <c r="P157" s="11"/>
      <c r="Q157" s="12"/>
      <c r="R157" s="12"/>
      <c r="S157" s="11"/>
      <c r="T157" s="12"/>
      <c r="U157" s="11"/>
      <c r="V157" s="12"/>
      <c r="W157" s="12" t="s">
        <v>14</v>
      </c>
      <c r="X157" s="20">
        <f t="shared" si="91"/>
        <v>0</v>
      </c>
      <c r="Y157" s="20">
        <v>50</v>
      </c>
    </row>
    <row r="158" ht="15.6" hidden="1" outlineLevel="2" spans="1:25">
      <c r="A158" s="12">
        <v>206</v>
      </c>
      <c r="B158" s="12">
        <v>5</v>
      </c>
      <c r="C158" s="6" t="s">
        <v>273</v>
      </c>
      <c r="D158" s="6" t="s">
        <v>11</v>
      </c>
      <c r="E158" s="12">
        <v>25</v>
      </c>
      <c r="F158" s="11">
        <f>LOOKUP(E158,{0,-2.9,-1.9,-0.9,0.1,1.1,2.1,3.5,4.9,6.3,7.7,9.1,10.5,11.9,13.3,14.7,16.1,18.3,20.5,22.4,24.3},{0,10,20,30,40,50,60,62,64,66,68,70,72,74,76,78,80,85,90,95,100})</f>
        <v>100</v>
      </c>
      <c r="G158" s="12">
        <v>240</v>
      </c>
      <c r="H158" s="11">
        <f>LOOKUP(G158,{0,175,180,185,190,195,200,204,208,212,216,220,224,228,232,236,240,248,255,260,265},{0,10,20,30,40,50,60,62,64,66,68,70,72,74,76,78,80,85,90,95,100})</f>
        <v>80</v>
      </c>
      <c r="I158" s="12">
        <v>19</v>
      </c>
      <c r="J158" s="11">
        <f>LOOKUP(I158,{0,3,4,5,6,7,8,9,10,11,12,13,14,15,16,17},{0,10,20,30,40,50,60,64,68,72,76,80,85,90,95,100})</f>
        <v>100</v>
      </c>
      <c r="K158" s="12">
        <f t="shared" si="86"/>
        <v>2</v>
      </c>
      <c r="L158" s="16">
        <f>LOOKUP(K158,{0,1,2,3,4,5,6,7,8,9,10},{0,1,2,3,4,5,6,7,8,9,10})</f>
        <v>2</v>
      </c>
      <c r="M158" s="12">
        <f t="shared" ref="M158:M191" si="93">J158+L158</f>
        <v>102</v>
      </c>
      <c r="N158" s="12">
        <v>7.2</v>
      </c>
      <c r="O158" s="12">
        <f t="shared" ref="O158:O165" si="94">12-N158</f>
        <v>4.8</v>
      </c>
      <c r="P158" s="11">
        <f>LOOKUP(O158,{0,1.6,1.8,2,2.2,2.4,2.6,2.8,3,3.2,3.4,3.6,3.8,4,4.2,4.4,4.6,4.7,4.8,4.9,5},{0,10,20,30,40,50,60,62,64,66,68,70,72,74,76,78,80,85,90,95,100})</f>
        <v>90</v>
      </c>
      <c r="Q158" s="12">
        <v>3.4</v>
      </c>
      <c r="R158" s="12">
        <f t="shared" ref="R158:R176" si="95">10-Q158</f>
        <v>6.6</v>
      </c>
      <c r="S158" s="11">
        <f>LOOKUP(R158,{0,3.8,4,4.6,4.8,5,5.6,5.65,5.7,5.75,5.8,5.85,5.9,5.95,6,6.45,6.5,6.58,6.65,6.7,6.75},{0,10,20,30,40,50,60,62,64,66,68,70,72,74,76,78,80,85,90,95,100})</f>
        <v>85</v>
      </c>
      <c r="T158" s="12"/>
      <c r="U158" s="12"/>
      <c r="V158" s="12">
        <f t="shared" ref="V158:V176" si="96">S158+U158</f>
        <v>85</v>
      </c>
      <c r="W158" s="12"/>
      <c r="X158" s="20">
        <f t="shared" si="91"/>
        <v>63</v>
      </c>
      <c r="Y158" s="20">
        <f t="shared" ref="Y158:Y173" si="97">X158/0.7+L158+U158</f>
        <v>92</v>
      </c>
    </row>
    <row r="159" ht="15.6" hidden="1" outlineLevel="2" spans="1:25">
      <c r="A159" s="12">
        <v>206</v>
      </c>
      <c r="B159" s="12">
        <v>6</v>
      </c>
      <c r="C159" s="6" t="s">
        <v>274</v>
      </c>
      <c r="D159" s="6" t="s">
        <v>11</v>
      </c>
      <c r="E159" s="12">
        <v>16.6</v>
      </c>
      <c r="F159" s="11">
        <f>LOOKUP(E159,{0,-2.9,-1.9,-0.9,0.1,1.1,2.1,3.5,4.9,6.3,7.7,9.1,10.5,11.9,13.3,14.7,16.1,18.3,20.5,22.4,24.3},{0,10,20,30,40,50,60,62,64,66,68,70,72,74,76,78,80,85,90,95,100})</f>
        <v>80</v>
      </c>
      <c r="G159" s="12">
        <v>200</v>
      </c>
      <c r="H159" s="11">
        <f>LOOKUP(G159,{0,175,180,185,190,195,200,204,208,212,216,220,224,228,232,236,240,248,255,260,265},{0,10,20,30,40,50,60,62,64,66,68,70,72,74,76,78,80,85,90,95,100})</f>
        <v>60</v>
      </c>
      <c r="I159" s="12">
        <v>10</v>
      </c>
      <c r="J159" s="11">
        <f>LOOKUP(I159,{0,3,4,5,6,7,8,9,10,11,12,13,14,15,16,17},{0,10,20,30,40,50,60,64,68,72,76,80,85,90,95,100})</f>
        <v>68</v>
      </c>
      <c r="K159" s="12"/>
      <c r="L159" s="12"/>
      <c r="M159" s="12">
        <f t="shared" si="93"/>
        <v>68</v>
      </c>
      <c r="N159" s="12">
        <v>7.6</v>
      </c>
      <c r="O159" s="12">
        <f t="shared" si="94"/>
        <v>4.4</v>
      </c>
      <c r="P159" s="11">
        <f>LOOKUP(O159,{0,1.6,1.8,2,2.2,2.4,2.6,2.8,3,3.2,3.4,3.6,3.8,4,4.2,4.4,4.6,4.7,4.8,4.9,5},{0,10,20,30,40,50,60,62,64,66,68,70,72,74,76,78,80,85,90,95,100})</f>
        <v>78</v>
      </c>
      <c r="Q159" s="12">
        <v>4.4</v>
      </c>
      <c r="R159" s="12">
        <f t="shared" si="95"/>
        <v>5.6</v>
      </c>
      <c r="S159" s="11">
        <f>LOOKUP(R159,{0,3.8,4,4.6,4.8,5,5.6,5.65,5.7,5.75,5.8,5.85,5.9,5.95,6,6.45,6.5,6.58,6.65,6.7,6.75},{0,10,20,30,40,50,60,62,64,66,68,70,72,74,76,78,80,85,90,95,100})</f>
        <v>60</v>
      </c>
      <c r="T159" s="12"/>
      <c r="U159" s="12"/>
      <c r="V159" s="12">
        <f t="shared" si="96"/>
        <v>60</v>
      </c>
      <c r="W159" s="12"/>
      <c r="X159" s="20">
        <f t="shared" si="91"/>
        <v>48.4</v>
      </c>
      <c r="Y159" s="20">
        <f t="shared" si="97"/>
        <v>69.1428571428572</v>
      </c>
    </row>
    <row r="160" ht="15.6" hidden="1" outlineLevel="2" spans="1:25">
      <c r="A160" s="12">
        <v>206</v>
      </c>
      <c r="B160" s="12">
        <v>7</v>
      </c>
      <c r="C160" s="6" t="s">
        <v>275</v>
      </c>
      <c r="D160" s="6" t="s">
        <v>11</v>
      </c>
      <c r="E160" s="12"/>
      <c r="F160" s="11"/>
      <c r="G160" s="12"/>
      <c r="H160" s="11"/>
      <c r="I160" s="12"/>
      <c r="J160" s="11"/>
      <c r="K160" s="12"/>
      <c r="L160" s="12"/>
      <c r="M160" s="12"/>
      <c r="N160" s="12"/>
      <c r="O160" s="12"/>
      <c r="P160" s="11"/>
      <c r="Q160" s="12"/>
      <c r="R160" s="12"/>
      <c r="S160" s="11"/>
      <c r="T160" s="12"/>
      <c r="U160" s="11"/>
      <c r="V160" s="12"/>
      <c r="W160" s="12" t="s">
        <v>14</v>
      </c>
      <c r="X160" s="20">
        <f t="shared" si="91"/>
        <v>0</v>
      </c>
      <c r="Y160" s="20">
        <v>50</v>
      </c>
    </row>
    <row r="161" ht="15.6" hidden="1" outlineLevel="2" spans="1:25">
      <c r="A161" s="12">
        <v>206</v>
      </c>
      <c r="B161" s="12">
        <v>8</v>
      </c>
      <c r="C161" s="6" t="s">
        <v>276</v>
      </c>
      <c r="D161" s="6" t="s">
        <v>11</v>
      </c>
      <c r="E161" s="12">
        <v>7.4</v>
      </c>
      <c r="F161" s="11">
        <f>LOOKUP(E161,{0,-2.9,-1.9,-0.9,0.1,1.1,2.1,3.5,4.9,6.3,7.7,9.1,10.5,11.9,13.3,14.7,16.1,18.3,20.5,22.4,24.3},{0,10,20,30,40,50,60,62,64,66,68,70,72,74,76,78,80,85,90,95,100})</f>
        <v>66</v>
      </c>
      <c r="G161" s="12">
        <v>235</v>
      </c>
      <c r="H161" s="11">
        <f>LOOKUP(G161,{0,175,180,185,190,195,200,204,208,212,216,220,224,228,232,236,240,248,255,260,265},{0,10,20,30,40,50,60,62,64,66,68,70,72,74,76,78,80,85,90,95,100})</f>
        <v>76</v>
      </c>
      <c r="I161" s="12">
        <v>13</v>
      </c>
      <c r="J161" s="11">
        <f>LOOKUP(I161,{0,3,4,5,6,7,8,9,10,11,12,13,14,15,16,17},{0,10,20,30,40,50,60,64,68,72,76,80,85,90,95,100})</f>
        <v>80</v>
      </c>
      <c r="K161" s="12"/>
      <c r="L161" s="15"/>
      <c r="M161" s="12">
        <f t="shared" si="93"/>
        <v>80</v>
      </c>
      <c r="N161" s="12">
        <v>7</v>
      </c>
      <c r="O161" s="12">
        <f t="shared" si="94"/>
        <v>5</v>
      </c>
      <c r="P161" s="11">
        <f>LOOKUP(O161,{0,1.6,1.8,2,2.2,2.4,2.6,2.8,3,3.2,3.4,3.6,3.8,4,4.2,4.4,4.6,4.7,4.8,4.9,5},{0,10,20,30,40,50,60,62,64,66,68,70,72,74,76,78,80,85,90,95,100})</f>
        <v>100</v>
      </c>
      <c r="Q161" s="12">
        <v>3.53</v>
      </c>
      <c r="R161" s="12">
        <f t="shared" si="95"/>
        <v>6.47</v>
      </c>
      <c r="S161" s="11">
        <f>LOOKUP(R161,{0,3.8,4,4.6,4.8,5,5.6,5.65,5.7,5.75,5.8,5.85,5.9,5.95,6,6.45,6.5,6.58,6.65,6.7,6.75},{0,10,20,30,40,50,60,62,64,66,68,70,72,74,76,78,80,85,90,95,100})</f>
        <v>78</v>
      </c>
      <c r="T161" s="12"/>
      <c r="U161" s="12"/>
      <c r="V161" s="12">
        <f t="shared" si="96"/>
        <v>78</v>
      </c>
      <c r="W161" s="12"/>
      <c r="X161" s="20">
        <f t="shared" si="91"/>
        <v>57.8</v>
      </c>
      <c r="Y161" s="20">
        <f t="shared" si="97"/>
        <v>82.5714285714286</v>
      </c>
    </row>
    <row r="162" ht="15.6" hidden="1" outlineLevel="2" spans="1:25">
      <c r="A162" s="12">
        <v>206</v>
      </c>
      <c r="B162" s="12">
        <v>9</v>
      </c>
      <c r="C162" s="6" t="s">
        <v>277</v>
      </c>
      <c r="D162" s="6" t="s">
        <v>11</v>
      </c>
      <c r="E162" s="12">
        <v>6.1</v>
      </c>
      <c r="F162" s="11">
        <f>LOOKUP(E162,{0,-2.9,-1.9,-0.9,0.1,1.1,2.1,3.5,4.9,6.3,7.7,9.1,10.5,11.9,13.3,14.7,16.1,18.3,20.5,22.4,24.3},{0,10,20,30,40,50,60,62,64,66,68,70,72,74,76,78,80,85,90,95,100})</f>
        <v>64</v>
      </c>
      <c r="G162" s="12">
        <v>185</v>
      </c>
      <c r="H162" s="11">
        <f>LOOKUP(G162,{0,175,180,185,190,195,200,204,208,212,216,220,224,228,232,236,240,248,255,260,265},{0,10,20,30,40,50,60,62,64,66,68,70,72,74,76,78,80,85,90,95,100})</f>
        <v>30</v>
      </c>
      <c r="I162" s="12">
        <v>4</v>
      </c>
      <c r="J162" s="11">
        <f>LOOKUP(I162,{0,3,4,5,6,7,8,9,10,11,12,13,14,15,16,17},{0,10,20,30,40,50,60,64,68,72,76,80,85,90,95,100})</f>
        <v>20</v>
      </c>
      <c r="K162" s="12"/>
      <c r="L162" s="12"/>
      <c r="M162" s="12">
        <f t="shared" si="93"/>
        <v>20</v>
      </c>
      <c r="N162" s="12">
        <v>7.5</v>
      </c>
      <c r="O162" s="12">
        <f t="shared" si="94"/>
        <v>4.5</v>
      </c>
      <c r="P162" s="11">
        <f>LOOKUP(O162,{0,1.6,1.8,2,2.2,2.4,2.6,2.8,3,3.2,3.4,3.6,3.8,4,4.2,4.4,4.6,4.7,4.8,4.9,5},{0,10,20,30,40,50,60,62,64,66,68,70,72,74,76,78,80,85,90,95,100})</f>
        <v>78</v>
      </c>
      <c r="Q162" s="12">
        <v>4.08</v>
      </c>
      <c r="R162" s="12">
        <f t="shared" si="95"/>
        <v>5.92</v>
      </c>
      <c r="S162" s="11">
        <f>LOOKUP(R162,{0,3.8,4,4.6,4.8,5,5.6,5.65,5.7,5.75,5.8,5.85,5.9,5.95,6,6.45,6.5,6.58,6.65,6.7,6.75},{0,10,20,30,40,50,60,62,64,66,68,70,72,74,76,78,80,85,90,95,100})</f>
        <v>72</v>
      </c>
      <c r="T162" s="12"/>
      <c r="U162" s="12"/>
      <c r="V162" s="12">
        <f t="shared" si="96"/>
        <v>72</v>
      </c>
      <c r="W162" s="12"/>
      <c r="X162" s="20">
        <f t="shared" si="91"/>
        <v>41.4</v>
      </c>
      <c r="Y162" s="20">
        <f t="shared" si="97"/>
        <v>59.1428571428571</v>
      </c>
    </row>
    <row r="163" ht="15.6" hidden="1" outlineLevel="2" spans="1:25">
      <c r="A163" s="12">
        <v>206</v>
      </c>
      <c r="B163" s="12">
        <v>10</v>
      </c>
      <c r="C163" s="6" t="s">
        <v>278</v>
      </c>
      <c r="D163" s="6" t="s">
        <v>11</v>
      </c>
      <c r="E163" s="12">
        <v>13</v>
      </c>
      <c r="F163" s="11">
        <f>LOOKUP(E163,{0,-2.9,-1.9,-0.9,0.1,1.1,2.1,3.5,4.9,6.3,7.7,9.1,10.5,11.9,13.3,14.7,16.1,18.3,20.5,22.4,24.3},{0,10,20,30,40,50,60,62,64,66,68,70,72,74,76,78,80,85,90,95,100})</f>
        <v>74</v>
      </c>
      <c r="G163" s="12">
        <v>230</v>
      </c>
      <c r="H163" s="11">
        <f>LOOKUP(G163,{0,175,180,185,190,195,200,204,208,212,216,220,224,228,232,236,240,248,255,260,265},{0,10,20,30,40,50,60,62,64,66,68,70,72,74,76,78,80,85,90,95,100})</f>
        <v>74</v>
      </c>
      <c r="I163" s="12">
        <v>3</v>
      </c>
      <c r="J163" s="11">
        <f>LOOKUP(I163,{0,3,4,5,6,7,8,9,10,11,12,13,14,15,16,17},{0,10,20,30,40,50,60,64,68,72,76,80,85,90,95,100})</f>
        <v>10</v>
      </c>
      <c r="K163" s="12"/>
      <c r="L163" s="15"/>
      <c r="M163" s="12">
        <f t="shared" si="93"/>
        <v>10</v>
      </c>
      <c r="N163" s="12">
        <v>7.1</v>
      </c>
      <c r="O163" s="12">
        <f t="shared" si="94"/>
        <v>4.9</v>
      </c>
      <c r="P163" s="11">
        <f>LOOKUP(O163,{0,1.6,1.8,2,2.2,2.4,2.6,2.8,3,3.2,3.4,3.6,3.8,4,4.2,4.4,4.6,4.7,4.8,4.9,5},{0,10,20,30,40,50,60,62,64,66,68,70,72,74,76,78,80,85,90,95,100})</f>
        <v>95</v>
      </c>
      <c r="Q163" s="12">
        <v>3.39</v>
      </c>
      <c r="R163" s="12">
        <f t="shared" si="95"/>
        <v>6.61</v>
      </c>
      <c r="S163" s="11">
        <f>LOOKUP(R163,{0,3.8,4,4.6,4.8,5,5.6,5.65,5.7,5.75,5.8,5.85,5.9,5.95,6,6.45,6.5,6.58,6.65,6.7,6.75},{0,10,20,30,40,50,60,62,64,66,68,70,72,74,76,78,80,85,90,95,100})</f>
        <v>85</v>
      </c>
      <c r="T163" s="12"/>
      <c r="U163" s="12"/>
      <c r="V163" s="12">
        <f t="shared" si="96"/>
        <v>85</v>
      </c>
      <c r="W163" s="12"/>
      <c r="X163" s="20">
        <f t="shared" si="91"/>
        <v>51.8</v>
      </c>
      <c r="Y163" s="20">
        <f t="shared" si="97"/>
        <v>74</v>
      </c>
    </row>
    <row r="164" ht="15.6" hidden="1" outlineLevel="2" spans="1:25">
      <c r="A164" s="12">
        <v>206</v>
      </c>
      <c r="B164" s="12">
        <v>11</v>
      </c>
      <c r="C164" s="13" t="s">
        <v>280</v>
      </c>
      <c r="D164" s="6" t="s">
        <v>11</v>
      </c>
      <c r="E164" s="12">
        <v>6.8</v>
      </c>
      <c r="F164" s="11">
        <f>LOOKUP(E164,{0,-2.9,-1.9,-0.9,0.1,1.1,2.1,3.5,4.9,6.3,7.7,9.1,10.5,11.9,13.3,14.7,16.1,18.3,20.5,22.4,24.3},{0,10,20,30,40,50,60,62,64,66,68,70,72,74,76,78,80,85,90,95,100})</f>
        <v>66</v>
      </c>
      <c r="G164" s="12">
        <v>194</v>
      </c>
      <c r="H164" s="11">
        <f>LOOKUP(G164,{0,175,180,185,190,195,200,204,208,212,216,220,224,228,232,236,240,248,255,260,265},{0,10,20,30,40,50,60,62,64,66,68,70,72,74,76,78,80,85,90,95,100})</f>
        <v>40</v>
      </c>
      <c r="I164" s="12">
        <v>5</v>
      </c>
      <c r="J164" s="11">
        <f>LOOKUP(I164,{0,3,4,5,6,7,8,9,10,11,12,13,14,15,16,17},{0,10,20,30,40,50,60,64,68,72,76,80,85,90,95,100})</f>
        <v>30</v>
      </c>
      <c r="K164" s="12"/>
      <c r="L164" s="15"/>
      <c r="M164" s="12">
        <f t="shared" si="93"/>
        <v>30</v>
      </c>
      <c r="N164" s="12">
        <v>8</v>
      </c>
      <c r="O164" s="12">
        <f t="shared" si="94"/>
        <v>4</v>
      </c>
      <c r="P164" s="11">
        <f>LOOKUP(O164,{0,1.6,1.8,2,2.2,2.4,2.6,2.8,3,3.2,3.4,3.6,3.8,4,4.2,4.4,4.6,4.7,4.8,4.9,5},{0,10,20,30,40,50,60,62,64,66,68,70,72,74,76,78,80,85,90,95,100})</f>
        <v>74</v>
      </c>
      <c r="Q164" s="12">
        <v>4.16</v>
      </c>
      <c r="R164" s="12">
        <f t="shared" si="95"/>
        <v>5.84</v>
      </c>
      <c r="S164" s="11">
        <f>LOOKUP(R164,{0,3.8,4,4.6,4.8,5,5.6,5.65,5.7,5.75,5.8,5.85,5.9,5.95,6,6.45,6.5,6.58,6.65,6.7,6.75},{0,10,20,30,40,50,60,62,64,66,68,70,72,74,76,78,80,85,90,95,100})</f>
        <v>68</v>
      </c>
      <c r="T164" s="12"/>
      <c r="U164" s="12"/>
      <c r="V164" s="12">
        <f t="shared" si="96"/>
        <v>68</v>
      </c>
      <c r="W164" s="12"/>
      <c r="X164" s="20">
        <f t="shared" si="91"/>
        <v>42</v>
      </c>
      <c r="Y164" s="20">
        <f t="shared" si="97"/>
        <v>60</v>
      </c>
    </row>
    <row r="165" ht="15.6" hidden="1" outlineLevel="2" spans="1:25">
      <c r="A165" s="12">
        <v>206</v>
      </c>
      <c r="B165" s="12">
        <v>12</v>
      </c>
      <c r="C165" s="6" t="s">
        <v>281</v>
      </c>
      <c r="D165" s="6" t="s">
        <v>11</v>
      </c>
      <c r="E165" s="12">
        <v>9.9</v>
      </c>
      <c r="F165" s="11">
        <f>LOOKUP(E165,{0,-2.9,-1.9,-0.9,0.1,1.1,2.1,3.5,4.9,6.3,7.7,9.1,10.5,11.9,13.3,14.7,16.1,18.3,20.5,22.4,24.3},{0,10,20,30,40,50,60,62,64,66,68,70,72,74,76,78,80,85,90,95,100})</f>
        <v>70</v>
      </c>
      <c r="G165" s="12">
        <v>172</v>
      </c>
      <c r="H165" s="11">
        <f>LOOKUP(G165,{0,175,180,185,190,195,200,204,208,212,216,220,224,228,232,236,240,248,255,260,265},{0,10,20,30,40,50,60,62,64,66,68,70,72,74,76,78,80,85,90,95,100})</f>
        <v>0</v>
      </c>
      <c r="I165" s="12">
        <v>0</v>
      </c>
      <c r="J165" s="11">
        <f>LOOKUP(I165,{0,3,4,5,6,7,8,9,10,11,12,13,14,15,16,17},{0,10,20,30,40,50,60,64,68,72,76,80,85,90,95,100})</f>
        <v>0</v>
      </c>
      <c r="K165" s="12"/>
      <c r="L165" s="15"/>
      <c r="M165" s="12">
        <f t="shared" si="93"/>
        <v>0</v>
      </c>
      <c r="N165" s="12">
        <v>9.4</v>
      </c>
      <c r="O165" s="12">
        <f t="shared" si="94"/>
        <v>2.6</v>
      </c>
      <c r="P165" s="11">
        <f>LOOKUP(O165,{0,1.6,1.8,2,2.2,2.4,2.6,2.8,3,3.2,3.4,3.6,3.8,4,4.2,4.4,4.6,4.7,4.8,4.9,5},{0,10,20,30,40,50,60,62,64,66,68,70,72,74,76,78,80,85,90,95,100})</f>
        <v>60</v>
      </c>
      <c r="Q165" s="12">
        <v>4.36</v>
      </c>
      <c r="R165" s="12">
        <f t="shared" si="95"/>
        <v>5.64</v>
      </c>
      <c r="S165" s="11">
        <f>LOOKUP(R165,{0,3.8,4,4.6,4.8,5,5.6,5.65,5.7,5.75,5.8,5.85,5.9,5.95,6,6.45,6.5,6.58,6.65,6.7,6.75},{0,10,20,30,40,50,60,62,64,66,68,70,72,74,76,78,80,85,90,95,100})</f>
        <v>60</v>
      </c>
      <c r="T165" s="12"/>
      <c r="U165" s="12"/>
      <c r="V165" s="12">
        <f t="shared" si="96"/>
        <v>60</v>
      </c>
      <c r="W165" s="12"/>
      <c r="X165" s="20">
        <f t="shared" si="91"/>
        <v>31</v>
      </c>
      <c r="Y165" s="20">
        <f t="shared" si="97"/>
        <v>44.2857142857143</v>
      </c>
    </row>
    <row r="166" ht="15.6" hidden="1" outlineLevel="2" spans="1:25">
      <c r="A166" s="12">
        <v>206</v>
      </c>
      <c r="B166" s="12">
        <v>13</v>
      </c>
      <c r="C166" s="6" t="s">
        <v>282</v>
      </c>
      <c r="D166" s="6" t="s">
        <v>11</v>
      </c>
      <c r="E166" s="12">
        <v>19.4</v>
      </c>
      <c r="F166" s="11">
        <f>LOOKUP(E166,{0,-2.9,-1.9,-0.9,0.1,1.1,2.1,3.5,4.9,6.3,7.7,9.1,10.5,11.9,13.3,14.7,16.1,18.3,20.5,22.4,24.3},{0,10,20,30,40,50,60,62,64,66,68,70,72,74,76,78,80,85,90,95,100})</f>
        <v>85</v>
      </c>
      <c r="G166" s="12">
        <v>256</v>
      </c>
      <c r="H166" s="11">
        <f>LOOKUP(G166,{0,175,180,185,190,195,200,204,208,212,216,220,224,228,232,236,240,248,255,260,265},{0,10,20,30,40,50,60,62,64,66,68,70,72,74,76,78,80,85,90,95,100})</f>
        <v>90</v>
      </c>
      <c r="I166" s="12">
        <v>20</v>
      </c>
      <c r="J166" s="11">
        <f>LOOKUP(I166,{0,3,4,5,6,7,8,9,10,11,12,13,14,15,16,17},{0,10,20,30,40,50,60,64,68,72,76,80,85,90,95,100})</f>
        <v>100</v>
      </c>
      <c r="K166" s="12">
        <f t="shared" ref="K166:K171" si="98">I166-17</f>
        <v>3</v>
      </c>
      <c r="L166" s="11">
        <f>LOOKUP(K166,{0,1,2,3,4,5,6,7,8,9,10},{0,1,2,3,4,5,6,7,8,9,10})</f>
        <v>3</v>
      </c>
      <c r="M166" s="12">
        <f t="shared" si="93"/>
        <v>103</v>
      </c>
      <c r="N166" s="12"/>
      <c r="O166" s="12"/>
      <c r="P166" s="11"/>
      <c r="Q166" s="12">
        <v>3.29</v>
      </c>
      <c r="R166" s="12">
        <f t="shared" si="95"/>
        <v>6.71</v>
      </c>
      <c r="S166" s="11">
        <f>LOOKUP(R166,{0,3.8,4,4.6,4.8,5,5.6,5.65,5.7,5.75,5.8,5.85,5.9,5.95,6,6.45,6.5,6.58,6.65,6.7,6.75},{0,10,20,30,40,50,60,62,64,66,68,70,72,74,76,78,80,85,90,95,100})</f>
        <v>95</v>
      </c>
      <c r="T166" s="12"/>
      <c r="U166" s="12"/>
      <c r="V166" s="12">
        <f t="shared" si="96"/>
        <v>95</v>
      </c>
      <c r="W166" s="12"/>
      <c r="X166" s="20">
        <f t="shared" si="91"/>
        <v>46.5</v>
      </c>
      <c r="Y166" s="20">
        <f t="shared" si="97"/>
        <v>69.4285714285714</v>
      </c>
    </row>
    <row r="167" ht="15.6" hidden="1" outlineLevel="2" spans="1:25">
      <c r="A167" s="12">
        <v>206</v>
      </c>
      <c r="B167" s="12">
        <v>14</v>
      </c>
      <c r="C167" s="6" t="s">
        <v>283</v>
      </c>
      <c r="D167" s="6" t="s">
        <v>11</v>
      </c>
      <c r="E167" s="12">
        <v>14.9</v>
      </c>
      <c r="F167" s="11">
        <f>LOOKUP(E167,{0,-2.9,-1.9,-0.9,0.1,1.1,2.1,3.5,4.9,6.3,7.7,9.1,10.5,11.9,13.3,14.7,16.1,18.3,20.5,22.4,24.3},{0,10,20,30,40,50,60,62,64,66,68,70,72,74,76,78,80,85,90,95,100})</f>
        <v>78</v>
      </c>
      <c r="G167" s="12">
        <v>208</v>
      </c>
      <c r="H167" s="11">
        <f>LOOKUP(G167,{0,175,180,185,190,195,200,204,208,212,216,220,224,228,232,236,240,248,255,260,265},{0,10,20,30,40,50,60,62,64,66,68,70,72,74,76,78,80,85,90,95,100})</f>
        <v>64</v>
      </c>
      <c r="I167" s="12">
        <v>2</v>
      </c>
      <c r="J167" s="11">
        <f>LOOKUP(I167,{0,3,4,5,6,7,8,9,10,11,12,13,14,15,16,17},{0,10,20,30,40,50,60,64,68,72,76,80,85,90,95,100})</f>
        <v>0</v>
      </c>
      <c r="K167" s="12"/>
      <c r="L167" s="15"/>
      <c r="M167" s="12">
        <f t="shared" si="93"/>
        <v>0</v>
      </c>
      <c r="N167" s="12">
        <v>8.2</v>
      </c>
      <c r="O167" s="12">
        <f t="shared" ref="O167:O173" si="99">12-N167</f>
        <v>3.8</v>
      </c>
      <c r="P167" s="11">
        <f>LOOKUP(O167,{0,1.6,1.8,2,2.2,2.4,2.6,2.8,3,3.2,3.4,3.6,3.8,4,4.2,4.4,4.6,4.7,4.8,4.9,5},{0,10,20,30,40,50,60,62,64,66,68,70,72,74,76,78,80,85,90,95,100})</f>
        <v>72</v>
      </c>
      <c r="Q167" s="12">
        <v>4.35</v>
      </c>
      <c r="R167" s="12">
        <f t="shared" si="95"/>
        <v>5.65</v>
      </c>
      <c r="S167" s="11">
        <f>LOOKUP(R167,{0,3.8,4,4.6,4.8,5,5.6,5.65,5.7,5.75,5.8,5.85,5.9,5.95,6,6.45,6.5,6.58,6.65,6.7,6.75},{0,10,20,30,40,50,60,62,64,66,68,70,72,74,76,78,80,85,90,95,100})</f>
        <v>62</v>
      </c>
      <c r="T167" s="12"/>
      <c r="U167" s="12"/>
      <c r="V167" s="12">
        <f t="shared" si="96"/>
        <v>62</v>
      </c>
      <c r="W167" s="12"/>
      <c r="X167" s="20">
        <f t="shared" si="91"/>
        <v>41</v>
      </c>
      <c r="Y167" s="20">
        <f t="shared" si="97"/>
        <v>58.5714285714286</v>
      </c>
    </row>
    <row r="168" s="1" customFormat="1" ht="15.6" hidden="1" outlineLevel="2" spans="1:25">
      <c r="A168" s="12">
        <v>206</v>
      </c>
      <c r="B168" s="12">
        <v>15</v>
      </c>
      <c r="C168" s="6" t="s">
        <v>284</v>
      </c>
      <c r="D168" s="6" t="s">
        <v>11</v>
      </c>
      <c r="E168" s="12">
        <v>0</v>
      </c>
      <c r="F168" s="11">
        <f>LOOKUP(E168,{0,-2.9,-1.9,-0.9,0.1,1.1,2.1,3.5,4.9,6.3,7.7,9.1,10.5,11.9,13.3,14.7,16.1,18.3,20.5,22.4,24.3},{0,10,20,30,40,50,60,62,64,66,68,70,72,74,76,78,80,85,90,95,100})</f>
        <v>30</v>
      </c>
      <c r="G168" s="12">
        <v>170</v>
      </c>
      <c r="H168" s="11">
        <f>LOOKUP(G168,{0,175,180,185,190,195,200,204,208,212,216,220,224,228,232,236,240,248,255,260,265},{0,10,20,30,40,50,60,62,64,66,68,70,72,74,76,78,80,85,90,95,100})</f>
        <v>0</v>
      </c>
      <c r="I168" s="12">
        <v>3</v>
      </c>
      <c r="J168" s="11">
        <f>LOOKUP(I168,{0,3,4,5,6,7,8,9,10,11,12,13,14,15,16,17},{0,10,20,30,40,50,60,64,68,72,76,80,85,90,95,100})</f>
        <v>10</v>
      </c>
      <c r="K168" s="12"/>
      <c r="L168" s="12"/>
      <c r="M168" s="12">
        <f t="shared" si="93"/>
        <v>10</v>
      </c>
      <c r="N168" s="12">
        <v>7.9</v>
      </c>
      <c r="O168" s="12">
        <f t="shared" si="99"/>
        <v>4.1</v>
      </c>
      <c r="P168" s="11">
        <f>LOOKUP(O168,{0,1.6,1.8,2,2.2,2.4,2.6,2.8,3,3.2,3.4,3.6,3.8,4,4.2,4.4,4.6,4.7,4.8,4.9,5},{0,10,20,30,40,50,60,62,64,66,68,70,72,74,76,78,80,85,90,95,100})</f>
        <v>74</v>
      </c>
      <c r="Q168" s="12">
        <v>4.49</v>
      </c>
      <c r="R168" s="12">
        <f t="shared" si="95"/>
        <v>5.51</v>
      </c>
      <c r="S168" s="11">
        <f>LOOKUP(R168,{0,3.8,4,4.6,4.8,5,5.6,5.65,5.7,5.75,5.8,5.85,5.9,5.95,6,6.45,6.5,6.58,6.65,6.7,6.75},{0,10,20,30,40,50,60,62,64,66,68,70,72,74,76,78,80,85,90,95,100})</f>
        <v>50</v>
      </c>
      <c r="T168" s="12"/>
      <c r="U168" s="12"/>
      <c r="V168" s="12">
        <f t="shared" si="96"/>
        <v>50</v>
      </c>
      <c r="W168" s="12"/>
      <c r="X168" s="20">
        <f t="shared" si="91"/>
        <v>28.8</v>
      </c>
      <c r="Y168" s="20">
        <f t="shared" si="97"/>
        <v>41.1428571428571</v>
      </c>
    </row>
    <row r="169" ht="15.6" hidden="1" outlineLevel="2" spans="1:25">
      <c r="A169" s="12">
        <v>206</v>
      </c>
      <c r="B169" s="12">
        <v>16</v>
      </c>
      <c r="C169" s="6" t="s">
        <v>285</v>
      </c>
      <c r="D169" s="6" t="s">
        <v>11</v>
      </c>
      <c r="E169" s="12">
        <v>6.9</v>
      </c>
      <c r="F169" s="11">
        <f>LOOKUP(E169,{0,-2.9,-1.9,-0.9,0.1,1.1,2.1,3.5,4.9,6.3,7.7,9.1,10.5,11.9,13.3,14.7,16.1,18.3,20.5,22.4,24.3},{0,10,20,30,40,50,60,62,64,66,68,70,72,74,76,78,80,85,90,95,100})</f>
        <v>66</v>
      </c>
      <c r="G169" s="12">
        <v>220</v>
      </c>
      <c r="H169" s="11">
        <f>LOOKUP(G169,{0,175,180,185,190,195,200,204,208,212,216,220,224,228,232,236,240,248,255,260,265},{0,10,20,30,40,50,60,62,64,66,68,70,72,74,76,78,80,85,90,95,100})</f>
        <v>70</v>
      </c>
      <c r="I169" s="12">
        <v>3</v>
      </c>
      <c r="J169" s="11">
        <f>LOOKUP(I169,{0,3,4,5,6,7,8,9,10,11,12,13,14,15,16,17},{0,10,20,30,40,50,60,64,68,72,76,80,85,90,95,100})</f>
        <v>10</v>
      </c>
      <c r="K169" s="12"/>
      <c r="L169" s="12"/>
      <c r="M169" s="12">
        <f t="shared" si="93"/>
        <v>10</v>
      </c>
      <c r="N169" s="12">
        <v>7.7</v>
      </c>
      <c r="O169" s="12">
        <f t="shared" si="99"/>
        <v>4.3</v>
      </c>
      <c r="P169" s="11">
        <f>LOOKUP(O169,{0,1.6,1.8,2,2.2,2.4,2.6,2.8,3,3.2,3.4,3.6,3.8,4,4.2,4.4,4.6,4.7,4.8,4.9,5},{0,10,20,30,40,50,60,62,64,66,68,70,72,74,76,78,80,85,90,95,100})</f>
        <v>76</v>
      </c>
      <c r="Q169" s="12">
        <v>5.05</v>
      </c>
      <c r="R169" s="12">
        <f t="shared" si="95"/>
        <v>4.95</v>
      </c>
      <c r="S169" s="11">
        <f>LOOKUP(R169,{0,3.8,4,4.6,4.8,5,5.6,5.65,5.7,5.75,5.8,5.85,5.9,5.95,6,6.45,6.5,6.58,6.65,6.7,6.75},{0,10,20,30,40,50,60,62,64,66,68,70,72,74,76,78,80,85,90,95,100})</f>
        <v>40</v>
      </c>
      <c r="T169" s="12"/>
      <c r="U169" s="12"/>
      <c r="V169" s="12">
        <f t="shared" si="96"/>
        <v>40</v>
      </c>
      <c r="W169" s="12"/>
      <c r="X169" s="20">
        <f t="shared" si="91"/>
        <v>37.8</v>
      </c>
      <c r="Y169" s="20">
        <f t="shared" si="97"/>
        <v>54</v>
      </c>
    </row>
    <row r="170" ht="15.6" hidden="1" outlineLevel="2" spans="1:25">
      <c r="A170" s="12">
        <v>206</v>
      </c>
      <c r="B170" s="12">
        <v>17</v>
      </c>
      <c r="C170" s="6" t="s">
        <v>286</v>
      </c>
      <c r="D170" s="6" t="s">
        <v>11</v>
      </c>
      <c r="E170" s="12">
        <v>14.4</v>
      </c>
      <c r="F170" s="11">
        <f>LOOKUP(E170,{0,-2.9,-1.9,-0.9,0.1,1.1,2.1,3.5,4.9,6.3,7.7,9.1,10.5,11.9,13.3,14.7,16.1,18.3,20.5,22.4,24.3},{0,10,20,30,40,50,60,62,64,66,68,70,72,74,76,78,80,85,90,95,100})</f>
        <v>76</v>
      </c>
      <c r="G170" s="12">
        <v>275</v>
      </c>
      <c r="H170" s="11">
        <f>LOOKUP(G170,{0,175,180,185,190,195,200,204,208,212,216,220,224,228,232,236,240,248,255,260,265},{0,10,20,30,40,50,60,62,64,66,68,70,72,74,76,78,80,85,90,95,100})</f>
        <v>100</v>
      </c>
      <c r="I170" s="12">
        <v>20</v>
      </c>
      <c r="J170" s="11">
        <f>LOOKUP(I170,{0,3,4,5,6,7,8,9,10,11,12,13,14,15,16,17},{0,10,20,30,40,50,60,64,68,72,76,80,85,90,95,100})</f>
        <v>100</v>
      </c>
      <c r="K170" s="12">
        <f t="shared" si="98"/>
        <v>3</v>
      </c>
      <c r="L170" s="11">
        <f>LOOKUP(K170,{0,1,2,3,4,5,6,7,8,9,10},{0,1,2,3,4,5,6,7,8,9,10})</f>
        <v>3</v>
      </c>
      <c r="M170" s="12">
        <f t="shared" si="93"/>
        <v>103</v>
      </c>
      <c r="N170" s="12">
        <v>6.7</v>
      </c>
      <c r="O170" s="12">
        <f t="shared" si="99"/>
        <v>5.3</v>
      </c>
      <c r="P170" s="11">
        <f>LOOKUP(O170,{0,1.6,1.8,2,2.2,2.4,2.6,2.8,3,3.2,3.4,3.6,3.8,4,4.2,4.4,4.6,4.7,4.8,4.9,5},{0,10,20,30,40,50,60,62,64,66,68,70,72,74,76,78,80,85,90,95,100})</f>
        <v>100</v>
      </c>
      <c r="Q170" s="12">
        <v>3.2</v>
      </c>
      <c r="R170" s="12">
        <f t="shared" si="95"/>
        <v>6.8</v>
      </c>
      <c r="S170" s="11">
        <f>LOOKUP(R170,{0,3.8,4,4.6,4.8,5,5.6,5.65,5.7,5.75,5.8,5.85,5.9,5.95,6,6.45,6.5,6.58,6.65,6.7,6.75},{0,10,20,30,40,50,60,62,64,66,68,70,72,74,76,78,80,85,90,95,100})</f>
        <v>100</v>
      </c>
      <c r="T170" s="12">
        <f>3.25-Q170</f>
        <v>0.0499999999999998</v>
      </c>
      <c r="U170" s="11">
        <f>LOOKUP(T170,{0,0.04,0.08,0.12,0.16,0.2,0.23,0.26,0.29,0.32,0.35},{0,1,2,3,4,5,6,7,8,9,10})</f>
        <v>1</v>
      </c>
      <c r="V170" s="12">
        <f t="shared" si="96"/>
        <v>101</v>
      </c>
      <c r="W170" s="12"/>
      <c r="X170" s="20">
        <f t="shared" si="91"/>
        <v>67.6</v>
      </c>
      <c r="Y170" s="20">
        <f t="shared" si="97"/>
        <v>100.571428571429</v>
      </c>
    </row>
    <row r="171" ht="15.6" hidden="1" outlineLevel="2" spans="1:25">
      <c r="A171" s="12">
        <v>206</v>
      </c>
      <c r="B171" s="12">
        <v>18</v>
      </c>
      <c r="C171" s="6" t="s">
        <v>287</v>
      </c>
      <c r="D171" s="6" t="s">
        <v>11</v>
      </c>
      <c r="E171" s="12">
        <v>16.2</v>
      </c>
      <c r="F171" s="11">
        <f>LOOKUP(E171,{0,-2.9,-1.9,-0.9,0.1,1.1,2.1,3.5,4.9,6.3,7.7,9.1,10.5,11.9,13.3,14.7,16.1,18.3,20.5,22.4,24.3},{0,10,20,30,40,50,60,62,64,66,68,70,72,74,76,78,80,85,90,95,100})</f>
        <v>80</v>
      </c>
      <c r="G171" s="12">
        <v>262</v>
      </c>
      <c r="H171" s="11">
        <f>LOOKUP(G171,{0,175,180,185,190,195,200,204,208,212,216,220,224,228,232,236,240,248,255,260,265},{0,10,20,30,40,50,60,62,64,66,68,70,72,74,76,78,80,85,90,95,100})</f>
        <v>95</v>
      </c>
      <c r="I171" s="12">
        <v>19</v>
      </c>
      <c r="J171" s="11">
        <f>LOOKUP(I171,{0,3,4,5,6,7,8,9,10,11,12,13,14,15,16,17},{0,10,20,30,40,50,60,64,68,72,76,80,85,90,95,100})</f>
        <v>100</v>
      </c>
      <c r="K171" s="12">
        <f t="shared" si="98"/>
        <v>2</v>
      </c>
      <c r="L171" s="11">
        <f>LOOKUP(K171,{0,1,2,3,4,5,6,7,8,9,10},{0,1,2,3,4,5,6,7,8,9,10})</f>
        <v>2</v>
      </c>
      <c r="M171" s="12">
        <f t="shared" si="93"/>
        <v>102</v>
      </c>
      <c r="N171" s="12">
        <v>7.5</v>
      </c>
      <c r="O171" s="12">
        <f t="shared" si="99"/>
        <v>4.5</v>
      </c>
      <c r="P171" s="11">
        <f>LOOKUP(O171,{0,1.6,1.8,2,2.2,2.4,2.6,2.8,3,3.2,3.4,3.6,3.8,4,4.2,4.4,4.6,4.7,4.8,4.9,5},{0,10,20,30,40,50,60,62,64,66,68,70,72,74,76,78,80,85,90,95,100})</f>
        <v>78</v>
      </c>
      <c r="Q171" s="12">
        <v>3.42</v>
      </c>
      <c r="R171" s="12">
        <f t="shared" si="95"/>
        <v>6.58</v>
      </c>
      <c r="S171" s="11">
        <f>LOOKUP(R171,{0,3.8,4,4.6,4.8,5,5.6,5.65,5.7,5.75,5.8,5.85,5.9,5.95,6,6.45,6.5,6.58,6.65,6.7,6.75},{0,10,20,30,40,50,60,62,64,66,68,70,72,74,76,78,80,85,90,95,100})</f>
        <v>85</v>
      </c>
      <c r="T171" s="12"/>
      <c r="U171" s="12"/>
      <c r="V171" s="12">
        <f t="shared" si="96"/>
        <v>85</v>
      </c>
      <c r="W171" s="12"/>
      <c r="X171" s="20">
        <f t="shared" si="91"/>
        <v>60.1</v>
      </c>
      <c r="Y171" s="20">
        <f t="shared" si="97"/>
        <v>87.8571428571429</v>
      </c>
    </row>
    <row r="172" ht="15.6" hidden="1" outlineLevel="2" spans="1:25">
      <c r="A172" s="12">
        <v>206</v>
      </c>
      <c r="B172" s="12">
        <v>19</v>
      </c>
      <c r="C172" s="6" t="s">
        <v>288</v>
      </c>
      <c r="D172" s="6" t="s">
        <v>11</v>
      </c>
      <c r="E172" s="12">
        <v>16.5</v>
      </c>
      <c r="F172" s="11">
        <f>LOOKUP(E172,{0,-2.9,-1.9,-0.9,0.1,1.1,2.1,3.5,4.9,6.3,7.7,9.1,10.5,11.9,13.3,14.7,16.1,18.3,20.5,22.4,24.3},{0,10,20,30,40,50,60,62,64,66,68,70,72,74,76,78,80,85,90,95,100})</f>
        <v>80</v>
      </c>
      <c r="G172" s="12">
        <v>208</v>
      </c>
      <c r="H172" s="11">
        <f>LOOKUP(G172,{0,175,180,185,190,195,200,204,208,212,216,220,224,228,232,236,240,248,255,260,265},{0,10,20,30,40,50,60,62,64,66,68,70,72,74,76,78,80,85,90,95,100})</f>
        <v>64</v>
      </c>
      <c r="I172" s="12">
        <v>0</v>
      </c>
      <c r="J172" s="11">
        <f>LOOKUP(I172,{0,3,4,5,6,7,8,9,10,11,12,13,14,15,16,17},{0,10,20,30,40,50,60,64,68,72,76,80,85,90,95,100})</f>
        <v>0</v>
      </c>
      <c r="K172" s="12"/>
      <c r="L172" s="12"/>
      <c r="M172" s="12">
        <f t="shared" si="93"/>
        <v>0</v>
      </c>
      <c r="N172" s="12">
        <v>8.8</v>
      </c>
      <c r="O172" s="12">
        <f t="shared" si="99"/>
        <v>3.2</v>
      </c>
      <c r="P172" s="11">
        <f>LOOKUP(O172,{0,1.6,1.8,2,2.2,2.4,2.6,2.8,3,3.2,3.4,3.6,3.8,4,4.2,4.4,4.6,4.7,4.8,4.9,5},{0,10,20,30,40,50,60,62,64,66,68,70,72,74,76,78,80,85,90,95,100})</f>
        <v>66</v>
      </c>
      <c r="Q172" s="12">
        <v>4.07</v>
      </c>
      <c r="R172" s="12">
        <f t="shared" si="95"/>
        <v>5.93</v>
      </c>
      <c r="S172" s="11">
        <f>LOOKUP(R172,{0,3.8,4,4.6,4.8,5,5.6,5.65,5.7,5.75,5.8,5.85,5.9,5.95,6,6.45,6.5,6.58,6.65,6.7,6.75},{0,10,20,30,40,50,60,62,64,66,68,70,72,74,76,78,80,85,90,95,100})</f>
        <v>72</v>
      </c>
      <c r="T172" s="12"/>
      <c r="U172" s="12"/>
      <c r="V172" s="12">
        <f t="shared" si="96"/>
        <v>72</v>
      </c>
      <c r="W172" s="12"/>
      <c r="X172" s="20">
        <f t="shared" si="91"/>
        <v>42</v>
      </c>
      <c r="Y172" s="20">
        <f t="shared" si="97"/>
        <v>60</v>
      </c>
    </row>
    <row r="173" ht="15.6" hidden="1" outlineLevel="2" spans="1:25">
      <c r="A173" s="12">
        <v>206</v>
      </c>
      <c r="B173" s="12">
        <v>20</v>
      </c>
      <c r="C173" s="13" t="s">
        <v>290</v>
      </c>
      <c r="D173" s="6" t="s">
        <v>11</v>
      </c>
      <c r="E173" s="12">
        <v>12</v>
      </c>
      <c r="F173" s="11">
        <f>LOOKUP(E173,{0,-2.9,-1.9,-0.9,0.1,1.1,2.1,3.5,4.9,6.3,7.7,9.1,10.5,11.9,13.3,14.7,16.1,18.3,20.5,22.4,24.3},{0,10,20,30,40,50,60,62,64,66,68,70,72,74,76,78,80,85,90,95,100})</f>
        <v>74</v>
      </c>
      <c r="G173" s="12">
        <v>226</v>
      </c>
      <c r="H173" s="11">
        <f>LOOKUP(G173,{0,175,180,185,190,195,200,204,208,212,216,220,224,228,232,236,240,248,255,260,265},{0,10,20,30,40,50,60,62,64,66,68,70,72,74,76,78,80,85,90,95,100})</f>
        <v>72</v>
      </c>
      <c r="I173" s="12">
        <v>1</v>
      </c>
      <c r="J173" s="11">
        <f>LOOKUP(I173,{0,3,4,5,6,7,8,9,10,11,12,13,14,15,16,17},{0,10,20,30,40,50,60,64,68,72,76,80,85,90,95,100})</f>
        <v>0</v>
      </c>
      <c r="K173" s="12"/>
      <c r="L173" s="12"/>
      <c r="M173" s="12">
        <f t="shared" si="93"/>
        <v>0</v>
      </c>
      <c r="N173" s="12">
        <v>7.4</v>
      </c>
      <c r="O173" s="12">
        <f t="shared" si="99"/>
        <v>4.6</v>
      </c>
      <c r="P173" s="11">
        <f>LOOKUP(O173,{0,1.6,1.8,2,2.2,2.4,2.6,2.8,3,3.2,3.4,3.6,3.8,4,4.2,4.4,4.6,4.7,4.8,4.9,5},{0,10,20,30,40,50,60,62,64,66,68,70,72,74,76,78,80,85,90,95,100})</f>
        <v>80</v>
      </c>
      <c r="Q173" s="12">
        <v>3.5</v>
      </c>
      <c r="R173" s="12">
        <f t="shared" si="95"/>
        <v>6.5</v>
      </c>
      <c r="S173" s="11">
        <f>LOOKUP(R173,{0,3.8,4,4.6,4.8,5,5.6,5.65,5.7,5.75,5.8,5.85,5.9,5.95,6,6.45,6.5,6.58,6.65,6.7,6.75},{0,10,20,30,40,50,60,62,64,66,68,70,72,74,76,78,80,85,90,95,100})</f>
        <v>80</v>
      </c>
      <c r="T173" s="12"/>
      <c r="U173" s="12"/>
      <c r="V173" s="12">
        <f t="shared" si="96"/>
        <v>80</v>
      </c>
      <c r="W173" s="12"/>
      <c r="X173" s="20">
        <f t="shared" si="91"/>
        <v>46.6</v>
      </c>
      <c r="Y173" s="20">
        <f t="shared" si="97"/>
        <v>66.5714285714286</v>
      </c>
    </row>
    <row r="174" ht="15.6" hidden="1" outlineLevel="2" spans="1:25">
      <c r="A174" s="12">
        <v>206</v>
      </c>
      <c r="B174" s="12">
        <v>21</v>
      </c>
      <c r="C174" s="6" t="s">
        <v>291</v>
      </c>
      <c r="D174" s="6" t="s">
        <v>11</v>
      </c>
      <c r="E174" s="12">
        <v>7</v>
      </c>
      <c r="F174" s="11">
        <f>LOOKUP(E174,{0,-2.9,-1.9,-0.9,0.1,1.1,2.1,3.5,4.9,6.3,7.7,9.1,10.5,11.9,13.3,14.7,16.1,18.3,20.5,22.4,24.3},{0,10,20,30,40,50,60,62,64,66,68,70,72,74,76,78,80,85,90,95,100})</f>
        <v>66</v>
      </c>
      <c r="G174" s="12">
        <v>217</v>
      </c>
      <c r="H174" s="11">
        <f>LOOKUP(G174,{0,175,180,185,190,195,200,204,208,212,216,220,224,228,232,236,240,248,255,260,265},{0,10,20,30,40,50,60,62,64,66,68,70,72,74,76,78,80,85,90,95,100})</f>
        <v>68</v>
      </c>
      <c r="I174" s="12">
        <v>7</v>
      </c>
      <c r="J174" s="11">
        <f>LOOKUP(I174,{0,3,4,5,6,7,8,9,10,11,12,13,14,15,16,17},{0,10,20,30,40,50,60,64,68,72,76,80,85,90,95,100})</f>
        <v>50</v>
      </c>
      <c r="K174" s="12"/>
      <c r="L174" s="12"/>
      <c r="M174" s="12">
        <f t="shared" si="93"/>
        <v>50</v>
      </c>
      <c r="N174" s="12"/>
      <c r="O174" s="12"/>
      <c r="P174" s="11"/>
      <c r="Q174" s="12">
        <v>3.48</v>
      </c>
      <c r="R174" s="12">
        <f t="shared" si="95"/>
        <v>6.52</v>
      </c>
      <c r="S174" s="11">
        <f>LOOKUP(R174,{0,3.8,4,4.6,4.8,5,5.6,5.65,5.7,5.75,5.8,5.85,5.9,5.95,6,6.45,6.5,6.58,6.65,6.7,6.75},{0,10,20,30,40,50,60,62,64,66,68,70,72,74,76,78,80,85,90,95,100})</f>
        <v>80</v>
      </c>
      <c r="T174" s="12"/>
      <c r="U174" s="12"/>
      <c r="V174" s="12">
        <f t="shared" si="96"/>
        <v>80</v>
      </c>
      <c r="W174" s="12"/>
      <c r="X174" s="20">
        <f t="shared" si="91"/>
        <v>34.4</v>
      </c>
      <c r="Y174" s="23">
        <v>50</v>
      </c>
    </row>
    <row r="175" ht="15.6" hidden="1" outlineLevel="2" spans="1:25">
      <c r="A175" s="12">
        <v>206</v>
      </c>
      <c r="B175" s="12">
        <v>22</v>
      </c>
      <c r="C175" s="6" t="s">
        <v>292</v>
      </c>
      <c r="D175" s="6" t="s">
        <v>11</v>
      </c>
      <c r="E175" s="12">
        <v>31</v>
      </c>
      <c r="F175" s="11">
        <f>LOOKUP(E175,{0,-2.9,-1.9,-0.9,0.1,1.1,2.1,3.5,4.9,6.3,7.7,9.1,10.5,11.9,13.3,14.7,16.1,18.3,20.5,22.4,24.3},{0,10,20,30,40,50,60,62,64,66,68,70,72,74,76,78,80,85,90,95,100})</f>
        <v>100</v>
      </c>
      <c r="G175" s="12">
        <v>264</v>
      </c>
      <c r="H175" s="11">
        <f>LOOKUP(G175,{0,175,180,185,190,195,200,204,208,212,216,220,224,228,232,236,240,248,255,260,265},{0,10,20,30,40,50,60,62,64,66,68,70,72,74,76,78,80,85,90,95,100})</f>
        <v>95</v>
      </c>
      <c r="I175" s="12">
        <v>20</v>
      </c>
      <c r="J175" s="11">
        <f>LOOKUP(I175,{0,3,4,5,6,7,8,9,10,11,12,13,14,15,16,17},{0,10,20,30,40,50,60,64,68,72,76,80,85,90,95,100})</f>
        <v>100</v>
      </c>
      <c r="K175" s="12">
        <f>I175-17</f>
        <v>3</v>
      </c>
      <c r="L175" s="11">
        <f>LOOKUP(K175,{0,1,2,3,4,5,6,7,8,9,10},{0,1,2,3,4,5,6,7,8,9,10})</f>
        <v>3</v>
      </c>
      <c r="M175" s="12">
        <f t="shared" si="93"/>
        <v>103</v>
      </c>
      <c r="N175" s="12">
        <v>7</v>
      </c>
      <c r="O175" s="12">
        <f t="shared" ref="O175:O182" si="100">12-N175</f>
        <v>5</v>
      </c>
      <c r="P175" s="11">
        <f>LOOKUP(O175,{0,1.6,1.8,2,2.2,2.4,2.6,2.8,3,3.2,3.4,3.6,3.8,4,4.2,4.4,4.6,4.7,4.8,4.9,5},{0,10,20,30,40,50,60,62,64,66,68,70,72,74,76,78,80,85,90,95,100})</f>
        <v>100</v>
      </c>
      <c r="Q175" s="12">
        <v>3.41</v>
      </c>
      <c r="R175" s="12">
        <f t="shared" si="95"/>
        <v>6.59</v>
      </c>
      <c r="S175" s="11">
        <f>LOOKUP(R175,{0,3.8,4,4.6,4.8,5,5.6,5.65,5.7,5.75,5.8,5.85,5.9,5.95,6,6.45,6.5,6.58,6.65,6.7,6.75},{0,10,20,30,40,50,60,62,64,66,68,70,72,74,76,78,80,85,90,95,100})</f>
        <v>85</v>
      </c>
      <c r="T175" s="12"/>
      <c r="U175" s="12"/>
      <c r="V175" s="12">
        <f t="shared" si="96"/>
        <v>85</v>
      </c>
      <c r="W175" s="12"/>
      <c r="X175" s="20">
        <f t="shared" si="91"/>
        <v>66.5</v>
      </c>
      <c r="Y175" s="20">
        <f t="shared" ref="Y175:Y182" si="101">X175/0.7+L175+U175</f>
        <v>98</v>
      </c>
    </row>
    <row r="176" ht="15.6" hidden="1" outlineLevel="2" spans="1:25">
      <c r="A176" s="12">
        <v>206</v>
      </c>
      <c r="B176" s="12">
        <v>23</v>
      </c>
      <c r="C176" s="6" t="s">
        <v>293</v>
      </c>
      <c r="D176" s="6" t="s">
        <v>11</v>
      </c>
      <c r="E176" s="12">
        <v>9</v>
      </c>
      <c r="F176" s="11">
        <f>LOOKUP(E176,{0,-2.9,-1.9,-0.9,0.1,1.1,2.1,3.5,4.9,6.3,7.7,9.1,10.5,11.9,13.3,14.7,16.1,18.3,20.5,22.4,24.3},{0,10,20,30,40,50,60,62,64,66,68,70,72,74,76,78,80,85,90,95,100})</f>
        <v>68</v>
      </c>
      <c r="G176" s="12">
        <v>188</v>
      </c>
      <c r="H176" s="11">
        <f>LOOKUP(G176,{0,175,180,185,190,195,200,204,208,212,216,220,224,228,232,236,240,248,255,260,265},{0,10,20,30,40,50,60,62,64,66,68,70,72,74,76,78,80,85,90,95,100})</f>
        <v>30</v>
      </c>
      <c r="I176" s="12">
        <v>16</v>
      </c>
      <c r="J176" s="11">
        <f>LOOKUP(I176,{0,3,4,5,6,7,8,9,10,11,12,13,14,15,16,17},{0,10,20,30,40,50,60,64,68,72,76,80,85,90,95,100})</f>
        <v>95</v>
      </c>
      <c r="K176" s="12"/>
      <c r="L176" s="15"/>
      <c r="M176" s="12">
        <f t="shared" si="93"/>
        <v>95</v>
      </c>
      <c r="N176" s="12"/>
      <c r="O176" s="12"/>
      <c r="P176" s="11"/>
      <c r="Q176" s="12">
        <v>4.12</v>
      </c>
      <c r="R176" s="12">
        <f t="shared" si="95"/>
        <v>5.88</v>
      </c>
      <c r="S176" s="11">
        <f>LOOKUP(R176,{0,3.8,4,4.6,4.8,5,5.6,5.65,5.7,5.75,5.8,5.85,5.9,5.95,6,6.45,6.5,6.58,6.65,6.7,6.75},{0,10,20,30,40,50,60,62,64,66,68,70,72,74,76,78,80,85,90,95,100})</f>
        <v>70</v>
      </c>
      <c r="T176" s="12"/>
      <c r="U176" s="12"/>
      <c r="V176" s="12">
        <f t="shared" si="96"/>
        <v>70</v>
      </c>
      <c r="W176" s="12"/>
      <c r="X176" s="20">
        <f t="shared" si="91"/>
        <v>33.3</v>
      </c>
      <c r="Y176" s="23">
        <v>50</v>
      </c>
    </row>
    <row r="177" ht="15.6" hidden="1" outlineLevel="2" spans="1:25">
      <c r="A177" s="12">
        <v>206</v>
      </c>
      <c r="B177" s="12">
        <v>24</v>
      </c>
      <c r="C177" s="6" t="s">
        <v>294</v>
      </c>
      <c r="D177" s="6" t="s">
        <v>11</v>
      </c>
      <c r="E177" s="12">
        <v>16.5</v>
      </c>
      <c r="F177" s="11">
        <f>LOOKUP(E177,{0,-2.9,-1.9,-0.9,0.1,1.1,2.1,3.5,4.9,6.3,7.7,9.1,10.5,11.9,13.3,14.7,16.1,18.3,20.5,22.4,24.3},{0,10,20,30,40,50,60,62,64,66,68,70,72,74,76,78,80,85,90,95,100})</f>
        <v>80</v>
      </c>
      <c r="G177" s="12">
        <v>183</v>
      </c>
      <c r="H177" s="11">
        <f>LOOKUP(G177,{0,175,180,185,190,195,200,204,208,212,216,220,224,228,232,236,240,248,255,260,265},{0,10,20,30,40,50,60,62,64,66,68,70,72,74,76,78,80,85,90,95,100})</f>
        <v>20</v>
      </c>
      <c r="I177" s="12">
        <v>0</v>
      </c>
      <c r="J177" s="11">
        <f>LOOKUP(I177,{0,3,4,5,6,7,8,9,10,11,12,13,14,15,16,17},{0,10,20,30,40,50,60,64,68,72,76,80,85,90,95,100})</f>
        <v>0</v>
      </c>
      <c r="K177" s="12"/>
      <c r="L177" s="12"/>
      <c r="M177" s="12">
        <f t="shared" si="93"/>
        <v>0</v>
      </c>
      <c r="N177" s="12">
        <v>8.6</v>
      </c>
      <c r="O177" s="12">
        <f t="shared" si="100"/>
        <v>3.4</v>
      </c>
      <c r="P177" s="11">
        <f>LOOKUP(O177,{0,1.6,1.8,2,2.2,2.4,2.6,2.8,3,3.2,3.4,3.6,3.8,4,4.2,4.4,4.6,4.7,4.8,4.9,5},{0,10,20,30,40,50,60,62,64,66,68,70,72,74,76,78,80,85,90,95,100})</f>
        <v>68</v>
      </c>
      <c r="Q177" s="12"/>
      <c r="R177" s="12"/>
      <c r="S177" s="11"/>
      <c r="T177" s="12"/>
      <c r="U177" s="11"/>
      <c r="V177" s="12"/>
      <c r="W177" s="12" t="s">
        <v>295</v>
      </c>
      <c r="X177" s="20">
        <f t="shared" si="91"/>
        <v>23.6</v>
      </c>
      <c r="Y177" s="20">
        <v>50</v>
      </c>
    </row>
    <row r="178" ht="15.6" hidden="1" outlineLevel="2" spans="1:25">
      <c r="A178" s="12">
        <v>206</v>
      </c>
      <c r="B178" s="12">
        <v>25</v>
      </c>
      <c r="C178" s="6" t="s">
        <v>296</v>
      </c>
      <c r="D178" s="6" t="s">
        <v>11</v>
      </c>
      <c r="E178" s="12">
        <v>20</v>
      </c>
      <c r="F178" s="11">
        <f>LOOKUP(E178,{0,-2.9,-1.9,-0.9,0.1,1.1,2.1,3.5,4.9,6.3,7.7,9.1,10.5,11.9,13.3,14.7,16.1,18.3,20.5,22.4,24.3},{0,10,20,30,40,50,60,62,64,66,68,70,72,74,76,78,80,85,90,95,100})</f>
        <v>85</v>
      </c>
      <c r="G178" s="12">
        <v>215</v>
      </c>
      <c r="H178" s="11">
        <f>LOOKUP(G178,{0,175,180,185,190,195,200,204,208,212,216,220,224,228,232,236,240,248,255,260,265},{0,10,20,30,40,50,60,62,64,66,68,70,72,74,76,78,80,85,90,95,100})</f>
        <v>66</v>
      </c>
      <c r="I178" s="12">
        <v>6</v>
      </c>
      <c r="J178" s="11">
        <f>LOOKUP(I178,{0,3,4,5,6,7,8,9,10,11,12,13,14,15,16,17},{0,10,20,30,40,50,60,64,68,72,76,80,85,90,95,100})</f>
        <v>40</v>
      </c>
      <c r="K178" s="12"/>
      <c r="L178" s="12"/>
      <c r="M178" s="12">
        <f t="shared" si="93"/>
        <v>40</v>
      </c>
      <c r="N178" s="12">
        <v>7.3</v>
      </c>
      <c r="O178" s="12">
        <f t="shared" si="100"/>
        <v>4.7</v>
      </c>
      <c r="P178" s="11">
        <f>LOOKUP(O178,{0,1.6,1.8,2,2.2,2.4,2.6,2.8,3,3.2,3.4,3.6,3.8,4,4.2,4.4,4.6,4.7,4.8,4.9,5},{0,10,20,30,40,50,60,62,64,66,68,70,72,74,76,78,80,85,90,95,100})</f>
        <v>85</v>
      </c>
      <c r="Q178" s="12">
        <v>3.32</v>
      </c>
      <c r="R178" s="12">
        <f t="shared" ref="R178:R190" si="102">10-Q178</f>
        <v>6.68</v>
      </c>
      <c r="S178" s="11">
        <f>LOOKUP(R178,{0,3.8,4,4.6,4.8,5,5.6,5.65,5.7,5.75,5.8,5.85,5.9,5.95,6,6.45,6.5,6.58,6.65,6.7,6.75},{0,10,20,30,40,50,60,62,64,66,68,70,72,74,76,78,80,85,90,95,100})</f>
        <v>90</v>
      </c>
      <c r="T178" s="12"/>
      <c r="U178" s="12"/>
      <c r="V178" s="12">
        <f t="shared" ref="V178:V190" si="103">S178+U178</f>
        <v>90</v>
      </c>
      <c r="W178" s="12"/>
      <c r="X178" s="20">
        <f t="shared" si="91"/>
        <v>54.1</v>
      </c>
      <c r="Y178" s="20">
        <f t="shared" si="101"/>
        <v>77.2857142857143</v>
      </c>
    </row>
    <row r="179" s="29" customFormat="1" ht="15.6" hidden="1" outlineLevel="2" spans="1:25">
      <c r="A179" s="12">
        <v>206</v>
      </c>
      <c r="B179" s="12">
        <v>26</v>
      </c>
      <c r="C179" s="6" t="s">
        <v>297</v>
      </c>
      <c r="D179" s="6" t="s">
        <v>11</v>
      </c>
      <c r="E179" s="12">
        <v>8.3</v>
      </c>
      <c r="F179" s="11">
        <f>LOOKUP(E179,{0,-2.9,-1.9,-0.9,0.1,1.1,2.1,3.5,4.9,6.3,7.7,9.1,10.5,11.9,13.3,14.7,16.1,18.3,20.5,22.4,24.3},{0,10,20,30,40,50,60,62,64,66,68,70,72,74,76,78,80,85,90,95,100})</f>
        <v>68</v>
      </c>
      <c r="G179" s="12">
        <v>234</v>
      </c>
      <c r="H179" s="11">
        <f>LOOKUP(G179,{0,175,180,185,190,195,200,204,208,212,216,220,224,228,232,236,240,248,255,260,265},{0,10,20,30,40,50,60,62,64,66,68,70,72,74,76,78,80,85,90,95,100})</f>
        <v>76</v>
      </c>
      <c r="I179" s="12">
        <v>3</v>
      </c>
      <c r="J179" s="11">
        <f>LOOKUP(I179,{0,3,4,5,6,7,8,9,10,11,12,13,14,15,16,17},{0,10,20,30,40,50,60,64,68,72,76,80,85,90,95,100})</f>
        <v>10</v>
      </c>
      <c r="K179" s="12"/>
      <c r="L179" s="12"/>
      <c r="M179" s="12">
        <f t="shared" si="93"/>
        <v>10</v>
      </c>
      <c r="N179" s="12">
        <v>7.2</v>
      </c>
      <c r="O179" s="12">
        <f t="shared" si="100"/>
        <v>4.8</v>
      </c>
      <c r="P179" s="11">
        <f>LOOKUP(O179,{0,1.6,1.8,2,2.2,2.4,2.6,2.8,3,3.2,3.4,3.6,3.8,4,4.2,4.4,4.6,4.7,4.8,4.9,5},{0,10,20,30,40,50,60,62,64,66,68,70,72,74,76,78,80,85,90,95,100})</f>
        <v>90</v>
      </c>
      <c r="Q179" s="12">
        <v>3.45</v>
      </c>
      <c r="R179" s="12">
        <f t="shared" si="102"/>
        <v>6.55</v>
      </c>
      <c r="S179" s="11">
        <f>LOOKUP(R179,{0,3.8,4,4.6,4.8,5,5.6,5.65,5.7,5.75,5.8,5.85,5.9,5.95,6,6.45,6.5,6.58,6.65,6.7,6.75},{0,10,20,30,40,50,60,62,64,66,68,70,72,74,76,78,80,85,90,95,100})</f>
        <v>80</v>
      </c>
      <c r="T179" s="12"/>
      <c r="U179" s="12"/>
      <c r="V179" s="12">
        <f t="shared" si="103"/>
        <v>80</v>
      </c>
      <c r="W179" s="12"/>
      <c r="X179" s="20">
        <f t="shared" si="91"/>
        <v>49.4</v>
      </c>
      <c r="Y179" s="20">
        <f t="shared" si="101"/>
        <v>70.5714285714286</v>
      </c>
    </row>
    <row r="180" s="1" customFormat="1" ht="15.6" hidden="1" outlineLevel="2" spans="1:25">
      <c r="A180" s="12">
        <v>206</v>
      </c>
      <c r="B180" s="12">
        <v>27</v>
      </c>
      <c r="C180" s="6" t="s">
        <v>298</v>
      </c>
      <c r="D180" s="6" t="s">
        <v>11</v>
      </c>
      <c r="E180" s="12">
        <v>30.6</v>
      </c>
      <c r="F180" s="11">
        <f>LOOKUP(E180,{0,-2.9,-1.9,-0.9,0.1,1.1,2.1,3.5,4.9,6.3,7.7,9.1,10.5,11.9,13.3,14.7,16.1,18.3,20.5,22.4,24.3},{0,10,20,30,40,50,60,62,64,66,68,70,72,74,76,78,80,85,90,95,100})</f>
        <v>100</v>
      </c>
      <c r="G180" s="12">
        <v>243</v>
      </c>
      <c r="H180" s="11">
        <f>LOOKUP(G180,{0,175,180,185,190,195,200,204,208,212,216,220,224,228,232,236,240,248,255,260,265},{0,10,20,30,40,50,60,62,64,66,68,70,72,74,76,78,80,85,90,95,100})</f>
        <v>80</v>
      </c>
      <c r="I180" s="12">
        <v>10</v>
      </c>
      <c r="J180" s="11">
        <f>LOOKUP(I180,{0,3,4,5,6,7,8,9,10,11,12,13,14,15,16,17},{0,10,20,30,40,50,60,64,68,72,76,80,85,90,95,100})</f>
        <v>68</v>
      </c>
      <c r="K180" s="12"/>
      <c r="L180" s="12"/>
      <c r="M180" s="12">
        <f t="shared" si="93"/>
        <v>68</v>
      </c>
      <c r="N180" s="12">
        <v>7.2</v>
      </c>
      <c r="O180" s="12">
        <f t="shared" si="100"/>
        <v>4.8</v>
      </c>
      <c r="P180" s="11">
        <f>LOOKUP(O180,{0,1.6,1.8,2,2.2,2.4,2.6,2.8,3,3.2,3.4,3.6,3.8,4,4.2,4.4,4.6,4.7,4.8,4.9,5},{0,10,20,30,40,50,60,62,64,66,68,70,72,74,76,78,80,85,90,95,100})</f>
        <v>90</v>
      </c>
      <c r="Q180" s="12">
        <v>3.49</v>
      </c>
      <c r="R180" s="12">
        <f t="shared" si="102"/>
        <v>6.51</v>
      </c>
      <c r="S180" s="11">
        <f>LOOKUP(R180,{0,3.8,4,4.6,4.8,5,5.6,5.65,5.7,5.75,5.8,5.85,5.9,5.95,6,6.45,6.5,6.58,6.65,6.7,6.75},{0,10,20,30,40,50,60,62,64,66,68,70,72,74,76,78,80,85,90,95,100})</f>
        <v>80</v>
      </c>
      <c r="T180" s="12"/>
      <c r="U180" s="12"/>
      <c r="V180" s="12">
        <f t="shared" si="103"/>
        <v>80</v>
      </c>
      <c r="W180" s="12"/>
      <c r="X180" s="20">
        <f t="shared" si="91"/>
        <v>58.8</v>
      </c>
      <c r="Y180" s="20">
        <f t="shared" si="101"/>
        <v>84</v>
      </c>
    </row>
    <row r="181" ht="15.6" hidden="1" outlineLevel="2" spans="1:25">
      <c r="A181" s="12">
        <v>206</v>
      </c>
      <c r="B181" s="12">
        <v>28</v>
      </c>
      <c r="C181" s="6" t="s">
        <v>299</v>
      </c>
      <c r="D181" s="6" t="s">
        <v>11</v>
      </c>
      <c r="E181" s="12">
        <v>18</v>
      </c>
      <c r="F181" s="11">
        <f>LOOKUP(E181,{0,-2.9,-1.9,-0.9,0.1,1.1,2.1,3.5,4.9,6.3,7.7,9.1,10.5,11.9,13.3,14.7,16.1,18.3,20.5,22.4,24.3},{0,10,20,30,40,50,60,62,64,66,68,70,72,74,76,78,80,85,90,95,100})</f>
        <v>80</v>
      </c>
      <c r="G181" s="12">
        <v>241</v>
      </c>
      <c r="H181" s="11">
        <f>LOOKUP(G181,{0,175,180,185,190,195,200,204,208,212,216,220,224,228,232,236,240,248,255,260,265},{0,10,20,30,40,50,60,62,64,66,68,70,72,74,76,78,80,85,90,95,100})</f>
        <v>80</v>
      </c>
      <c r="I181" s="12">
        <v>20</v>
      </c>
      <c r="J181" s="11">
        <f>LOOKUP(I181,{0,3,4,5,6,7,8,9,10,11,12,13,14,15,16,17},{0,10,20,30,40,50,60,64,68,72,76,80,85,90,95,100})</f>
        <v>100</v>
      </c>
      <c r="K181" s="12">
        <f t="shared" ref="K181:K185" si="104">I181-17</f>
        <v>3</v>
      </c>
      <c r="L181" s="11">
        <f>LOOKUP(K181,{0,1,2,3,4,5,6,7,8,9,10},{0,1,2,3,4,5,6,7,8,9,10})</f>
        <v>3</v>
      </c>
      <c r="M181" s="12">
        <f t="shared" si="93"/>
        <v>103</v>
      </c>
      <c r="N181" s="12">
        <v>6.6</v>
      </c>
      <c r="O181" s="12">
        <f t="shared" si="100"/>
        <v>5.4</v>
      </c>
      <c r="P181" s="11">
        <f>LOOKUP(O181,{0,1.6,1.8,2,2.2,2.4,2.6,2.8,3,3.2,3.4,3.6,3.8,4,4.2,4.4,4.6,4.7,4.8,4.9,5},{0,10,20,30,40,50,60,62,64,66,68,70,72,74,76,78,80,85,90,95,100})</f>
        <v>100</v>
      </c>
      <c r="Q181" s="12">
        <v>3.15</v>
      </c>
      <c r="R181" s="12">
        <f t="shared" si="102"/>
        <v>6.85</v>
      </c>
      <c r="S181" s="11">
        <f>LOOKUP(R181,{0,3.8,4,4.6,4.8,5,5.6,5.65,5.7,5.75,5.8,5.85,5.9,5.95,6,6.45,6.5,6.58,6.65,6.7,6.75},{0,10,20,30,40,50,60,62,64,66,68,70,72,74,76,78,80,85,90,95,100})</f>
        <v>100</v>
      </c>
      <c r="T181" s="12">
        <f>3.25-Q181</f>
        <v>0.1</v>
      </c>
      <c r="U181" s="11">
        <f>LOOKUP(T181,{0,0.04,0.08,0.12,0.16,0.2,0.23,0.26,0.29,0.32,0.35},{0,1,2,3,4,5,6,7,8,9,10})</f>
        <v>2</v>
      </c>
      <c r="V181" s="12">
        <f t="shared" si="103"/>
        <v>102</v>
      </c>
      <c r="W181" s="12"/>
      <c r="X181" s="20">
        <f t="shared" si="91"/>
        <v>66</v>
      </c>
      <c r="Y181" s="20">
        <f t="shared" si="101"/>
        <v>99.2857142857143</v>
      </c>
    </row>
    <row r="182" ht="15.6" hidden="1" outlineLevel="2" spans="1:25">
      <c r="A182" s="12">
        <v>206</v>
      </c>
      <c r="B182" s="12">
        <v>29</v>
      </c>
      <c r="C182" s="6" t="s">
        <v>301</v>
      </c>
      <c r="D182" s="6" t="s">
        <v>11</v>
      </c>
      <c r="E182" s="12">
        <v>22</v>
      </c>
      <c r="F182" s="11">
        <f>LOOKUP(E182,{0,-2.9,-1.9,-0.9,0.1,1.1,2.1,3.5,4.9,6.3,7.7,9.1,10.5,11.9,13.3,14.7,16.1,18.3,20.5,22.4,24.3},{0,10,20,30,40,50,60,62,64,66,68,70,72,74,76,78,80,85,90,95,100})</f>
        <v>90</v>
      </c>
      <c r="G182" s="12">
        <v>308</v>
      </c>
      <c r="H182" s="11">
        <f>LOOKUP(G182,{0,175,180,185,190,195,200,204,208,212,216,220,224,228,232,236,240,248,255,260,265},{0,10,20,30,40,50,60,62,64,66,68,70,72,74,76,78,80,85,90,95,100})</f>
        <v>100</v>
      </c>
      <c r="I182" s="12">
        <v>14</v>
      </c>
      <c r="J182" s="11">
        <f>LOOKUP(I182,{0,3,4,5,6,7,8,9,10,11,12,13,14,15,16,17},{0,10,20,30,40,50,60,64,68,72,76,80,85,90,95,100})</f>
        <v>85</v>
      </c>
      <c r="K182" s="12"/>
      <c r="L182" s="12"/>
      <c r="M182" s="12">
        <f t="shared" si="93"/>
        <v>85</v>
      </c>
      <c r="N182" s="12">
        <v>6.8</v>
      </c>
      <c r="O182" s="12">
        <f t="shared" si="100"/>
        <v>5.2</v>
      </c>
      <c r="P182" s="11">
        <f>LOOKUP(O182,{0,1.6,1.8,2,2.2,2.4,2.6,2.8,3,3.2,3.4,3.6,3.8,4,4.2,4.4,4.6,4.7,4.8,4.9,5},{0,10,20,30,40,50,60,62,64,66,68,70,72,74,76,78,80,85,90,95,100})</f>
        <v>100</v>
      </c>
      <c r="Q182" s="12">
        <v>3.16</v>
      </c>
      <c r="R182" s="12">
        <f t="shared" si="102"/>
        <v>6.84</v>
      </c>
      <c r="S182" s="11">
        <f>LOOKUP(R182,{0,3.8,4,4.6,4.8,5,5.6,5.65,5.7,5.75,5.8,5.85,5.9,5.95,6,6.45,6.5,6.58,6.65,6.7,6.75},{0,10,20,30,40,50,60,62,64,66,68,70,72,74,76,78,80,85,90,95,100})</f>
        <v>100</v>
      </c>
      <c r="T182" s="12">
        <f>3.25-Q182</f>
        <v>0.0899999999999999</v>
      </c>
      <c r="U182" s="11">
        <f>LOOKUP(T182,{0,0.04,0.08,0.12,0.16,0.2,0.23,0.26,0.29,0.32,0.35},{0,1,2,3,4,5,6,7,8,9,10})</f>
        <v>2</v>
      </c>
      <c r="V182" s="12">
        <f t="shared" si="103"/>
        <v>102</v>
      </c>
      <c r="W182" s="12"/>
      <c r="X182" s="20">
        <f t="shared" si="91"/>
        <v>67.5</v>
      </c>
      <c r="Y182" s="20">
        <f t="shared" si="101"/>
        <v>98.4285714285714</v>
      </c>
    </row>
    <row r="183" ht="15.6" hidden="1" outlineLevel="2" spans="1:25">
      <c r="A183" s="12">
        <v>206</v>
      </c>
      <c r="B183" s="12">
        <v>30</v>
      </c>
      <c r="C183" s="6" t="s">
        <v>302</v>
      </c>
      <c r="D183" s="6" t="s">
        <v>11</v>
      </c>
      <c r="E183" s="12">
        <v>11</v>
      </c>
      <c r="F183" s="11">
        <f>LOOKUP(E183,{0,-2.9,-1.9,-0.9,0.1,1.1,2.1,3.5,4.9,6.3,7.7,9.1,10.5,11.9,13.3,14.7,16.1,18.3,20.5,22.4,24.3},{0,10,20,30,40,50,60,62,64,66,68,70,72,74,76,78,80,85,90,95,100})</f>
        <v>72</v>
      </c>
      <c r="G183" s="12">
        <v>215</v>
      </c>
      <c r="H183" s="11">
        <f>LOOKUP(G183,{0,175,180,185,190,195,200,204,208,212,216,220,224,228,232,236,240,248,255,260,265},{0,10,20,30,40,50,60,62,64,66,68,70,72,74,76,78,80,85,90,95,100})</f>
        <v>66</v>
      </c>
      <c r="I183" s="12">
        <v>0</v>
      </c>
      <c r="J183" s="11">
        <f>LOOKUP(I183,{0,3,4,5,6,7,8,9,10,11,12,13,14,15,16,17},{0,10,20,30,40,50,60,64,68,72,76,80,85,90,95,100})</f>
        <v>0</v>
      </c>
      <c r="K183" s="12"/>
      <c r="L183" s="12"/>
      <c r="M183" s="12">
        <f t="shared" si="93"/>
        <v>0</v>
      </c>
      <c r="N183" s="12"/>
      <c r="O183" s="12"/>
      <c r="P183" s="11"/>
      <c r="Q183" s="12">
        <v>4.4</v>
      </c>
      <c r="R183" s="12">
        <f t="shared" si="102"/>
        <v>5.6</v>
      </c>
      <c r="S183" s="11">
        <f>LOOKUP(R183,{0,3.8,4,4.6,4.8,5,5.6,5.65,5.7,5.75,5.8,5.85,5.9,5.95,6,6.45,6.5,6.58,6.65,6.7,6.75},{0,10,20,30,40,50,60,62,64,66,68,70,72,74,76,78,80,85,90,95,100})</f>
        <v>60</v>
      </c>
      <c r="T183" s="12"/>
      <c r="U183" s="12"/>
      <c r="V183" s="12">
        <f t="shared" si="103"/>
        <v>60</v>
      </c>
      <c r="W183" s="12"/>
      <c r="X183" s="20">
        <f t="shared" si="91"/>
        <v>25.8</v>
      </c>
      <c r="Y183" s="23">
        <v>50</v>
      </c>
    </row>
    <row r="184" ht="15.6" hidden="1" outlineLevel="2" spans="1:25">
      <c r="A184" s="12">
        <v>206</v>
      </c>
      <c r="B184" s="12">
        <v>31</v>
      </c>
      <c r="C184" s="6" t="s">
        <v>303</v>
      </c>
      <c r="D184" s="6" t="s">
        <v>11</v>
      </c>
      <c r="E184" s="12">
        <v>11</v>
      </c>
      <c r="F184" s="11">
        <f>LOOKUP(E184,{0,-2.9,-1.9,-0.9,0.1,1.1,2.1,3.5,4.9,6.3,7.7,9.1,10.5,11.9,13.3,14.7,16.1,18.3,20.5,22.4,24.3},{0,10,20,30,40,50,60,62,64,66,68,70,72,74,76,78,80,85,90,95,100})</f>
        <v>72</v>
      </c>
      <c r="G184" s="12">
        <v>235</v>
      </c>
      <c r="H184" s="11">
        <f>LOOKUP(G184,{0,175,180,185,190,195,200,204,208,212,216,220,224,228,232,236,240,248,255,260,265},{0,10,20,30,40,50,60,62,64,66,68,70,72,74,76,78,80,85,90,95,100})</f>
        <v>76</v>
      </c>
      <c r="I184" s="12">
        <v>17</v>
      </c>
      <c r="J184" s="11">
        <f>LOOKUP(I184,{0,3,4,5,6,7,8,9,10,11,12,13,14,15,16,17},{0,10,20,30,40,50,60,64,68,72,76,80,85,90,95,100})</f>
        <v>100</v>
      </c>
      <c r="K184" s="12">
        <f t="shared" si="104"/>
        <v>0</v>
      </c>
      <c r="L184" s="16">
        <f>LOOKUP(K184,{0,1,2,3,4,5,6,7,8,9,10},{0,1,2,3,4,5,6,7,8,9,10})</f>
        <v>0</v>
      </c>
      <c r="M184" s="12">
        <f t="shared" si="93"/>
        <v>100</v>
      </c>
      <c r="N184" s="12">
        <v>6.5</v>
      </c>
      <c r="O184" s="12">
        <f t="shared" ref="O184:O190" si="105">12-N184</f>
        <v>5.5</v>
      </c>
      <c r="P184" s="11">
        <f>LOOKUP(O184,{0,1.6,1.8,2,2.2,2.4,2.6,2.8,3,3.2,3.4,3.6,3.8,4,4.2,4.4,4.6,4.7,4.8,4.9,5},{0,10,20,30,40,50,60,62,64,66,68,70,72,74,76,78,80,85,90,95,100})</f>
        <v>100</v>
      </c>
      <c r="Q184" s="12">
        <v>3.29</v>
      </c>
      <c r="R184" s="12">
        <f t="shared" si="102"/>
        <v>6.71</v>
      </c>
      <c r="S184" s="11">
        <f>LOOKUP(R184,{0,3.8,4,4.6,4.8,5,5.6,5.65,5.7,5.75,5.8,5.85,5.9,5.95,6,6.45,6.5,6.58,6.65,6.7,6.75},{0,10,20,30,40,50,60,62,64,66,68,70,72,74,76,78,80,85,90,95,100})</f>
        <v>95</v>
      </c>
      <c r="T184" s="12"/>
      <c r="U184" s="12"/>
      <c r="V184" s="12">
        <f t="shared" si="103"/>
        <v>95</v>
      </c>
      <c r="W184" s="12"/>
      <c r="X184" s="20">
        <f t="shared" si="91"/>
        <v>63.8</v>
      </c>
      <c r="Y184" s="20">
        <f t="shared" ref="Y184:Y190" si="106">X184/0.7+L184+U184</f>
        <v>91.1428571428571</v>
      </c>
    </row>
    <row r="185" ht="15.6" hidden="1" outlineLevel="2" spans="1:25">
      <c r="A185" s="12">
        <v>206</v>
      </c>
      <c r="B185" s="12">
        <v>32</v>
      </c>
      <c r="C185" s="6" t="s">
        <v>304</v>
      </c>
      <c r="D185" s="6" t="s">
        <v>11</v>
      </c>
      <c r="E185" s="12">
        <v>0</v>
      </c>
      <c r="F185" s="11">
        <f>LOOKUP(E185,{0,-2.9,-1.9,-0.9,0.1,1.1,2.1,3.5,4.9,6.3,7.7,9.1,10.5,11.9,13.3,14.7,16.1,18.3,20.5,22.4,24.3},{0,10,20,30,40,50,60,62,64,66,68,70,72,74,76,78,80,85,90,95,100})</f>
        <v>30</v>
      </c>
      <c r="G185" s="12">
        <v>225</v>
      </c>
      <c r="H185" s="11">
        <f>LOOKUP(G185,{0,175,180,185,190,195,200,204,208,212,216,220,224,228,232,236,240,248,255,260,265},{0,10,20,30,40,50,60,62,64,66,68,70,72,74,76,78,80,85,90,95,100})</f>
        <v>72</v>
      </c>
      <c r="I185" s="12">
        <v>21</v>
      </c>
      <c r="J185" s="11">
        <f>LOOKUP(I185,{0,3,4,5,6,7,8,9,10,11,12,13,14,15,16,17},{0,10,20,30,40,50,60,64,68,72,76,80,85,90,95,100})</f>
        <v>100</v>
      </c>
      <c r="K185" s="12">
        <f t="shared" si="104"/>
        <v>4</v>
      </c>
      <c r="L185" s="16">
        <f>LOOKUP(K185,{0,1,2,3,4,5,6,7,8,9,10},{0,1,2,3,4,5,6,7,8,9,10})</f>
        <v>4</v>
      </c>
      <c r="M185" s="12">
        <f t="shared" si="93"/>
        <v>104</v>
      </c>
      <c r="N185" s="12"/>
      <c r="O185" s="12"/>
      <c r="P185" s="11"/>
      <c r="Q185" s="12">
        <v>3.44</v>
      </c>
      <c r="R185" s="12">
        <f t="shared" si="102"/>
        <v>6.56</v>
      </c>
      <c r="S185" s="11">
        <f>LOOKUP(R185,{0,3.8,4,4.6,4.8,5,5.6,5.65,5.7,5.75,5.8,5.85,5.9,5.95,6,6.45,6.5,6.58,6.65,6.7,6.75},{0,10,20,30,40,50,60,62,64,66,68,70,72,74,76,78,80,85,90,95,100})</f>
        <v>80</v>
      </c>
      <c r="T185" s="12"/>
      <c r="U185" s="12"/>
      <c r="V185" s="12">
        <f t="shared" si="103"/>
        <v>80</v>
      </c>
      <c r="W185" s="12"/>
      <c r="X185" s="20">
        <f t="shared" si="91"/>
        <v>36.2</v>
      </c>
      <c r="Y185" s="20">
        <f t="shared" si="106"/>
        <v>55.7142857142857</v>
      </c>
    </row>
    <row r="186" ht="15.6" hidden="1" outlineLevel="2" spans="1:25">
      <c r="A186" s="12">
        <v>206</v>
      </c>
      <c r="B186" s="12">
        <v>33</v>
      </c>
      <c r="C186" s="6" t="s">
        <v>305</v>
      </c>
      <c r="D186" s="6" t="s">
        <v>11</v>
      </c>
      <c r="E186" s="12">
        <v>25</v>
      </c>
      <c r="F186" s="11">
        <f>LOOKUP(E186,{0,-2.9,-1.9,-0.9,0.1,1.1,2.1,3.5,4.9,6.3,7.7,9.1,10.5,11.9,13.3,14.7,16.1,18.3,20.5,22.4,24.3},{0,10,20,30,40,50,60,62,64,66,68,70,72,74,76,78,80,85,90,95,100})</f>
        <v>100</v>
      </c>
      <c r="G186" s="12">
        <v>260</v>
      </c>
      <c r="H186" s="11">
        <f>LOOKUP(G186,{0,175,180,185,190,195,200,204,208,212,216,220,224,228,232,236,240,248,255,260,265},{0,10,20,30,40,50,60,62,64,66,68,70,72,74,76,78,80,85,90,95,100})</f>
        <v>95</v>
      </c>
      <c r="I186" s="12">
        <v>13</v>
      </c>
      <c r="J186" s="11">
        <f>LOOKUP(I186,{0,3,4,5,6,7,8,9,10,11,12,13,14,15,16,17},{0,10,20,30,40,50,60,64,68,72,76,80,85,90,95,100})</f>
        <v>80</v>
      </c>
      <c r="K186" s="12"/>
      <c r="L186" s="12"/>
      <c r="M186" s="12">
        <f t="shared" si="93"/>
        <v>80</v>
      </c>
      <c r="N186" s="12">
        <v>7.1</v>
      </c>
      <c r="O186" s="12">
        <f t="shared" si="105"/>
        <v>4.9</v>
      </c>
      <c r="P186" s="11">
        <f>LOOKUP(O186,{0,1.6,1.8,2,2.2,2.4,2.6,2.8,3,3.2,3.4,3.6,3.8,4,4.2,4.4,4.6,4.7,4.8,4.9,5},{0,10,20,30,40,50,60,62,64,66,68,70,72,74,76,78,80,85,90,95,100})</f>
        <v>95</v>
      </c>
      <c r="Q186" s="12">
        <v>4.11</v>
      </c>
      <c r="R186" s="12">
        <f t="shared" si="102"/>
        <v>5.89</v>
      </c>
      <c r="S186" s="11">
        <f>LOOKUP(R186,{0,3.8,4,4.6,4.8,5,5.6,5.65,5.7,5.75,5.8,5.85,5.9,5.95,6,6.45,6.5,6.58,6.65,6.7,6.75},{0,10,20,30,40,50,60,62,64,66,68,70,72,74,76,78,80,85,90,95,100})</f>
        <v>70</v>
      </c>
      <c r="T186" s="12"/>
      <c r="U186" s="12"/>
      <c r="V186" s="12">
        <f t="shared" si="103"/>
        <v>70</v>
      </c>
      <c r="W186" s="12"/>
      <c r="X186" s="20">
        <f t="shared" si="91"/>
        <v>60.5</v>
      </c>
      <c r="Y186" s="20">
        <f t="shared" si="106"/>
        <v>86.4285714285714</v>
      </c>
    </row>
    <row r="187" ht="15.6" hidden="1" outlineLevel="2" spans="1:25">
      <c r="A187" s="12">
        <v>206</v>
      </c>
      <c r="B187" s="12">
        <v>34</v>
      </c>
      <c r="C187" s="6" t="s">
        <v>306</v>
      </c>
      <c r="D187" s="6" t="s">
        <v>11</v>
      </c>
      <c r="E187" s="12">
        <v>14</v>
      </c>
      <c r="F187" s="11">
        <f>LOOKUP(E187,{0,-2.9,-1.9,-0.9,0.1,1.1,2.1,3.5,4.9,6.3,7.7,9.1,10.5,11.9,13.3,14.7,16.1,18.3,20.5,22.4,24.3},{0,10,20,30,40,50,60,62,64,66,68,70,72,74,76,78,80,85,90,95,100})</f>
        <v>76</v>
      </c>
      <c r="G187" s="12">
        <v>240</v>
      </c>
      <c r="H187" s="11">
        <f>LOOKUP(G187,{0,175,180,185,190,195,200,204,208,212,216,220,224,228,232,236,240,248,255,260,265},{0,10,20,30,40,50,60,62,64,66,68,70,72,74,76,78,80,85,90,95,100})</f>
        <v>80</v>
      </c>
      <c r="I187" s="12">
        <v>7</v>
      </c>
      <c r="J187" s="11">
        <f>LOOKUP(I187,{0,3,4,5,6,7,8,9,10,11,12,13,14,15,16,17},{0,10,20,30,40,50,60,64,68,72,76,80,85,90,95,100})</f>
        <v>50</v>
      </c>
      <c r="K187" s="12"/>
      <c r="L187" s="12"/>
      <c r="M187" s="12">
        <f t="shared" si="93"/>
        <v>50</v>
      </c>
      <c r="N187" s="12">
        <v>7.1</v>
      </c>
      <c r="O187" s="12">
        <f t="shared" si="105"/>
        <v>4.9</v>
      </c>
      <c r="P187" s="11">
        <f>LOOKUP(O187,{0,1.6,1.8,2,2.2,2.4,2.6,2.8,3,3.2,3.4,3.6,3.8,4,4.2,4.4,4.6,4.7,4.8,4.9,5},{0,10,20,30,40,50,60,62,64,66,68,70,72,74,76,78,80,85,90,95,100})</f>
        <v>95</v>
      </c>
      <c r="Q187" s="12">
        <v>5.37</v>
      </c>
      <c r="R187" s="12">
        <f t="shared" si="102"/>
        <v>4.63</v>
      </c>
      <c r="S187" s="11">
        <f>LOOKUP(R187,{0,3.8,4,4.6,4.8,5,5.6,5.65,5.7,5.75,5.8,5.85,5.9,5.95,6,6.45,6.5,6.58,6.65,6.7,6.75},{0,10,20,30,40,50,60,62,64,66,68,70,72,74,76,78,80,85,90,95,100})</f>
        <v>30</v>
      </c>
      <c r="T187" s="12"/>
      <c r="U187" s="12"/>
      <c r="V187" s="12">
        <f t="shared" si="103"/>
        <v>30</v>
      </c>
      <c r="W187" s="12"/>
      <c r="X187" s="20">
        <f t="shared" si="91"/>
        <v>45.6</v>
      </c>
      <c r="Y187" s="20">
        <f t="shared" si="106"/>
        <v>65.1428571428572</v>
      </c>
    </row>
    <row r="188" ht="15.6" hidden="1" outlineLevel="2" spans="1:25">
      <c r="A188" s="12">
        <v>206</v>
      </c>
      <c r="B188" s="12">
        <v>35</v>
      </c>
      <c r="C188" s="6" t="s">
        <v>307</v>
      </c>
      <c r="D188" s="6" t="s">
        <v>11</v>
      </c>
      <c r="E188" s="12">
        <v>16</v>
      </c>
      <c r="F188" s="11">
        <f>LOOKUP(E188,{0,-2.9,-1.9,-0.9,0.1,1.1,2.1,3.5,4.9,6.3,7.7,9.1,10.5,11.9,13.3,14.7,16.1,18.3,20.5,22.4,24.3},{0,10,20,30,40,50,60,62,64,66,68,70,72,74,76,78,80,85,90,95,100})</f>
        <v>78</v>
      </c>
      <c r="G188" s="12">
        <v>234</v>
      </c>
      <c r="H188" s="11">
        <f>LOOKUP(G188,{0,175,180,185,190,195,200,204,208,212,216,220,224,228,232,236,240,248,255,260,265},{0,10,20,30,40,50,60,62,64,66,68,70,72,74,76,78,80,85,90,95,100})</f>
        <v>76</v>
      </c>
      <c r="I188" s="12">
        <v>4</v>
      </c>
      <c r="J188" s="11">
        <f>LOOKUP(I188,{0,3,4,5,6,7,8,9,10,11,12,13,14,15,16,17},{0,10,20,30,40,50,60,64,68,72,76,80,85,90,95,100})</f>
        <v>20</v>
      </c>
      <c r="K188" s="12"/>
      <c r="L188" s="12"/>
      <c r="M188" s="12">
        <f t="shared" si="93"/>
        <v>20</v>
      </c>
      <c r="N188" s="12">
        <v>7.2</v>
      </c>
      <c r="O188" s="12">
        <f t="shared" si="105"/>
        <v>4.8</v>
      </c>
      <c r="P188" s="11">
        <f>LOOKUP(O188,{0,1.6,1.8,2,2.2,2.4,2.6,2.8,3,3.2,3.4,3.6,3.8,4,4.2,4.4,4.6,4.7,4.8,4.9,5},{0,10,20,30,40,50,60,62,64,66,68,70,72,74,76,78,80,85,90,95,100})</f>
        <v>90</v>
      </c>
      <c r="Q188" s="12">
        <v>3.37</v>
      </c>
      <c r="R188" s="12">
        <f t="shared" si="102"/>
        <v>6.63</v>
      </c>
      <c r="S188" s="11">
        <f>LOOKUP(R188,{0,3.8,4,4.6,4.8,5,5.6,5.65,5.7,5.75,5.8,5.85,5.9,5.95,6,6.45,6.5,6.58,6.65,6.7,6.75},{0,10,20,30,40,50,60,62,64,66,68,70,72,74,76,78,80,85,90,95,100})</f>
        <v>85</v>
      </c>
      <c r="T188" s="12"/>
      <c r="U188" s="12"/>
      <c r="V188" s="12">
        <f t="shared" si="103"/>
        <v>85</v>
      </c>
      <c r="W188" s="12"/>
      <c r="X188" s="20">
        <f t="shared" si="91"/>
        <v>52.4</v>
      </c>
      <c r="Y188" s="20">
        <f t="shared" si="106"/>
        <v>74.8571428571429</v>
      </c>
    </row>
    <row r="189" ht="15.6" hidden="1" outlineLevel="2" spans="1:25">
      <c r="A189" s="12">
        <v>206</v>
      </c>
      <c r="B189" s="12">
        <v>36</v>
      </c>
      <c r="C189" s="6" t="s">
        <v>308</v>
      </c>
      <c r="D189" s="6" t="s">
        <v>11</v>
      </c>
      <c r="E189" s="12">
        <v>3</v>
      </c>
      <c r="F189" s="11">
        <f>LOOKUP(E189,{0,-2.9,-1.9,-0.9,0.1,1.1,2.1,3.5,4.9,6.3,7.7,9.1,10.5,11.9,13.3,14.7,16.1,18.3,20.5,22.4,24.3},{0,10,20,30,40,50,60,62,64,66,68,70,72,74,76,78,80,85,90,95,100})</f>
        <v>60</v>
      </c>
      <c r="G189" s="12">
        <v>255</v>
      </c>
      <c r="H189" s="11">
        <f>LOOKUP(G189,{0,175,180,185,190,195,200,204,208,212,216,220,224,228,232,236,240,248,255,260,265},{0,10,20,30,40,50,60,62,64,66,68,70,72,74,76,78,80,85,90,95,100})</f>
        <v>90</v>
      </c>
      <c r="I189" s="12">
        <v>13</v>
      </c>
      <c r="J189" s="11">
        <f>LOOKUP(I189,{0,3,4,5,6,7,8,9,10,11,12,13,14,15,16,17},{0,10,20,30,40,50,60,64,68,72,76,80,85,90,95,100})</f>
        <v>80</v>
      </c>
      <c r="K189" s="12"/>
      <c r="L189" s="12"/>
      <c r="M189" s="12">
        <f t="shared" si="93"/>
        <v>80</v>
      </c>
      <c r="N189" s="12">
        <v>6.9</v>
      </c>
      <c r="O189" s="12">
        <f t="shared" si="105"/>
        <v>5.1</v>
      </c>
      <c r="P189" s="11">
        <f>LOOKUP(O189,{0,1.6,1.8,2,2.2,2.4,2.6,2.8,3,3.2,3.4,3.6,3.8,4,4.2,4.4,4.6,4.7,4.8,4.9,5},{0,10,20,30,40,50,60,62,64,66,68,70,72,74,76,78,80,85,90,95,100})</f>
        <v>100</v>
      </c>
      <c r="Q189" s="12">
        <v>3.44</v>
      </c>
      <c r="R189" s="12">
        <f t="shared" si="102"/>
        <v>6.56</v>
      </c>
      <c r="S189" s="11">
        <f>LOOKUP(R189,{0,3.8,4,4.6,4.8,5,5.6,5.65,5.7,5.75,5.8,5.85,5.9,5.95,6,6.45,6.5,6.58,6.65,6.7,6.75},{0,10,20,30,40,50,60,62,64,66,68,70,72,74,76,78,80,85,90,95,100})</f>
        <v>80</v>
      </c>
      <c r="T189" s="12"/>
      <c r="U189" s="12"/>
      <c r="V189" s="12">
        <f t="shared" si="103"/>
        <v>80</v>
      </c>
      <c r="W189" s="12"/>
      <c r="X189" s="20">
        <f t="shared" si="91"/>
        <v>59</v>
      </c>
      <c r="Y189" s="20">
        <f t="shared" si="106"/>
        <v>84.2857142857143</v>
      </c>
    </row>
    <row r="190" ht="15.6" hidden="1" outlineLevel="2" spans="1:25">
      <c r="A190" s="12">
        <v>206</v>
      </c>
      <c r="B190" s="12">
        <v>37</v>
      </c>
      <c r="C190" s="6" t="s">
        <v>309</v>
      </c>
      <c r="D190" s="6" t="s">
        <v>11</v>
      </c>
      <c r="E190" s="12">
        <v>4</v>
      </c>
      <c r="F190" s="11">
        <f>LOOKUP(E190,{0,-2.9,-1.9,-0.9,0.1,1.1,2.1,3.5,4.9,6.3,7.7,9.1,10.5,11.9,13.3,14.7,16.1,18.3,20.5,22.4,24.3},{0,10,20,30,40,50,60,62,64,66,68,70,72,74,76,78,80,85,90,95,100})</f>
        <v>62</v>
      </c>
      <c r="G190" s="12">
        <v>227</v>
      </c>
      <c r="H190" s="11">
        <f>LOOKUP(G190,{0,175,180,185,190,195,200,204,208,212,216,220,224,228,232,236,240,248,255,260,265},{0,10,20,30,40,50,60,62,64,66,68,70,72,74,76,78,80,85,90,95,100})</f>
        <v>72</v>
      </c>
      <c r="I190" s="12">
        <v>8</v>
      </c>
      <c r="J190" s="11">
        <f>LOOKUP(I190,{0,3,4,5,6,7,8,9,10,11,12,13,14,15,16,17},{0,10,20,30,40,50,60,64,68,72,76,80,85,90,95,100})</f>
        <v>60</v>
      </c>
      <c r="K190" s="12"/>
      <c r="L190" s="12"/>
      <c r="M190" s="12">
        <f t="shared" si="93"/>
        <v>60</v>
      </c>
      <c r="N190" s="12">
        <v>8</v>
      </c>
      <c r="O190" s="12">
        <f t="shared" si="105"/>
        <v>4</v>
      </c>
      <c r="P190" s="11">
        <f>LOOKUP(O190,{0,1.6,1.8,2,2.2,2.4,2.6,2.8,3,3.2,3.4,3.6,3.8,4,4.2,4.4,4.6,4.7,4.8,4.9,5},{0,10,20,30,40,50,60,62,64,66,68,70,72,74,76,78,80,85,90,95,100})</f>
        <v>74</v>
      </c>
      <c r="Q190" s="12">
        <v>4.03</v>
      </c>
      <c r="R190" s="12">
        <f t="shared" si="102"/>
        <v>5.97</v>
      </c>
      <c r="S190" s="11">
        <f>LOOKUP(R190,{0,3.8,4,4.6,4.8,5,5.6,5.65,5.7,5.75,5.8,5.85,5.9,5.95,6,6.45,6.5,6.58,6.65,6.7,6.75},{0,10,20,30,40,50,60,62,64,66,68,70,72,74,76,78,80,85,90,95,100})</f>
        <v>74</v>
      </c>
      <c r="T190" s="12"/>
      <c r="U190" s="12"/>
      <c r="V190" s="12">
        <f t="shared" si="103"/>
        <v>74</v>
      </c>
      <c r="W190" s="12"/>
      <c r="X190" s="20">
        <f t="shared" si="91"/>
        <v>49</v>
      </c>
      <c r="Y190" s="20">
        <f t="shared" si="106"/>
        <v>70</v>
      </c>
    </row>
    <row r="191" ht="15.6" hidden="1" outlineLevel="2" spans="1:25">
      <c r="A191" s="12">
        <v>206</v>
      </c>
      <c r="B191" s="12">
        <v>38</v>
      </c>
      <c r="C191" s="6" t="s">
        <v>310</v>
      </c>
      <c r="D191" s="6" t="s">
        <v>11</v>
      </c>
      <c r="E191" s="12">
        <v>6</v>
      </c>
      <c r="F191" s="11">
        <f>LOOKUP(E191,{0,-2.9,-1.9,-0.9,0.1,1.1,2.1,3.5,4.9,6.3,7.7,9.1,10.5,11.9,13.3,14.7,16.1,18.3,20.5,22.4,24.3},{0,10,20,30,40,50,60,62,64,66,68,70,72,74,76,78,80,85,90,95,100})</f>
        <v>64</v>
      </c>
      <c r="G191" s="12">
        <v>180</v>
      </c>
      <c r="H191" s="11">
        <f>LOOKUP(G191,{0,175,180,185,190,195,200,204,208,212,216,220,224,228,232,236,240,248,255,260,265},{0,10,20,30,40,50,60,62,64,66,68,70,72,74,76,78,80,85,90,95,100})</f>
        <v>20</v>
      </c>
      <c r="I191" s="12">
        <v>0</v>
      </c>
      <c r="J191" s="11">
        <f>LOOKUP(I191,{0,3,4,5,6,7,8,9,10,11,12,13,14,15,16,17},{0,10,20,30,40,50,60,64,68,72,76,80,85,90,95,100})</f>
        <v>0</v>
      </c>
      <c r="K191" s="12"/>
      <c r="L191" s="12"/>
      <c r="M191" s="12">
        <f t="shared" si="93"/>
        <v>0</v>
      </c>
      <c r="N191" s="12"/>
      <c r="O191" s="12"/>
      <c r="P191" s="11"/>
      <c r="Q191" s="12"/>
      <c r="R191" s="12"/>
      <c r="S191" s="11"/>
      <c r="T191" s="12"/>
      <c r="U191" s="11"/>
      <c r="V191" s="12"/>
      <c r="W191" s="12"/>
      <c r="X191" s="20">
        <f t="shared" si="91"/>
        <v>8.4</v>
      </c>
      <c r="Y191" s="23">
        <v>50</v>
      </c>
    </row>
    <row r="192" ht="15.6" outlineLevel="1" collapsed="1" spans="1:25">
      <c r="A192" s="14" t="s">
        <v>860</v>
      </c>
      <c r="B192" s="12"/>
      <c r="C192" s="6"/>
      <c r="D192" s="6"/>
      <c r="E192" s="12"/>
      <c r="F192" s="11">
        <f>SUBTOTAL(1,F154:F191)</f>
        <v>73.9444444444444</v>
      </c>
      <c r="G192" s="12"/>
      <c r="H192" s="11">
        <f>SUBTOTAL(1,H154:H191)</f>
        <v>67.6388888888889</v>
      </c>
      <c r="I192" s="12"/>
      <c r="J192" s="11">
        <f>SUBTOTAL(1,J154:J191)</f>
        <v>52.1111111111111</v>
      </c>
      <c r="K192" s="12"/>
      <c r="L192" s="12"/>
      <c r="M192" s="12">
        <f>SUBTOTAL(1,M154:M191)</f>
        <v>52.8333333333333</v>
      </c>
      <c r="N192" s="12"/>
      <c r="O192" s="12"/>
      <c r="P192" s="11">
        <f>SUBTOTAL(1,P154:P191)</f>
        <v>85.9333333333333</v>
      </c>
      <c r="Q192" s="12"/>
      <c r="R192" s="12"/>
      <c r="S192" s="11">
        <f>SUBTOTAL(1,S154:S191)</f>
        <v>74.8529411764706</v>
      </c>
      <c r="T192" s="12"/>
      <c r="U192" s="11"/>
      <c r="V192" s="12">
        <f>SUBTOTAL(1,V154:V191)</f>
        <v>75</v>
      </c>
      <c r="W192" s="12"/>
      <c r="X192" s="20">
        <f>SUBTOTAL(1,X154:X191)</f>
        <v>45.3131578947368</v>
      </c>
      <c r="Y192" s="23">
        <f>SUBTOTAL(1,Y154:Y191)</f>
        <v>70.0413533834587</v>
      </c>
    </row>
    <row r="193" ht="15.6" hidden="1" outlineLevel="2" spans="1:25">
      <c r="A193" s="12">
        <v>207</v>
      </c>
      <c r="B193" s="12">
        <v>1</v>
      </c>
      <c r="C193" s="13" t="s">
        <v>326</v>
      </c>
      <c r="D193" s="6" t="s">
        <v>11</v>
      </c>
      <c r="E193" s="12">
        <v>10</v>
      </c>
      <c r="F193" s="11">
        <f>LOOKUP(E193,{0,-2.9,-1.9,-0.9,0.1,1.1,2.1,3.5,4.9,6.3,7.7,9.1,10.5,11.9,13.3,14.7,16.1,18.3,20.5,22.4,24.3},{0,10,20,30,40,50,60,62,64,66,68,70,72,74,76,78,80,85,90,95,100})</f>
        <v>70</v>
      </c>
      <c r="G193" s="12">
        <v>220</v>
      </c>
      <c r="H193" s="11">
        <f>LOOKUP(G193,{0,175,180,185,190,195,200,204,208,212,216,220,224,228,232,236,240,248,255,260,265},{0,10,20,30,40,50,60,62,64,66,68,70,72,74,76,78,80,85,90,95,100})</f>
        <v>70</v>
      </c>
      <c r="I193" s="12">
        <v>18</v>
      </c>
      <c r="J193" s="11">
        <f>LOOKUP(I193,{0,3,4,5,6,7,8,9,10,11,12,13,14,15,16,17},{0,10,20,30,40,50,60,64,68,72,76,80,85,90,95,100})</f>
        <v>100</v>
      </c>
      <c r="K193" s="12">
        <f t="shared" ref="K193:K196" si="107">I193-17</f>
        <v>1</v>
      </c>
      <c r="L193" s="11">
        <f>LOOKUP(K193,{0,1,2,3,4,5,6,7,8,9,10},{0,1,2,3,4,5,6,7,8,9,10})</f>
        <v>1</v>
      </c>
      <c r="M193" s="12">
        <f t="shared" ref="M193:M196" si="108">J193+L193</f>
        <v>101</v>
      </c>
      <c r="N193" s="12">
        <v>7</v>
      </c>
      <c r="O193" s="12">
        <f t="shared" ref="O193:O196" si="109">12-N193</f>
        <v>5</v>
      </c>
      <c r="P193" s="11">
        <f>LOOKUP(O193,{0,1.6,1.8,2,2.2,2.4,2.6,2.8,3,3.2,3.4,3.6,3.8,4,4.2,4.4,4.6,4.7,4.8,4.9,5},{0,10,20,30,40,50,60,62,64,66,68,70,72,74,76,78,80,85,90,95,100})</f>
        <v>100</v>
      </c>
      <c r="Q193" s="12">
        <v>3.34</v>
      </c>
      <c r="R193" s="12">
        <f t="shared" ref="R193:R196" si="110">10-Q193</f>
        <v>6.66</v>
      </c>
      <c r="S193" s="11">
        <f>LOOKUP(R193,{0,3.8,4,4.6,4.8,5,5.6,5.65,5.7,5.75,5.8,5.85,5.9,5.95,6,6.45,6.5,6.58,6.65,6.7,6.75},{0,10,20,30,40,50,60,62,64,66,68,70,72,74,76,78,80,85,90,95,100})</f>
        <v>90</v>
      </c>
      <c r="T193" s="12"/>
      <c r="U193" s="12"/>
      <c r="V193" s="12">
        <f t="shared" ref="V193:V196" si="111">S193+U193</f>
        <v>90</v>
      </c>
      <c r="W193" s="12"/>
      <c r="X193" s="20">
        <f t="shared" ref="X193:X228" si="112">F193*0.1+H193*0.1+J193*0.1+P193*0.2+S193*0.2</f>
        <v>62</v>
      </c>
      <c r="Y193" s="20">
        <f t="shared" ref="Y193:Y196" si="113">X193/0.7+L193+U193</f>
        <v>89.5714285714286</v>
      </c>
    </row>
    <row r="194" ht="15.6" hidden="1" outlineLevel="2" spans="1:25">
      <c r="A194" s="12">
        <v>207</v>
      </c>
      <c r="B194" s="12">
        <v>2</v>
      </c>
      <c r="C194" s="6" t="s">
        <v>327</v>
      </c>
      <c r="D194" s="6" t="s">
        <v>11</v>
      </c>
      <c r="E194" s="12">
        <v>21</v>
      </c>
      <c r="F194" s="11">
        <f>LOOKUP(E194,{0,-2.9,-1.9,-0.9,0.1,1.1,2.1,3.5,4.9,6.3,7.7,9.1,10.5,11.9,13.3,14.7,16.1,18.3,20.5,22.4,24.3},{0,10,20,30,40,50,60,62,64,66,68,70,72,74,76,78,80,85,90,95,100})</f>
        <v>90</v>
      </c>
      <c r="G194" s="12">
        <v>245</v>
      </c>
      <c r="H194" s="11">
        <f>LOOKUP(G194,{0,175,180,185,190,195,200,204,208,212,216,220,224,228,232,236,240,248,255,260,265},{0,10,20,30,40,50,60,62,64,66,68,70,72,74,76,78,80,85,90,95,100})</f>
        <v>80</v>
      </c>
      <c r="I194" s="12">
        <v>23</v>
      </c>
      <c r="J194" s="11">
        <f>LOOKUP(I194,{0,3,4,5,6,7,8,9,10,11,12,13,14,15,16,17},{0,10,20,30,40,50,60,64,68,72,76,80,85,90,95,100})</f>
        <v>100</v>
      </c>
      <c r="K194" s="12">
        <f t="shared" si="107"/>
        <v>6</v>
      </c>
      <c r="L194" s="11">
        <f>LOOKUP(K194,{0,1,2,3,4,5,6,7,8,9,10},{0,1,2,3,4,5,6,7,8,9,10})</f>
        <v>6</v>
      </c>
      <c r="M194" s="12">
        <f t="shared" si="108"/>
        <v>106</v>
      </c>
      <c r="N194" s="12">
        <v>7.1</v>
      </c>
      <c r="O194" s="12">
        <f t="shared" si="109"/>
        <v>4.9</v>
      </c>
      <c r="P194" s="11">
        <f>LOOKUP(O194,{0,1.6,1.8,2,2.2,2.4,2.6,2.8,3,3.2,3.4,3.6,3.8,4,4.2,4.4,4.6,4.7,4.8,4.9,5},{0,10,20,30,40,50,60,62,64,66,68,70,72,74,76,78,80,85,90,95,100})</f>
        <v>95</v>
      </c>
      <c r="Q194" s="12">
        <v>3.57</v>
      </c>
      <c r="R194" s="12">
        <f t="shared" si="110"/>
        <v>6.43</v>
      </c>
      <c r="S194" s="11">
        <f>LOOKUP(R194,{0,3.8,4,4.6,4.8,5,5.6,5.65,5.7,5.75,5.8,5.85,5.9,5.95,6,6.45,6.5,6.58,6.65,6.7,6.75},{0,10,20,30,40,50,60,62,64,66,68,70,72,74,76,78,80,85,90,95,100})</f>
        <v>76</v>
      </c>
      <c r="T194" s="12"/>
      <c r="U194" s="12"/>
      <c r="V194" s="12">
        <f t="shared" si="111"/>
        <v>76</v>
      </c>
      <c r="W194" s="12"/>
      <c r="X194" s="20">
        <f t="shared" si="112"/>
        <v>61.2</v>
      </c>
      <c r="Y194" s="20">
        <f t="shared" si="113"/>
        <v>93.4285714285714</v>
      </c>
    </row>
    <row r="195" ht="15.6" hidden="1" outlineLevel="2" spans="1:25">
      <c r="A195" s="12">
        <v>207</v>
      </c>
      <c r="B195" s="12">
        <v>3</v>
      </c>
      <c r="C195" s="6" t="s">
        <v>328</v>
      </c>
      <c r="D195" s="6" t="s">
        <v>11</v>
      </c>
      <c r="E195" s="12">
        <v>6</v>
      </c>
      <c r="F195" s="11">
        <f>LOOKUP(E195,{0,-2.9,-1.9,-0.9,0.1,1.1,2.1,3.5,4.9,6.3,7.7,9.1,10.5,11.9,13.3,14.7,16.1,18.3,20.5,22.4,24.3},{0,10,20,30,40,50,60,62,64,66,68,70,72,74,76,78,80,85,90,95,100})</f>
        <v>64</v>
      </c>
      <c r="G195" s="12">
        <v>230</v>
      </c>
      <c r="H195" s="11">
        <f>LOOKUP(G195,{0,175,180,185,190,195,200,204,208,212,216,220,224,228,232,236,240,248,255,260,265},{0,10,20,30,40,50,60,62,64,66,68,70,72,74,76,78,80,85,90,95,100})</f>
        <v>74</v>
      </c>
      <c r="I195" s="12">
        <v>20</v>
      </c>
      <c r="J195" s="11">
        <f>LOOKUP(I195,{0,3,4,5,6,7,8,9,10,11,12,13,14,15,16,17},{0,10,20,30,40,50,60,64,68,72,76,80,85,90,95,100})</f>
        <v>100</v>
      </c>
      <c r="K195" s="12">
        <f t="shared" si="107"/>
        <v>3</v>
      </c>
      <c r="L195" s="11">
        <f>LOOKUP(K195,{0,1,2,3,4,5,6,7,8,9,10},{0,1,2,3,4,5,6,7,8,9,10})</f>
        <v>3</v>
      </c>
      <c r="M195" s="12">
        <f t="shared" si="108"/>
        <v>103</v>
      </c>
      <c r="N195" s="12">
        <v>6.8</v>
      </c>
      <c r="O195" s="12">
        <f t="shared" si="109"/>
        <v>5.2</v>
      </c>
      <c r="P195" s="11">
        <f>LOOKUP(O195,{0,1.6,1.8,2,2.2,2.4,2.6,2.8,3,3.2,3.4,3.6,3.8,4,4.2,4.4,4.6,4.7,4.8,4.9,5},{0,10,20,30,40,50,60,62,64,66,68,70,72,74,76,78,80,85,90,95,100})</f>
        <v>100</v>
      </c>
      <c r="Q195" s="12">
        <v>3.39</v>
      </c>
      <c r="R195" s="12">
        <f t="shared" si="110"/>
        <v>6.61</v>
      </c>
      <c r="S195" s="11">
        <f>LOOKUP(R195,{0,3.8,4,4.6,4.8,5,5.6,5.65,5.7,5.75,5.8,5.85,5.9,5.95,6,6.45,6.5,6.58,6.65,6.7,6.75},{0,10,20,30,40,50,60,62,64,66,68,70,72,74,76,78,80,85,90,95,100})</f>
        <v>85</v>
      </c>
      <c r="T195" s="12"/>
      <c r="U195" s="12"/>
      <c r="V195" s="12">
        <f t="shared" si="111"/>
        <v>85</v>
      </c>
      <c r="W195" s="12"/>
      <c r="X195" s="20">
        <f t="shared" si="112"/>
        <v>60.8</v>
      </c>
      <c r="Y195" s="20">
        <f t="shared" si="113"/>
        <v>89.8571428571429</v>
      </c>
    </row>
    <row r="196" ht="15.6" hidden="1" outlineLevel="2" spans="1:25">
      <c r="A196" s="12">
        <v>207</v>
      </c>
      <c r="B196" s="12">
        <v>4</v>
      </c>
      <c r="C196" s="6" t="s">
        <v>329</v>
      </c>
      <c r="D196" s="6" t="s">
        <v>11</v>
      </c>
      <c r="E196" s="12">
        <v>20</v>
      </c>
      <c r="F196" s="11">
        <f>LOOKUP(E196,{0,-2.9,-1.9,-0.9,0.1,1.1,2.1,3.5,4.9,6.3,7.7,9.1,10.5,11.9,13.3,14.7,16.1,18.3,20.5,22.4,24.3},{0,10,20,30,40,50,60,62,64,66,68,70,72,74,76,78,80,85,90,95,100})</f>
        <v>85</v>
      </c>
      <c r="G196" s="12">
        <v>240</v>
      </c>
      <c r="H196" s="11">
        <f>LOOKUP(G196,{0,175,180,185,190,195,200,204,208,212,216,220,224,228,232,236,240,248,255,260,265},{0,10,20,30,40,50,60,62,64,66,68,70,72,74,76,78,80,85,90,95,100})</f>
        <v>80</v>
      </c>
      <c r="I196" s="12">
        <v>20</v>
      </c>
      <c r="J196" s="11">
        <f>LOOKUP(I196,{0,3,4,5,6,7,8,9,10,11,12,13,14,15,16,17},{0,10,20,30,40,50,60,64,68,72,76,80,85,90,95,100})</f>
        <v>100</v>
      </c>
      <c r="K196" s="12">
        <f t="shared" si="107"/>
        <v>3</v>
      </c>
      <c r="L196" s="16">
        <f>LOOKUP(K196,{0,1,2,3,4,5,6,7,8,9,10},{0,1,2,3,4,5,6,7,8,9,10})</f>
        <v>3</v>
      </c>
      <c r="M196" s="12">
        <f t="shared" si="108"/>
        <v>103</v>
      </c>
      <c r="N196" s="12">
        <v>7.4</v>
      </c>
      <c r="O196" s="12">
        <f t="shared" si="109"/>
        <v>4.6</v>
      </c>
      <c r="P196" s="11">
        <f>LOOKUP(O196,{0,1.6,1.8,2,2.2,2.4,2.6,2.8,3,3.2,3.4,3.6,3.8,4,4.2,4.4,4.6,4.7,4.8,4.9,5},{0,10,20,30,40,50,60,62,64,66,68,70,72,74,76,78,80,85,90,95,100})</f>
        <v>80</v>
      </c>
      <c r="Q196" s="12">
        <v>4.58</v>
      </c>
      <c r="R196" s="12">
        <f t="shared" si="110"/>
        <v>5.42</v>
      </c>
      <c r="S196" s="11">
        <f>LOOKUP(R196,{0,3.8,4,4.6,4.8,5,5.6,5.65,5.7,5.75,5.8,5.85,5.9,5.95,6,6.45,6.5,6.58,6.65,6.7,6.75},{0,10,20,30,40,50,60,62,64,66,68,70,72,74,76,78,80,85,90,95,100})</f>
        <v>50</v>
      </c>
      <c r="T196" s="12"/>
      <c r="U196" s="12"/>
      <c r="V196" s="12">
        <f t="shared" si="111"/>
        <v>50</v>
      </c>
      <c r="W196" s="12"/>
      <c r="X196" s="20">
        <f t="shared" si="112"/>
        <v>52.5</v>
      </c>
      <c r="Y196" s="20">
        <f t="shared" si="113"/>
        <v>78</v>
      </c>
    </row>
    <row r="197" ht="15.6" hidden="1" outlineLevel="2" spans="1:25">
      <c r="A197" s="12">
        <v>207</v>
      </c>
      <c r="B197" s="12">
        <v>5</v>
      </c>
      <c r="C197" s="6" t="s">
        <v>330</v>
      </c>
      <c r="D197" s="6" t="s">
        <v>11</v>
      </c>
      <c r="E197" s="12"/>
      <c r="F197" s="11"/>
      <c r="G197" s="12"/>
      <c r="H197" s="11"/>
      <c r="I197" s="12"/>
      <c r="J197" s="11"/>
      <c r="K197" s="12"/>
      <c r="L197" s="15"/>
      <c r="M197" s="12"/>
      <c r="N197" s="12"/>
      <c r="O197" s="12"/>
      <c r="P197" s="11"/>
      <c r="Q197" s="12"/>
      <c r="R197" s="12"/>
      <c r="S197" s="11"/>
      <c r="T197" s="12"/>
      <c r="U197" s="11"/>
      <c r="V197" s="12"/>
      <c r="W197" s="12" t="s">
        <v>14</v>
      </c>
      <c r="X197" s="20">
        <f t="shared" si="112"/>
        <v>0</v>
      </c>
      <c r="Y197" s="20">
        <v>50</v>
      </c>
    </row>
    <row r="198" ht="15.6" hidden="1" outlineLevel="2" spans="1:25">
      <c r="A198" s="12">
        <v>207</v>
      </c>
      <c r="B198" s="12">
        <v>6</v>
      </c>
      <c r="C198" s="6" t="s">
        <v>331</v>
      </c>
      <c r="D198" s="6" t="s">
        <v>11</v>
      </c>
      <c r="E198" s="12"/>
      <c r="F198" s="11"/>
      <c r="G198" s="12"/>
      <c r="H198" s="11"/>
      <c r="I198" s="12"/>
      <c r="J198" s="11"/>
      <c r="K198" s="12"/>
      <c r="L198" s="15"/>
      <c r="M198" s="12"/>
      <c r="N198" s="12"/>
      <c r="O198" s="12"/>
      <c r="P198" s="11"/>
      <c r="Q198" s="12"/>
      <c r="R198" s="12"/>
      <c r="S198" s="11"/>
      <c r="T198" s="12"/>
      <c r="U198" s="11"/>
      <c r="V198" s="12"/>
      <c r="W198" s="12" t="s">
        <v>14</v>
      </c>
      <c r="X198" s="20">
        <f t="shared" si="112"/>
        <v>0</v>
      </c>
      <c r="Y198" s="20">
        <v>50</v>
      </c>
    </row>
    <row r="199" ht="15.6" hidden="1" outlineLevel="2" spans="1:25">
      <c r="A199" s="12">
        <v>207</v>
      </c>
      <c r="B199" s="12">
        <v>7</v>
      </c>
      <c r="C199" s="6" t="s">
        <v>332</v>
      </c>
      <c r="D199" s="6" t="s">
        <v>11</v>
      </c>
      <c r="E199" s="12">
        <v>12.5</v>
      </c>
      <c r="F199" s="11">
        <f>LOOKUP(E199,{0,-2.9,-1.9,-0.9,0.1,1.1,2.1,3.5,4.9,6.3,7.7,9.1,10.5,11.9,13.3,14.7,16.1,18.3,20.5,22.4,24.3},{0,10,20,30,40,50,60,62,64,66,68,70,72,74,76,78,80,85,90,95,100})</f>
        <v>74</v>
      </c>
      <c r="G199" s="12">
        <v>240</v>
      </c>
      <c r="H199" s="11">
        <f>LOOKUP(G199,{0,175,180,185,190,195,200,204,208,212,216,220,224,228,232,236,240,248,255,260,265},{0,10,20,30,40,50,60,62,64,66,68,70,72,74,76,78,80,85,90,95,100})</f>
        <v>80</v>
      </c>
      <c r="I199" s="12">
        <v>0</v>
      </c>
      <c r="J199" s="11">
        <f>LOOKUP(I199,{0,3,4,5,6,7,8,9,10,11,12,13,14,15,16,17},{0,10,20,30,40,50,60,64,68,72,76,80,85,90,95,100})</f>
        <v>0</v>
      </c>
      <c r="K199" s="12"/>
      <c r="L199" s="12"/>
      <c r="M199" s="12">
        <f t="shared" ref="M199:M211" si="114">J199+L199</f>
        <v>0</v>
      </c>
      <c r="N199" s="12">
        <v>7.2</v>
      </c>
      <c r="O199" s="12">
        <f t="shared" ref="O199:O211" si="115">12-N199</f>
        <v>4.8</v>
      </c>
      <c r="P199" s="11">
        <f>LOOKUP(O199,{0,1.6,1.8,2,2.2,2.4,2.6,2.8,3,3.2,3.4,3.6,3.8,4,4.2,4.4,4.6,4.7,4.8,4.9,5},{0,10,20,30,40,50,60,62,64,66,68,70,72,74,76,78,80,85,90,95,100})</f>
        <v>90</v>
      </c>
      <c r="Q199" s="12">
        <v>3.54</v>
      </c>
      <c r="R199" s="12">
        <f t="shared" ref="R199:R211" si="116">10-Q199</f>
        <v>6.46</v>
      </c>
      <c r="S199" s="11">
        <f>LOOKUP(R199,{0,3.8,4,4.6,4.8,5,5.6,5.65,5.7,5.75,5.8,5.85,5.9,5.95,6,6.45,6.5,6.58,6.65,6.7,6.75},{0,10,20,30,40,50,60,62,64,66,68,70,72,74,76,78,80,85,90,95,100})</f>
        <v>78</v>
      </c>
      <c r="T199" s="12"/>
      <c r="U199" s="12"/>
      <c r="V199" s="12">
        <f t="shared" ref="V199:V211" si="117">S199+U199</f>
        <v>78</v>
      </c>
      <c r="W199" s="12"/>
      <c r="X199" s="20">
        <f t="shared" si="112"/>
        <v>49</v>
      </c>
      <c r="Y199" s="20">
        <f t="shared" ref="Y199:Y211" si="118">X199/0.7+L199+U199</f>
        <v>70</v>
      </c>
    </row>
    <row r="200" ht="15.6" hidden="1" outlineLevel="2" spans="1:25">
      <c r="A200" s="12">
        <v>207</v>
      </c>
      <c r="B200" s="12">
        <v>8</v>
      </c>
      <c r="C200" s="6" t="s">
        <v>333</v>
      </c>
      <c r="D200" s="6" t="s">
        <v>11</v>
      </c>
      <c r="E200" s="12">
        <v>13</v>
      </c>
      <c r="F200" s="11">
        <f>LOOKUP(E200,{0,-2.9,-1.9,-0.9,0.1,1.1,2.1,3.5,4.9,6.3,7.7,9.1,10.5,11.9,13.3,14.7,16.1,18.3,20.5,22.4,24.3},{0,10,20,30,40,50,60,62,64,66,68,70,72,74,76,78,80,85,90,95,100})</f>
        <v>74</v>
      </c>
      <c r="G200" s="12">
        <v>255</v>
      </c>
      <c r="H200" s="11">
        <f>LOOKUP(G200,{0,175,180,185,190,195,200,204,208,212,216,220,224,228,232,236,240,248,255,260,265},{0,10,20,30,40,50,60,62,64,66,68,70,72,74,76,78,80,85,90,95,100})</f>
        <v>90</v>
      </c>
      <c r="I200" s="12">
        <v>23</v>
      </c>
      <c r="J200" s="11">
        <f>LOOKUP(I200,{0,3,4,5,6,7,8,9,10,11,12,13,14,15,16,17},{0,10,20,30,40,50,60,64,68,72,76,80,85,90,95,100})</f>
        <v>100</v>
      </c>
      <c r="K200" s="12">
        <f>I200-17</f>
        <v>6</v>
      </c>
      <c r="L200" s="11">
        <f>LOOKUP(K200,{0,1,2,3,4,5,6,7,8,9,10},{0,1,2,3,4,5,6,7,8,9,10})</f>
        <v>6</v>
      </c>
      <c r="M200" s="12">
        <f t="shared" si="114"/>
        <v>106</v>
      </c>
      <c r="N200" s="12">
        <v>7.5</v>
      </c>
      <c r="O200" s="12">
        <f t="shared" si="115"/>
        <v>4.5</v>
      </c>
      <c r="P200" s="11">
        <f>LOOKUP(O200,{0,1.6,1.8,2,2.2,2.4,2.6,2.8,3,3.2,3.4,3.6,3.8,4,4.2,4.4,4.6,4.7,4.8,4.9,5},{0,10,20,30,40,50,60,62,64,66,68,70,72,74,76,78,80,85,90,95,100})</f>
        <v>78</v>
      </c>
      <c r="Q200" s="12">
        <v>4.15</v>
      </c>
      <c r="R200" s="12">
        <f t="shared" si="116"/>
        <v>5.85</v>
      </c>
      <c r="S200" s="11">
        <f>LOOKUP(R200,{0,3.8,4,4.6,4.8,5,5.6,5.65,5.7,5.75,5.8,5.85,5.9,5.95,6,6.45,6.5,6.58,6.65,6.7,6.75},{0,10,20,30,40,50,60,62,64,66,68,70,72,74,76,78,80,85,90,95,100})</f>
        <v>70</v>
      </c>
      <c r="T200" s="12"/>
      <c r="U200" s="12"/>
      <c r="V200" s="12">
        <f t="shared" si="117"/>
        <v>70</v>
      </c>
      <c r="W200" s="12"/>
      <c r="X200" s="20">
        <f t="shared" si="112"/>
        <v>56</v>
      </c>
      <c r="Y200" s="20">
        <f t="shared" si="118"/>
        <v>86</v>
      </c>
    </row>
    <row r="201" ht="15.6" hidden="1" outlineLevel="2" spans="1:25">
      <c r="A201" s="12">
        <v>207</v>
      </c>
      <c r="B201" s="12">
        <v>9</v>
      </c>
      <c r="C201" s="6" t="s">
        <v>334</v>
      </c>
      <c r="D201" s="6" t="s">
        <v>11</v>
      </c>
      <c r="E201" s="12">
        <v>14</v>
      </c>
      <c r="F201" s="11">
        <f>LOOKUP(E201,{0,-2.9,-1.9,-0.9,0.1,1.1,2.1,3.5,4.9,6.3,7.7,9.1,10.5,11.9,13.3,14.7,16.1,18.3,20.5,22.4,24.3},{0,10,20,30,40,50,60,62,64,66,68,70,72,74,76,78,80,85,90,95,100})</f>
        <v>76</v>
      </c>
      <c r="G201" s="12">
        <v>215</v>
      </c>
      <c r="H201" s="11">
        <f>LOOKUP(G201,{0,175,180,185,190,195,200,204,208,212,216,220,224,228,232,236,240,248,255,260,265},{0,10,20,30,40,50,60,62,64,66,68,70,72,74,76,78,80,85,90,95,100})</f>
        <v>66</v>
      </c>
      <c r="I201" s="12">
        <v>12</v>
      </c>
      <c r="J201" s="11">
        <f>LOOKUP(I201,{0,3,4,5,6,7,8,9,10,11,12,13,14,15,16,17},{0,10,20,30,40,50,60,64,68,72,76,80,85,90,95,100})</f>
        <v>76</v>
      </c>
      <c r="K201" s="12"/>
      <c r="L201" s="12"/>
      <c r="M201" s="12">
        <f t="shared" si="114"/>
        <v>76</v>
      </c>
      <c r="N201" s="12">
        <v>7.3</v>
      </c>
      <c r="O201" s="12">
        <f t="shared" si="115"/>
        <v>4.7</v>
      </c>
      <c r="P201" s="11">
        <f>LOOKUP(O201,{0,1.6,1.8,2,2.2,2.4,2.6,2.8,3,3.2,3.4,3.6,3.8,4,4.2,4.4,4.6,4.7,4.8,4.9,5},{0,10,20,30,40,50,60,62,64,66,68,70,72,74,76,78,80,85,90,95,100})</f>
        <v>85</v>
      </c>
      <c r="Q201" s="12">
        <v>3.52</v>
      </c>
      <c r="R201" s="12">
        <f t="shared" si="116"/>
        <v>6.48</v>
      </c>
      <c r="S201" s="11">
        <f>LOOKUP(R201,{0,3.8,4,4.6,4.8,5,5.6,5.65,5.7,5.75,5.8,5.85,5.9,5.95,6,6.45,6.5,6.58,6.65,6.7,6.75},{0,10,20,30,40,50,60,62,64,66,68,70,72,74,76,78,80,85,90,95,100})</f>
        <v>78</v>
      </c>
      <c r="T201" s="12"/>
      <c r="U201" s="12"/>
      <c r="V201" s="12">
        <f t="shared" si="117"/>
        <v>78</v>
      </c>
      <c r="W201" s="12"/>
      <c r="X201" s="20">
        <f t="shared" si="112"/>
        <v>54.4</v>
      </c>
      <c r="Y201" s="20">
        <f t="shared" si="118"/>
        <v>77.7142857142857</v>
      </c>
    </row>
    <row r="202" ht="15.6" hidden="1" outlineLevel="2" spans="1:25">
      <c r="A202" s="12">
        <v>207</v>
      </c>
      <c r="B202" s="12">
        <v>10</v>
      </c>
      <c r="C202" s="6" t="s">
        <v>335</v>
      </c>
      <c r="D202" s="6" t="s">
        <v>11</v>
      </c>
      <c r="E202" s="12">
        <v>14</v>
      </c>
      <c r="F202" s="11">
        <f>LOOKUP(E202,{0,-2.9,-1.9,-0.9,0.1,1.1,2.1,3.5,4.9,6.3,7.7,9.1,10.5,11.9,13.3,14.7,16.1,18.3,20.5,22.4,24.3},{0,10,20,30,40,50,60,62,64,66,68,70,72,74,76,78,80,85,90,95,100})</f>
        <v>76</v>
      </c>
      <c r="G202" s="12">
        <v>215</v>
      </c>
      <c r="H202" s="11">
        <f>LOOKUP(G202,{0,175,180,185,190,195,200,204,208,212,216,220,224,228,232,236,240,248,255,260,265},{0,10,20,30,40,50,60,62,64,66,68,70,72,74,76,78,80,85,90,95,100})</f>
        <v>66</v>
      </c>
      <c r="I202" s="12">
        <v>0</v>
      </c>
      <c r="J202" s="11">
        <f>LOOKUP(I202,{0,3,4,5,6,7,8,9,10,11,12,13,14,15,16,17},{0,10,20,30,40,50,60,64,68,72,76,80,85,90,95,100})</f>
        <v>0</v>
      </c>
      <c r="K202" s="12"/>
      <c r="L202" s="12"/>
      <c r="M202" s="12">
        <f t="shared" si="114"/>
        <v>0</v>
      </c>
      <c r="N202" s="12">
        <v>7.7</v>
      </c>
      <c r="O202" s="12">
        <f t="shared" si="115"/>
        <v>4.3</v>
      </c>
      <c r="P202" s="11">
        <f>LOOKUP(O202,{0,1.6,1.8,2,2.2,2.4,2.6,2.8,3,3.2,3.4,3.6,3.8,4,4.2,4.4,4.6,4.7,4.8,4.9,5},{0,10,20,30,40,50,60,62,64,66,68,70,72,74,76,78,80,85,90,95,100})</f>
        <v>76</v>
      </c>
      <c r="Q202" s="12">
        <v>3.55</v>
      </c>
      <c r="R202" s="12">
        <f t="shared" si="116"/>
        <v>6.45</v>
      </c>
      <c r="S202" s="11">
        <f>LOOKUP(R202,{0,3.8,4,4.6,4.8,5,5.6,5.65,5.7,5.75,5.8,5.85,5.9,5.95,6,6.45,6.5,6.58,6.65,6.7,6.75},{0,10,20,30,40,50,60,62,64,66,68,70,72,74,76,78,80,85,90,95,100})</f>
        <v>78</v>
      </c>
      <c r="T202" s="12"/>
      <c r="U202" s="12"/>
      <c r="V202" s="12">
        <f t="shared" si="117"/>
        <v>78</v>
      </c>
      <c r="W202" s="12"/>
      <c r="X202" s="20">
        <f t="shared" si="112"/>
        <v>45</v>
      </c>
      <c r="Y202" s="20">
        <f t="shared" si="118"/>
        <v>64.2857142857143</v>
      </c>
    </row>
    <row r="203" customFormat="1" ht="15.6" hidden="1" outlineLevel="2" spans="1:25">
      <c r="A203" s="12">
        <v>207</v>
      </c>
      <c r="B203" s="12">
        <v>11</v>
      </c>
      <c r="C203" s="6" t="s">
        <v>336</v>
      </c>
      <c r="D203" s="6" t="s">
        <v>11</v>
      </c>
      <c r="E203" s="12">
        <v>5</v>
      </c>
      <c r="F203" s="11">
        <f>LOOKUP(E203,{0,-2.9,-1.9,-0.9,0.1,1.1,2.1,3.5,4.9,6.3,7.7,9.1,10.5,11.9,13.3,14.7,16.1,18.3,20.5,22.4,24.3},{0,10,20,30,40,50,60,62,64,66,68,70,72,74,76,78,80,85,90,95,100})</f>
        <v>64</v>
      </c>
      <c r="G203" s="12">
        <v>223</v>
      </c>
      <c r="H203" s="11">
        <f>LOOKUP(G203,{0,175,180,185,190,195,200,204,208,212,216,220,224,228,232,236,240,248,255,260,265},{0,10,20,30,40,50,60,62,64,66,68,70,72,74,76,78,80,85,90,95,100})</f>
        <v>70</v>
      </c>
      <c r="I203" s="12">
        <v>15</v>
      </c>
      <c r="J203" s="11">
        <f>LOOKUP(I203,{0,3,4,5,6,7,8,9,10,11,12,13,14,15,16,17},{0,10,20,30,40,50,60,64,68,72,76,80,85,90,95,100})</f>
        <v>90</v>
      </c>
      <c r="K203" s="12"/>
      <c r="L203" s="15"/>
      <c r="M203" s="12">
        <f t="shared" si="114"/>
        <v>90</v>
      </c>
      <c r="N203" s="12">
        <v>7.1</v>
      </c>
      <c r="O203" s="12">
        <f t="shared" si="115"/>
        <v>4.9</v>
      </c>
      <c r="P203" s="11">
        <f>LOOKUP(O203,{0,1.6,1.8,2,2.2,2.4,2.6,2.8,3,3.2,3.4,3.6,3.8,4,4.2,4.4,4.6,4.7,4.8,4.9,5},{0,10,20,30,40,50,60,62,64,66,68,70,72,74,76,78,80,85,90,95,100})</f>
        <v>95</v>
      </c>
      <c r="Q203" s="12">
        <v>3.34</v>
      </c>
      <c r="R203" s="12">
        <f t="shared" si="116"/>
        <v>6.66</v>
      </c>
      <c r="S203" s="11">
        <f>LOOKUP(R203,{0,3.8,4,4.6,4.8,5,5.6,5.65,5.7,5.75,5.8,5.85,5.9,5.95,6,6.45,6.5,6.58,6.65,6.7,6.75},{0,10,20,30,40,50,60,62,64,66,68,70,72,74,76,78,80,85,90,95,100})</f>
        <v>90</v>
      </c>
      <c r="T203" s="12"/>
      <c r="U203" s="12"/>
      <c r="V203" s="12">
        <f t="shared" si="117"/>
        <v>90</v>
      </c>
      <c r="W203" s="12"/>
      <c r="X203" s="20">
        <f t="shared" si="112"/>
        <v>59.4</v>
      </c>
      <c r="Y203" s="20">
        <f t="shared" si="118"/>
        <v>84.8571428571429</v>
      </c>
    </row>
    <row r="204" customFormat="1" ht="15.6" hidden="1" outlineLevel="2" spans="1:25">
      <c r="A204" s="12">
        <v>207</v>
      </c>
      <c r="B204" s="12">
        <v>12</v>
      </c>
      <c r="C204" s="6" t="s">
        <v>337</v>
      </c>
      <c r="D204" s="6" t="s">
        <v>11</v>
      </c>
      <c r="E204" s="12">
        <v>13</v>
      </c>
      <c r="F204" s="11">
        <f>LOOKUP(E204,{0,-2.9,-1.9,-0.9,0.1,1.1,2.1,3.5,4.9,6.3,7.7,9.1,10.5,11.9,13.3,14.7,16.1,18.3,20.5,22.4,24.3},{0,10,20,30,40,50,60,62,64,66,68,70,72,74,76,78,80,85,90,95,100})</f>
        <v>74</v>
      </c>
      <c r="G204" s="12">
        <v>237</v>
      </c>
      <c r="H204" s="11">
        <f>LOOKUP(G204,{0,175,180,185,190,195,200,204,208,212,216,220,224,228,232,236,240,248,255,260,265},{0,10,20,30,40,50,60,62,64,66,68,70,72,74,76,78,80,85,90,95,100})</f>
        <v>78</v>
      </c>
      <c r="I204" s="12">
        <v>2</v>
      </c>
      <c r="J204" s="11">
        <f>LOOKUP(I204,{0,3,4,5,6,7,8,9,10,11,12,13,14,15,16,17},{0,10,20,30,40,50,60,64,68,72,76,80,85,90,95,100})</f>
        <v>0</v>
      </c>
      <c r="K204" s="12"/>
      <c r="L204" s="12"/>
      <c r="M204" s="12">
        <f t="shared" si="114"/>
        <v>0</v>
      </c>
      <c r="N204" s="12">
        <v>7.5</v>
      </c>
      <c r="O204" s="12">
        <f t="shared" si="115"/>
        <v>4.5</v>
      </c>
      <c r="P204" s="11">
        <f>LOOKUP(O204,{0,1.6,1.8,2,2.2,2.4,2.6,2.8,3,3.2,3.4,3.6,3.8,4,4.2,4.4,4.6,4.7,4.8,4.9,5},{0,10,20,30,40,50,60,62,64,66,68,70,72,74,76,78,80,85,90,95,100})</f>
        <v>78</v>
      </c>
      <c r="Q204" s="12">
        <v>3.48</v>
      </c>
      <c r="R204" s="12">
        <f t="shared" si="116"/>
        <v>6.52</v>
      </c>
      <c r="S204" s="11">
        <f>LOOKUP(R204,{0,3.8,4,4.6,4.8,5,5.6,5.65,5.7,5.75,5.8,5.85,5.9,5.95,6,6.45,6.5,6.58,6.65,6.7,6.75},{0,10,20,30,40,50,60,62,64,66,68,70,72,74,76,78,80,85,90,95,100})</f>
        <v>80</v>
      </c>
      <c r="T204" s="12"/>
      <c r="U204" s="12"/>
      <c r="V204" s="12">
        <f t="shared" si="117"/>
        <v>80</v>
      </c>
      <c r="W204" s="12"/>
      <c r="X204" s="20">
        <f t="shared" si="112"/>
        <v>46.8</v>
      </c>
      <c r="Y204" s="20">
        <f t="shared" si="118"/>
        <v>66.8571428571429</v>
      </c>
    </row>
    <row r="205" customFormat="1" ht="15.6" hidden="1" outlineLevel="2" spans="1:25">
      <c r="A205" s="12">
        <v>207</v>
      </c>
      <c r="B205" s="12">
        <v>13</v>
      </c>
      <c r="C205" s="13" t="s">
        <v>339</v>
      </c>
      <c r="D205" s="6" t="s">
        <v>11</v>
      </c>
      <c r="E205" s="12">
        <v>21</v>
      </c>
      <c r="F205" s="11">
        <f>LOOKUP(E205,{0,-2.9,-1.9,-0.9,0.1,1.1,2.1,3.5,4.9,6.3,7.7,9.1,10.5,11.9,13.3,14.7,16.1,18.3,20.5,22.4,24.3},{0,10,20,30,40,50,60,62,64,66,68,70,72,74,76,78,80,85,90,95,100})</f>
        <v>90</v>
      </c>
      <c r="G205" s="12">
        <v>258</v>
      </c>
      <c r="H205" s="11">
        <f>LOOKUP(G205,{0,175,180,185,190,195,200,204,208,212,216,220,224,228,232,236,240,248,255,260,265},{0,10,20,30,40,50,60,62,64,66,68,70,72,74,76,78,80,85,90,95,100})</f>
        <v>90</v>
      </c>
      <c r="I205" s="12">
        <v>17</v>
      </c>
      <c r="J205" s="11">
        <f>LOOKUP(I205,{0,3,4,5,6,7,8,9,10,11,12,13,14,15,16,17},{0,10,20,30,40,50,60,64,68,72,76,80,85,90,95,100})</f>
        <v>100</v>
      </c>
      <c r="K205" s="12">
        <f t="shared" ref="K205:K211" si="119">I205-17</f>
        <v>0</v>
      </c>
      <c r="L205" s="11">
        <f>LOOKUP(K205,{0,1,2,3,4,5,6,7,8,9,10},{0,1,2,3,4,5,6,7,8,9,10})</f>
        <v>0</v>
      </c>
      <c r="M205" s="12">
        <f t="shared" si="114"/>
        <v>100</v>
      </c>
      <c r="N205" s="12">
        <v>6.7</v>
      </c>
      <c r="O205" s="12">
        <f t="shared" si="115"/>
        <v>5.3</v>
      </c>
      <c r="P205" s="11">
        <f>LOOKUP(O205,{0,1.6,1.8,2,2.2,2.4,2.6,2.8,3,3.2,3.4,3.6,3.8,4,4.2,4.4,4.6,4.7,4.8,4.9,5},{0,10,20,30,40,50,60,62,64,66,68,70,72,74,76,78,80,85,90,95,100})</f>
        <v>100</v>
      </c>
      <c r="Q205" s="12">
        <v>3.45</v>
      </c>
      <c r="R205" s="12">
        <f t="shared" si="116"/>
        <v>6.55</v>
      </c>
      <c r="S205" s="11">
        <f>LOOKUP(R205,{0,3.8,4,4.6,4.8,5,5.6,5.65,5.7,5.75,5.8,5.85,5.9,5.95,6,6.45,6.5,6.58,6.65,6.7,6.75},{0,10,20,30,40,50,60,62,64,66,68,70,72,74,76,78,80,85,90,95,100})</f>
        <v>80</v>
      </c>
      <c r="T205" s="12"/>
      <c r="U205" s="12"/>
      <c r="V205" s="12">
        <f t="shared" si="117"/>
        <v>80</v>
      </c>
      <c r="W205" s="12"/>
      <c r="X205" s="20">
        <f t="shared" si="112"/>
        <v>64</v>
      </c>
      <c r="Y205" s="20">
        <f t="shared" si="118"/>
        <v>91.4285714285714</v>
      </c>
    </row>
    <row r="206" customFormat="1" ht="15.6" hidden="1" outlineLevel="2" spans="1:25">
      <c r="A206" s="12">
        <v>207</v>
      </c>
      <c r="B206" s="12">
        <v>14</v>
      </c>
      <c r="C206" s="6" t="s">
        <v>340</v>
      </c>
      <c r="D206" s="6" t="s">
        <v>11</v>
      </c>
      <c r="E206" s="12">
        <v>6.2</v>
      </c>
      <c r="F206" s="11">
        <f>LOOKUP(E206,{0,-2.9,-1.9,-0.9,0.1,1.1,2.1,3.5,4.9,6.3,7.7,9.1,10.5,11.9,13.3,14.7,16.1,18.3,20.5,22.4,24.3},{0,10,20,30,40,50,60,62,64,66,68,70,72,74,76,78,80,85,90,95,100})</f>
        <v>64</v>
      </c>
      <c r="G206" s="12">
        <v>214</v>
      </c>
      <c r="H206" s="11">
        <f>LOOKUP(G206,{0,175,180,185,190,195,200,204,208,212,216,220,224,228,232,236,240,248,255,260,265},{0,10,20,30,40,50,60,62,64,66,68,70,72,74,76,78,80,85,90,95,100})</f>
        <v>66</v>
      </c>
      <c r="I206" s="12">
        <v>5</v>
      </c>
      <c r="J206" s="11">
        <f>LOOKUP(I206,{0,3,4,5,6,7,8,9,10,11,12,13,14,15,16,17},{0,10,20,30,40,50,60,64,68,72,76,80,85,90,95,100})</f>
        <v>30</v>
      </c>
      <c r="K206" s="12"/>
      <c r="L206" s="12"/>
      <c r="M206" s="12">
        <f t="shared" si="114"/>
        <v>30</v>
      </c>
      <c r="N206" s="12">
        <v>7.3</v>
      </c>
      <c r="O206" s="12">
        <f t="shared" si="115"/>
        <v>4.7</v>
      </c>
      <c r="P206" s="11">
        <f>LOOKUP(O206,{0,1.6,1.8,2,2.2,2.4,2.6,2.8,3,3.2,3.4,3.6,3.8,4,4.2,4.4,4.6,4.7,4.8,4.9,5},{0,10,20,30,40,50,60,62,64,66,68,70,72,74,76,78,80,85,90,95,100})</f>
        <v>85</v>
      </c>
      <c r="Q206" s="12">
        <v>3.58</v>
      </c>
      <c r="R206" s="12">
        <f t="shared" si="116"/>
        <v>6.42</v>
      </c>
      <c r="S206" s="11">
        <f>LOOKUP(R206,{0,3.8,4,4.6,4.8,5,5.6,5.65,5.7,5.75,5.8,5.85,5.9,5.95,6,6.45,6.5,6.58,6.65,6.7,6.75},{0,10,20,30,40,50,60,62,64,66,68,70,72,74,76,78,80,85,90,95,100})</f>
        <v>76</v>
      </c>
      <c r="T206" s="12"/>
      <c r="U206" s="12"/>
      <c r="V206" s="12">
        <f t="shared" si="117"/>
        <v>76</v>
      </c>
      <c r="W206" s="12"/>
      <c r="X206" s="20">
        <f t="shared" si="112"/>
        <v>48.2</v>
      </c>
      <c r="Y206" s="20">
        <f t="shared" si="118"/>
        <v>68.8571428571429</v>
      </c>
    </row>
    <row r="207" customFormat="1" ht="15.6" hidden="1" outlineLevel="2" spans="1:25">
      <c r="A207" s="12">
        <v>207</v>
      </c>
      <c r="B207" s="12">
        <v>15</v>
      </c>
      <c r="C207" s="6" t="s">
        <v>341</v>
      </c>
      <c r="D207" s="6" t="s">
        <v>11</v>
      </c>
      <c r="E207" s="12">
        <v>6.6</v>
      </c>
      <c r="F207" s="11">
        <f>LOOKUP(E207,{0,-2.9,-1.9,-0.9,0.1,1.1,2.1,3.5,4.9,6.3,7.7,9.1,10.5,11.9,13.3,14.7,16.1,18.3,20.5,22.4,24.3},{0,10,20,30,40,50,60,62,64,66,68,70,72,74,76,78,80,85,90,95,100})</f>
        <v>66</v>
      </c>
      <c r="G207" s="12">
        <v>201</v>
      </c>
      <c r="H207" s="11">
        <f>LOOKUP(G207,{0,175,180,185,190,195,200,204,208,212,216,220,224,228,232,236,240,248,255,260,265},{0,10,20,30,40,50,60,62,64,66,68,70,72,74,76,78,80,85,90,95,100})</f>
        <v>60</v>
      </c>
      <c r="I207" s="12">
        <v>5</v>
      </c>
      <c r="J207" s="11">
        <f>LOOKUP(I207,{0,3,4,5,6,7,8,9,10,11,12,13,14,15,16,17},{0,10,20,30,40,50,60,64,68,72,76,80,85,90,95,100})</f>
        <v>30</v>
      </c>
      <c r="K207" s="12"/>
      <c r="L207" s="12"/>
      <c r="M207" s="12">
        <f t="shared" si="114"/>
        <v>30</v>
      </c>
      <c r="N207" s="12">
        <v>7.1</v>
      </c>
      <c r="O207" s="12">
        <f t="shared" si="115"/>
        <v>4.9</v>
      </c>
      <c r="P207" s="11">
        <f>LOOKUP(O207,{0,1.6,1.8,2,2.2,2.4,2.6,2.8,3,3.2,3.4,3.6,3.8,4,4.2,4.4,4.6,4.7,4.8,4.9,5},{0,10,20,30,40,50,60,62,64,66,68,70,72,74,76,78,80,85,90,95,100})</f>
        <v>95</v>
      </c>
      <c r="Q207" s="12">
        <v>4.45</v>
      </c>
      <c r="R207" s="12">
        <f t="shared" si="116"/>
        <v>5.55</v>
      </c>
      <c r="S207" s="11">
        <f>LOOKUP(R207,{0,3.8,4,4.6,4.8,5,5.6,5.65,5.7,5.75,5.8,5.85,5.9,5.95,6,6.45,6.5,6.58,6.65,6.7,6.75},{0,10,20,30,40,50,60,62,64,66,68,70,72,74,76,78,80,85,90,95,100})</f>
        <v>50</v>
      </c>
      <c r="T207" s="12"/>
      <c r="U207" s="12"/>
      <c r="V207" s="12">
        <f t="shared" si="117"/>
        <v>50</v>
      </c>
      <c r="W207" s="12"/>
      <c r="X207" s="20">
        <f t="shared" si="112"/>
        <v>44.6</v>
      </c>
      <c r="Y207" s="20">
        <f t="shared" si="118"/>
        <v>63.7142857142857</v>
      </c>
    </row>
    <row r="208" customFormat="1" ht="15.6" hidden="1" outlineLevel="2" spans="1:25">
      <c r="A208" s="12">
        <v>207</v>
      </c>
      <c r="B208" s="12">
        <v>16</v>
      </c>
      <c r="C208" s="6" t="s">
        <v>342</v>
      </c>
      <c r="D208" s="6" t="s">
        <v>11</v>
      </c>
      <c r="E208" s="12">
        <v>12.5</v>
      </c>
      <c r="F208" s="11">
        <f>LOOKUP(E208,{0,-2.9,-1.9,-0.9,0.1,1.1,2.1,3.5,4.9,6.3,7.7,9.1,10.5,11.9,13.3,14.7,16.1,18.3,20.5,22.4,24.3},{0,10,20,30,40,50,60,62,64,66,68,70,72,74,76,78,80,85,90,95,100})</f>
        <v>74</v>
      </c>
      <c r="G208" s="12">
        <v>260</v>
      </c>
      <c r="H208" s="11">
        <f>LOOKUP(G208,{0,175,180,185,190,195,200,204,208,212,216,220,224,228,232,236,240,248,255,260,265},{0,10,20,30,40,50,60,62,64,66,68,70,72,74,76,78,80,85,90,95,100})</f>
        <v>95</v>
      </c>
      <c r="I208" s="12">
        <v>19</v>
      </c>
      <c r="J208" s="11">
        <f>LOOKUP(I208,{0,3,4,5,6,7,8,9,10,11,12,13,14,15,16,17},{0,10,20,30,40,50,60,64,68,72,76,80,85,90,95,100})</f>
        <v>100</v>
      </c>
      <c r="K208" s="12">
        <f t="shared" si="119"/>
        <v>2</v>
      </c>
      <c r="L208" s="16">
        <f>LOOKUP(K208,{0,1,2,3,4,5,6,7,8,9,10},{0,1,2,3,4,5,6,7,8,9,10})</f>
        <v>2</v>
      </c>
      <c r="M208" s="12">
        <f t="shared" si="114"/>
        <v>102</v>
      </c>
      <c r="N208" s="12">
        <v>6.9</v>
      </c>
      <c r="O208" s="12">
        <f t="shared" si="115"/>
        <v>5.1</v>
      </c>
      <c r="P208" s="11">
        <f>LOOKUP(O208,{0,1.6,1.8,2,2.2,2.4,2.6,2.8,3,3.2,3.4,3.6,3.8,4,4.2,4.4,4.6,4.7,4.8,4.9,5},{0,10,20,30,40,50,60,62,64,66,68,70,72,74,76,78,80,85,90,95,100})</f>
        <v>100</v>
      </c>
      <c r="Q208" s="12">
        <v>3.44</v>
      </c>
      <c r="R208" s="12">
        <f t="shared" si="116"/>
        <v>6.56</v>
      </c>
      <c r="S208" s="11">
        <f>LOOKUP(R208,{0,3.8,4,4.6,4.8,5,5.6,5.65,5.7,5.75,5.8,5.85,5.9,5.95,6,6.45,6.5,6.58,6.65,6.7,6.75},{0,10,20,30,40,50,60,62,64,66,68,70,72,74,76,78,80,85,90,95,100})</f>
        <v>80</v>
      </c>
      <c r="T208" s="12"/>
      <c r="U208" s="12"/>
      <c r="V208" s="12">
        <f t="shared" si="117"/>
        <v>80</v>
      </c>
      <c r="W208" s="12"/>
      <c r="X208" s="20">
        <f t="shared" si="112"/>
        <v>62.9</v>
      </c>
      <c r="Y208" s="20">
        <f t="shared" si="118"/>
        <v>91.8571428571429</v>
      </c>
    </row>
    <row r="209" customFormat="1" ht="15.6" hidden="1" outlineLevel="2" spans="1:25">
      <c r="A209" s="12">
        <v>207</v>
      </c>
      <c r="B209" s="12">
        <v>17</v>
      </c>
      <c r="C209" s="6" t="s">
        <v>343</v>
      </c>
      <c r="D209" s="6" t="s">
        <v>11</v>
      </c>
      <c r="E209" s="12">
        <v>10.8</v>
      </c>
      <c r="F209" s="11">
        <f>LOOKUP(E209,{0,-2.9,-1.9,-0.9,0.1,1.1,2.1,3.5,4.9,6.3,7.7,9.1,10.5,11.9,13.3,14.7,16.1,18.3,20.5,22.4,24.3},{0,10,20,30,40,50,60,62,64,66,68,70,72,74,76,78,80,85,90,95,100})</f>
        <v>72</v>
      </c>
      <c r="G209" s="12">
        <v>259</v>
      </c>
      <c r="H209" s="11">
        <f>LOOKUP(G209,{0,175,180,185,190,195,200,204,208,212,216,220,224,228,232,236,240,248,255,260,265},{0,10,20,30,40,50,60,62,64,66,68,70,72,74,76,78,80,85,90,95,100})</f>
        <v>90</v>
      </c>
      <c r="I209" s="12">
        <v>20</v>
      </c>
      <c r="J209" s="11">
        <f>LOOKUP(I209,{0,3,4,5,6,7,8,9,10,11,12,13,14,15,16,17},{0,10,20,30,40,50,60,64,68,72,76,80,85,90,95,100})</f>
        <v>100</v>
      </c>
      <c r="K209" s="12">
        <f t="shared" si="119"/>
        <v>3</v>
      </c>
      <c r="L209" s="16">
        <f>LOOKUP(K209,{0,1,2,3,4,5,6,7,8,9,10},{0,1,2,3,4,5,6,7,8,9,10})</f>
        <v>3</v>
      </c>
      <c r="M209" s="12">
        <f t="shared" si="114"/>
        <v>103</v>
      </c>
      <c r="N209" s="12">
        <v>6.7</v>
      </c>
      <c r="O209" s="12">
        <f t="shared" si="115"/>
        <v>5.3</v>
      </c>
      <c r="P209" s="11">
        <f>LOOKUP(O209,{0,1.6,1.8,2,2.2,2.4,2.6,2.8,3,3.2,3.4,3.6,3.8,4,4.2,4.4,4.6,4.7,4.8,4.9,5},{0,10,20,30,40,50,60,62,64,66,68,70,72,74,76,78,80,85,90,95,100})</f>
        <v>100</v>
      </c>
      <c r="Q209" s="12">
        <v>3.39</v>
      </c>
      <c r="R209" s="12">
        <f t="shared" si="116"/>
        <v>6.61</v>
      </c>
      <c r="S209" s="11">
        <f>LOOKUP(R209,{0,3.8,4,4.6,4.8,5,5.6,5.65,5.7,5.75,5.8,5.85,5.9,5.95,6,6.45,6.5,6.58,6.65,6.7,6.75},{0,10,20,30,40,50,60,62,64,66,68,70,72,74,76,78,80,85,90,95,100})</f>
        <v>85</v>
      </c>
      <c r="T209" s="12"/>
      <c r="U209" s="12"/>
      <c r="V209" s="12">
        <f t="shared" si="117"/>
        <v>85</v>
      </c>
      <c r="W209" s="12"/>
      <c r="X209" s="20">
        <f t="shared" si="112"/>
        <v>63.2</v>
      </c>
      <c r="Y209" s="20">
        <f t="shared" si="118"/>
        <v>93.2857142857143</v>
      </c>
    </row>
    <row r="210" customFormat="1" ht="15.6" hidden="1" outlineLevel="2" spans="1:25">
      <c r="A210" s="12">
        <v>207</v>
      </c>
      <c r="B210" s="12">
        <v>18</v>
      </c>
      <c r="C210" s="6" t="s">
        <v>344</v>
      </c>
      <c r="D210" s="6" t="s">
        <v>11</v>
      </c>
      <c r="E210" s="12">
        <v>19.5</v>
      </c>
      <c r="F210" s="11">
        <f>LOOKUP(E210,{0,-2.9,-1.9,-0.9,0.1,1.1,2.1,3.5,4.9,6.3,7.7,9.1,10.5,11.9,13.3,14.7,16.1,18.3,20.5,22.4,24.3},{0,10,20,30,40,50,60,62,64,66,68,70,72,74,76,78,80,85,90,95,100})</f>
        <v>85</v>
      </c>
      <c r="G210" s="12">
        <v>243</v>
      </c>
      <c r="H210" s="11">
        <f>LOOKUP(G210,{0,175,180,185,190,195,200,204,208,212,216,220,224,228,232,236,240,248,255,260,265},{0,10,20,30,40,50,60,62,64,66,68,70,72,74,76,78,80,85,90,95,100})</f>
        <v>80</v>
      </c>
      <c r="I210" s="12">
        <v>21</v>
      </c>
      <c r="J210" s="11">
        <f>LOOKUP(I210,{0,3,4,5,6,7,8,9,10,11,12,13,14,15,16,17},{0,10,20,30,40,50,60,64,68,72,76,80,85,90,95,100})</f>
        <v>100</v>
      </c>
      <c r="K210" s="12">
        <f t="shared" si="119"/>
        <v>4</v>
      </c>
      <c r="L210" s="16">
        <f>LOOKUP(K210,{0,1,2,3,4,5,6,7,8,9,10},{0,1,2,3,4,5,6,7,8,9,10})</f>
        <v>4</v>
      </c>
      <c r="M210" s="12">
        <f t="shared" si="114"/>
        <v>104</v>
      </c>
      <c r="N210" s="12">
        <v>7.2</v>
      </c>
      <c r="O210" s="12">
        <f t="shared" si="115"/>
        <v>4.8</v>
      </c>
      <c r="P210" s="11">
        <f>LOOKUP(O210,{0,1.6,1.8,2,2.2,2.4,2.6,2.8,3,3.2,3.4,3.6,3.8,4,4.2,4.4,4.6,4.7,4.8,4.9,5},{0,10,20,30,40,50,60,62,64,66,68,70,72,74,76,78,80,85,90,95,100})</f>
        <v>90</v>
      </c>
      <c r="Q210" s="12">
        <v>3.46</v>
      </c>
      <c r="R210" s="12">
        <f t="shared" si="116"/>
        <v>6.54</v>
      </c>
      <c r="S210" s="11">
        <f>LOOKUP(R210,{0,3.8,4,4.6,4.8,5,5.6,5.65,5.7,5.75,5.8,5.85,5.9,5.95,6,6.45,6.5,6.58,6.65,6.7,6.75},{0,10,20,30,40,50,60,62,64,66,68,70,72,74,76,78,80,85,90,95,100})</f>
        <v>80</v>
      </c>
      <c r="T210" s="12"/>
      <c r="U210" s="12"/>
      <c r="V210" s="12">
        <f t="shared" si="117"/>
        <v>80</v>
      </c>
      <c r="W210" s="12"/>
      <c r="X210" s="20">
        <f t="shared" si="112"/>
        <v>60.5</v>
      </c>
      <c r="Y210" s="20">
        <f t="shared" si="118"/>
        <v>90.4285714285714</v>
      </c>
    </row>
    <row r="211" customFormat="1" ht="15.6" hidden="1" outlineLevel="2" spans="1:25">
      <c r="A211" s="12">
        <v>207</v>
      </c>
      <c r="B211" s="12">
        <v>19</v>
      </c>
      <c r="C211" s="6" t="s">
        <v>345</v>
      </c>
      <c r="D211" s="6" t="s">
        <v>11</v>
      </c>
      <c r="E211" s="12">
        <v>10.3</v>
      </c>
      <c r="F211" s="11">
        <f>LOOKUP(E211,{0,-2.9,-1.9,-0.9,0.1,1.1,2.1,3.5,4.9,6.3,7.7,9.1,10.5,11.9,13.3,14.7,16.1,18.3,20.5,22.4,24.3},{0,10,20,30,40,50,60,62,64,66,68,70,72,74,76,78,80,85,90,95,100})</f>
        <v>70</v>
      </c>
      <c r="G211" s="12">
        <v>241</v>
      </c>
      <c r="H211" s="11">
        <f>LOOKUP(G211,{0,175,180,185,190,195,200,204,208,212,216,220,224,228,232,236,240,248,255,260,265},{0,10,20,30,40,50,60,62,64,66,68,70,72,74,76,78,80,85,90,95,100})</f>
        <v>80</v>
      </c>
      <c r="I211" s="12">
        <v>19</v>
      </c>
      <c r="J211" s="11">
        <f>LOOKUP(I211,{0,3,4,5,6,7,8,9,10,11,12,13,14,15,16,17},{0,10,20,30,40,50,60,64,68,72,76,80,85,90,95,100})</f>
        <v>100</v>
      </c>
      <c r="K211" s="12">
        <f t="shared" si="119"/>
        <v>2</v>
      </c>
      <c r="L211" s="11">
        <f>LOOKUP(K211,{0,1,2,3,4,5,6,7,8,9,10},{0,1,2,3,4,5,6,7,8,9,10})</f>
        <v>2</v>
      </c>
      <c r="M211" s="12">
        <f t="shared" si="114"/>
        <v>102</v>
      </c>
      <c r="N211" s="12">
        <v>7.3</v>
      </c>
      <c r="O211" s="12">
        <f t="shared" si="115"/>
        <v>4.7</v>
      </c>
      <c r="P211" s="11">
        <f>LOOKUP(O211,{0,1.6,1.8,2,2.2,2.4,2.6,2.8,3,3.2,3.4,3.6,3.8,4,4.2,4.4,4.6,4.7,4.8,4.9,5},{0,10,20,30,40,50,60,62,64,66,68,70,72,74,76,78,80,85,90,95,100})</f>
        <v>85</v>
      </c>
      <c r="Q211" s="12">
        <v>3.56</v>
      </c>
      <c r="R211" s="12">
        <f t="shared" si="116"/>
        <v>6.44</v>
      </c>
      <c r="S211" s="11">
        <f>LOOKUP(R211,{0,3.8,4,4.6,4.8,5,5.6,5.65,5.7,5.75,5.8,5.85,5.9,5.95,6,6.45,6.5,6.58,6.65,6.7,6.75},{0,10,20,30,40,50,60,62,64,66,68,70,72,74,76,78,80,85,90,95,100})</f>
        <v>76</v>
      </c>
      <c r="T211" s="12"/>
      <c r="U211" s="12"/>
      <c r="V211" s="12">
        <f t="shared" si="117"/>
        <v>76</v>
      </c>
      <c r="W211" s="12"/>
      <c r="X211" s="20">
        <f t="shared" si="112"/>
        <v>57.2</v>
      </c>
      <c r="Y211" s="20">
        <f t="shared" si="118"/>
        <v>83.7142857142857</v>
      </c>
    </row>
    <row r="212" customFormat="1" ht="15.6" hidden="1" outlineLevel="2" spans="1:25">
      <c r="A212" s="12">
        <v>207</v>
      </c>
      <c r="B212" s="12">
        <v>20</v>
      </c>
      <c r="C212" s="6" t="s">
        <v>346</v>
      </c>
      <c r="D212" s="6" t="s">
        <v>11</v>
      </c>
      <c r="E212" s="12"/>
      <c r="F212" s="11"/>
      <c r="G212" s="12"/>
      <c r="H212" s="11"/>
      <c r="I212" s="12"/>
      <c r="J212" s="11"/>
      <c r="K212" s="12"/>
      <c r="L212" s="12"/>
      <c r="M212" s="12"/>
      <c r="N212" s="12"/>
      <c r="O212" s="12"/>
      <c r="P212" s="11"/>
      <c r="Q212" s="12"/>
      <c r="R212" s="12"/>
      <c r="S212" s="11"/>
      <c r="T212" s="12"/>
      <c r="U212" s="11"/>
      <c r="V212" s="12"/>
      <c r="W212" s="12"/>
      <c r="X212" s="20">
        <f t="shared" si="112"/>
        <v>0</v>
      </c>
      <c r="Y212" s="23">
        <v>50</v>
      </c>
    </row>
    <row r="213" customFormat="1" ht="15.6" hidden="1" outlineLevel="2" spans="1:25">
      <c r="A213" s="12">
        <v>207</v>
      </c>
      <c r="B213" s="12">
        <v>21</v>
      </c>
      <c r="C213" s="6" t="s">
        <v>347</v>
      </c>
      <c r="D213" s="6" t="s">
        <v>11</v>
      </c>
      <c r="E213" s="12">
        <v>10.5</v>
      </c>
      <c r="F213" s="11">
        <f>LOOKUP(E213,{0,-2.9,-1.9,-0.9,0.1,1.1,2.1,3.5,4.9,6.3,7.7,9.1,10.5,11.9,13.3,14.7,16.1,18.3,20.5,22.4,24.3},{0,10,20,30,40,50,60,62,64,66,68,70,72,74,76,78,80,85,90,95,100})</f>
        <v>72</v>
      </c>
      <c r="G213" s="12">
        <v>227</v>
      </c>
      <c r="H213" s="11">
        <f>LOOKUP(G213,{0,175,180,185,190,195,200,204,208,212,216,220,224,228,232,236,240,248,255,260,265},{0,10,20,30,40,50,60,62,64,66,68,70,72,74,76,78,80,85,90,95,100})</f>
        <v>72</v>
      </c>
      <c r="I213" s="12">
        <v>14</v>
      </c>
      <c r="J213" s="11">
        <f>LOOKUP(I213,{0,3,4,5,6,7,8,9,10,11,12,13,14,15,16,17},{0,10,20,30,40,50,60,64,68,72,76,80,85,90,95,100})</f>
        <v>85</v>
      </c>
      <c r="K213" s="12"/>
      <c r="L213" s="12"/>
      <c r="M213" s="12">
        <f t="shared" ref="M213:M216" si="120">J213+L213</f>
        <v>85</v>
      </c>
      <c r="N213" s="12">
        <v>7.4</v>
      </c>
      <c r="O213" s="12">
        <f t="shared" ref="O213:O216" si="121">12-N213</f>
        <v>4.6</v>
      </c>
      <c r="P213" s="11">
        <f>LOOKUP(O213,{0,1.6,1.8,2,2.2,2.4,2.6,2.8,3,3.2,3.4,3.6,3.8,4,4.2,4.4,4.6,4.7,4.8,4.9,5},{0,10,20,30,40,50,60,62,64,66,68,70,72,74,76,78,80,85,90,95,100})</f>
        <v>80</v>
      </c>
      <c r="Q213" s="12">
        <v>3.29</v>
      </c>
      <c r="R213" s="12">
        <f t="shared" ref="R213:R216" si="122">10-Q213</f>
        <v>6.71</v>
      </c>
      <c r="S213" s="11">
        <f>LOOKUP(R213,{0,3.8,4,4.6,4.8,5,5.6,5.65,5.7,5.75,5.8,5.85,5.9,5.95,6,6.45,6.5,6.58,6.65,6.7,6.75},{0,10,20,30,40,50,60,62,64,66,68,70,72,74,76,78,80,85,90,95,100})</f>
        <v>95</v>
      </c>
      <c r="T213" s="12"/>
      <c r="U213" s="12"/>
      <c r="V213" s="12">
        <f t="shared" ref="V213:V216" si="123">S213+U213</f>
        <v>95</v>
      </c>
      <c r="W213" s="12"/>
      <c r="X213" s="20">
        <f t="shared" si="112"/>
        <v>57.9</v>
      </c>
      <c r="Y213" s="20">
        <f t="shared" ref="Y213:Y216" si="124">X213/0.7+L213+U213</f>
        <v>82.7142857142857</v>
      </c>
    </row>
    <row r="214" customFormat="1" ht="15.6" hidden="1" outlineLevel="2" spans="1:25">
      <c r="A214" s="12">
        <v>207</v>
      </c>
      <c r="B214" s="12">
        <v>22</v>
      </c>
      <c r="C214" s="6" t="s">
        <v>348</v>
      </c>
      <c r="D214" s="6" t="s">
        <v>11</v>
      </c>
      <c r="E214" s="12">
        <v>10.4</v>
      </c>
      <c r="F214" s="11">
        <f>LOOKUP(E214,{0,-2.9,-1.9,-0.9,0.1,1.1,2.1,3.5,4.9,6.3,7.7,9.1,10.5,11.9,13.3,14.7,16.1,18.3,20.5,22.4,24.3},{0,10,20,30,40,50,60,62,64,66,68,70,72,74,76,78,80,85,90,95,100})</f>
        <v>70</v>
      </c>
      <c r="G214" s="12">
        <v>234</v>
      </c>
      <c r="H214" s="11">
        <f>LOOKUP(G214,{0,175,180,185,190,195,200,204,208,212,216,220,224,228,232,236,240,248,255,260,265},{0,10,20,30,40,50,60,62,64,66,68,70,72,74,76,78,80,85,90,95,100})</f>
        <v>76</v>
      </c>
      <c r="I214" s="12">
        <v>7</v>
      </c>
      <c r="J214" s="11">
        <f>LOOKUP(I214,{0,3,4,5,6,7,8,9,10,11,12,13,14,15,16,17},{0,10,20,30,40,50,60,64,68,72,76,80,85,90,95,100})</f>
        <v>50</v>
      </c>
      <c r="K214" s="12"/>
      <c r="L214" s="15"/>
      <c r="M214" s="12">
        <f t="shared" si="120"/>
        <v>50</v>
      </c>
      <c r="N214" s="12">
        <v>6.7</v>
      </c>
      <c r="O214" s="12">
        <f t="shared" si="121"/>
        <v>5.3</v>
      </c>
      <c r="P214" s="11">
        <f>LOOKUP(O214,{0,1.6,1.8,2,2.2,2.4,2.6,2.8,3,3.2,3.4,3.6,3.8,4,4.2,4.4,4.6,4.7,4.8,4.9,5},{0,10,20,30,40,50,60,62,64,66,68,70,72,74,76,78,80,85,90,95,100})</f>
        <v>100</v>
      </c>
      <c r="Q214" s="12">
        <v>3.54</v>
      </c>
      <c r="R214" s="12">
        <f t="shared" si="122"/>
        <v>6.46</v>
      </c>
      <c r="S214" s="11">
        <f>LOOKUP(R214,{0,3.8,4,4.6,4.8,5,5.6,5.65,5.7,5.75,5.8,5.85,5.9,5.95,6,6.45,6.5,6.58,6.65,6.7,6.75},{0,10,20,30,40,50,60,62,64,66,68,70,72,74,76,78,80,85,90,95,100})</f>
        <v>78</v>
      </c>
      <c r="T214" s="12"/>
      <c r="U214" s="12"/>
      <c r="V214" s="12">
        <f t="shared" si="123"/>
        <v>78</v>
      </c>
      <c r="W214" s="12"/>
      <c r="X214" s="20">
        <f t="shared" si="112"/>
        <v>55.2</v>
      </c>
      <c r="Y214" s="20">
        <f t="shared" si="124"/>
        <v>78.8571428571429</v>
      </c>
    </row>
    <row r="215" s="1" customFormat="1" ht="15.6" hidden="1" outlineLevel="2" spans="1:25">
      <c r="A215" s="12">
        <v>207</v>
      </c>
      <c r="B215" s="12">
        <v>23</v>
      </c>
      <c r="C215" s="6" t="s">
        <v>349</v>
      </c>
      <c r="D215" s="6" t="s">
        <v>11</v>
      </c>
      <c r="E215" s="12">
        <v>19.5</v>
      </c>
      <c r="F215" s="11">
        <f>LOOKUP(E215,{0,-2.9,-1.9,-0.9,0.1,1.1,2.1,3.5,4.9,6.3,7.7,9.1,10.5,11.9,13.3,14.7,16.1,18.3,20.5,22.4,24.3},{0,10,20,30,40,50,60,62,64,66,68,70,72,74,76,78,80,85,90,95,100})</f>
        <v>85</v>
      </c>
      <c r="G215" s="12">
        <v>252</v>
      </c>
      <c r="H215" s="11">
        <f>LOOKUP(G215,{0,175,180,185,190,195,200,204,208,212,216,220,224,228,232,236,240,248,255,260,265},{0,10,20,30,40,50,60,62,64,66,68,70,72,74,76,78,80,85,90,95,100})</f>
        <v>85</v>
      </c>
      <c r="I215" s="12">
        <v>20</v>
      </c>
      <c r="J215" s="11">
        <f>LOOKUP(I215,{0,3,4,5,6,7,8,9,10,11,12,13,14,15,16,17},{0,10,20,30,40,50,60,64,68,72,76,80,85,90,95,100})</f>
        <v>100</v>
      </c>
      <c r="K215" s="12">
        <f>I215-17</f>
        <v>3</v>
      </c>
      <c r="L215" s="11">
        <f>LOOKUP(K215,{0,1,2,3,4,5,6,7,8,9,10},{0,1,2,3,4,5,6,7,8,9,10})</f>
        <v>3</v>
      </c>
      <c r="M215" s="12">
        <f t="shared" si="120"/>
        <v>103</v>
      </c>
      <c r="N215" s="12">
        <v>7.3</v>
      </c>
      <c r="O215" s="12">
        <f t="shared" si="121"/>
        <v>4.7</v>
      </c>
      <c r="P215" s="11">
        <f>LOOKUP(O215,{0,1.6,1.8,2,2.2,2.4,2.6,2.8,3,3.2,3.4,3.6,3.8,4,4.2,4.4,4.6,4.7,4.8,4.9,5},{0,10,20,30,40,50,60,62,64,66,68,70,72,74,76,78,80,85,90,95,100})</f>
        <v>85</v>
      </c>
      <c r="Q215" s="12">
        <v>3.32</v>
      </c>
      <c r="R215" s="12">
        <f t="shared" si="122"/>
        <v>6.68</v>
      </c>
      <c r="S215" s="11">
        <f>LOOKUP(R215,{0,3.8,4,4.6,4.8,5,5.6,5.65,5.7,5.75,5.8,5.85,5.9,5.95,6,6.45,6.5,6.58,6.65,6.7,6.75},{0,10,20,30,40,50,60,62,64,66,68,70,72,74,76,78,80,85,90,95,100})</f>
        <v>90</v>
      </c>
      <c r="T215" s="12"/>
      <c r="U215" s="12"/>
      <c r="V215" s="12">
        <f t="shared" si="123"/>
        <v>90</v>
      </c>
      <c r="W215" s="12"/>
      <c r="X215" s="20">
        <f t="shared" si="112"/>
        <v>62</v>
      </c>
      <c r="Y215" s="20">
        <f t="shared" si="124"/>
        <v>91.5714285714286</v>
      </c>
    </row>
    <row r="216" ht="15.6" hidden="1" outlineLevel="2" spans="1:25">
      <c r="A216" s="12">
        <v>207</v>
      </c>
      <c r="B216" s="12">
        <v>24</v>
      </c>
      <c r="C216" s="6" t="s">
        <v>350</v>
      </c>
      <c r="D216" s="6" t="s">
        <v>11</v>
      </c>
      <c r="E216" s="12">
        <v>14.8</v>
      </c>
      <c r="F216" s="11">
        <f>LOOKUP(E216,{0,-2.9,-1.9,-0.9,0.1,1.1,2.1,3.5,4.9,6.3,7.7,9.1,10.5,11.9,13.3,14.7,16.1,18.3,20.5,22.4,24.3},{0,10,20,30,40,50,60,62,64,66,68,70,72,74,76,78,80,85,90,95,100})</f>
        <v>78</v>
      </c>
      <c r="G216" s="12">
        <v>245</v>
      </c>
      <c r="H216" s="11">
        <f>LOOKUP(G216,{0,175,180,185,190,195,200,204,208,212,216,220,224,228,232,236,240,248,255,260,265},{0,10,20,30,40,50,60,62,64,66,68,70,72,74,76,78,80,85,90,95,100})</f>
        <v>80</v>
      </c>
      <c r="I216" s="12">
        <v>14</v>
      </c>
      <c r="J216" s="11">
        <f>LOOKUP(I216,{0,3,4,5,6,7,8,9,10,11,12,13,14,15,16,17},{0,10,20,30,40,50,60,64,68,72,76,80,85,90,95,100})</f>
        <v>85</v>
      </c>
      <c r="K216" s="12"/>
      <c r="L216" s="15"/>
      <c r="M216" s="12">
        <f t="shared" si="120"/>
        <v>85</v>
      </c>
      <c r="N216" s="12">
        <v>7</v>
      </c>
      <c r="O216" s="12">
        <f t="shared" si="121"/>
        <v>5</v>
      </c>
      <c r="P216" s="11">
        <f>LOOKUP(O216,{0,1.6,1.8,2,2.2,2.4,2.6,2.8,3,3.2,3.4,3.6,3.8,4,4.2,4.4,4.6,4.7,4.8,4.9,5},{0,10,20,30,40,50,60,62,64,66,68,70,72,74,76,78,80,85,90,95,100})</f>
        <v>100</v>
      </c>
      <c r="Q216" s="12">
        <v>3.39</v>
      </c>
      <c r="R216" s="12">
        <f t="shared" si="122"/>
        <v>6.61</v>
      </c>
      <c r="S216" s="11">
        <f>LOOKUP(R216,{0,3.8,4,4.6,4.8,5,5.6,5.65,5.7,5.75,5.8,5.85,5.9,5.95,6,6.45,6.5,6.58,6.65,6.7,6.75},{0,10,20,30,40,50,60,62,64,66,68,70,72,74,76,78,80,85,90,95,100})</f>
        <v>85</v>
      </c>
      <c r="T216" s="12"/>
      <c r="U216" s="12"/>
      <c r="V216" s="12">
        <f t="shared" si="123"/>
        <v>85</v>
      </c>
      <c r="W216" s="12"/>
      <c r="X216" s="20">
        <f t="shared" si="112"/>
        <v>61.3</v>
      </c>
      <c r="Y216" s="20">
        <f t="shared" si="124"/>
        <v>87.5714285714286</v>
      </c>
    </row>
    <row r="217" ht="15.6" hidden="1" outlineLevel="2" spans="1:25">
      <c r="A217" s="12">
        <v>207</v>
      </c>
      <c r="B217" s="12">
        <v>25</v>
      </c>
      <c r="C217" s="13" t="s">
        <v>352</v>
      </c>
      <c r="D217" s="6" t="s">
        <v>11</v>
      </c>
      <c r="E217" s="12"/>
      <c r="F217" s="11"/>
      <c r="G217" s="12"/>
      <c r="H217" s="11"/>
      <c r="I217" s="12"/>
      <c r="J217" s="11"/>
      <c r="K217" s="12"/>
      <c r="L217" s="12"/>
      <c r="M217" s="12"/>
      <c r="N217" s="12"/>
      <c r="O217" s="12"/>
      <c r="P217" s="11"/>
      <c r="Q217" s="12"/>
      <c r="R217" s="12"/>
      <c r="S217" s="11"/>
      <c r="T217" s="12"/>
      <c r="U217" s="11"/>
      <c r="V217" s="12"/>
      <c r="W217" s="12" t="s">
        <v>14</v>
      </c>
      <c r="X217" s="20">
        <f t="shared" si="112"/>
        <v>0</v>
      </c>
      <c r="Y217" s="20">
        <v>50</v>
      </c>
    </row>
    <row r="218" ht="15.6" hidden="1" outlineLevel="2" spans="1:25">
      <c r="A218" s="12">
        <v>207</v>
      </c>
      <c r="B218" s="12">
        <v>26</v>
      </c>
      <c r="C218" s="6" t="s">
        <v>353</v>
      </c>
      <c r="D218" s="6" t="s">
        <v>11</v>
      </c>
      <c r="E218" s="12">
        <v>10.4</v>
      </c>
      <c r="F218" s="11">
        <f>LOOKUP(E218,{0,-2.9,-1.9,-0.9,0.1,1.1,2.1,3.5,4.9,6.3,7.7,9.1,10.5,11.9,13.3,14.7,16.1,18.3,20.5,22.4,24.3},{0,10,20,30,40,50,60,62,64,66,68,70,72,74,76,78,80,85,90,95,100})</f>
        <v>70</v>
      </c>
      <c r="G218" s="12">
        <v>236</v>
      </c>
      <c r="H218" s="11">
        <f>LOOKUP(G218,{0,175,180,185,190,195,200,204,208,212,216,220,224,228,232,236,240,248,255,260,265},{0,10,20,30,40,50,60,62,64,66,68,70,72,74,76,78,80,85,90,95,100})</f>
        <v>78</v>
      </c>
      <c r="I218" s="12">
        <v>9</v>
      </c>
      <c r="J218" s="11">
        <f>LOOKUP(I218,{0,3,4,5,6,7,8,9,10,11,12,13,14,15,16,17},{0,10,20,30,40,50,60,64,68,72,76,80,85,90,95,100})</f>
        <v>64</v>
      </c>
      <c r="K218" s="12"/>
      <c r="L218" s="12"/>
      <c r="M218" s="12">
        <f t="shared" ref="M218:M224" si="125">J218+L218</f>
        <v>64</v>
      </c>
      <c r="N218" s="12">
        <v>6.9</v>
      </c>
      <c r="O218" s="12">
        <f t="shared" ref="O218:O224" si="126">12-N218</f>
        <v>5.1</v>
      </c>
      <c r="P218" s="11">
        <f>LOOKUP(O218,{0,1.6,1.8,2,2.2,2.4,2.6,2.8,3,3.2,3.4,3.6,3.8,4,4.2,4.4,4.6,4.7,4.8,4.9,5},{0,10,20,30,40,50,60,62,64,66,68,70,72,74,76,78,80,85,90,95,100})</f>
        <v>100</v>
      </c>
      <c r="Q218" s="12">
        <v>3.19</v>
      </c>
      <c r="R218" s="12">
        <f t="shared" ref="R218:R224" si="127">10-Q218</f>
        <v>6.81</v>
      </c>
      <c r="S218" s="11">
        <f>LOOKUP(R218,{0,3.8,4,4.6,4.8,5,5.6,5.65,5.7,5.75,5.8,5.85,5.9,5.95,6,6.45,6.5,6.58,6.65,6.7,6.75},{0,10,20,30,40,50,60,62,64,66,68,70,72,74,76,78,80,85,90,95,100})</f>
        <v>100</v>
      </c>
      <c r="T218" s="12">
        <f>3.25-Q218</f>
        <v>0.0600000000000001</v>
      </c>
      <c r="U218" s="11">
        <f>LOOKUP(T218,{0,0.04,0.08,0.12,0.16,0.2,0.23,0.26,0.29,0.32,0.35},{0,1,2,3,4,5,6,7,8,9,10})</f>
        <v>1</v>
      </c>
      <c r="V218" s="12">
        <f t="shared" ref="V218:V224" si="128">S218+U218</f>
        <v>101</v>
      </c>
      <c r="W218" s="12"/>
      <c r="X218" s="20">
        <f t="shared" si="112"/>
        <v>61.2</v>
      </c>
      <c r="Y218" s="20">
        <f t="shared" ref="Y218:Y224" si="129">X218/0.7+L218+U218</f>
        <v>88.4285714285714</v>
      </c>
    </row>
    <row r="219" ht="15.6" hidden="1" outlineLevel="2" spans="1:25">
      <c r="A219" s="12">
        <v>207</v>
      </c>
      <c r="B219" s="12">
        <v>27</v>
      </c>
      <c r="C219" s="6" t="s">
        <v>354</v>
      </c>
      <c r="D219" s="6" t="s">
        <v>11</v>
      </c>
      <c r="E219" s="12"/>
      <c r="F219" s="11"/>
      <c r="G219" s="12"/>
      <c r="H219" s="11"/>
      <c r="I219" s="12"/>
      <c r="J219" s="11"/>
      <c r="K219" s="12"/>
      <c r="L219" s="12"/>
      <c r="M219" s="12"/>
      <c r="N219" s="12"/>
      <c r="O219" s="12"/>
      <c r="P219" s="11"/>
      <c r="Q219" s="12"/>
      <c r="R219" s="12"/>
      <c r="S219" s="11"/>
      <c r="T219" s="12"/>
      <c r="U219" s="11"/>
      <c r="V219" s="12"/>
      <c r="W219" s="12" t="s">
        <v>14</v>
      </c>
      <c r="X219" s="20">
        <f t="shared" si="112"/>
        <v>0</v>
      </c>
      <c r="Y219" s="20">
        <v>50</v>
      </c>
    </row>
    <row r="220" ht="15.6" hidden="1" outlineLevel="2" spans="1:25">
      <c r="A220" s="12">
        <v>207</v>
      </c>
      <c r="B220" s="12">
        <v>28</v>
      </c>
      <c r="C220" s="6" t="s">
        <v>355</v>
      </c>
      <c r="D220" s="6" t="s">
        <v>11</v>
      </c>
      <c r="E220" s="12"/>
      <c r="F220" s="11"/>
      <c r="G220" s="12"/>
      <c r="H220" s="11"/>
      <c r="I220" s="12"/>
      <c r="J220" s="11"/>
      <c r="K220" s="12"/>
      <c r="L220" s="12"/>
      <c r="M220" s="12"/>
      <c r="N220" s="12"/>
      <c r="O220" s="12"/>
      <c r="P220" s="11"/>
      <c r="Q220" s="12"/>
      <c r="R220" s="12"/>
      <c r="S220" s="11"/>
      <c r="T220" s="12"/>
      <c r="U220" s="11"/>
      <c r="V220" s="12"/>
      <c r="W220" s="12" t="s">
        <v>14</v>
      </c>
      <c r="X220" s="20">
        <f t="shared" si="112"/>
        <v>0</v>
      </c>
      <c r="Y220" s="20">
        <v>50</v>
      </c>
    </row>
    <row r="221" ht="15.6" hidden="1" outlineLevel="2" spans="1:25">
      <c r="A221" s="12">
        <v>207</v>
      </c>
      <c r="B221" s="12">
        <v>29</v>
      </c>
      <c r="C221" s="6" t="s">
        <v>356</v>
      </c>
      <c r="D221" s="6" t="s">
        <v>11</v>
      </c>
      <c r="E221" s="12">
        <v>112</v>
      </c>
      <c r="F221" s="11">
        <f>LOOKUP(E221,{0,-2.9,-1.9,-0.9,0.1,1.1,2.1,3.5,4.9,6.3,7.7,9.1,10.5,11.9,13.3,14.7,16.1,18.3,20.5,22.4,24.3},{0,10,20,30,40,50,60,62,64,66,68,70,72,74,76,78,80,85,90,95,100})</f>
        <v>100</v>
      </c>
      <c r="G221" s="12">
        <v>224</v>
      </c>
      <c r="H221" s="11">
        <f>LOOKUP(G221,{0,175,180,185,190,195,200,204,208,212,216,220,224,228,232,236,240,248,255,260,265},{0,10,20,30,40,50,60,62,64,66,68,70,72,74,76,78,80,85,90,95,100})</f>
        <v>72</v>
      </c>
      <c r="I221" s="12">
        <v>21</v>
      </c>
      <c r="J221" s="11">
        <f>LOOKUP(I221,{0,3,4,5,6,7,8,9,10,11,12,13,14,15,16,17},{0,10,20,30,40,50,60,64,68,72,76,80,85,90,95,100})</f>
        <v>100</v>
      </c>
      <c r="K221" s="12">
        <f>I221-17</f>
        <v>4</v>
      </c>
      <c r="L221" s="11">
        <f>LOOKUP(K221,{0,1,2,3,4,5,6,7,8,9,10},{0,1,2,3,4,5,6,7,8,9,10})</f>
        <v>4</v>
      </c>
      <c r="M221" s="12">
        <f t="shared" si="125"/>
        <v>104</v>
      </c>
      <c r="N221" s="12">
        <v>7.7</v>
      </c>
      <c r="O221" s="12">
        <f t="shared" si="126"/>
        <v>4.3</v>
      </c>
      <c r="P221" s="11">
        <f>LOOKUP(O221,{0,1.6,1.8,2,2.2,2.4,2.6,2.8,3,3.2,3.4,3.6,3.8,4,4.2,4.4,4.6,4.7,4.8,4.9,5},{0,10,20,30,40,50,60,62,64,66,68,70,72,74,76,78,80,85,90,95,100})</f>
        <v>76</v>
      </c>
      <c r="Q221" s="12">
        <v>3.31</v>
      </c>
      <c r="R221" s="12">
        <f t="shared" si="127"/>
        <v>6.69</v>
      </c>
      <c r="S221" s="11">
        <f>LOOKUP(R221,{0,3.8,4,4.6,4.8,5,5.6,5.65,5.7,5.75,5.8,5.85,5.9,5.95,6,6.45,6.5,6.58,6.65,6.7,6.75},{0,10,20,30,40,50,60,62,64,66,68,70,72,74,76,78,80,85,90,95,100})</f>
        <v>90</v>
      </c>
      <c r="T221" s="12"/>
      <c r="U221" s="12"/>
      <c r="V221" s="12">
        <f t="shared" si="128"/>
        <v>90</v>
      </c>
      <c r="W221" s="12"/>
      <c r="X221" s="20">
        <f t="shared" si="112"/>
        <v>60.4</v>
      </c>
      <c r="Y221" s="20">
        <f t="shared" si="129"/>
        <v>90.2857142857143</v>
      </c>
    </row>
    <row r="222" ht="15.6" hidden="1" outlineLevel="2" spans="1:25">
      <c r="A222" s="12">
        <v>207</v>
      </c>
      <c r="B222" s="12">
        <v>30</v>
      </c>
      <c r="C222" s="6" t="s">
        <v>357</v>
      </c>
      <c r="D222" s="6" t="s">
        <v>11</v>
      </c>
      <c r="E222" s="12">
        <v>13.6</v>
      </c>
      <c r="F222" s="11">
        <f>LOOKUP(E222,{0,-2.9,-1.9,-0.9,0.1,1.1,2.1,3.5,4.9,6.3,7.7,9.1,10.5,11.9,13.3,14.7,16.1,18.3,20.5,22.4,24.3},{0,10,20,30,40,50,60,62,64,66,68,70,72,74,76,78,80,85,90,95,100})</f>
        <v>76</v>
      </c>
      <c r="G222" s="12">
        <v>226</v>
      </c>
      <c r="H222" s="11">
        <f>LOOKUP(G222,{0,175,180,185,190,195,200,204,208,212,216,220,224,228,232,236,240,248,255,260,265},{0,10,20,30,40,50,60,62,64,66,68,70,72,74,76,78,80,85,90,95,100})</f>
        <v>72</v>
      </c>
      <c r="I222" s="12">
        <v>3</v>
      </c>
      <c r="J222" s="11">
        <f>LOOKUP(I222,{0,3,4,5,6,7,8,9,10,11,12,13,14,15,16,17},{0,10,20,30,40,50,60,64,68,72,76,80,85,90,95,100})</f>
        <v>10</v>
      </c>
      <c r="K222" s="12"/>
      <c r="L222" s="12"/>
      <c r="M222" s="12">
        <f t="shared" si="125"/>
        <v>10</v>
      </c>
      <c r="N222" s="12">
        <v>7.3</v>
      </c>
      <c r="O222" s="12">
        <f t="shared" si="126"/>
        <v>4.7</v>
      </c>
      <c r="P222" s="11">
        <f>LOOKUP(O222,{0,1.6,1.8,2,2.2,2.4,2.6,2.8,3,3.2,3.4,3.6,3.8,4,4.2,4.4,4.6,4.7,4.8,4.9,5},{0,10,20,30,40,50,60,62,64,66,68,70,72,74,76,78,80,85,90,95,100})</f>
        <v>85</v>
      </c>
      <c r="Q222" s="12">
        <v>3.42</v>
      </c>
      <c r="R222" s="12">
        <f t="shared" si="127"/>
        <v>6.58</v>
      </c>
      <c r="S222" s="11">
        <f>LOOKUP(R222,{0,3.8,4,4.6,4.8,5,5.6,5.65,5.7,5.75,5.8,5.85,5.9,5.95,6,6.45,6.5,6.58,6.65,6.7,6.75},{0,10,20,30,40,50,60,62,64,66,68,70,72,74,76,78,80,85,90,95,100})</f>
        <v>85</v>
      </c>
      <c r="T222" s="12"/>
      <c r="U222" s="12"/>
      <c r="V222" s="12">
        <f t="shared" si="128"/>
        <v>85</v>
      </c>
      <c r="W222" s="12"/>
      <c r="X222" s="20">
        <f t="shared" si="112"/>
        <v>49.8</v>
      </c>
      <c r="Y222" s="20">
        <f t="shared" si="129"/>
        <v>71.1428571428571</v>
      </c>
    </row>
    <row r="223" ht="15.6" hidden="1" outlineLevel="2" spans="1:25">
      <c r="A223" s="12">
        <v>207</v>
      </c>
      <c r="B223" s="12">
        <v>31</v>
      </c>
      <c r="C223" s="6" t="s">
        <v>358</v>
      </c>
      <c r="D223" s="6" t="s">
        <v>11</v>
      </c>
      <c r="E223" s="12">
        <v>24</v>
      </c>
      <c r="F223" s="11">
        <f>LOOKUP(E223,{0,-2.9,-1.9,-0.9,0.1,1.1,2.1,3.5,4.9,6.3,7.7,9.1,10.5,11.9,13.3,14.7,16.1,18.3,20.5,22.4,24.3},{0,10,20,30,40,50,60,62,64,66,68,70,72,74,76,78,80,85,90,95,100})</f>
        <v>95</v>
      </c>
      <c r="G223" s="12">
        <v>232</v>
      </c>
      <c r="H223" s="11">
        <f>LOOKUP(G223,{0,175,180,185,190,195,200,204,208,212,216,220,224,228,232,236,240,248,255,260,265},{0,10,20,30,40,50,60,62,64,66,68,70,72,74,76,78,80,85,90,95,100})</f>
        <v>76</v>
      </c>
      <c r="I223" s="12">
        <v>11</v>
      </c>
      <c r="J223" s="11">
        <f>LOOKUP(I223,{0,3,4,5,6,7,8,9,10,11,12,13,14,15,16,17},{0,10,20,30,40,50,60,64,68,72,76,80,85,90,95,100})</f>
        <v>72</v>
      </c>
      <c r="K223" s="12"/>
      <c r="L223" s="12"/>
      <c r="M223" s="12">
        <f t="shared" si="125"/>
        <v>72</v>
      </c>
      <c r="N223" s="12">
        <v>7.5</v>
      </c>
      <c r="O223" s="12">
        <f t="shared" si="126"/>
        <v>4.5</v>
      </c>
      <c r="P223" s="11">
        <f>LOOKUP(O223,{0,1.6,1.8,2,2.2,2.4,2.6,2.8,3,3.2,3.4,3.6,3.8,4,4.2,4.4,4.6,4.7,4.8,4.9,5},{0,10,20,30,40,50,60,62,64,66,68,70,72,74,76,78,80,85,90,95,100})</f>
        <v>78</v>
      </c>
      <c r="Q223" s="12">
        <v>4.06</v>
      </c>
      <c r="R223" s="12">
        <f t="shared" si="127"/>
        <v>5.94</v>
      </c>
      <c r="S223" s="11">
        <f>LOOKUP(R223,{0,3.8,4,4.6,4.8,5,5.6,5.65,5.7,5.75,5.8,5.85,5.9,5.95,6,6.45,6.5,6.58,6.65,6.7,6.75},{0,10,20,30,40,50,60,62,64,66,68,70,72,74,76,78,80,85,90,95,100})</f>
        <v>72</v>
      </c>
      <c r="T223" s="12"/>
      <c r="U223" s="12"/>
      <c r="V223" s="12">
        <f t="shared" si="128"/>
        <v>72</v>
      </c>
      <c r="W223" s="12"/>
      <c r="X223" s="20">
        <f t="shared" si="112"/>
        <v>54.3</v>
      </c>
      <c r="Y223" s="20">
        <f t="shared" si="129"/>
        <v>77.5714285714286</v>
      </c>
    </row>
    <row r="224" ht="15.6" hidden="1" outlineLevel="2" spans="1:25">
      <c r="A224" s="12">
        <v>207</v>
      </c>
      <c r="B224" s="12">
        <v>32</v>
      </c>
      <c r="C224" s="6" t="s">
        <v>359</v>
      </c>
      <c r="D224" s="6" t="s">
        <v>11</v>
      </c>
      <c r="E224" s="12">
        <v>11.4</v>
      </c>
      <c r="F224" s="11">
        <f>LOOKUP(E224,{0,-2.9,-1.9,-0.9,0.1,1.1,2.1,3.5,4.9,6.3,7.7,9.1,10.5,11.9,13.3,14.7,16.1,18.3,20.5,22.4,24.3},{0,10,20,30,40,50,60,62,64,66,68,70,72,74,76,78,80,85,90,95,100})</f>
        <v>72</v>
      </c>
      <c r="G224" s="12">
        <v>215</v>
      </c>
      <c r="H224" s="11">
        <f>LOOKUP(G224,{0,175,180,185,190,195,200,204,208,212,216,220,224,228,232,236,240,248,255,260,265},{0,10,20,30,40,50,60,62,64,66,68,70,72,74,76,78,80,85,90,95,100})</f>
        <v>66</v>
      </c>
      <c r="I224" s="12">
        <v>3</v>
      </c>
      <c r="J224" s="11">
        <f>LOOKUP(I224,{0,3,4,5,6,7,8,9,10,11,12,13,14,15,16,17},{0,10,20,30,40,50,60,64,68,72,76,80,85,90,95,100})</f>
        <v>10</v>
      </c>
      <c r="K224" s="12"/>
      <c r="L224" s="12"/>
      <c r="M224" s="12">
        <f t="shared" si="125"/>
        <v>10</v>
      </c>
      <c r="N224" s="12">
        <v>7.1</v>
      </c>
      <c r="O224" s="12">
        <f t="shared" si="126"/>
        <v>4.9</v>
      </c>
      <c r="P224" s="11">
        <f>LOOKUP(O224,{0,1.6,1.8,2,2.2,2.4,2.6,2.8,3,3.2,3.4,3.6,3.8,4,4.2,4.4,4.6,4.7,4.8,4.9,5},{0,10,20,30,40,50,60,62,64,66,68,70,72,74,76,78,80,85,90,95,100})</f>
        <v>95</v>
      </c>
      <c r="Q224" s="12">
        <v>3.34</v>
      </c>
      <c r="R224" s="12">
        <f t="shared" si="127"/>
        <v>6.66</v>
      </c>
      <c r="S224" s="11">
        <f>LOOKUP(R224,{0,3.8,4,4.6,4.8,5,5.6,5.65,5.7,5.75,5.8,5.85,5.9,5.95,6,6.45,6.5,6.58,6.65,6.7,6.75},{0,10,20,30,40,50,60,62,64,66,68,70,72,74,76,78,80,85,90,95,100})</f>
        <v>90</v>
      </c>
      <c r="T224" s="12"/>
      <c r="U224" s="12"/>
      <c r="V224" s="12">
        <f t="shared" si="128"/>
        <v>90</v>
      </c>
      <c r="W224" s="12"/>
      <c r="X224" s="20">
        <f t="shared" si="112"/>
        <v>51.8</v>
      </c>
      <c r="Y224" s="20">
        <f t="shared" si="129"/>
        <v>74</v>
      </c>
    </row>
    <row r="225" ht="15.6" hidden="1" outlineLevel="2" spans="1:25">
      <c r="A225" s="12">
        <v>207</v>
      </c>
      <c r="B225" s="12">
        <v>33</v>
      </c>
      <c r="C225" s="6" t="s">
        <v>360</v>
      </c>
      <c r="D225" s="6" t="s">
        <v>11</v>
      </c>
      <c r="E225" s="12"/>
      <c r="F225" s="11"/>
      <c r="G225" s="12"/>
      <c r="H225" s="11"/>
      <c r="I225" s="12"/>
      <c r="J225" s="11"/>
      <c r="K225" s="12"/>
      <c r="L225" s="12"/>
      <c r="M225" s="12"/>
      <c r="N225" s="12"/>
      <c r="O225" s="12"/>
      <c r="P225" s="11"/>
      <c r="Q225" s="12"/>
      <c r="R225" s="12"/>
      <c r="S225" s="11"/>
      <c r="T225" s="12"/>
      <c r="U225" s="11"/>
      <c r="V225" s="12"/>
      <c r="W225" s="12" t="s">
        <v>14</v>
      </c>
      <c r="X225" s="20">
        <f t="shared" si="112"/>
        <v>0</v>
      </c>
      <c r="Y225" s="20">
        <v>50</v>
      </c>
    </row>
    <row r="226" s="1" customFormat="1" ht="15.6" hidden="1" outlineLevel="2" spans="1:25">
      <c r="A226" s="12">
        <v>207</v>
      </c>
      <c r="B226" s="12">
        <v>34</v>
      </c>
      <c r="C226" s="6" t="s">
        <v>361</v>
      </c>
      <c r="D226" s="6" t="s">
        <v>11</v>
      </c>
      <c r="E226" s="12">
        <v>5.5</v>
      </c>
      <c r="F226" s="11">
        <f>LOOKUP(E226,{0,-2.9,-1.9,-0.9,0.1,1.1,2.1,3.5,4.9,6.3,7.7,9.1,10.5,11.9,13.3,14.7,16.1,18.3,20.5,22.4,24.3},{0,10,20,30,40,50,60,62,64,66,68,70,72,74,76,78,80,85,90,95,100})</f>
        <v>64</v>
      </c>
      <c r="G226" s="12">
        <v>180</v>
      </c>
      <c r="H226" s="11">
        <f>LOOKUP(G226,{0,175,180,185,190,195,200,204,208,212,216,220,224,228,232,236,240,248,255,260,265},{0,10,20,30,40,50,60,62,64,66,68,70,72,74,76,78,80,85,90,95,100})</f>
        <v>20</v>
      </c>
      <c r="I226" s="12">
        <v>0</v>
      </c>
      <c r="J226" s="11">
        <f>LOOKUP(I226,{0,3,4,5,6,7,8,9,10,11,12,13,14,15,16,17},{0,10,20,30,40,50,60,64,68,72,76,80,85,90,95,100})</f>
        <v>0</v>
      </c>
      <c r="K226" s="12"/>
      <c r="L226" s="12"/>
      <c r="M226" s="12">
        <f t="shared" ref="M226:M228" si="130">J226+L226</f>
        <v>0</v>
      </c>
      <c r="N226" s="12">
        <v>8.5</v>
      </c>
      <c r="O226" s="12">
        <f t="shared" ref="O226:O228" si="131">12-N226</f>
        <v>3.5</v>
      </c>
      <c r="P226" s="11">
        <f>LOOKUP(O226,{0,1.6,1.8,2,2.2,2.4,2.6,2.8,3,3.2,3.4,3.6,3.8,4,4.2,4.4,4.6,4.7,4.8,4.9,5},{0,10,20,30,40,50,60,62,64,66,68,70,72,74,76,78,80,85,90,95,100})</f>
        <v>68</v>
      </c>
      <c r="Q226" s="12">
        <v>5.09</v>
      </c>
      <c r="R226" s="12">
        <f t="shared" ref="R226:R228" si="132">10-Q226</f>
        <v>4.91</v>
      </c>
      <c r="S226" s="11">
        <f>LOOKUP(R226,{0,3.8,4,4.6,4.8,5,5.6,5.65,5.7,5.75,5.8,5.85,5.9,5.95,6,6.45,6.5,6.58,6.65,6.7,6.75},{0,10,20,30,40,50,60,62,64,66,68,70,72,74,76,78,80,85,90,95,100})</f>
        <v>40</v>
      </c>
      <c r="T226" s="12"/>
      <c r="U226" s="12"/>
      <c r="V226" s="12">
        <f t="shared" ref="V226:V228" si="133">S226+U226</f>
        <v>40</v>
      </c>
      <c r="W226" s="12"/>
      <c r="X226" s="20">
        <f t="shared" si="112"/>
        <v>30</v>
      </c>
      <c r="Y226" s="20">
        <f t="shared" ref="Y226:Y228" si="134">X226/0.7+L226+U226</f>
        <v>42.8571428571429</v>
      </c>
    </row>
    <row r="227" ht="15.6" hidden="1" outlineLevel="2" spans="1:25">
      <c r="A227" s="12">
        <v>207</v>
      </c>
      <c r="B227" s="12">
        <v>35</v>
      </c>
      <c r="C227" s="6" t="s">
        <v>362</v>
      </c>
      <c r="D227" s="6" t="s">
        <v>11</v>
      </c>
      <c r="E227" s="12">
        <v>13.5</v>
      </c>
      <c r="F227" s="11">
        <f>LOOKUP(E227,{0,-2.9,-1.9,-0.9,0.1,1.1,2.1,3.5,4.9,6.3,7.7,9.1,10.5,11.9,13.3,14.7,16.1,18.3,20.5,22.4,24.3},{0,10,20,30,40,50,60,62,64,66,68,70,72,74,76,78,80,85,90,95,100})</f>
        <v>76</v>
      </c>
      <c r="G227" s="12">
        <v>251</v>
      </c>
      <c r="H227" s="11">
        <f>LOOKUP(G227,{0,175,180,185,190,195,200,204,208,212,216,220,224,228,232,236,240,248,255,260,265},{0,10,20,30,40,50,60,62,64,66,68,70,72,74,76,78,80,85,90,95,100})</f>
        <v>85</v>
      </c>
      <c r="I227" s="12">
        <v>17</v>
      </c>
      <c r="J227" s="11">
        <f>LOOKUP(I227,{0,3,4,5,6,7,8,9,10,11,12,13,14,15,16,17},{0,10,20,30,40,50,60,64,68,72,76,80,85,90,95,100})</f>
        <v>100</v>
      </c>
      <c r="K227" s="12">
        <f>I227-17</f>
        <v>0</v>
      </c>
      <c r="L227" s="11">
        <f>LOOKUP(K227,{0,1,2,3,4,5,6,7,8,9,10},{0,1,2,3,4,5,6,7,8,9,10})</f>
        <v>0</v>
      </c>
      <c r="M227" s="12">
        <f t="shared" si="130"/>
        <v>100</v>
      </c>
      <c r="N227" s="12">
        <v>7.6</v>
      </c>
      <c r="O227" s="12">
        <f t="shared" si="131"/>
        <v>4.4</v>
      </c>
      <c r="P227" s="11">
        <f>LOOKUP(O227,{0,1.6,1.8,2,2.2,2.4,2.6,2.8,3,3.2,3.4,3.6,3.8,4,4.2,4.4,4.6,4.7,4.8,4.9,5},{0,10,20,30,40,50,60,62,64,66,68,70,72,74,76,78,80,85,90,95,100})</f>
        <v>78</v>
      </c>
      <c r="Q227" s="12">
        <v>4.12</v>
      </c>
      <c r="R227" s="12">
        <f t="shared" si="132"/>
        <v>5.88</v>
      </c>
      <c r="S227" s="11">
        <f>LOOKUP(R227,{0,3.8,4,4.6,4.8,5,5.6,5.65,5.7,5.75,5.8,5.85,5.9,5.95,6,6.45,6.5,6.58,6.65,6.7,6.75},{0,10,20,30,40,50,60,62,64,66,68,70,72,74,76,78,80,85,90,95,100})</f>
        <v>70</v>
      </c>
      <c r="T227" s="12"/>
      <c r="U227" s="12"/>
      <c r="V227" s="12">
        <f t="shared" si="133"/>
        <v>70</v>
      </c>
      <c r="W227" s="12"/>
      <c r="X227" s="20">
        <f t="shared" si="112"/>
        <v>55.7</v>
      </c>
      <c r="Y227" s="20">
        <f t="shared" si="134"/>
        <v>79.5714285714286</v>
      </c>
    </row>
    <row r="228" ht="15.6" hidden="1" outlineLevel="2" spans="1:25">
      <c r="A228" s="12">
        <v>207</v>
      </c>
      <c r="B228" s="12">
        <v>36</v>
      </c>
      <c r="C228" s="6" t="s">
        <v>363</v>
      </c>
      <c r="D228" s="6" t="s">
        <v>11</v>
      </c>
      <c r="E228" s="12">
        <v>13</v>
      </c>
      <c r="F228" s="11">
        <f>LOOKUP(E228,{0,-2.9,-1.9,-0.9,0.1,1.1,2.1,3.5,4.9,6.3,7.7,9.1,10.5,11.9,13.3,14.7,16.1,18.3,20.5,22.4,24.3},{0,10,20,30,40,50,60,62,64,66,68,70,72,74,76,78,80,85,90,95,100})</f>
        <v>74</v>
      </c>
      <c r="G228" s="12">
        <v>239</v>
      </c>
      <c r="H228" s="11">
        <f>LOOKUP(G228,{0,175,180,185,190,195,200,204,208,212,216,220,224,228,232,236,240,248,255,260,265},{0,10,20,30,40,50,60,62,64,66,68,70,72,74,76,78,80,85,90,95,100})</f>
        <v>78</v>
      </c>
      <c r="I228" s="12">
        <v>11</v>
      </c>
      <c r="J228" s="11">
        <f>LOOKUP(I228,{0,3,4,5,6,7,8,9,10,11,12,13,14,15,16,17},{0,10,20,30,40,50,60,64,68,72,76,80,85,90,95,100})</f>
        <v>72</v>
      </c>
      <c r="K228" s="12"/>
      <c r="L228" s="15"/>
      <c r="M228" s="12">
        <f t="shared" si="130"/>
        <v>72</v>
      </c>
      <c r="N228" s="12">
        <v>7.5</v>
      </c>
      <c r="O228" s="12">
        <f t="shared" si="131"/>
        <v>4.5</v>
      </c>
      <c r="P228" s="11">
        <f>LOOKUP(O228,{0,1.6,1.8,2,2.2,2.4,2.6,2.8,3,3.2,3.4,3.6,3.8,4,4.2,4.4,4.6,4.7,4.8,4.9,5},{0,10,20,30,40,50,60,62,64,66,68,70,72,74,76,78,80,85,90,95,100})</f>
        <v>78</v>
      </c>
      <c r="Q228" s="12">
        <v>3.37</v>
      </c>
      <c r="R228" s="12">
        <f t="shared" si="132"/>
        <v>6.63</v>
      </c>
      <c r="S228" s="11">
        <f>LOOKUP(R228,{0,3.8,4,4.6,4.8,5,5.6,5.65,5.7,5.75,5.8,5.85,5.9,5.95,6,6.45,6.5,6.58,6.65,6.7,6.75},{0,10,20,30,40,50,60,62,64,66,68,70,72,74,76,78,80,85,90,95,100})</f>
        <v>85</v>
      </c>
      <c r="T228" s="12"/>
      <c r="U228" s="12"/>
      <c r="V228" s="12">
        <f t="shared" si="133"/>
        <v>85</v>
      </c>
      <c r="W228" s="12"/>
      <c r="X228" s="20">
        <f t="shared" si="112"/>
        <v>55</v>
      </c>
      <c r="Y228" s="20">
        <f t="shared" si="134"/>
        <v>78.5714285714286</v>
      </c>
    </row>
    <row r="229" ht="15.6" outlineLevel="1" collapsed="1" spans="1:25">
      <c r="A229" s="14" t="s">
        <v>861</v>
      </c>
      <c r="B229" s="12"/>
      <c r="C229" s="6"/>
      <c r="D229" s="6"/>
      <c r="E229" s="12"/>
      <c r="F229" s="11">
        <f>SUBTOTAL(1,F193:F228)</f>
        <v>75.8620689655172</v>
      </c>
      <c r="G229" s="12"/>
      <c r="H229" s="11">
        <f>SUBTOTAL(1,H193:H228)</f>
        <v>75</v>
      </c>
      <c r="I229" s="12"/>
      <c r="J229" s="11">
        <f>SUBTOTAL(1,J193:J228)</f>
        <v>68.0689655172414</v>
      </c>
      <c r="K229" s="12"/>
      <c r="L229" s="15"/>
      <c r="M229" s="12">
        <f>SUBTOTAL(1,M193:M228)</f>
        <v>69.3448275862069</v>
      </c>
      <c r="N229" s="12"/>
      <c r="O229" s="12"/>
      <c r="P229" s="11">
        <f>SUBTOTAL(1,P193:P228)</f>
        <v>88.1034482758621</v>
      </c>
      <c r="Q229" s="12"/>
      <c r="R229" s="12"/>
      <c r="S229" s="11">
        <f>SUBTOTAL(1,S193:S228)</f>
        <v>78.6896551724138</v>
      </c>
      <c r="T229" s="12"/>
      <c r="U229" s="12"/>
      <c r="V229" s="12">
        <f>SUBTOTAL(1,V193:V228)</f>
        <v>78.7241379310345</v>
      </c>
      <c r="W229" s="12"/>
      <c r="X229" s="20">
        <f>SUBTOTAL(1,X193:X228)</f>
        <v>44.5083333333333</v>
      </c>
      <c r="Y229" s="20">
        <f>SUBTOTAL(1,Y193:Y228)</f>
        <v>74.3611111111111</v>
      </c>
    </row>
    <row r="230" customFormat="1" ht="15.6" hidden="1" outlineLevel="2" spans="1:25">
      <c r="A230" s="12">
        <v>208</v>
      </c>
      <c r="B230" s="12">
        <v>1</v>
      </c>
      <c r="C230" s="13" t="s">
        <v>380</v>
      </c>
      <c r="D230" s="6" t="s">
        <v>11</v>
      </c>
      <c r="E230" s="12"/>
      <c r="F230" s="11"/>
      <c r="G230" s="12"/>
      <c r="H230" s="11"/>
      <c r="I230" s="12"/>
      <c r="J230" s="11"/>
      <c r="K230" s="12"/>
      <c r="L230" s="12"/>
      <c r="M230" s="12"/>
      <c r="N230" s="12"/>
      <c r="O230" s="12"/>
      <c r="P230" s="11"/>
      <c r="Q230" s="12"/>
      <c r="R230" s="12"/>
      <c r="S230" s="11"/>
      <c r="T230" s="12"/>
      <c r="U230" s="11"/>
      <c r="V230" s="12"/>
      <c r="W230" s="12"/>
      <c r="X230" s="20">
        <f t="shared" ref="X230:X265" si="135">F230*0.1+H230*0.1+J230*0.1+P230*0.2+S230*0.2</f>
        <v>0</v>
      </c>
      <c r="Y230" s="23">
        <v>50</v>
      </c>
    </row>
    <row r="231" customFormat="1" ht="15.6" hidden="1" outlineLevel="2" spans="1:25">
      <c r="A231" s="12">
        <v>208</v>
      </c>
      <c r="B231" s="12">
        <v>2</v>
      </c>
      <c r="C231" s="6" t="s">
        <v>381</v>
      </c>
      <c r="D231" s="6" t="s">
        <v>11</v>
      </c>
      <c r="E231" s="12">
        <v>24</v>
      </c>
      <c r="F231" s="11">
        <f>LOOKUP(E231,{0,-2.9,-1.9,-0.9,0.1,1.1,2.1,3.5,4.9,6.3,7.7,9.1,10.5,11.9,13.3,14.7,16.1,18.3,20.5,22.4,24.3},{0,10,20,30,40,50,60,62,64,66,68,70,72,74,76,78,80,85,90,95,100})</f>
        <v>95</v>
      </c>
      <c r="G231" s="12">
        <v>250</v>
      </c>
      <c r="H231" s="11">
        <f>LOOKUP(G231,{0,175,180,185,190,195,200,204,208,212,216,220,224,228,232,236,240,248,255,260,265},{0,10,20,30,40,50,60,62,64,66,68,70,72,74,76,78,80,85,90,95,100})</f>
        <v>85</v>
      </c>
      <c r="I231" s="12">
        <v>12</v>
      </c>
      <c r="J231" s="11">
        <f>LOOKUP(I231,{0,3,4,5,6,7,8,9,10,11,12,13,14,15,16,17},{0,10,20,30,40,50,60,64,68,72,76,80,85,90,95,100})</f>
        <v>76</v>
      </c>
      <c r="K231" s="12"/>
      <c r="L231" s="12"/>
      <c r="M231" s="12">
        <f t="shared" ref="M231:M234" si="136">J231+L231</f>
        <v>76</v>
      </c>
      <c r="N231" s="12">
        <v>7.1</v>
      </c>
      <c r="O231" s="12">
        <f t="shared" ref="O231:O234" si="137">12-N231</f>
        <v>4.9</v>
      </c>
      <c r="P231" s="11">
        <f>LOOKUP(O231,{0,1.6,1.8,2,2.2,2.4,2.6,2.8,3,3.2,3.4,3.6,3.8,4,4.2,4.4,4.6,4.7,4.8,4.9,5},{0,10,20,30,40,50,60,62,64,66,68,70,72,74,76,78,80,85,90,95,100})</f>
        <v>95</v>
      </c>
      <c r="Q231" s="12">
        <v>3.49</v>
      </c>
      <c r="R231" s="12">
        <f t="shared" ref="R231:R234" si="138">10-Q231</f>
        <v>6.51</v>
      </c>
      <c r="S231" s="11">
        <f>LOOKUP(R231,{0,3.8,4,4.6,4.8,5,5.6,5.65,5.7,5.75,5.8,5.85,5.9,5.95,6,6.45,6.5,6.58,6.65,6.7,6.75},{0,10,20,30,40,50,60,62,64,66,68,70,72,74,76,78,80,85,90,95,100})</f>
        <v>80</v>
      </c>
      <c r="T231" s="12"/>
      <c r="U231" s="12"/>
      <c r="V231" s="12">
        <f t="shared" ref="V231:V234" si="139">S231+U231</f>
        <v>80</v>
      </c>
      <c r="W231" s="12"/>
      <c r="X231" s="20">
        <f t="shared" si="135"/>
        <v>60.6</v>
      </c>
      <c r="Y231" s="20">
        <f t="shared" ref="Y231:Y234" si="140">X231/0.7+L231+U231</f>
        <v>86.5714285714286</v>
      </c>
    </row>
    <row r="232" customFormat="1" ht="15.6" hidden="1" outlineLevel="2" spans="1:25">
      <c r="A232" s="12">
        <v>208</v>
      </c>
      <c r="B232" s="12">
        <v>3</v>
      </c>
      <c r="C232" s="6" t="s">
        <v>382</v>
      </c>
      <c r="D232" s="6" t="s">
        <v>11</v>
      </c>
      <c r="E232" s="12">
        <v>14.5</v>
      </c>
      <c r="F232" s="11">
        <f>LOOKUP(E232,{0,-2.9,-1.9,-0.9,0.1,1.1,2.1,3.5,4.9,6.3,7.7,9.1,10.5,11.9,13.3,14.7,16.1,18.3,20.5,22.4,24.3},{0,10,20,30,40,50,60,62,64,66,68,70,72,74,76,78,80,85,90,95,100})</f>
        <v>76</v>
      </c>
      <c r="G232" s="12">
        <v>229</v>
      </c>
      <c r="H232" s="11">
        <f>LOOKUP(G232,{0,175,180,185,190,195,200,204,208,212,216,220,224,228,232,236,240,248,255,260,265},{0,10,20,30,40,50,60,62,64,66,68,70,72,74,76,78,80,85,90,95,100})</f>
        <v>74</v>
      </c>
      <c r="I232" s="12">
        <v>14</v>
      </c>
      <c r="J232" s="11">
        <f>LOOKUP(I232,{0,3,4,5,6,7,8,9,10,11,12,13,14,15,16,17},{0,10,20,30,40,50,60,64,68,72,76,80,85,90,95,100})</f>
        <v>85</v>
      </c>
      <c r="K232" s="12"/>
      <c r="L232" s="12"/>
      <c r="M232" s="12">
        <f t="shared" si="136"/>
        <v>85</v>
      </c>
      <c r="N232" s="12">
        <v>7.5</v>
      </c>
      <c r="O232" s="12">
        <f t="shared" si="137"/>
        <v>4.5</v>
      </c>
      <c r="P232" s="11">
        <f>LOOKUP(O232,{0,1.6,1.8,2,2.2,2.4,2.6,2.8,3,3.2,3.4,3.6,3.8,4,4.2,4.4,4.6,4.7,4.8,4.9,5},{0,10,20,30,40,50,60,62,64,66,68,70,72,74,76,78,80,85,90,95,100})</f>
        <v>78</v>
      </c>
      <c r="Q232" s="12">
        <v>3.46</v>
      </c>
      <c r="R232" s="12">
        <f t="shared" si="138"/>
        <v>6.54</v>
      </c>
      <c r="S232" s="11">
        <f>LOOKUP(R232,{0,3.8,4,4.6,4.8,5,5.6,5.65,5.7,5.75,5.8,5.85,5.9,5.95,6,6.45,6.5,6.58,6.65,6.7,6.75},{0,10,20,30,40,50,60,62,64,66,68,70,72,74,76,78,80,85,90,95,100})</f>
        <v>80</v>
      </c>
      <c r="T232" s="12"/>
      <c r="U232" s="12"/>
      <c r="V232" s="12">
        <f t="shared" si="139"/>
        <v>80</v>
      </c>
      <c r="W232" s="12"/>
      <c r="X232" s="20">
        <f t="shared" si="135"/>
        <v>55.1</v>
      </c>
      <c r="Y232" s="20">
        <f t="shared" si="140"/>
        <v>78.7142857142857</v>
      </c>
    </row>
    <row r="233" customFormat="1" ht="15.6" hidden="1" outlineLevel="2" spans="1:25">
      <c r="A233" s="12">
        <v>208</v>
      </c>
      <c r="B233" s="12">
        <v>4</v>
      </c>
      <c r="C233" s="6" t="s">
        <v>383</v>
      </c>
      <c r="D233" s="6" t="s">
        <v>11</v>
      </c>
      <c r="E233" s="12">
        <v>13</v>
      </c>
      <c r="F233" s="11">
        <f>LOOKUP(E233,{0,-2.9,-1.9,-0.9,0.1,1.1,2.1,3.5,4.9,6.3,7.7,9.1,10.5,11.9,13.3,14.7,16.1,18.3,20.5,22.4,24.3},{0,10,20,30,40,50,60,62,64,66,68,70,72,74,76,78,80,85,90,95,100})</f>
        <v>74</v>
      </c>
      <c r="G233" s="12">
        <v>281</v>
      </c>
      <c r="H233" s="11">
        <f>LOOKUP(G233,{0,175,180,185,190,195,200,204,208,212,216,220,224,228,232,236,240,248,255,260,265},{0,10,20,30,40,50,60,62,64,66,68,70,72,74,76,78,80,85,90,95,100})</f>
        <v>100</v>
      </c>
      <c r="I233" s="12">
        <v>15</v>
      </c>
      <c r="J233" s="11">
        <f>LOOKUP(I233,{0,3,4,5,6,7,8,9,10,11,12,13,14,15,16,17},{0,10,20,30,40,50,60,64,68,72,76,80,85,90,95,100})</f>
        <v>90</v>
      </c>
      <c r="K233" s="12"/>
      <c r="L233" s="12"/>
      <c r="M233" s="12">
        <f t="shared" si="136"/>
        <v>90</v>
      </c>
      <c r="N233" s="12">
        <v>6.8</v>
      </c>
      <c r="O233" s="12">
        <f t="shared" si="137"/>
        <v>5.2</v>
      </c>
      <c r="P233" s="11">
        <f>LOOKUP(O233,{0,1.6,1.8,2,2.2,2.4,2.6,2.8,3,3.2,3.4,3.6,3.8,4,4.2,4.4,4.6,4.7,4.8,4.9,5},{0,10,20,30,40,50,60,62,64,66,68,70,72,74,76,78,80,85,90,95,100})</f>
        <v>100</v>
      </c>
      <c r="Q233" s="12">
        <v>3.48</v>
      </c>
      <c r="R233" s="12">
        <f t="shared" si="138"/>
        <v>6.52</v>
      </c>
      <c r="S233" s="11">
        <f>LOOKUP(R233,{0,3.8,4,4.6,4.8,5,5.6,5.65,5.7,5.75,5.8,5.85,5.9,5.95,6,6.45,6.5,6.58,6.65,6.7,6.75},{0,10,20,30,40,50,60,62,64,66,68,70,72,74,76,78,80,85,90,95,100})</f>
        <v>80</v>
      </c>
      <c r="T233" s="12"/>
      <c r="U233" s="12"/>
      <c r="V233" s="12">
        <f t="shared" si="139"/>
        <v>80</v>
      </c>
      <c r="W233" s="12"/>
      <c r="X233" s="20">
        <f t="shared" si="135"/>
        <v>62.4</v>
      </c>
      <c r="Y233" s="20">
        <f t="shared" si="140"/>
        <v>89.1428571428572</v>
      </c>
    </row>
    <row r="234" customFormat="1" ht="15.6" hidden="1" outlineLevel="2" spans="1:25">
      <c r="A234" s="12">
        <v>208</v>
      </c>
      <c r="B234" s="12">
        <v>5</v>
      </c>
      <c r="C234" s="6" t="s">
        <v>384</v>
      </c>
      <c r="D234" s="6" t="s">
        <v>11</v>
      </c>
      <c r="E234" s="12">
        <v>15</v>
      </c>
      <c r="F234" s="11">
        <f>LOOKUP(E234,{0,-2.9,-1.9,-0.9,0.1,1.1,2.1,3.5,4.9,6.3,7.7,9.1,10.5,11.9,13.3,14.7,16.1,18.3,20.5,22.4,24.3},{0,10,20,30,40,50,60,62,64,66,68,70,72,74,76,78,80,85,90,95,100})</f>
        <v>78</v>
      </c>
      <c r="G234" s="12">
        <v>240</v>
      </c>
      <c r="H234" s="11">
        <f>LOOKUP(G234,{0,175,180,185,190,195,200,204,208,212,216,220,224,228,232,236,240,248,255,260,265},{0,10,20,30,40,50,60,62,64,66,68,70,72,74,76,78,80,85,90,95,100})</f>
        <v>80</v>
      </c>
      <c r="I234" s="12">
        <v>0</v>
      </c>
      <c r="J234" s="11">
        <f>LOOKUP(I234,{0,3,4,5,6,7,8,9,10,11,12,13,14,15,16,17},{0,10,20,30,40,50,60,64,68,72,76,80,85,90,95,100})</f>
        <v>0</v>
      </c>
      <c r="K234" s="12"/>
      <c r="L234" s="15"/>
      <c r="M234" s="12">
        <f t="shared" si="136"/>
        <v>0</v>
      </c>
      <c r="N234" s="12">
        <v>7.2</v>
      </c>
      <c r="O234" s="12">
        <f t="shared" si="137"/>
        <v>4.8</v>
      </c>
      <c r="P234" s="11">
        <f>LOOKUP(O234,{0,1.6,1.8,2,2.2,2.4,2.6,2.8,3,3.2,3.4,3.6,3.8,4,4.2,4.4,4.6,4.7,4.8,4.9,5},{0,10,20,30,40,50,60,62,64,66,68,70,72,74,76,78,80,85,90,95,100})</f>
        <v>90</v>
      </c>
      <c r="Q234" s="12">
        <v>3.54</v>
      </c>
      <c r="R234" s="12">
        <f t="shared" si="138"/>
        <v>6.46</v>
      </c>
      <c r="S234" s="11">
        <f>LOOKUP(R234,{0,3.8,4,4.6,4.8,5,5.6,5.65,5.7,5.75,5.8,5.85,5.9,5.95,6,6.45,6.5,6.58,6.65,6.7,6.75},{0,10,20,30,40,50,60,62,64,66,68,70,72,74,76,78,80,85,90,95,100})</f>
        <v>78</v>
      </c>
      <c r="T234" s="12"/>
      <c r="U234" s="12"/>
      <c r="V234" s="12">
        <f t="shared" si="139"/>
        <v>78</v>
      </c>
      <c r="W234" s="12"/>
      <c r="X234" s="20">
        <f t="shared" si="135"/>
        <v>49.4</v>
      </c>
      <c r="Y234" s="20">
        <f t="shared" si="140"/>
        <v>70.5714285714286</v>
      </c>
    </row>
    <row r="235" s="1" customFormat="1" ht="15.6" hidden="1" outlineLevel="2" spans="1:25">
      <c r="A235" s="12">
        <v>208</v>
      </c>
      <c r="B235" s="12">
        <v>6</v>
      </c>
      <c r="C235" s="6" t="s">
        <v>385</v>
      </c>
      <c r="D235" s="6" t="s">
        <v>11</v>
      </c>
      <c r="E235" s="12"/>
      <c r="F235" s="11"/>
      <c r="G235" s="12"/>
      <c r="H235" s="11"/>
      <c r="I235" s="12"/>
      <c r="J235" s="11"/>
      <c r="K235" s="12"/>
      <c r="L235" s="15"/>
      <c r="M235" s="12"/>
      <c r="N235" s="12"/>
      <c r="O235" s="12"/>
      <c r="P235" s="11"/>
      <c r="Q235" s="12"/>
      <c r="R235" s="12"/>
      <c r="S235" s="11"/>
      <c r="T235" s="12"/>
      <c r="U235" s="11"/>
      <c r="V235" s="12"/>
      <c r="W235" s="12" t="s">
        <v>14</v>
      </c>
      <c r="X235" s="20">
        <f t="shared" si="135"/>
        <v>0</v>
      </c>
      <c r="Y235" s="20">
        <v>50</v>
      </c>
    </row>
    <row r="236" ht="15.6" hidden="1" outlineLevel="2" spans="1:25">
      <c r="A236" s="12">
        <v>208</v>
      </c>
      <c r="B236" s="12">
        <v>7</v>
      </c>
      <c r="C236" s="6" t="s">
        <v>386</v>
      </c>
      <c r="D236" s="6" t="s">
        <v>11</v>
      </c>
      <c r="E236" s="12">
        <v>26.5</v>
      </c>
      <c r="F236" s="11">
        <f>LOOKUP(E236,{0,-2.9,-1.9,-0.9,0.1,1.1,2.1,3.5,4.9,6.3,7.7,9.1,10.5,11.9,13.3,14.7,16.1,18.3,20.5,22.4,24.3},{0,10,20,30,40,50,60,62,64,66,68,70,72,74,76,78,80,85,90,95,100})</f>
        <v>100</v>
      </c>
      <c r="G236" s="12">
        <v>265</v>
      </c>
      <c r="H236" s="11">
        <f>LOOKUP(G236,{0,175,180,185,190,195,200,204,208,212,216,220,224,228,232,236,240,248,255,260,265},{0,10,20,30,40,50,60,62,64,66,68,70,72,74,76,78,80,85,90,95,100})</f>
        <v>100</v>
      </c>
      <c r="I236" s="12">
        <v>27</v>
      </c>
      <c r="J236" s="11">
        <f>LOOKUP(I236,{0,3,4,5,6,7,8,9,10,11,12,13,14,15,16,17},{0,10,20,30,40,50,60,64,68,72,76,80,85,90,95,100})</f>
        <v>100</v>
      </c>
      <c r="K236" s="12">
        <f>I236-17</f>
        <v>10</v>
      </c>
      <c r="L236" s="11">
        <f>LOOKUP(K236,{0,1,2,3,4,5,6,7,8,9,10},{0,1,2,3,4,5,6,7,8,9,10})</f>
        <v>10</v>
      </c>
      <c r="M236" s="12">
        <f t="shared" ref="M236:M243" si="141">J236+L236</f>
        <v>110</v>
      </c>
      <c r="N236" s="12">
        <v>7.3</v>
      </c>
      <c r="O236" s="12">
        <f t="shared" ref="O236:O241" si="142">12-N236</f>
        <v>4.7</v>
      </c>
      <c r="P236" s="11">
        <f>LOOKUP(O236,{0,1.6,1.8,2,2.2,2.4,2.6,2.8,3,3.2,3.4,3.6,3.8,4,4.2,4.4,4.6,4.7,4.8,4.9,5},{0,10,20,30,40,50,60,62,64,66,68,70,72,74,76,78,80,85,90,95,100})</f>
        <v>85</v>
      </c>
      <c r="Q236" s="12">
        <v>4.1</v>
      </c>
      <c r="R236" s="12">
        <f t="shared" ref="R236:R243" si="143">10-Q236</f>
        <v>5.9</v>
      </c>
      <c r="S236" s="11">
        <f>LOOKUP(R236,{0,3.8,4,4.6,4.8,5,5.6,5.65,5.7,5.75,5.8,5.85,5.9,5.95,6,6.45,6.5,6.58,6.65,6.7,6.75},{0,10,20,30,40,50,60,62,64,66,68,70,72,74,76,78,80,85,90,95,100})</f>
        <v>72</v>
      </c>
      <c r="T236" s="12"/>
      <c r="U236" s="12"/>
      <c r="V236" s="12">
        <f t="shared" ref="V236:V243" si="144">S236+U236</f>
        <v>72</v>
      </c>
      <c r="W236" s="12"/>
      <c r="X236" s="20">
        <f t="shared" si="135"/>
        <v>61.4</v>
      </c>
      <c r="Y236" s="20">
        <f t="shared" ref="Y236:Y241" si="145">X236/0.7+L236+U236</f>
        <v>97.7142857142857</v>
      </c>
    </row>
    <row r="237" ht="15.6" hidden="1" outlineLevel="2" spans="1:25">
      <c r="A237" s="12">
        <v>208</v>
      </c>
      <c r="B237" s="12">
        <v>8</v>
      </c>
      <c r="C237" s="6" t="s">
        <v>387</v>
      </c>
      <c r="D237" s="6" t="s">
        <v>11</v>
      </c>
      <c r="E237" s="12">
        <v>2</v>
      </c>
      <c r="F237" s="11">
        <f>LOOKUP(E237,{0,-2.9,-1.9,-0.9,0.1,1.1,2.1,3.5,4.9,6.3,7.7,9.1,10.5,11.9,13.3,14.7,16.1,18.3,20.5,22.4,24.3},{0,10,20,30,40,50,60,62,64,66,68,70,72,74,76,78,80,85,90,95,100})</f>
        <v>50</v>
      </c>
      <c r="G237" s="12">
        <v>235</v>
      </c>
      <c r="H237" s="11">
        <f>LOOKUP(G237,{0,175,180,185,190,195,200,204,208,212,216,220,224,228,232,236,240,248,255,260,265},{0,10,20,30,40,50,60,62,64,66,68,70,72,74,76,78,80,85,90,95,100})</f>
        <v>76</v>
      </c>
      <c r="I237" s="12">
        <v>4</v>
      </c>
      <c r="J237" s="11">
        <f>LOOKUP(I237,{0,3,4,5,6,7,8,9,10,11,12,13,14,15,16,17},{0,10,20,30,40,50,60,64,68,72,76,80,85,90,95,100})</f>
        <v>20</v>
      </c>
      <c r="K237" s="12"/>
      <c r="L237" s="12"/>
      <c r="M237" s="12">
        <f t="shared" si="141"/>
        <v>20</v>
      </c>
      <c r="N237" s="12">
        <v>8.3</v>
      </c>
      <c r="O237" s="12">
        <f t="shared" si="142"/>
        <v>3.7</v>
      </c>
      <c r="P237" s="11">
        <f>LOOKUP(O237,{0,1.6,1.8,2,2.2,2.4,2.6,2.8,3,3.2,3.4,3.6,3.8,4,4.2,4.4,4.6,4.7,4.8,4.9,5},{0,10,20,30,40,50,60,62,64,66,68,70,72,74,76,78,80,85,90,95,100})</f>
        <v>70</v>
      </c>
      <c r="Q237" s="12">
        <v>4.41</v>
      </c>
      <c r="R237" s="12">
        <f t="shared" si="143"/>
        <v>5.59</v>
      </c>
      <c r="S237" s="11">
        <f>LOOKUP(R237,{0,3.8,4,4.6,4.8,5,5.6,5.65,5.7,5.75,5.8,5.85,5.9,5.95,6,6.45,6.5,6.58,6.65,6.7,6.75},{0,10,20,30,40,50,60,62,64,66,68,70,72,74,76,78,80,85,90,95,100})</f>
        <v>50</v>
      </c>
      <c r="T237" s="12"/>
      <c r="U237" s="12"/>
      <c r="V237" s="12">
        <f t="shared" si="144"/>
        <v>50</v>
      </c>
      <c r="W237" s="12"/>
      <c r="X237" s="20">
        <f t="shared" si="135"/>
        <v>38.6</v>
      </c>
      <c r="Y237" s="20">
        <f t="shared" si="145"/>
        <v>55.1428571428571</v>
      </c>
    </row>
    <row r="238" ht="15.6" hidden="1" outlineLevel="2" spans="1:25">
      <c r="A238" s="12">
        <v>208</v>
      </c>
      <c r="B238" s="12">
        <v>9</v>
      </c>
      <c r="C238" s="6" t="s">
        <v>388</v>
      </c>
      <c r="D238" s="6" t="s">
        <v>11</v>
      </c>
      <c r="E238" s="12">
        <v>11</v>
      </c>
      <c r="F238" s="11">
        <f>LOOKUP(E238,{0,-2.9,-1.9,-0.9,0.1,1.1,2.1,3.5,4.9,6.3,7.7,9.1,10.5,11.9,13.3,14.7,16.1,18.3,20.5,22.4,24.3},{0,10,20,30,40,50,60,62,64,66,68,70,72,74,76,78,80,85,90,95,100})</f>
        <v>72</v>
      </c>
      <c r="G238" s="12">
        <v>213</v>
      </c>
      <c r="H238" s="11">
        <f>LOOKUP(G238,{0,175,180,185,190,195,200,204,208,212,216,220,224,228,232,236,240,248,255,260,265},{0,10,20,30,40,50,60,62,64,66,68,70,72,74,76,78,80,85,90,95,100})</f>
        <v>66</v>
      </c>
      <c r="I238" s="12">
        <v>9</v>
      </c>
      <c r="J238" s="11">
        <f>LOOKUP(I238,{0,3,4,5,6,7,8,9,10,11,12,13,14,15,16,17},{0,10,20,30,40,50,60,64,68,72,76,80,85,90,95,100})</f>
        <v>64</v>
      </c>
      <c r="K238" s="12"/>
      <c r="L238" s="15"/>
      <c r="M238" s="12">
        <f t="shared" si="141"/>
        <v>64</v>
      </c>
      <c r="N238" s="12">
        <v>7.8</v>
      </c>
      <c r="O238" s="12">
        <f t="shared" si="142"/>
        <v>4.2</v>
      </c>
      <c r="P238" s="11">
        <f>LOOKUP(O238,{0,1.6,1.8,2,2.2,2.4,2.6,2.8,3,3.2,3.4,3.6,3.8,4,4.2,4.4,4.6,4.7,4.8,4.9,5},{0,10,20,30,40,50,60,62,64,66,68,70,72,74,76,78,80,85,90,95,100})</f>
        <v>76</v>
      </c>
      <c r="Q238" s="12">
        <v>3.54</v>
      </c>
      <c r="R238" s="12">
        <f t="shared" si="143"/>
        <v>6.46</v>
      </c>
      <c r="S238" s="11">
        <f>LOOKUP(R238,{0,3.8,4,4.6,4.8,5,5.6,5.65,5.7,5.75,5.8,5.85,5.9,5.95,6,6.45,6.5,6.58,6.65,6.7,6.75},{0,10,20,30,40,50,60,62,64,66,68,70,72,74,76,78,80,85,90,95,100})</f>
        <v>78</v>
      </c>
      <c r="T238" s="12"/>
      <c r="U238" s="12"/>
      <c r="V238" s="12">
        <f t="shared" si="144"/>
        <v>78</v>
      </c>
      <c r="W238" s="12"/>
      <c r="X238" s="20">
        <f t="shared" si="135"/>
        <v>51</v>
      </c>
      <c r="Y238" s="20">
        <f t="shared" si="145"/>
        <v>72.8571428571429</v>
      </c>
    </row>
    <row r="239" ht="15.6" hidden="1" outlineLevel="2" spans="1:25">
      <c r="A239" s="12">
        <v>208</v>
      </c>
      <c r="B239" s="12">
        <v>10</v>
      </c>
      <c r="C239" s="6" t="s">
        <v>389</v>
      </c>
      <c r="D239" s="6" t="s">
        <v>11</v>
      </c>
      <c r="E239" s="12">
        <v>19.5</v>
      </c>
      <c r="F239" s="11">
        <f>LOOKUP(E239,{0,-2.9,-1.9,-0.9,0.1,1.1,2.1,3.5,4.9,6.3,7.7,9.1,10.5,11.9,13.3,14.7,16.1,18.3,20.5,22.4,24.3},{0,10,20,30,40,50,60,62,64,66,68,70,72,74,76,78,80,85,90,95,100})</f>
        <v>85</v>
      </c>
      <c r="G239" s="12">
        <v>228</v>
      </c>
      <c r="H239" s="11">
        <f>LOOKUP(G239,{0,175,180,185,190,195,200,204,208,212,216,220,224,228,232,236,240,248,255,260,265},{0,10,20,30,40,50,60,62,64,66,68,70,72,74,76,78,80,85,90,95,100})</f>
        <v>74</v>
      </c>
      <c r="I239" s="12">
        <v>13</v>
      </c>
      <c r="J239" s="11">
        <f>LOOKUP(I239,{0,3,4,5,6,7,8,9,10,11,12,13,14,15,16,17},{0,10,20,30,40,50,60,64,68,72,76,80,85,90,95,100})</f>
        <v>80</v>
      </c>
      <c r="K239" s="12"/>
      <c r="L239" s="12"/>
      <c r="M239" s="12">
        <f t="shared" si="141"/>
        <v>80</v>
      </c>
      <c r="N239" s="12">
        <v>7.2</v>
      </c>
      <c r="O239" s="12">
        <f t="shared" si="142"/>
        <v>4.8</v>
      </c>
      <c r="P239" s="11">
        <f>LOOKUP(O239,{0,1.6,1.8,2,2.2,2.4,2.6,2.8,3,3.2,3.4,3.6,3.8,4,4.2,4.4,4.6,4.7,4.8,4.9,5},{0,10,20,30,40,50,60,62,64,66,68,70,72,74,76,78,80,85,90,95,100})</f>
        <v>90</v>
      </c>
      <c r="Q239" s="12">
        <v>3.4</v>
      </c>
      <c r="R239" s="12">
        <f t="shared" si="143"/>
        <v>6.6</v>
      </c>
      <c r="S239" s="11">
        <f>LOOKUP(R239,{0,3.8,4,4.6,4.8,5,5.6,5.65,5.7,5.75,5.8,5.85,5.9,5.95,6,6.45,6.5,6.58,6.65,6.7,6.75},{0,10,20,30,40,50,60,62,64,66,68,70,72,74,76,78,80,85,90,95,100})</f>
        <v>85</v>
      </c>
      <c r="T239" s="12"/>
      <c r="U239" s="12"/>
      <c r="V239" s="12">
        <f t="shared" si="144"/>
        <v>85</v>
      </c>
      <c r="W239" s="12"/>
      <c r="X239" s="20">
        <f t="shared" si="135"/>
        <v>58.9</v>
      </c>
      <c r="Y239" s="20">
        <f t="shared" si="145"/>
        <v>84.1428571428572</v>
      </c>
    </row>
    <row r="240" ht="15.6" hidden="1" outlineLevel="2" spans="1:25">
      <c r="A240" s="12">
        <v>208</v>
      </c>
      <c r="B240" s="12">
        <v>11</v>
      </c>
      <c r="C240" s="6" t="s">
        <v>390</v>
      </c>
      <c r="D240" s="6" t="s">
        <v>11</v>
      </c>
      <c r="E240" s="12">
        <v>23</v>
      </c>
      <c r="F240" s="11">
        <f>LOOKUP(E240,{0,-2.9,-1.9,-0.9,0.1,1.1,2.1,3.5,4.9,6.3,7.7,9.1,10.5,11.9,13.3,14.7,16.1,18.3,20.5,22.4,24.3},{0,10,20,30,40,50,60,62,64,66,68,70,72,74,76,78,80,85,90,95,100})</f>
        <v>95</v>
      </c>
      <c r="G240" s="12">
        <v>241</v>
      </c>
      <c r="H240" s="11">
        <f>LOOKUP(G240,{0,175,180,185,190,195,200,204,208,212,216,220,224,228,232,236,240,248,255,260,265},{0,10,20,30,40,50,60,62,64,66,68,70,72,74,76,78,80,85,90,95,100})</f>
        <v>80</v>
      </c>
      <c r="I240" s="12">
        <v>12</v>
      </c>
      <c r="J240" s="11">
        <f>LOOKUP(I240,{0,3,4,5,6,7,8,9,10,11,12,13,14,15,16,17},{0,10,20,30,40,50,60,64,68,72,76,80,85,90,95,100})</f>
        <v>76</v>
      </c>
      <c r="K240" s="12"/>
      <c r="L240" s="15"/>
      <c r="M240" s="12">
        <f t="shared" si="141"/>
        <v>76</v>
      </c>
      <c r="N240" s="12">
        <v>7.5</v>
      </c>
      <c r="O240" s="12">
        <f t="shared" si="142"/>
        <v>4.5</v>
      </c>
      <c r="P240" s="11">
        <f>LOOKUP(O240,{0,1.6,1.8,2,2.2,2.4,2.6,2.8,3,3.2,3.4,3.6,3.8,4,4.2,4.4,4.6,4.7,4.8,4.9,5},{0,10,20,30,40,50,60,62,64,66,68,70,72,74,76,78,80,85,90,95,100})</f>
        <v>78</v>
      </c>
      <c r="Q240" s="12">
        <v>3.36</v>
      </c>
      <c r="R240" s="12">
        <f t="shared" si="143"/>
        <v>6.64</v>
      </c>
      <c r="S240" s="11">
        <f>LOOKUP(R240,{0,3.8,4,4.6,4.8,5,5.6,5.65,5.7,5.75,5.8,5.85,5.9,5.95,6,6.45,6.5,6.58,6.65,6.7,6.75},{0,10,20,30,40,50,60,62,64,66,68,70,72,74,76,78,80,85,90,95,100})</f>
        <v>85</v>
      </c>
      <c r="T240" s="12"/>
      <c r="U240" s="12"/>
      <c r="V240" s="12">
        <f t="shared" si="144"/>
        <v>85</v>
      </c>
      <c r="W240" s="12"/>
      <c r="X240" s="20">
        <f t="shared" si="135"/>
        <v>57.7</v>
      </c>
      <c r="Y240" s="20">
        <f t="shared" si="145"/>
        <v>82.4285714285714</v>
      </c>
    </row>
    <row r="241" ht="15.6" hidden="1" outlineLevel="2" spans="1:25">
      <c r="A241" s="12">
        <v>208</v>
      </c>
      <c r="B241" s="12">
        <v>12</v>
      </c>
      <c r="C241" s="6" t="s">
        <v>391</v>
      </c>
      <c r="D241" s="6" t="s">
        <v>11</v>
      </c>
      <c r="E241" s="12">
        <v>18</v>
      </c>
      <c r="F241" s="11">
        <f>LOOKUP(E241,{0,-2.9,-1.9,-0.9,0.1,1.1,2.1,3.5,4.9,6.3,7.7,9.1,10.5,11.9,13.3,14.7,16.1,18.3,20.5,22.4,24.3},{0,10,20,30,40,50,60,62,64,66,68,70,72,74,76,78,80,85,90,95,100})</f>
        <v>80</v>
      </c>
      <c r="G241" s="12">
        <v>235</v>
      </c>
      <c r="H241" s="11">
        <f>LOOKUP(G241,{0,175,180,185,190,195,200,204,208,212,216,220,224,228,232,236,240,248,255,260,265},{0,10,20,30,40,50,60,62,64,66,68,70,72,74,76,78,80,85,90,95,100})</f>
        <v>76</v>
      </c>
      <c r="I241" s="12">
        <v>16</v>
      </c>
      <c r="J241" s="11">
        <f>LOOKUP(I241,{0,3,4,5,6,7,8,9,10,11,12,13,14,15,16,17},{0,10,20,30,40,50,60,64,68,72,76,80,85,90,95,100})</f>
        <v>95</v>
      </c>
      <c r="K241" s="12"/>
      <c r="L241" s="12"/>
      <c r="M241" s="12">
        <f t="shared" si="141"/>
        <v>95</v>
      </c>
      <c r="N241" s="12">
        <v>7.5</v>
      </c>
      <c r="O241" s="12">
        <f t="shared" si="142"/>
        <v>4.5</v>
      </c>
      <c r="P241" s="11">
        <f>LOOKUP(O241,{0,1.6,1.8,2,2.2,2.4,2.6,2.8,3,3.2,3.4,3.6,3.8,4,4.2,4.4,4.6,4.7,4.8,4.9,5},{0,10,20,30,40,50,60,62,64,66,68,70,72,74,76,78,80,85,90,95,100})</f>
        <v>78</v>
      </c>
      <c r="Q241" s="12">
        <v>4.07</v>
      </c>
      <c r="R241" s="12">
        <f t="shared" si="143"/>
        <v>5.93</v>
      </c>
      <c r="S241" s="11">
        <f>LOOKUP(R241,{0,3.8,4,4.6,4.8,5,5.6,5.65,5.7,5.75,5.8,5.85,5.9,5.95,6,6.45,6.5,6.58,6.65,6.7,6.75},{0,10,20,30,40,50,60,62,64,66,68,70,72,74,76,78,80,85,90,95,100})</f>
        <v>72</v>
      </c>
      <c r="T241" s="12"/>
      <c r="U241" s="12"/>
      <c r="V241" s="12">
        <f t="shared" si="144"/>
        <v>72</v>
      </c>
      <c r="W241" s="12"/>
      <c r="X241" s="20">
        <f t="shared" si="135"/>
        <v>55.1</v>
      </c>
      <c r="Y241" s="20">
        <f t="shared" si="145"/>
        <v>78.7142857142857</v>
      </c>
    </row>
    <row r="242" ht="15.6" hidden="1" outlineLevel="2" spans="1:25">
      <c r="A242" s="12">
        <v>208</v>
      </c>
      <c r="B242" s="12">
        <v>13</v>
      </c>
      <c r="C242" s="13" t="s">
        <v>393</v>
      </c>
      <c r="D242" s="6" t="s">
        <v>11</v>
      </c>
      <c r="E242" s="12">
        <v>7.9</v>
      </c>
      <c r="F242" s="11">
        <f>LOOKUP(E242,{0,-2.9,-1.9,-0.9,0.1,1.1,2.1,3.5,4.9,6.3,7.7,9.1,10.5,11.9,13.3,14.7,16.1,18.3,20.5,22.4,24.3},{0,10,20,30,40,50,60,62,64,66,68,70,72,74,76,78,80,85,90,95,100})</f>
        <v>68</v>
      </c>
      <c r="G242" s="12">
        <v>201</v>
      </c>
      <c r="H242" s="11">
        <f>LOOKUP(G242,{0,175,180,185,190,195,200,204,208,212,216,220,224,228,232,236,240,248,255,260,265},{0,10,20,30,40,50,60,62,64,66,68,70,72,74,76,78,80,85,90,95,100})</f>
        <v>60</v>
      </c>
      <c r="I242" s="12">
        <v>1</v>
      </c>
      <c r="J242" s="11">
        <f>LOOKUP(I242,{0,3,4,5,6,7,8,9,10,11,12,13,14,15,16,17},{0,10,20,30,40,50,60,64,68,72,76,80,85,90,95,100})</f>
        <v>0</v>
      </c>
      <c r="K242" s="12"/>
      <c r="L242" s="12"/>
      <c r="M242" s="12">
        <f t="shared" si="141"/>
        <v>0</v>
      </c>
      <c r="N242" s="12"/>
      <c r="O242" s="12"/>
      <c r="P242" s="11"/>
      <c r="Q242" s="12">
        <v>4.13</v>
      </c>
      <c r="R242" s="12">
        <f t="shared" si="143"/>
        <v>5.87</v>
      </c>
      <c r="S242" s="11">
        <f>LOOKUP(R242,{0,3.8,4,4.6,4.8,5,5.6,5.65,5.7,5.75,5.8,5.85,5.9,5.95,6,6.45,6.5,6.58,6.65,6.7,6.75},{0,10,20,30,40,50,60,62,64,66,68,70,72,74,76,78,80,85,90,95,100})</f>
        <v>70</v>
      </c>
      <c r="T242" s="12"/>
      <c r="U242" s="12"/>
      <c r="V242" s="12">
        <f t="shared" si="144"/>
        <v>70</v>
      </c>
      <c r="W242" s="12"/>
      <c r="X242" s="20">
        <f t="shared" si="135"/>
        <v>26.8</v>
      </c>
      <c r="Y242" s="23">
        <v>50</v>
      </c>
    </row>
    <row r="243" ht="15.6" hidden="1" outlineLevel="2" spans="1:25">
      <c r="A243" s="12">
        <v>208</v>
      </c>
      <c r="B243" s="12">
        <v>14</v>
      </c>
      <c r="C243" s="6" t="s">
        <v>394</v>
      </c>
      <c r="D243" s="6" t="s">
        <v>11</v>
      </c>
      <c r="E243" s="12">
        <v>14.1</v>
      </c>
      <c r="F243" s="11">
        <f>LOOKUP(E243,{0,-2.9,-1.9,-0.9,0.1,1.1,2.1,3.5,4.9,6.3,7.7,9.1,10.5,11.9,13.3,14.7,16.1,18.3,20.5,22.4,24.3},{0,10,20,30,40,50,60,62,64,66,68,70,72,74,76,78,80,85,90,95,100})</f>
        <v>76</v>
      </c>
      <c r="G243" s="12">
        <v>292</v>
      </c>
      <c r="H243" s="11">
        <f>LOOKUP(G243,{0,175,180,185,190,195,200,204,208,212,216,220,224,228,232,236,240,248,255,260,265},{0,10,20,30,40,50,60,62,64,66,68,70,72,74,76,78,80,85,90,95,100})</f>
        <v>100</v>
      </c>
      <c r="I243" s="12">
        <v>27</v>
      </c>
      <c r="J243" s="11">
        <f>LOOKUP(I243,{0,3,4,5,6,7,8,9,10,11,12,13,14,15,16,17},{0,10,20,30,40,50,60,64,68,72,76,80,85,90,95,100})</f>
        <v>100</v>
      </c>
      <c r="K243" s="12">
        <f t="shared" ref="K243:K250" si="146">I243-17</f>
        <v>10</v>
      </c>
      <c r="L243" s="11">
        <f>LOOKUP(K243,{0,1,2,3,4,5,6,7,8,9,10},{0,1,2,3,4,5,6,7,8,9,10})</f>
        <v>10</v>
      </c>
      <c r="M243" s="12">
        <f t="shared" si="141"/>
        <v>110</v>
      </c>
      <c r="N243" s="12">
        <v>6.6</v>
      </c>
      <c r="O243" s="12">
        <f t="shared" ref="O243:O246" si="147">12-N243</f>
        <v>5.4</v>
      </c>
      <c r="P243" s="11">
        <f>LOOKUP(O243,{0,1.6,1.8,2,2.2,2.4,2.6,2.8,3,3.2,3.4,3.6,3.8,4,4.2,4.4,4.6,4.7,4.8,4.9,5},{0,10,20,30,40,50,60,62,64,66,68,70,72,74,76,78,80,85,90,95,100})</f>
        <v>100</v>
      </c>
      <c r="Q243" s="12">
        <v>3.19</v>
      </c>
      <c r="R243" s="12">
        <f t="shared" si="143"/>
        <v>6.81</v>
      </c>
      <c r="S243" s="11">
        <f>LOOKUP(R243,{0,3.8,4,4.6,4.8,5,5.6,5.65,5.7,5.75,5.8,5.85,5.9,5.95,6,6.45,6.5,6.58,6.65,6.7,6.75},{0,10,20,30,40,50,60,62,64,66,68,70,72,74,76,78,80,85,90,95,100})</f>
        <v>100</v>
      </c>
      <c r="T243" s="12">
        <f>3.25-Q243</f>
        <v>0.0600000000000001</v>
      </c>
      <c r="U243" s="11">
        <f>LOOKUP(T243,{0,0.04,0.08,0.12,0.16,0.2,0.23,0.26,0.29,0.32,0.35},{0,1,2,3,4,5,6,7,8,9,10})</f>
        <v>1</v>
      </c>
      <c r="V243" s="12">
        <f t="shared" si="144"/>
        <v>101</v>
      </c>
      <c r="W243" s="12"/>
      <c r="X243" s="20">
        <f t="shared" si="135"/>
        <v>67.6</v>
      </c>
      <c r="Y243" s="20">
        <f t="shared" ref="Y243:Y246" si="148">X243/0.7+L243+U243</f>
        <v>107.571428571429</v>
      </c>
    </row>
    <row r="244" ht="15.6" hidden="1" outlineLevel="2" spans="1:25">
      <c r="A244" s="12">
        <v>208</v>
      </c>
      <c r="B244" s="12">
        <v>15</v>
      </c>
      <c r="C244" s="6" t="s">
        <v>395</v>
      </c>
      <c r="D244" s="6" t="s">
        <v>11</v>
      </c>
      <c r="E244" s="12"/>
      <c r="F244" s="11"/>
      <c r="G244" s="12"/>
      <c r="H244" s="11"/>
      <c r="I244" s="12"/>
      <c r="J244" s="11"/>
      <c r="K244" s="12"/>
      <c r="L244" s="15"/>
      <c r="M244" s="12"/>
      <c r="N244" s="12"/>
      <c r="O244" s="12"/>
      <c r="P244" s="11"/>
      <c r="Q244" s="12"/>
      <c r="R244" s="12"/>
      <c r="S244" s="11"/>
      <c r="T244" s="12"/>
      <c r="U244" s="11"/>
      <c r="V244" s="12"/>
      <c r="W244" s="12" t="s">
        <v>14</v>
      </c>
      <c r="X244" s="20">
        <f t="shared" si="135"/>
        <v>0</v>
      </c>
      <c r="Y244" s="20">
        <v>50</v>
      </c>
    </row>
    <row r="245" ht="15.6" hidden="1" outlineLevel="2" spans="1:25">
      <c r="A245" s="12">
        <v>208</v>
      </c>
      <c r="B245" s="12">
        <v>16</v>
      </c>
      <c r="C245" s="6" t="s">
        <v>396</v>
      </c>
      <c r="D245" s="6" t="s">
        <v>11</v>
      </c>
      <c r="E245" s="12">
        <v>7.7</v>
      </c>
      <c r="F245" s="11">
        <f>LOOKUP(E245,{0,-2.9,-1.9,-0.9,0.1,1.1,2.1,3.5,4.9,6.3,7.7,9.1,10.5,11.9,13.3,14.7,16.1,18.3,20.5,22.4,24.3},{0,10,20,30,40,50,60,62,64,66,68,70,72,74,76,78,80,85,90,95,100})</f>
        <v>68</v>
      </c>
      <c r="G245" s="12">
        <v>223</v>
      </c>
      <c r="H245" s="11">
        <f>LOOKUP(G245,{0,175,180,185,190,195,200,204,208,212,216,220,224,228,232,236,240,248,255,260,265},{0,10,20,30,40,50,60,62,64,66,68,70,72,74,76,78,80,85,90,95,100})</f>
        <v>70</v>
      </c>
      <c r="I245" s="12">
        <v>3</v>
      </c>
      <c r="J245" s="11">
        <f>LOOKUP(I245,{0,3,4,5,6,7,8,9,10,11,12,13,14,15,16,17},{0,10,20,30,40,50,60,64,68,72,76,80,85,90,95,100})</f>
        <v>10</v>
      </c>
      <c r="K245" s="12"/>
      <c r="L245" s="12"/>
      <c r="M245" s="12">
        <f t="shared" ref="M245:M250" si="149">J245+L245</f>
        <v>10</v>
      </c>
      <c r="N245" s="12">
        <v>7.3</v>
      </c>
      <c r="O245" s="12">
        <f t="shared" si="147"/>
        <v>4.7</v>
      </c>
      <c r="P245" s="11">
        <f>LOOKUP(O245,{0,1.6,1.8,2,2.2,2.4,2.6,2.8,3,3.2,3.4,3.6,3.8,4,4.2,4.4,4.6,4.7,4.8,4.9,5},{0,10,20,30,40,50,60,62,64,66,68,70,72,74,76,78,80,85,90,95,100})</f>
        <v>85</v>
      </c>
      <c r="Q245" s="12">
        <v>3.48</v>
      </c>
      <c r="R245" s="12">
        <f t="shared" ref="R245:R250" si="150">10-Q245</f>
        <v>6.52</v>
      </c>
      <c r="S245" s="11">
        <f>LOOKUP(R245,{0,3.8,4,4.6,4.8,5,5.6,5.65,5.7,5.75,5.8,5.85,5.9,5.95,6,6.45,6.5,6.58,6.65,6.7,6.75},{0,10,20,30,40,50,60,62,64,66,68,70,72,74,76,78,80,85,90,95,100})</f>
        <v>80</v>
      </c>
      <c r="T245" s="12"/>
      <c r="U245" s="12"/>
      <c r="V245" s="12">
        <f t="shared" ref="V245:V250" si="151">S245+U245</f>
        <v>80</v>
      </c>
      <c r="W245" s="12"/>
      <c r="X245" s="20">
        <f t="shared" si="135"/>
        <v>47.8</v>
      </c>
      <c r="Y245" s="20">
        <f t="shared" si="148"/>
        <v>68.2857142857143</v>
      </c>
    </row>
    <row r="246" customFormat="1" ht="15.6" hidden="1" outlineLevel="2" spans="1:25">
      <c r="A246" s="12">
        <v>208</v>
      </c>
      <c r="B246" s="12">
        <v>17</v>
      </c>
      <c r="C246" s="6" t="s">
        <v>397</v>
      </c>
      <c r="D246" s="6" t="s">
        <v>11</v>
      </c>
      <c r="E246" s="12">
        <v>16.5</v>
      </c>
      <c r="F246" s="11">
        <f>LOOKUP(E246,{0,-2.9,-1.9,-0.9,0.1,1.1,2.1,3.5,4.9,6.3,7.7,9.1,10.5,11.9,13.3,14.7,16.1,18.3,20.5,22.4,24.3},{0,10,20,30,40,50,60,62,64,66,68,70,72,74,76,78,80,85,90,95,100})</f>
        <v>80</v>
      </c>
      <c r="G246" s="12">
        <v>271</v>
      </c>
      <c r="H246" s="11">
        <f>LOOKUP(G246,{0,175,180,185,190,195,200,204,208,212,216,220,224,228,232,236,240,248,255,260,265},{0,10,20,30,40,50,60,62,64,66,68,70,72,74,76,78,80,85,90,95,100})</f>
        <v>100</v>
      </c>
      <c r="I246" s="12">
        <v>30</v>
      </c>
      <c r="J246" s="11">
        <f>LOOKUP(I246,{0,3,4,5,6,7,8,9,10,11,12,13,14,15,16,17},{0,10,20,30,40,50,60,64,68,72,76,80,85,90,95,100})</f>
        <v>100</v>
      </c>
      <c r="K246" s="12">
        <f t="shared" si="146"/>
        <v>13</v>
      </c>
      <c r="L246" s="11">
        <f>LOOKUP(K246,{0,1,2,3,4,5,6,7,8,9,10},{0,1,2,3,4,5,6,7,8,9,10})</f>
        <v>10</v>
      </c>
      <c r="M246" s="12">
        <f t="shared" si="149"/>
        <v>110</v>
      </c>
      <c r="N246" s="12">
        <v>6.4</v>
      </c>
      <c r="O246" s="12">
        <f t="shared" si="147"/>
        <v>5.6</v>
      </c>
      <c r="P246" s="11">
        <f>LOOKUP(O246,{0,1.6,1.8,2,2.2,2.4,2.6,2.8,3,3.2,3.4,3.6,3.8,4,4.2,4.4,4.6,4.7,4.8,4.9,5},{0,10,20,30,40,50,60,62,64,66,68,70,72,74,76,78,80,85,90,95,100})</f>
        <v>100</v>
      </c>
      <c r="Q246" s="12">
        <v>3.18</v>
      </c>
      <c r="R246" s="12">
        <f t="shared" si="150"/>
        <v>6.82</v>
      </c>
      <c r="S246" s="11">
        <f>LOOKUP(R246,{0,3.8,4,4.6,4.8,5,5.6,5.65,5.7,5.75,5.8,5.85,5.9,5.95,6,6.45,6.5,6.58,6.65,6.7,6.75},{0,10,20,30,40,50,60,62,64,66,68,70,72,74,76,78,80,85,90,95,100})</f>
        <v>100</v>
      </c>
      <c r="T246" s="12">
        <f>3.25-Q246</f>
        <v>0.0699999999999998</v>
      </c>
      <c r="U246" s="11">
        <f>LOOKUP(T246,{0,0.04,0.08,0.12,0.16,0.2,0.23,0.26,0.29,0.32,0.35},{0,1,2,3,4,5,6,7,8,9,10})</f>
        <v>1</v>
      </c>
      <c r="V246" s="12">
        <f t="shared" si="151"/>
        <v>101</v>
      </c>
      <c r="W246" s="12"/>
      <c r="X246" s="20">
        <f t="shared" si="135"/>
        <v>68</v>
      </c>
      <c r="Y246" s="20">
        <f t="shared" si="148"/>
        <v>108.142857142857</v>
      </c>
    </row>
    <row r="247" customFormat="1" ht="15.6" hidden="1" outlineLevel="2" spans="1:25">
      <c r="A247" s="12">
        <v>208</v>
      </c>
      <c r="B247" s="12">
        <v>18</v>
      </c>
      <c r="C247" s="6" t="s">
        <v>398</v>
      </c>
      <c r="D247" s="6" t="s">
        <v>11</v>
      </c>
      <c r="E247" s="12"/>
      <c r="F247" s="11"/>
      <c r="G247" s="12"/>
      <c r="H247" s="11"/>
      <c r="I247" s="12"/>
      <c r="J247" s="11"/>
      <c r="K247" s="12"/>
      <c r="L247" s="15"/>
      <c r="M247" s="12"/>
      <c r="N247" s="12"/>
      <c r="O247" s="12"/>
      <c r="P247" s="11"/>
      <c r="Q247" s="12"/>
      <c r="R247" s="12"/>
      <c r="S247" s="11"/>
      <c r="T247" s="12"/>
      <c r="U247" s="11"/>
      <c r="V247" s="12"/>
      <c r="W247" s="12" t="s">
        <v>14</v>
      </c>
      <c r="X247" s="20">
        <f t="shared" si="135"/>
        <v>0</v>
      </c>
      <c r="Y247" s="20">
        <v>50</v>
      </c>
    </row>
    <row r="248" s="1" customFormat="1" ht="15.6" hidden="1" outlineLevel="2" spans="1:25">
      <c r="A248" s="12">
        <v>208</v>
      </c>
      <c r="B248" s="12">
        <v>19</v>
      </c>
      <c r="C248" s="6" t="s">
        <v>399</v>
      </c>
      <c r="D248" s="6" t="s">
        <v>11</v>
      </c>
      <c r="E248" s="12">
        <v>11</v>
      </c>
      <c r="F248" s="11">
        <f>LOOKUP(E248,{0,-2.9,-1.9,-0.9,0.1,1.1,2.1,3.5,4.9,6.3,7.7,9.1,10.5,11.9,13.3,14.7,16.1,18.3,20.5,22.4,24.3},{0,10,20,30,40,50,60,62,64,66,68,70,72,74,76,78,80,85,90,95,100})</f>
        <v>72</v>
      </c>
      <c r="G248" s="12">
        <v>240</v>
      </c>
      <c r="H248" s="11">
        <f>LOOKUP(G248,{0,175,180,185,190,195,200,204,208,212,216,220,224,228,232,236,240,248,255,260,265},{0,10,20,30,40,50,60,62,64,66,68,70,72,74,76,78,80,85,90,95,100})</f>
        <v>80</v>
      </c>
      <c r="I248" s="12">
        <v>25</v>
      </c>
      <c r="J248" s="11">
        <f>LOOKUP(I248,{0,3,4,5,6,7,8,9,10,11,12,13,14,15,16,17},{0,10,20,30,40,50,60,64,68,72,76,80,85,90,95,100})</f>
        <v>100</v>
      </c>
      <c r="K248" s="12">
        <f t="shared" si="146"/>
        <v>8</v>
      </c>
      <c r="L248" s="16">
        <f>LOOKUP(K248,{0,1,2,3,4,5,6,7,8,9,10},{0,1,2,3,4,5,6,7,8,9,10})</f>
        <v>8</v>
      </c>
      <c r="M248" s="12">
        <f t="shared" si="149"/>
        <v>108</v>
      </c>
      <c r="N248" s="12">
        <v>7.3</v>
      </c>
      <c r="O248" s="12">
        <f t="shared" ref="O248:O250" si="152">12-N248</f>
        <v>4.7</v>
      </c>
      <c r="P248" s="11">
        <f>LOOKUP(O248,{0,1.6,1.8,2,2.2,2.4,2.6,2.8,3,3.2,3.4,3.6,3.8,4,4.2,4.4,4.6,4.7,4.8,4.9,5},{0,10,20,30,40,50,60,62,64,66,68,70,72,74,76,78,80,85,90,95,100})</f>
        <v>85</v>
      </c>
      <c r="Q248" s="12">
        <v>4.04</v>
      </c>
      <c r="R248" s="12">
        <f t="shared" si="150"/>
        <v>5.96</v>
      </c>
      <c r="S248" s="11">
        <f>LOOKUP(R248,{0,3.8,4,4.6,4.8,5,5.6,5.65,5.7,5.75,5.8,5.85,5.9,5.95,6,6.45,6.5,6.58,6.65,6.7,6.75},{0,10,20,30,40,50,60,62,64,66,68,70,72,74,76,78,80,85,90,95,100})</f>
        <v>74</v>
      </c>
      <c r="T248" s="12"/>
      <c r="U248" s="12"/>
      <c r="V248" s="12">
        <f t="shared" si="151"/>
        <v>74</v>
      </c>
      <c r="W248" s="12"/>
      <c r="X248" s="20">
        <f t="shared" si="135"/>
        <v>57</v>
      </c>
      <c r="Y248" s="20">
        <f t="shared" ref="Y248:Y250" si="153">X248/0.7+L248+U248</f>
        <v>89.4285714285714</v>
      </c>
    </row>
    <row r="249" ht="15.6" hidden="1" outlineLevel="2" spans="1:25">
      <c r="A249" s="12">
        <v>208</v>
      </c>
      <c r="B249" s="12">
        <v>20</v>
      </c>
      <c r="C249" s="6" t="s">
        <v>400</v>
      </c>
      <c r="D249" s="6" t="s">
        <v>11</v>
      </c>
      <c r="E249" s="12">
        <v>21.3</v>
      </c>
      <c r="F249" s="11">
        <f>LOOKUP(E249,{0,-2.9,-1.9,-0.9,0.1,1.1,2.1,3.5,4.9,6.3,7.7,9.1,10.5,11.9,13.3,14.7,16.1,18.3,20.5,22.4,24.3},{0,10,20,30,40,50,60,62,64,66,68,70,72,74,76,78,80,85,90,95,100})</f>
        <v>90</v>
      </c>
      <c r="G249" s="12">
        <v>250</v>
      </c>
      <c r="H249" s="11">
        <f>LOOKUP(G249,{0,175,180,185,190,195,200,204,208,212,216,220,224,228,232,236,240,248,255,260,265},{0,10,20,30,40,50,60,62,64,66,68,70,72,74,76,78,80,85,90,95,100})</f>
        <v>85</v>
      </c>
      <c r="I249" s="12">
        <v>19</v>
      </c>
      <c r="J249" s="11">
        <f>LOOKUP(I249,{0,3,4,5,6,7,8,9,10,11,12,13,14,15,16,17},{0,10,20,30,40,50,60,64,68,72,76,80,85,90,95,100})</f>
        <v>100</v>
      </c>
      <c r="K249" s="12">
        <f t="shared" si="146"/>
        <v>2</v>
      </c>
      <c r="L249" s="11">
        <f>LOOKUP(K249,{0,1,2,3,4,5,6,7,8,9,10},{0,1,2,3,4,5,6,7,8,9,10})</f>
        <v>2</v>
      </c>
      <c r="M249" s="12">
        <f t="shared" si="149"/>
        <v>102</v>
      </c>
      <c r="N249" s="12">
        <v>7.2</v>
      </c>
      <c r="O249" s="12">
        <f t="shared" si="152"/>
        <v>4.8</v>
      </c>
      <c r="P249" s="11">
        <f>LOOKUP(O249,{0,1.6,1.8,2,2.2,2.4,2.6,2.8,3,3.2,3.4,3.6,3.8,4,4.2,4.4,4.6,4.7,4.8,4.9,5},{0,10,20,30,40,50,60,62,64,66,68,70,72,74,76,78,80,85,90,95,100})</f>
        <v>90</v>
      </c>
      <c r="Q249" s="12">
        <v>5.16</v>
      </c>
      <c r="R249" s="12">
        <f t="shared" si="150"/>
        <v>4.84</v>
      </c>
      <c r="S249" s="11">
        <f>LOOKUP(R249,{0,3.8,4,4.6,4.8,5,5.6,5.65,5.7,5.75,5.8,5.85,5.9,5.95,6,6.45,6.5,6.58,6.65,6.7,6.75},{0,10,20,30,40,50,60,62,64,66,68,70,72,74,76,78,80,85,90,95,100})</f>
        <v>40</v>
      </c>
      <c r="T249" s="12"/>
      <c r="U249" s="12"/>
      <c r="V249" s="12">
        <f t="shared" si="151"/>
        <v>40</v>
      </c>
      <c r="W249" s="12"/>
      <c r="X249" s="20">
        <f t="shared" si="135"/>
        <v>53.5</v>
      </c>
      <c r="Y249" s="20">
        <f t="shared" si="153"/>
        <v>78.4285714285714</v>
      </c>
    </row>
    <row r="250" ht="15.6" hidden="1" outlineLevel="2" spans="1:25">
      <c r="A250" s="12">
        <v>208</v>
      </c>
      <c r="B250" s="12">
        <v>21</v>
      </c>
      <c r="C250" s="6" t="s">
        <v>401</v>
      </c>
      <c r="D250" s="6" t="s">
        <v>11</v>
      </c>
      <c r="E250" s="12">
        <v>16</v>
      </c>
      <c r="F250" s="11">
        <f>LOOKUP(E250,{0,-2.9,-1.9,-0.9,0.1,1.1,2.1,3.5,4.9,6.3,7.7,9.1,10.5,11.9,13.3,14.7,16.1,18.3,20.5,22.4,24.3},{0,10,20,30,40,50,60,62,64,66,68,70,72,74,76,78,80,85,90,95,100})</f>
        <v>78</v>
      </c>
      <c r="G250" s="12">
        <v>261</v>
      </c>
      <c r="H250" s="11">
        <f>LOOKUP(G250,{0,175,180,185,190,195,200,204,208,212,216,220,224,228,232,236,240,248,255,260,265},{0,10,20,30,40,50,60,62,64,66,68,70,72,74,76,78,80,85,90,95,100})</f>
        <v>95</v>
      </c>
      <c r="I250" s="12">
        <v>27</v>
      </c>
      <c r="J250" s="11">
        <f>LOOKUP(I250,{0,3,4,5,6,7,8,9,10,11,12,13,14,15,16,17},{0,10,20,30,40,50,60,64,68,72,76,80,85,90,95,100})</f>
        <v>100</v>
      </c>
      <c r="K250" s="12">
        <f t="shared" si="146"/>
        <v>10</v>
      </c>
      <c r="L250" s="11">
        <f>LOOKUP(K250,{0,1,2,3,4,5,6,7,8,9,10},{0,1,2,3,4,5,6,7,8,9,10})</f>
        <v>10</v>
      </c>
      <c r="M250" s="12">
        <f t="shared" si="149"/>
        <v>110</v>
      </c>
      <c r="N250" s="12">
        <v>7</v>
      </c>
      <c r="O250" s="12">
        <f t="shared" si="152"/>
        <v>5</v>
      </c>
      <c r="P250" s="11">
        <f>LOOKUP(O250,{0,1.6,1.8,2,2.2,2.4,2.6,2.8,3,3.2,3.4,3.6,3.8,4,4.2,4.4,4.6,4.7,4.8,4.9,5},{0,10,20,30,40,50,60,62,64,66,68,70,72,74,76,78,80,85,90,95,100})</f>
        <v>100</v>
      </c>
      <c r="Q250" s="12">
        <v>3.19</v>
      </c>
      <c r="R250" s="12">
        <f t="shared" si="150"/>
        <v>6.81</v>
      </c>
      <c r="S250" s="11">
        <f>LOOKUP(R250,{0,3.8,4,4.6,4.8,5,5.6,5.65,5.7,5.75,5.8,5.85,5.9,5.95,6,6.45,6.5,6.58,6.65,6.7,6.75},{0,10,20,30,40,50,60,62,64,66,68,70,72,74,76,78,80,85,90,95,100})</f>
        <v>100</v>
      </c>
      <c r="T250" s="12">
        <f>3.25-Q250</f>
        <v>0.0600000000000001</v>
      </c>
      <c r="U250" s="11">
        <f>LOOKUP(T250,{0,0.04,0.08,0.12,0.16,0.2,0.23,0.26,0.29,0.32,0.35},{0,1,2,3,4,5,6,7,8,9,10})</f>
        <v>1</v>
      </c>
      <c r="V250" s="12">
        <f t="shared" si="151"/>
        <v>101</v>
      </c>
      <c r="W250" s="12"/>
      <c r="X250" s="20">
        <f t="shared" si="135"/>
        <v>67.3</v>
      </c>
      <c r="Y250" s="20">
        <f t="shared" si="153"/>
        <v>107.142857142857</v>
      </c>
    </row>
    <row r="251" ht="15.6" hidden="1" outlineLevel="2" spans="1:25">
      <c r="A251" s="12">
        <v>208</v>
      </c>
      <c r="B251" s="12">
        <v>22</v>
      </c>
      <c r="C251" s="6" t="s">
        <v>402</v>
      </c>
      <c r="D251" s="6" t="s">
        <v>11</v>
      </c>
      <c r="E251" s="12"/>
      <c r="F251" s="11"/>
      <c r="G251" s="12"/>
      <c r="H251" s="11"/>
      <c r="I251" s="12"/>
      <c r="J251" s="11"/>
      <c r="K251" s="12"/>
      <c r="L251" s="15"/>
      <c r="M251" s="12"/>
      <c r="N251" s="12"/>
      <c r="O251" s="12"/>
      <c r="P251" s="11"/>
      <c r="Q251" s="12"/>
      <c r="R251" s="12"/>
      <c r="S251" s="11"/>
      <c r="T251" s="12"/>
      <c r="U251" s="11"/>
      <c r="V251" s="12"/>
      <c r="W251" s="12" t="s">
        <v>14</v>
      </c>
      <c r="X251" s="20">
        <f t="shared" si="135"/>
        <v>0</v>
      </c>
      <c r="Y251" s="20">
        <v>50</v>
      </c>
    </row>
    <row r="252" ht="15.6" hidden="1" outlineLevel="2" spans="1:25">
      <c r="A252" s="12">
        <v>208</v>
      </c>
      <c r="B252" s="12">
        <v>23</v>
      </c>
      <c r="C252" s="6" t="s">
        <v>403</v>
      </c>
      <c r="D252" s="6" t="s">
        <v>11</v>
      </c>
      <c r="E252" s="12">
        <v>9</v>
      </c>
      <c r="F252" s="11">
        <f>LOOKUP(E252,{0,-2.9,-1.9,-0.9,0.1,1.1,2.1,3.5,4.9,6.3,7.7,9.1,10.5,11.9,13.3,14.7,16.1,18.3,20.5,22.4,24.3},{0,10,20,30,40,50,60,62,64,66,68,70,72,74,76,78,80,85,90,95,100})</f>
        <v>68</v>
      </c>
      <c r="G252" s="12">
        <v>241</v>
      </c>
      <c r="H252" s="11">
        <f>LOOKUP(G252,{0,175,180,185,190,195,200,204,208,212,216,220,224,228,232,236,240,248,255,260,265},{0,10,20,30,40,50,60,62,64,66,68,70,72,74,76,78,80,85,90,95,100})</f>
        <v>80</v>
      </c>
      <c r="I252" s="12">
        <v>17</v>
      </c>
      <c r="J252" s="11">
        <f>LOOKUP(I252,{0,3,4,5,6,7,8,9,10,11,12,13,14,15,16,17},{0,10,20,30,40,50,60,64,68,72,76,80,85,90,95,100})</f>
        <v>100</v>
      </c>
      <c r="K252" s="12">
        <f>I252-17</f>
        <v>0</v>
      </c>
      <c r="L252" s="16">
        <f>LOOKUP(K252,{0,1,2,3,4,5,6,7,8,9,10},{0,1,2,3,4,5,6,7,8,9,10})</f>
        <v>0</v>
      </c>
      <c r="M252" s="12">
        <f t="shared" ref="M252:M263" si="154">J252+L252</f>
        <v>100</v>
      </c>
      <c r="N252" s="12">
        <v>7.3</v>
      </c>
      <c r="O252" s="12">
        <f t="shared" ref="O252:O263" si="155">12-N252</f>
        <v>4.7</v>
      </c>
      <c r="P252" s="11">
        <f>LOOKUP(O252,{0,1.6,1.8,2,2.2,2.4,2.6,2.8,3,3.2,3.4,3.6,3.8,4,4.2,4.4,4.6,4.7,4.8,4.9,5},{0,10,20,30,40,50,60,62,64,66,68,70,72,74,76,78,80,85,90,95,100})</f>
        <v>85</v>
      </c>
      <c r="Q252" s="12">
        <v>3.43</v>
      </c>
      <c r="R252" s="12">
        <f t="shared" ref="R252:R263" si="156">10-Q252</f>
        <v>6.57</v>
      </c>
      <c r="S252" s="11">
        <f>LOOKUP(R252,{0,3.8,4,4.6,4.8,5,5.6,5.65,5.7,5.75,5.8,5.85,5.9,5.95,6,6.45,6.5,6.58,6.65,6.7,6.75},{0,10,20,30,40,50,60,62,64,66,68,70,72,74,76,78,80,85,90,95,100})</f>
        <v>80</v>
      </c>
      <c r="T252" s="12"/>
      <c r="U252" s="12"/>
      <c r="V252" s="12">
        <f t="shared" ref="V252:V263" si="157">S252+U252</f>
        <v>80</v>
      </c>
      <c r="W252" s="12"/>
      <c r="X252" s="20">
        <f t="shared" si="135"/>
        <v>57.8</v>
      </c>
      <c r="Y252" s="20">
        <f t="shared" ref="Y252:Y263" si="158">X252/0.7+L252+U252</f>
        <v>82.5714285714286</v>
      </c>
    </row>
    <row r="253" ht="15.6" hidden="1" outlineLevel="2" spans="1:25">
      <c r="A253" s="12">
        <v>208</v>
      </c>
      <c r="B253" s="12">
        <v>24</v>
      </c>
      <c r="C253" s="6" t="s">
        <v>404</v>
      </c>
      <c r="D253" s="6" t="s">
        <v>11</v>
      </c>
      <c r="E253" s="12">
        <v>30</v>
      </c>
      <c r="F253" s="11">
        <f>LOOKUP(E253,{0,-2.9,-1.9,-0.9,0.1,1.1,2.1,3.5,4.9,6.3,7.7,9.1,10.5,11.9,13.3,14.7,16.1,18.3,20.5,22.4,24.3},{0,10,20,30,40,50,60,62,64,66,68,70,72,74,76,78,80,85,90,95,100})</f>
        <v>100</v>
      </c>
      <c r="G253" s="12">
        <v>240</v>
      </c>
      <c r="H253" s="11">
        <f>LOOKUP(G253,{0,175,180,185,190,195,200,204,208,212,216,220,224,228,232,236,240,248,255,260,265},{0,10,20,30,40,50,60,62,64,66,68,70,72,74,76,78,80,85,90,95,100})</f>
        <v>80</v>
      </c>
      <c r="I253" s="12">
        <v>1</v>
      </c>
      <c r="J253" s="11">
        <f>LOOKUP(I253,{0,3,4,5,6,7,8,9,10,11,12,13,14,15,16,17},{0,10,20,30,40,50,60,64,68,72,76,80,85,90,95,100})</f>
        <v>0</v>
      </c>
      <c r="K253" s="12"/>
      <c r="L253" s="12"/>
      <c r="M253" s="12">
        <f t="shared" si="154"/>
        <v>0</v>
      </c>
      <c r="N253" s="12">
        <v>7.3</v>
      </c>
      <c r="O253" s="12">
        <f t="shared" si="155"/>
        <v>4.7</v>
      </c>
      <c r="P253" s="11">
        <f>LOOKUP(O253,{0,1.6,1.8,2,2.2,2.4,2.6,2.8,3,3.2,3.4,3.6,3.8,4,4.2,4.4,4.6,4.7,4.8,4.9,5},{0,10,20,30,40,50,60,62,64,66,68,70,72,74,76,78,80,85,90,95,100})</f>
        <v>85</v>
      </c>
      <c r="Q253" s="12">
        <v>3.47</v>
      </c>
      <c r="R253" s="12">
        <f t="shared" si="156"/>
        <v>6.53</v>
      </c>
      <c r="S253" s="11">
        <f>LOOKUP(R253,{0,3.8,4,4.6,4.8,5,5.6,5.65,5.7,5.75,5.8,5.85,5.9,5.95,6,6.45,6.5,6.58,6.65,6.7,6.75},{0,10,20,30,40,50,60,62,64,66,68,70,72,74,76,78,80,85,90,95,100})</f>
        <v>80</v>
      </c>
      <c r="T253" s="12"/>
      <c r="U253" s="12"/>
      <c r="V253" s="12">
        <f t="shared" si="157"/>
        <v>80</v>
      </c>
      <c r="W253" s="12"/>
      <c r="X253" s="20">
        <f t="shared" si="135"/>
        <v>51</v>
      </c>
      <c r="Y253" s="20">
        <f t="shared" si="158"/>
        <v>72.8571428571429</v>
      </c>
    </row>
    <row r="254" ht="15.6" hidden="1" outlineLevel="2" spans="1:25">
      <c r="A254" s="12">
        <v>208</v>
      </c>
      <c r="B254" s="12">
        <v>25</v>
      </c>
      <c r="C254" s="13" t="s">
        <v>406</v>
      </c>
      <c r="D254" s="6" t="s">
        <v>11</v>
      </c>
      <c r="E254" s="12">
        <v>15.5</v>
      </c>
      <c r="F254" s="11">
        <f>LOOKUP(E254,{0,-2.9,-1.9,-0.9,0.1,1.1,2.1,3.5,4.9,6.3,7.7,9.1,10.5,11.9,13.3,14.7,16.1,18.3,20.5,22.4,24.3},{0,10,20,30,40,50,60,62,64,66,68,70,72,74,76,78,80,85,90,95,100})</f>
        <v>78</v>
      </c>
      <c r="G254" s="12">
        <v>223</v>
      </c>
      <c r="H254" s="11">
        <f>LOOKUP(G254,{0,175,180,185,190,195,200,204,208,212,216,220,224,228,232,236,240,248,255,260,265},{0,10,20,30,40,50,60,62,64,66,68,70,72,74,76,78,80,85,90,95,100})</f>
        <v>70</v>
      </c>
      <c r="I254" s="12">
        <v>0</v>
      </c>
      <c r="J254" s="11">
        <f>LOOKUP(I254,{0,3,4,5,6,7,8,9,10,11,12,13,14,15,16,17},{0,10,20,30,40,50,60,64,68,72,76,80,85,90,95,100})</f>
        <v>0</v>
      </c>
      <c r="K254" s="12"/>
      <c r="L254" s="15"/>
      <c r="M254" s="12">
        <f t="shared" si="154"/>
        <v>0</v>
      </c>
      <c r="N254" s="12">
        <v>7.4</v>
      </c>
      <c r="O254" s="12">
        <f t="shared" si="155"/>
        <v>4.6</v>
      </c>
      <c r="P254" s="11">
        <f>LOOKUP(O254,{0,1.6,1.8,2,2.2,2.4,2.6,2.8,3,3.2,3.4,3.6,3.8,4,4.2,4.4,4.6,4.7,4.8,4.9,5},{0,10,20,30,40,50,60,62,64,66,68,70,72,74,76,78,80,85,90,95,100})</f>
        <v>80</v>
      </c>
      <c r="Q254" s="12">
        <v>3.54</v>
      </c>
      <c r="R254" s="12">
        <f t="shared" si="156"/>
        <v>6.46</v>
      </c>
      <c r="S254" s="11">
        <f>LOOKUP(R254,{0,3.8,4,4.6,4.8,5,5.6,5.65,5.7,5.75,5.8,5.85,5.9,5.95,6,6.45,6.5,6.58,6.65,6.7,6.75},{0,10,20,30,40,50,60,62,64,66,68,70,72,74,76,78,80,85,90,95,100})</f>
        <v>78</v>
      </c>
      <c r="T254" s="12"/>
      <c r="U254" s="12"/>
      <c r="V254" s="12">
        <f t="shared" si="157"/>
        <v>78</v>
      </c>
      <c r="W254" s="12"/>
      <c r="X254" s="20">
        <f t="shared" si="135"/>
        <v>46.4</v>
      </c>
      <c r="Y254" s="20">
        <f t="shared" si="158"/>
        <v>66.2857142857143</v>
      </c>
    </row>
    <row r="255" ht="15.6" hidden="1" outlineLevel="2" spans="1:25">
      <c r="A255" s="12">
        <v>208</v>
      </c>
      <c r="B255" s="12">
        <v>26</v>
      </c>
      <c r="C255" s="6" t="s">
        <v>407</v>
      </c>
      <c r="D255" s="6" t="s">
        <v>11</v>
      </c>
      <c r="E255" s="12">
        <v>27</v>
      </c>
      <c r="F255" s="11">
        <f>LOOKUP(E255,{0,-2.9,-1.9,-0.9,0.1,1.1,2.1,3.5,4.9,6.3,7.7,9.1,10.5,11.9,13.3,14.7,16.1,18.3,20.5,22.4,24.3},{0,10,20,30,40,50,60,62,64,66,68,70,72,74,76,78,80,85,90,95,100})</f>
        <v>100</v>
      </c>
      <c r="G255" s="12">
        <v>220</v>
      </c>
      <c r="H255" s="11">
        <f>LOOKUP(G255,{0,175,180,185,190,195,200,204,208,212,216,220,224,228,232,236,240,248,255,260,265},{0,10,20,30,40,50,60,62,64,66,68,70,72,74,76,78,80,85,90,95,100})</f>
        <v>70</v>
      </c>
      <c r="I255" s="12">
        <v>7</v>
      </c>
      <c r="J255" s="11">
        <f>LOOKUP(I255,{0,3,4,5,6,7,8,9,10,11,12,13,14,15,16,17},{0,10,20,30,40,50,60,64,68,72,76,80,85,90,95,100})</f>
        <v>50</v>
      </c>
      <c r="K255" s="12"/>
      <c r="L255" s="12"/>
      <c r="M255" s="12">
        <f t="shared" si="154"/>
        <v>50</v>
      </c>
      <c r="N255" s="12">
        <v>7.4</v>
      </c>
      <c r="O255" s="12">
        <f t="shared" si="155"/>
        <v>4.6</v>
      </c>
      <c r="P255" s="11">
        <f>LOOKUP(O255,{0,1.6,1.8,2,2.2,2.4,2.6,2.8,3,3.2,3.4,3.6,3.8,4,4.2,4.4,4.6,4.7,4.8,4.9,5},{0,10,20,30,40,50,60,62,64,66,68,70,72,74,76,78,80,85,90,95,100})</f>
        <v>80</v>
      </c>
      <c r="Q255" s="12">
        <v>3.39</v>
      </c>
      <c r="R255" s="12">
        <f t="shared" si="156"/>
        <v>6.61</v>
      </c>
      <c r="S255" s="11">
        <f>LOOKUP(R255,{0,3.8,4,4.6,4.8,5,5.6,5.65,5.7,5.75,5.8,5.85,5.9,5.95,6,6.45,6.5,6.58,6.65,6.7,6.75},{0,10,20,30,40,50,60,62,64,66,68,70,72,74,76,78,80,85,90,95,100})</f>
        <v>85</v>
      </c>
      <c r="T255" s="12"/>
      <c r="U255" s="12"/>
      <c r="V255" s="12">
        <f t="shared" si="157"/>
        <v>85</v>
      </c>
      <c r="W255" s="12"/>
      <c r="X255" s="20">
        <f t="shared" si="135"/>
        <v>55</v>
      </c>
      <c r="Y255" s="20">
        <f t="shared" si="158"/>
        <v>78.5714285714286</v>
      </c>
    </row>
    <row r="256" ht="15.6" hidden="1" outlineLevel="2" spans="1:25">
      <c r="A256" s="12">
        <v>208</v>
      </c>
      <c r="B256" s="12">
        <v>27</v>
      </c>
      <c r="C256" s="6" t="s">
        <v>408</v>
      </c>
      <c r="D256" s="6" t="s">
        <v>11</v>
      </c>
      <c r="E256" s="12">
        <v>21.9</v>
      </c>
      <c r="F256" s="11">
        <f>LOOKUP(E256,{0,-2.9,-1.9,-0.9,0.1,1.1,2.1,3.5,4.9,6.3,7.7,9.1,10.5,11.9,13.3,14.7,16.1,18.3,20.5,22.4,24.3},{0,10,20,30,40,50,60,62,64,66,68,70,72,74,76,78,80,85,90,95,100})</f>
        <v>90</v>
      </c>
      <c r="G256" s="12">
        <v>218</v>
      </c>
      <c r="H256" s="11">
        <f>LOOKUP(G256,{0,175,180,185,190,195,200,204,208,212,216,220,224,228,232,236,240,248,255,260,265},{0,10,20,30,40,50,60,62,64,66,68,70,72,74,76,78,80,85,90,95,100})</f>
        <v>68</v>
      </c>
      <c r="I256" s="12">
        <v>7</v>
      </c>
      <c r="J256" s="11">
        <f>LOOKUP(I256,{0,3,4,5,6,7,8,9,10,11,12,13,14,15,16,17},{0,10,20,30,40,50,60,64,68,72,76,80,85,90,95,100})</f>
        <v>50</v>
      </c>
      <c r="K256" s="12"/>
      <c r="L256" s="12"/>
      <c r="M256" s="12">
        <f t="shared" si="154"/>
        <v>50</v>
      </c>
      <c r="N256" s="12">
        <v>7</v>
      </c>
      <c r="O256" s="12">
        <f t="shared" si="155"/>
        <v>5</v>
      </c>
      <c r="P256" s="11">
        <f>LOOKUP(O256,{0,1.6,1.8,2,2.2,2.4,2.6,2.8,3,3.2,3.4,3.6,3.8,4,4.2,4.4,4.6,4.7,4.8,4.9,5},{0,10,20,30,40,50,60,62,64,66,68,70,72,74,76,78,80,85,90,95,100})</f>
        <v>100</v>
      </c>
      <c r="Q256" s="12">
        <v>3.37</v>
      </c>
      <c r="R256" s="12">
        <f t="shared" si="156"/>
        <v>6.63</v>
      </c>
      <c r="S256" s="11">
        <f>LOOKUP(R256,{0,3.8,4,4.6,4.8,5,5.6,5.65,5.7,5.75,5.8,5.85,5.9,5.95,6,6.45,6.5,6.58,6.65,6.7,6.75},{0,10,20,30,40,50,60,62,64,66,68,70,72,74,76,78,80,85,90,95,100})</f>
        <v>85</v>
      </c>
      <c r="T256" s="12"/>
      <c r="U256" s="12"/>
      <c r="V256" s="12">
        <f t="shared" si="157"/>
        <v>85</v>
      </c>
      <c r="W256" s="12"/>
      <c r="X256" s="20">
        <f t="shared" si="135"/>
        <v>57.8</v>
      </c>
      <c r="Y256" s="20">
        <f t="shared" si="158"/>
        <v>82.5714285714286</v>
      </c>
    </row>
    <row r="257" ht="15.6" hidden="1" outlineLevel="2" spans="1:25">
      <c r="A257" s="12">
        <v>208</v>
      </c>
      <c r="B257" s="12">
        <v>28</v>
      </c>
      <c r="C257" s="6" t="s">
        <v>409</v>
      </c>
      <c r="D257" s="6" t="s">
        <v>11</v>
      </c>
      <c r="E257" s="12">
        <v>14</v>
      </c>
      <c r="F257" s="11">
        <f>LOOKUP(E257,{0,-2.9,-1.9,-0.9,0.1,1.1,2.1,3.5,4.9,6.3,7.7,9.1,10.5,11.9,13.3,14.7,16.1,18.3,20.5,22.4,24.3},{0,10,20,30,40,50,60,62,64,66,68,70,72,74,76,78,80,85,90,95,100})</f>
        <v>76</v>
      </c>
      <c r="G257" s="12">
        <v>231</v>
      </c>
      <c r="H257" s="11">
        <f>LOOKUP(G257,{0,175,180,185,190,195,200,204,208,212,216,220,224,228,232,236,240,248,255,260,265},{0,10,20,30,40,50,60,62,64,66,68,70,72,74,76,78,80,85,90,95,100})</f>
        <v>74</v>
      </c>
      <c r="I257" s="12">
        <v>12</v>
      </c>
      <c r="J257" s="11">
        <f>LOOKUP(I257,{0,3,4,5,6,7,8,9,10,11,12,13,14,15,16,17},{0,10,20,30,40,50,60,64,68,72,76,80,85,90,95,100})</f>
        <v>76</v>
      </c>
      <c r="K257" s="12"/>
      <c r="L257" s="12"/>
      <c r="M257" s="12">
        <f t="shared" si="154"/>
        <v>76</v>
      </c>
      <c r="N257" s="12">
        <v>7.1</v>
      </c>
      <c r="O257" s="12">
        <f t="shared" si="155"/>
        <v>4.9</v>
      </c>
      <c r="P257" s="11">
        <f>LOOKUP(O257,{0,1.6,1.8,2,2.2,2.4,2.6,2.8,3,3.2,3.4,3.6,3.8,4,4.2,4.4,4.6,4.7,4.8,4.9,5},{0,10,20,30,40,50,60,62,64,66,68,70,72,74,76,78,80,85,90,95,100})</f>
        <v>95</v>
      </c>
      <c r="Q257" s="12">
        <v>3.44</v>
      </c>
      <c r="R257" s="12">
        <f t="shared" si="156"/>
        <v>6.56</v>
      </c>
      <c r="S257" s="11">
        <f>LOOKUP(R257,{0,3.8,4,4.6,4.8,5,5.6,5.65,5.7,5.75,5.8,5.85,5.9,5.95,6,6.45,6.5,6.58,6.65,6.7,6.75},{0,10,20,30,40,50,60,62,64,66,68,70,72,74,76,78,80,85,90,95,100})</f>
        <v>80</v>
      </c>
      <c r="T257" s="12"/>
      <c r="U257" s="12"/>
      <c r="V257" s="12">
        <f t="shared" si="157"/>
        <v>80</v>
      </c>
      <c r="W257" s="12"/>
      <c r="X257" s="20">
        <f t="shared" si="135"/>
        <v>57.6</v>
      </c>
      <c r="Y257" s="20">
        <f t="shared" si="158"/>
        <v>82.2857142857143</v>
      </c>
    </row>
    <row r="258" ht="15.6" hidden="1" outlineLevel="2" spans="1:25">
      <c r="A258" s="12">
        <v>208</v>
      </c>
      <c r="B258" s="12">
        <v>29</v>
      </c>
      <c r="C258" s="6" t="s">
        <v>410</v>
      </c>
      <c r="D258" s="6" t="s">
        <v>11</v>
      </c>
      <c r="E258" s="12">
        <v>6.4</v>
      </c>
      <c r="F258" s="11">
        <f>LOOKUP(E258,{0,-2.9,-1.9,-0.9,0.1,1.1,2.1,3.5,4.9,6.3,7.7,9.1,10.5,11.9,13.3,14.7,16.1,18.3,20.5,22.4,24.3},{0,10,20,30,40,50,60,62,64,66,68,70,72,74,76,78,80,85,90,95,100})</f>
        <v>66</v>
      </c>
      <c r="G258" s="12">
        <v>180</v>
      </c>
      <c r="H258" s="11">
        <f>LOOKUP(G258,{0,175,180,185,190,195,200,204,208,212,216,220,224,228,232,236,240,248,255,260,265},{0,10,20,30,40,50,60,62,64,66,68,70,72,74,76,78,80,85,90,95,100})</f>
        <v>20</v>
      </c>
      <c r="I258" s="12">
        <v>0</v>
      </c>
      <c r="J258" s="11">
        <f>LOOKUP(I258,{0,3,4,5,6,7,8,9,10,11,12,13,14,15,16,17},{0,10,20,30,40,50,60,64,68,72,76,80,85,90,95,100})</f>
        <v>0</v>
      </c>
      <c r="K258" s="12"/>
      <c r="L258" s="12"/>
      <c r="M258" s="12">
        <f t="shared" si="154"/>
        <v>0</v>
      </c>
      <c r="N258" s="12">
        <v>7.6</v>
      </c>
      <c r="O258" s="12">
        <f t="shared" si="155"/>
        <v>4.4</v>
      </c>
      <c r="P258" s="11">
        <f>LOOKUP(O258,{0,1.6,1.8,2,2.2,2.4,2.6,2.8,3,3.2,3.4,3.6,3.8,4,4.2,4.4,4.6,4.7,4.8,4.9,5},{0,10,20,30,40,50,60,62,64,66,68,70,72,74,76,78,80,85,90,95,100})</f>
        <v>78</v>
      </c>
      <c r="Q258" s="12">
        <v>4.09</v>
      </c>
      <c r="R258" s="12">
        <f t="shared" si="156"/>
        <v>5.91</v>
      </c>
      <c r="S258" s="11">
        <f>LOOKUP(R258,{0,3.8,4,4.6,4.8,5,5.6,5.65,5.7,5.75,5.8,5.85,5.9,5.95,6,6.45,6.5,6.58,6.65,6.7,6.75},{0,10,20,30,40,50,60,62,64,66,68,70,72,74,76,78,80,85,90,95,100})</f>
        <v>72</v>
      </c>
      <c r="T258" s="12"/>
      <c r="U258" s="12"/>
      <c r="V258" s="12">
        <f t="shared" si="157"/>
        <v>72</v>
      </c>
      <c r="W258" s="12"/>
      <c r="X258" s="20">
        <f t="shared" si="135"/>
        <v>38.6</v>
      </c>
      <c r="Y258" s="20">
        <f t="shared" si="158"/>
        <v>55.1428571428571</v>
      </c>
    </row>
    <row r="259" ht="15.6" hidden="1" outlineLevel="2" spans="1:25">
      <c r="A259" s="12">
        <v>208</v>
      </c>
      <c r="B259" s="12">
        <v>30</v>
      </c>
      <c r="C259" s="6" t="s">
        <v>411</v>
      </c>
      <c r="D259" s="6" t="s">
        <v>11</v>
      </c>
      <c r="E259" s="12">
        <v>15.9</v>
      </c>
      <c r="F259" s="11">
        <f>LOOKUP(E259,{0,-2.9,-1.9,-0.9,0.1,1.1,2.1,3.5,4.9,6.3,7.7,9.1,10.5,11.9,13.3,14.7,16.1,18.3,20.5,22.4,24.3},{0,10,20,30,40,50,60,62,64,66,68,70,72,74,76,78,80,85,90,95,100})</f>
        <v>78</v>
      </c>
      <c r="G259" s="12">
        <v>265</v>
      </c>
      <c r="H259" s="11">
        <f>LOOKUP(G259,{0,175,180,185,190,195,200,204,208,212,216,220,224,228,232,236,240,248,255,260,265},{0,10,20,30,40,50,60,62,64,66,68,70,72,74,76,78,80,85,90,95,100})</f>
        <v>100</v>
      </c>
      <c r="I259" s="12">
        <v>4</v>
      </c>
      <c r="J259" s="11">
        <f>LOOKUP(I259,{0,3,4,5,6,7,8,9,10,11,12,13,14,15,16,17},{0,10,20,30,40,50,60,64,68,72,76,80,85,90,95,100})</f>
        <v>20</v>
      </c>
      <c r="K259" s="12"/>
      <c r="L259" s="12"/>
      <c r="M259" s="12">
        <f t="shared" si="154"/>
        <v>20</v>
      </c>
      <c r="N259" s="12">
        <v>7</v>
      </c>
      <c r="O259" s="12">
        <f t="shared" si="155"/>
        <v>5</v>
      </c>
      <c r="P259" s="11">
        <f>LOOKUP(O259,{0,1.6,1.8,2,2.2,2.4,2.6,2.8,3,3.2,3.4,3.6,3.8,4,4.2,4.4,4.6,4.7,4.8,4.9,5},{0,10,20,30,40,50,60,62,64,66,68,70,72,74,76,78,80,85,90,95,100})</f>
        <v>100</v>
      </c>
      <c r="Q259" s="12">
        <v>3.45</v>
      </c>
      <c r="R259" s="12">
        <f t="shared" si="156"/>
        <v>6.55</v>
      </c>
      <c r="S259" s="11">
        <f>LOOKUP(R259,{0,3.8,4,4.6,4.8,5,5.6,5.65,5.7,5.75,5.8,5.85,5.9,5.95,6,6.45,6.5,6.58,6.65,6.7,6.75},{0,10,20,30,40,50,60,62,64,66,68,70,72,74,76,78,80,85,90,95,100})</f>
        <v>80</v>
      </c>
      <c r="T259" s="12"/>
      <c r="U259" s="12"/>
      <c r="V259" s="12">
        <f t="shared" si="157"/>
        <v>80</v>
      </c>
      <c r="W259" s="12"/>
      <c r="X259" s="20">
        <f t="shared" si="135"/>
        <v>55.8</v>
      </c>
      <c r="Y259" s="20">
        <f t="shared" si="158"/>
        <v>79.7142857142857</v>
      </c>
    </row>
    <row r="260" s="1" customFormat="1" ht="15.6" hidden="1" outlineLevel="2" spans="1:25">
      <c r="A260" s="12">
        <v>208</v>
      </c>
      <c r="B260" s="12">
        <v>31</v>
      </c>
      <c r="C260" s="6" t="s">
        <v>412</v>
      </c>
      <c r="D260" s="6" t="s">
        <v>11</v>
      </c>
      <c r="E260" s="12">
        <v>11.7</v>
      </c>
      <c r="F260" s="11">
        <f>LOOKUP(E260,{0,-2.9,-1.9,-0.9,0.1,1.1,2.1,3.5,4.9,6.3,7.7,9.1,10.5,11.9,13.3,14.7,16.1,18.3,20.5,22.4,24.3},{0,10,20,30,40,50,60,62,64,66,68,70,72,74,76,78,80,85,90,95,100})</f>
        <v>72</v>
      </c>
      <c r="G260" s="12">
        <v>246</v>
      </c>
      <c r="H260" s="11">
        <f>LOOKUP(G260,{0,175,180,185,190,195,200,204,208,212,216,220,224,228,232,236,240,248,255,260,265},{0,10,20,30,40,50,60,62,64,66,68,70,72,74,76,78,80,85,90,95,100})</f>
        <v>80</v>
      </c>
      <c r="I260" s="12">
        <v>13</v>
      </c>
      <c r="J260" s="11">
        <f>LOOKUP(I260,{0,3,4,5,6,7,8,9,10,11,12,13,14,15,16,17},{0,10,20,30,40,50,60,64,68,72,76,80,85,90,95,100})</f>
        <v>80</v>
      </c>
      <c r="K260" s="12"/>
      <c r="L260" s="15"/>
      <c r="M260" s="12">
        <f t="shared" si="154"/>
        <v>80</v>
      </c>
      <c r="N260" s="12">
        <v>7.5</v>
      </c>
      <c r="O260" s="12">
        <f t="shared" si="155"/>
        <v>4.5</v>
      </c>
      <c r="P260" s="11">
        <f>LOOKUP(O260,{0,1.6,1.8,2,2.2,2.4,2.6,2.8,3,3.2,3.4,3.6,3.8,4,4.2,4.4,4.6,4.7,4.8,4.9,5},{0,10,20,30,40,50,60,62,64,66,68,70,72,74,76,78,80,85,90,95,100})</f>
        <v>78</v>
      </c>
      <c r="Q260" s="12">
        <v>4.12</v>
      </c>
      <c r="R260" s="12">
        <f t="shared" si="156"/>
        <v>5.88</v>
      </c>
      <c r="S260" s="11">
        <f>LOOKUP(R260,{0,3.8,4,4.6,4.8,5,5.6,5.65,5.7,5.75,5.8,5.85,5.9,5.95,6,6.45,6.5,6.58,6.65,6.7,6.75},{0,10,20,30,40,50,60,62,64,66,68,70,72,74,76,78,80,85,90,95,100})</f>
        <v>70</v>
      </c>
      <c r="T260" s="12"/>
      <c r="U260" s="12"/>
      <c r="V260" s="12">
        <f t="shared" si="157"/>
        <v>70</v>
      </c>
      <c r="W260" s="12"/>
      <c r="X260" s="20">
        <f t="shared" si="135"/>
        <v>52.8</v>
      </c>
      <c r="Y260" s="20">
        <f t="shared" si="158"/>
        <v>75.4285714285714</v>
      </c>
    </row>
    <row r="261" ht="15.6" hidden="1" outlineLevel="2" spans="1:25">
      <c r="A261" s="12">
        <v>208</v>
      </c>
      <c r="B261" s="12">
        <v>32</v>
      </c>
      <c r="C261" s="6" t="s">
        <v>413</v>
      </c>
      <c r="D261" s="6" t="s">
        <v>11</v>
      </c>
      <c r="E261" s="12">
        <v>2.6</v>
      </c>
      <c r="F261" s="11">
        <f>LOOKUP(E261,{0,-2.9,-1.9,-0.9,0.1,1.1,2.1,3.5,4.9,6.3,7.7,9.1,10.5,11.9,13.3,14.7,16.1,18.3,20.5,22.4,24.3},{0,10,20,30,40,50,60,62,64,66,68,70,72,74,76,78,80,85,90,95,100})</f>
        <v>60</v>
      </c>
      <c r="G261" s="12">
        <v>267</v>
      </c>
      <c r="H261" s="11">
        <f>LOOKUP(G261,{0,175,180,185,190,195,200,204,208,212,216,220,224,228,232,236,240,248,255,260,265},{0,10,20,30,40,50,60,62,64,66,68,70,72,74,76,78,80,85,90,95,100})</f>
        <v>100</v>
      </c>
      <c r="I261" s="12">
        <v>17</v>
      </c>
      <c r="J261" s="11">
        <f>LOOKUP(I261,{0,3,4,5,6,7,8,9,10,11,12,13,14,15,16,17},{0,10,20,30,40,50,60,64,68,72,76,80,85,90,95,100})</f>
        <v>100</v>
      </c>
      <c r="K261" s="12">
        <f>I261-17</f>
        <v>0</v>
      </c>
      <c r="L261" s="11">
        <f>LOOKUP(K261,{0,1,2,3,4,5,6,7,8,9,10},{0,1,2,3,4,5,6,7,8,9,10})</f>
        <v>0</v>
      </c>
      <c r="M261" s="12">
        <f t="shared" si="154"/>
        <v>100</v>
      </c>
      <c r="N261" s="12">
        <v>6.8</v>
      </c>
      <c r="O261" s="12">
        <f t="shared" si="155"/>
        <v>5.2</v>
      </c>
      <c r="P261" s="11">
        <f>LOOKUP(O261,{0,1.6,1.8,2,2.2,2.4,2.6,2.8,3,3.2,3.4,3.6,3.8,4,4.2,4.4,4.6,4.7,4.8,4.9,5},{0,10,20,30,40,50,60,62,64,66,68,70,72,74,76,78,80,85,90,95,100})</f>
        <v>100</v>
      </c>
      <c r="Q261" s="12">
        <v>4.38</v>
      </c>
      <c r="R261" s="12">
        <f t="shared" si="156"/>
        <v>5.62</v>
      </c>
      <c r="S261" s="11">
        <f>LOOKUP(R261,{0,3.8,4,4.6,4.8,5,5.6,5.65,5.7,5.75,5.8,5.85,5.9,5.95,6,6.45,6.5,6.58,6.65,6.7,6.75},{0,10,20,30,40,50,60,62,64,66,68,70,72,74,76,78,80,85,90,95,100})</f>
        <v>60</v>
      </c>
      <c r="T261" s="12"/>
      <c r="U261" s="12"/>
      <c r="V261" s="12">
        <f t="shared" si="157"/>
        <v>60</v>
      </c>
      <c r="W261" s="12"/>
      <c r="X261" s="20">
        <f t="shared" si="135"/>
        <v>58</v>
      </c>
      <c r="Y261" s="20">
        <f t="shared" si="158"/>
        <v>82.8571428571429</v>
      </c>
    </row>
    <row r="262" ht="15.6" hidden="1" outlineLevel="2" spans="1:25">
      <c r="A262" s="12">
        <v>208</v>
      </c>
      <c r="B262" s="12">
        <v>33</v>
      </c>
      <c r="C262" s="6" t="s">
        <v>414</v>
      </c>
      <c r="D262" s="6" t="s">
        <v>11</v>
      </c>
      <c r="E262" s="12">
        <v>9</v>
      </c>
      <c r="F262" s="11">
        <f>LOOKUP(E262,{0,-2.9,-1.9,-0.9,0.1,1.1,2.1,3.5,4.9,6.3,7.7,9.1,10.5,11.9,13.3,14.7,16.1,18.3,20.5,22.4,24.3},{0,10,20,30,40,50,60,62,64,66,68,70,72,74,76,78,80,85,90,95,100})</f>
        <v>68</v>
      </c>
      <c r="G262" s="12">
        <v>246</v>
      </c>
      <c r="H262" s="11">
        <f>LOOKUP(G262,{0,175,180,185,190,195,200,204,208,212,216,220,224,228,232,236,240,248,255,260,265},{0,10,20,30,40,50,60,62,64,66,68,70,72,74,76,78,80,85,90,95,100})</f>
        <v>80</v>
      </c>
      <c r="I262" s="12">
        <v>15</v>
      </c>
      <c r="J262" s="11">
        <f>LOOKUP(I262,{0,3,4,5,6,7,8,9,10,11,12,13,14,15,16,17},{0,10,20,30,40,50,60,64,68,72,76,80,85,90,95,100})</f>
        <v>90</v>
      </c>
      <c r="K262" s="12"/>
      <c r="L262" s="12"/>
      <c r="M262" s="12">
        <f t="shared" si="154"/>
        <v>90</v>
      </c>
      <c r="N262" s="12">
        <v>8</v>
      </c>
      <c r="O262" s="12">
        <f t="shared" si="155"/>
        <v>4</v>
      </c>
      <c r="P262" s="11">
        <f>LOOKUP(O262,{0,1.6,1.8,2,2.2,2.4,2.6,2.8,3,3.2,3.4,3.6,3.8,4,4.2,4.4,4.6,4.7,4.8,4.9,5},{0,10,20,30,40,50,60,62,64,66,68,70,72,74,76,78,80,85,90,95,100})</f>
        <v>74</v>
      </c>
      <c r="Q262" s="12">
        <v>3.54</v>
      </c>
      <c r="R262" s="12">
        <f t="shared" si="156"/>
        <v>6.46</v>
      </c>
      <c r="S262" s="11">
        <f>LOOKUP(R262,{0,3.8,4,4.6,4.8,5,5.6,5.65,5.7,5.75,5.8,5.85,5.9,5.95,6,6.45,6.5,6.58,6.65,6.7,6.75},{0,10,20,30,40,50,60,62,64,66,68,70,72,74,76,78,80,85,90,95,100})</f>
        <v>78</v>
      </c>
      <c r="T262" s="12"/>
      <c r="U262" s="12"/>
      <c r="V262" s="12">
        <f t="shared" si="157"/>
        <v>78</v>
      </c>
      <c r="W262" s="12"/>
      <c r="X262" s="20">
        <f t="shared" si="135"/>
        <v>54.2</v>
      </c>
      <c r="Y262" s="20">
        <f t="shared" si="158"/>
        <v>77.4285714285714</v>
      </c>
    </row>
    <row r="263" ht="15.6" hidden="1" outlineLevel="2" spans="1:25">
      <c r="A263" s="12">
        <v>208</v>
      </c>
      <c r="B263" s="12">
        <v>34</v>
      </c>
      <c r="C263" s="6" t="s">
        <v>415</v>
      </c>
      <c r="D263" s="6" t="s">
        <v>11</v>
      </c>
      <c r="E263" s="12">
        <v>22.5</v>
      </c>
      <c r="F263" s="11">
        <f>LOOKUP(E263,{0,-2.9,-1.9,-0.9,0.1,1.1,2.1,3.5,4.9,6.3,7.7,9.1,10.5,11.9,13.3,14.7,16.1,18.3,20.5,22.4,24.3},{0,10,20,30,40,50,60,62,64,66,68,70,72,74,76,78,80,85,90,95,100})</f>
        <v>95</v>
      </c>
      <c r="G263" s="12">
        <v>248</v>
      </c>
      <c r="H263" s="11">
        <f>LOOKUP(G263,{0,175,180,185,190,195,200,204,208,212,216,220,224,228,232,236,240,248,255,260,265},{0,10,20,30,40,50,60,62,64,66,68,70,72,74,76,78,80,85,90,95,100})</f>
        <v>85</v>
      </c>
      <c r="I263" s="12">
        <v>10</v>
      </c>
      <c r="J263" s="11">
        <f>LOOKUP(I263,{0,3,4,5,6,7,8,9,10,11,12,13,14,15,16,17},{0,10,20,30,40,50,60,64,68,72,76,80,85,90,95,100})</f>
        <v>68</v>
      </c>
      <c r="K263" s="12"/>
      <c r="L263" s="12"/>
      <c r="M263" s="12">
        <f t="shared" si="154"/>
        <v>68</v>
      </c>
      <c r="N263" s="12">
        <v>7.4</v>
      </c>
      <c r="O263" s="12">
        <f t="shared" si="155"/>
        <v>4.6</v>
      </c>
      <c r="P263" s="11">
        <f>LOOKUP(O263,{0,1.6,1.8,2,2.2,2.4,2.6,2.8,3,3.2,3.4,3.6,3.8,4,4.2,4.4,4.6,4.7,4.8,4.9,5},{0,10,20,30,40,50,60,62,64,66,68,70,72,74,76,78,80,85,90,95,100})</f>
        <v>80</v>
      </c>
      <c r="Q263" s="12">
        <v>3.51</v>
      </c>
      <c r="R263" s="12">
        <f t="shared" si="156"/>
        <v>6.49</v>
      </c>
      <c r="S263" s="11">
        <f>LOOKUP(R263,{0,3.8,4,4.6,4.8,5,5.6,5.65,5.7,5.75,5.8,5.85,5.9,5.95,6,6.45,6.5,6.58,6.65,6.7,6.75},{0,10,20,30,40,50,60,62,64,66,68,70,72,74,76,78,80,85,90,95,100})</f>
        <v>78</v>
      </c>
      <c r="T263" s="12"/>
      <c r="U263" s="12"/>
      <c r="V263" s="12">
        <f t="shared" si="157"/>
        <v>78</v>
      </c>
      <c r="W263" s="12"/>
      <c r="X263" s="20">
        <f t="shared" si="135"/>
        <v>56.4</v>
      </c>
      <c r="Y263" s="20">
        <f t="shared" si="158"/>
        <v>80.5714285714286</v>
      </c>
    </row>
    <row r="264" ht="15.6" hidden="1" outlineLevel="2" spans="1:25">
      <c r="A264" s="12">
        <v>208</v>
      </c>
      <c r="B264" s="12">
        <v>35</v>
      </c>
      <c r="C264" s="6" t="s">
        <v>416</v>
      </c>
      <c r="D264" s="6" t="s">
        <v>11</v>
      </c>
      <c r="E264" s="12"/>
      <c r="F264" s="11"/>
      <c r="G264" s="12"/>
      <c r="H264" s="11"/>
      <c r="I264" s="12"/>
      <c r="J264" s="11"/>
      <c r="K264" s="12"/>
      <c r="L264" s="12"/>
      <c r="M264" s="12"/>
      <c r="N264" s="12"/>
      <c r="O264" s="12"/>
      <c r="P264" s="11"/>
      <c r="Q264" s="12"/>
      <c r="R264" s="12"/>
      <c r="S264" s="11"/>
      <c r="T264" s="12"/>
      <c r="U264" s="11"/>
      <c r="V264" s="12"/>
      <c r="W264" s="12" t="s">
        <v>14</v>
      </c>
      <c r="X264" s="20">
        <f t="shared" si="135"/>
        <v>0</v>
      </c>
      <c r="Y264" s="20">
        <v>50</v>
      </c>
    </row>
    <row r="265" ht="15.6" hidden="1" outlineLevel="2" spans="1:25">
      <c r="A265" s="12">
        <v>208</v>
      </c>
      <c r="B265" s="12">
        <v>36</v>
      </c>
      <c r="C265" s="6" t="s">
        <v>417</v>
      </c>
      <c r="D265" s="6" t="s">
        <v>11</v>
      </c>
      <c r="E265" s="12">
        <v>11.9</v>
      </c>
      <c r="F265" s="11">
        <f>LOOKUP(E265,{0,-2.9,-1.9,-0.9,0.1,1.1,2.1,3.5,4.9,6.3,7.7,9.1,10.5,11.9,13.3,14.7,16.1,18.3,20.5,22.4,24.3},{0,10,20,30,40,50,60,62,64,66,68,70,72,74,76,78,80,85,90,95,100})</f>
        <v>74</v>
      </c>
      <c r="G265" s="12">
        <v>251</v>
      </c>
      <c r="H265" s="11">
        <f>LOOKUP(G265,{0,175,180,185,190,195,200,204,208,212,216,220,224,228,232,236,240,248,255,260,265},{0,10,20,30,40,50,60,62,64,66,68,70,72,74,76,78,80,85,90,95,100})</f>
        <v>85</v>
      </c>
      <c r="I265" s="12">
        <v>5</v>
      </c>
      <c r="J265" s="11">
        <f>LOOKUP(I265,{0,3,4,5,6,7,8,9,10,11,12,13,14,15,16,17},{0,10,20,30,40,50,60,64,68,72,76,80,85,90,95,100})</f>
        <v>30</v>
      </c>
      <c r="K265" s="12"/>
      <c r="L265" s="15"/>
      <c r="M265" s="12">
        <f>J265+L265</f>
        <v>30</v>
      </c>
      <c r="N265" s="12">
        <v>7.2</v>
      </c>
      <c r="O265" s="12">
        <f>12-N265</f>
        <v>4.8</v>
      </c>
      <c r="P265" s="11">
        <f>LOOKUP(O265,{0,1.6,1.8,2,2.2,2.4,2.6,2.8,3,3.2,3.4,3.6,3.8,4,4.2,4.4,4.6,4.7,4.8,4.9,5},{0,10,20,30,40,50,60,62,64,66,68,70,72,74,76,78,80,85,90,95,100})</f>
        <v>90</v>
      </c>
      <c r="Q265" s="12">
        <v>3.5</v>
      </c>
      <c r="R265" s="12">
        <f>10-Q265</f>
        <v>6.5</v>
      </c>
      <c r="S265" s="11">
        <f>LOOKUP(R265,{0,3.8,4,4.6,4.8,5,5.6,5.65,5.7,5.75,5.8,5.85,5.9,5.95,6,6.45,6.5,6.58,6.65,6.7,6.75},{0,10,20,30,40,50,60,62,64,66,68,70,72,74,76,78,80,85,90,95,100})</f>
        <v>80</v>
      </c>
      <c r="T265" s="12"/>
      <c r="U265" s="12"/>
      <c r="V265" s="12">
        <f>S265+U265</f>
        <v>80</v>
      </c>
      <c r="W265" s="12"/>
      <c r="X265" s="20">
        <f t="shared" si="135"/>
        <v>52.9</v>
      </c>
      <c r="Y265" s="20">
        <f>X265/0.7+L265+U265</f>
        <v>75.5714285714286</v>
      </c>
    </row>
    <row r="266" ht="15.6" outlineLevel="1" collapsed="1" spans="1:25">
      <c r="A266" s="14" t="s">
        <v>862</v>
      </c>
      <c r="B266" s="12"/>
      <c r="C266" s="6"/>
      <c r="D266" s="6"/>
      <c r="E266" s="12"/>
      <c r="F266" s="11">
        <f>SUBTOTAL(1,F230:F265)</f>
        <v>78.7333333333333</v>
      </c>
      <c r="G266" s="12"/>
      <c r="H266" s="11">
        <f>SUBTOTAL(1,H230:H265)</f>
        <v>79.7666666666667</v>
      </c>
      <c r="I266" s="12"/>
      <c r="J266" s="11">
        <f>SUBTOTAL(1,J230:J265)</f>
        <v>62</v>
      </c>
      <c r="K266" s="12"/>
      <c r="L266" s="15"/>
      <c r="M266" s="12">
        <f>SUBTOTAL(1,M230:M265)</f>
        <v>63.6666666666667</v>
      </c>
      <c r="N266" s="12"/>
      <c r="O266" s="12"/>
      <c r="P266" s="11">
        <f>SUBTOTAL(1,P230:P265)</f>
        <v>87.0689655172414</v>
      </c>
      <c r="Q266" s="12"/>
      <c r="R266" s="12"/>
      <c r="S266" s="11">
        <f>SUBTOTAL(1,S230:S265)</f>
        <v>77.6666666666667</v>
      </c>
      <c r="T266" s="12"/>
      <c r="U266" s="12"/>
      <c r="V266" s="12">
        <f>SUBTOTAL(1,V230:V265)</f>
        <v>77.7666666666667</v>
      </c>
      <c r="W266" s="12"/>
      <c r="X266" s="20">
        <f>SUBTOTAL(1,X230:X265)</f>
        <v>45.3472222222222</v>
      </c>
      <c r="Y266" s="20">
        <f>SUBTOTAL(1,Y230:Y265)</f>
        <v>74.9126984126984</v>
      </c>
    </row>
    <row r="267" ht="15.6" hidden="1" outlineLevel="2" spans="1:25">
      <c r="A267" s="12">
        <v>209</v>
      </c>
      <c r="B267" s="12">
        <v>1</v>
      </c>
      <c r="C267" s="13" t="s">
        <v>436</v>
      </c>
      <c r="D267" s="6" t="s">
        <v>11</v>
      </c>
      <c r="E267" s="12">
        <v>0</v>
      </c>
      <c r="F267" s="11">
        <f>LOOKUP(E267,{0,-2.9,-1.9,-0.9,0.1,1.1,2.1,3.5,4.9,6.3,7.7,9.1,10.5,11.9,13.3,14.7,16.1,18.3,20.5,22.4,24.3},{0,10,20,30,40,50,60,62,64,66,68,70,72,74,76,78,80,85,90,95,100})</f>
        <v>30</v>
      </c>
      <c r="G267" s="12">
        <v>233</v>
      </c>
      <c r="H267" s="11">
        <f>LOOKUP(G267,{0,175,180,185,190,195,200,204,208,212,216,220,224,228,232,236,240,248,255,260,265},{0,10,20,30,40,50,60,62,64,66,68,70,72,74,76,78,80,85,90,95,100})</f>
        <v>76</v>
      </c>
      <c r="I267" s="12">
        <v>0</v>
      </c>
      <c r="J267" s="11">
        <f>LOOKUP(I267,{0,3,4,5,6,7,8,9,10,11,12,13,14,15,16,17},{0,10,20,30,40,50,60,64,68,72,76,80,85,90,95,100})</f>
        <v>0</v>
      </c>
      <c r="K267" s="12"/>
      <c r="L267" s="12"/>
      <c r="M267" s="12">
        <f t="shared" ref="M267:M274" si="159">J267+L267</f>
        <v>0</v>
      </c>
      <c r="N267" s="12">
        <v>7.6</v>
      </c>
      <c r="O267" s="12">
        <f t="shared" ref="O267:O274" si="160">12-N267</f>
        <v>4.4</v>
      </c>
      <c r="P267" s="11">
        <f>LOOKUP(O267,{0,1.6,1.8,2,2.2,2.4,2.6,2.8,3,3.2,3.4,3.6,3.8,4,4.2,4.4,4.6,4.7,4.8,4.9,5},{0,10,20,30,40,50,60,62,64,66,68,70,72,74,76,78,80,85,90,95,100})</f>
        <v>78</v>
      </c>
      <c r="Q267" s="12">
        <v>4.06</v>
      </c>
      <c r="R267" s="12">
        <f t="shared" ref="R267:R274" si="161">10-Q267</f>
        <v>5.94</v>
      </c>
      <c r="S267" s="11">
        <f>LOOKUP(R267,{0,3.8,4,4.6,4.8,5,5.6,5.65,5.7,5.75,5.8,5.85,5.9,5.95,6,6.45,6.5,6.58,6.65,6.7,6.75},{0,10,20,30,40,50,60,62,64,66,68,70,72,74,76,78,80,85,90,95,100})</f>
        <v>72</v>
      </c>
      <c r="T267" s="12"/>
      <c r="U267" s="12"/>
      <c r="V267" s="12">
        <f t="shared" ref="V267:V274" si="162">S267+U267</f>
        <v>72</v>
      </c>
      <c r="W267" s="12"/>
      <c r="X267" s="20">
        <f t="shared" ref="X267:X306" si="163">F267*0.1+H267*0.1+J267*0.1+P267*0.2+S267*0.2</f>
        <v>40.6</v>
      </c>
      <c r="Y267" s="20">
        <f t="shared" ref="Y267:Y274" si="164">X267/0.7+L267+U267</f>
        <v>58</v>
      </c>
    </row>
    <row r="268" ht="15.6" hidden="1" outlineLevel="2" spans="1:25">
      <c r="A268" s="12">
        <v>209</v>
      </c>
      <c r="B268" s="12">
        <v>2</v>
      </c>
      <c r="C268" s="6" t="s">
        <v>437</v>
      </c>
      <c r="D268" s="6" t="s">
        <v>11</v>
      </c>
      <c r="E268" s="12">
        <v>21</v>
      </c>
      <c r="F268" s="11">
        <f>LOOKUP(E268,{0,-2.9,-1.9,-0.9,0.1,1.1,2.1,3.5,4.9,6.3,7.7,9.1,10.5,11.9,13.3,14.7,16.1,18.3,20.5,22.4,24.3},{0,10,20,30,40,50,60,62,64,66,68,70,72,74,76,78,80,85,90,95,100})</f>
        <v>90</v>
      </c>
      <c r="G268" s="12">
        <v>255</v>
      </c>
      <c r="H268" s="11">
        <f>LOOKUP(G268,{0,175,180,185,190,195,200,204,208,212,216,220,224,228,232,236,240,248,255,260,265},{0,10,20,30,40,50,60,62,64,66,68,70,72,74,76,78,80,85,90,95,100})</f>
        <v>90</v>
      </c>
      <c r="I268" s="12">
        <v>5</v>
      </c>
      <c r="J268" s="11">
        <f>LOOKUP(I268,{0,3,4,5,6,7,8,9,10,11,12,13,14,15,16,17},{0,10,20,30,40,50,60,64,68,72,76,80,85,90,95,100})</f>
        <v>30</v>
      </c>
      <c r="K268" s="12"/>
      <c r="L268" s="12"/>
      <c r="M268" s="12">
        <f t="shared" si="159"/>
        <v>30</v>
      </c>
      <c r="N268" s="12">
        <v>7</v>
      </c>
      <c r="O268" s="12">
        <f t="shared" si="160"/>
        <v>5</v>
      </c>
      <c r="P268" s="11">
        <f>LOOKUP(O268,{0,1.6,1.8,2,2.2,2.4,2.6,2.8,3,3.2,3.4,3.6,3.8,4,4.2,4.4,4.6,4.7,4.8,4.9,5},{0,10,20,30,40,50,60,62,64,66,68,70,72,74,76,78,80,85,90,95,100})</f>
        <v>100</v>
      </c>
      <c r="Q268" s="12">
        <v>3.21</v>
      </c>
      <c r="R268" s="12">
        <f t="shared" si="161"/>
        <v>6.79</v>
      </c>
      <c r="S268" s="11">
        <f>LOOKUP(R268,{0,3.8,4,4.6,4.8,5,5.6,5.65,5.7,5.75,5.8,5.85,5.9,5.95,6,6.45,6.5,6.58,6.65,6.7,6.75},{0,10,20,30,40,50,60,62,64,66,68,70,72,74,76,78,80,85,90,95,100})</f>
        <v>100</v>
      </c>
      <c r="T268" s="12">
        <f>3.25-Q268</f>
        <v>0.04</v>
      </c>
      <c r="U268" s="11">
        <f>LOOKUP(T268,{0,0.04,0.08,0.12,0.16,0.2,0.23,0.26,0.29,0.32,0.35},{0,1,2,3,4,5,6,7,8,9,10})</f>
        <v>1</v>
      </c>
      <c r="V268" s="12">
        <f t="shared" si="162"/>
        <v>101</v>
      </c>
      <c r="W268" s="12"/>
      <c r="X268" s="20">
        <f t="shared" si="163"/>
        <v>61</v>
      </c>
      <c r="Y268" s="20">
        <f t="shared" si="164"/>
        <v>88.1428571428572</v>
      </c>
    </row>
    <row r="269" ht="15.6" hidden="1" outlineLevel="2" spans="1:25">
      <c r="A269" s="12">
        <v>209</v>
      </c>
      <c r="B269" s="12">
        <v>3</v>
      </c>
      <c r="C269" s="6" t="s">
        <v>438</v>
      </c>
      <c r="D269" s="6" t="s">
        <v>11</v>
      </c>
      <c r="E269" s="12">
        <v>2.8</v>
      </c>
      <c r="F269" s="11">
        <f>LOOKUP(E269,{0,-2.9,-1.9,-0.9,0.1,1.1,2.1,3.5,4.9,6.3,7.7,9.1,10.5,11.9,13.3,14.7,16.1,18.3,20.5,22.4,24.3},{0,10,20,30,40,50,60,62,64,66,68,70,72,74,76,78,80,85,90,95,100})</f>
        <v>60</v>
      </c>
      <c r="G269" s="12">
        <v>218</v>
      </c>
      <c r="H269" s="11">
        <f>LOOKUP(G269,{0,175,180,185,190,195,200,204,208,212,216,220,224,228,232,236,240,248,255,260,265},{0,10,20,30,40,50,60,62,64,66,68,70,72,74,76,78,80,85,90,95,100})</f>
        <v>68</v>
      </c>
      <c r="I269" s="12">
        <v>2</v>
      </c>
      <c r="J269" s="11">
        <f>LOOKUP(I269,{0,3,4,5,6,7,8,9,10,11,12,13,14,15,16,17},{0,10,20,30,40,50,60,64,68,72,76,80,85,90,95,100})</f>
        <v>0</v>
      </c>
      <c r="K269" s="12"/>
      <c r="L269" s="12"/>
      <c r="M269" s="12">
        <f t="shared" si="159"/>
        <v>0</v>
      </c>
      <c r="N269" s="12">
        <v>7.1</v>
      </c>
      <c r="O269" s="12">
        <f t="shared" si="160"/>
        <v>4.9</v>
      </c>
      <c r="P269" s="11">
        <f>LOOKUP(O269,{0,1.6,1.8,2,2.2,2.4,2.6,2.8,3,3.2,3.4,3.6,3.8,4,4.2,4.4,4.6,4.7,4.8,4.9,5},{0,10,20,30,40,50,60,62,64,66,68,70,72,74,76,78,80,85,90,95,100})</f>
        <v>95</v>
      </c>
      <c r="Q269" s="12">
        <v>3.35</v>
      </c>
      <c r="R269" s="12">
        <f t="shared" si="161"/>
        <v>6.65</v>
      </c>
      <c r="S269" s="11">
        <f>LOOKUP(R269,{0,3.8,4,4.6,4.8,5,5.6,5.65,5.7,5.75,5.8,5.85,5.9,5.95,6,6.45,6.5,6.58,6.65,6.7,6.75},{0,10,20,30,40,50,60,62,64,66,68,70,72,74,76,78,80,85,90,95,100})</f>
        <v>90</v>
      </c>
      <c r="T269" s="12"/>
      <c r="U269" s="12"/>
      <c r="V269" s="12">
        <f t="shared" si="162"/>
        <v>90</v>
      </c>
      <c r="W269" s="12"/>
      <c r="X269" s="20">
        <f t="shared" si="163"/>
        <v>49.8</v>
      </c>
      <c r="Y269" s="20">
        <f t="shared" si="164"/>
        <v>71.1428571428571</v>
      </c>
    </row>
    <row r="270" s="1" customFormat="1" ht="15.6" hidden="1" outlineLevel="2" spans="1:25">
      <c r="A270" s="12">
        <v>209</v>
      </c>
      <c r="B270" s="12">
        <v>4</v>
      </c>
      <c r="C270" s="6" t="s">
        <v>439</v>
      </c>
      <c r="D270" s="6" t="s">
        <v>11</v>
      </c>
      <c r="E270" s="12">
        <v>12</v>
      </c>
      <c r="F270" s="11">
        <f>LOOKUP(E270,{0,-2.9,-1.9,-0.9,0.1,1.1,2.1,3.5,4.9,6.3,7.7,9.1,10.5,11.9,13.3,14.7,16.1,18.3,20.5,22.4,24.3},{0,10,20,30,40,50,60,62,64,66,68,70,72,74,76,78,80,85,90,95,100})</f>
        <v>74</v>
      </c>
      <c r="G270" s="12">
        <v>270</v>
      </c>
      <c r="H270" s="11">
        <f>LOOKUP(G270,{0,175,180,185,190,195,200,204,208,212,216,220,224,228,232,236,240,248,255,260,265},{0,10,20,30,40,50,60,62,64,66,68,70,72,74,76,78,80,85,90,95,100})</f>
        <v>100</v>
      </c>
      <c r="I270" s="12">
        <v>21</v>
      </c>
      <c r="J270" s="11">
        <f>LOOKUP(I270,{0,3,4,5,6,7,8,9,10,11,12,13,14,15,16,17},{0,10,20,30,40,50,60,64,68,72,76,80,85,90,95,100})</f>
        <v>100</v>
      </c>
      <c r="K270" s="12">
        <f>I270-17</f>
        <v>4</v>
      </c>
      <c r="L270" s="16">
        <f>LOOKUP(K270,{0,1,2,3,4,5,6,7,8,9,10},{0,1,2,3,4,5,6,7,8,9,10})</f>
        <v>4</v>
      </c>
      <c r="M270" s="12">
        <f t="shared" si="159"/>
        <v>104</v>
      </c>
      <c r="N270" s="12">
        <v>7.3</v>
      </c>
      <c r="O270" s="12">
        <f t="shared" si="160"/>
        <v>4.7</v>
      </c>
      <c r="P270" s="11">
        <f>LOOKUP(O270,{0,1.6,1.8,2,2.2,2.4,2.6,2.8,3,3.2,3.4,3.6,3.8,4,4.2,4.4,4.6,4.7,4.8,4.9,5},{0,10,20,30,40,50,60,62,64,66,68,70,72,74,76,78,80,85,90,95,100})</f>
        <v>85</v>
      </c>
      <c r="Q270" s="12">
        <v>3.26</v>
      </c>
      <c r="R270" s="12">
        <f t="shared" si="161"/>
        <v>6.74</v>
      </c>
      <c r="S270" s="11">
        <f>LOOKUP(R270,{0,3.8,4,4.6,4.8,5,5.6,5.65,5.7,5.75,5.8,5.85,5.9,5.95,6,6.45,6.5,6.58,6.65,6.7,6.75},{0,10,20,30,40,50,60,62,64,66,68,70,72,74,76,78,80,85,90,95,100})</f>
        <v>95</v>
      </c>
      <c r="T270" s="12"/>
      <c r="U270" s="12"/>
      <c r="V270" s="12">
        <f t="shared" si="162"/>
        <v>95</v>
      </c>
      <c r="W270" s="12"/>
      <c r="X270" s="20">
        <f t="shared" si="163"/>
        <v>63.4</v>
      </c>
      <c r="Y270" s="20">
        <f t="shared" si="164"/>
        <v>94.5714285714286</v>
      </c>
    </row>
    <row r="271" ht="15.6" hidden="1" outlineLevel="2" spans="1:25">
      <c r="A271" s="12">
        <v>209</v>
      </c>
      <c r="B271" s="12">
        <v>5</v>
      </c>
      <c r="C271" s="6" t="s">
        <v>440</v>
      </c>
      <c r="D271" s="6" t="s">
        <v>11</v>
      </c>
      <c r="E271" s="12">
        <v>8.3</v>
      </c>
      <c r="F271" s="11">
        <f>LOOKUP(E271,{0,-2.9,-1.9,-0.9,0.1,1.1,2.1,3.5,4.9,6.3,7.7,9.1,10.5,11.9,13.3,14.7,16.1,18.3,20.5,22.4,24.3},{0,10,20,30,40,50,60,62,64,66,68,70,72,74,76,78,80,85,90,95,100})</f>
        <v>68</v>
      </c>
      <c r="G271" s="12">
        <v>238</v>
      </c>
      <c r="H271" s="11">
        <f>LOOKUP(G271,{0,175,180,185,190,195,200,204,208,212,216,220,224,228,232,236,240,248,255,260,265},{0,10,20,30,40,50,60,62,64,66,68,70,72,74,76,78,80,85,90,95,100})</f>
        <v>78</v>
      </c>
      <c r="I271" s="12">
        <v>18</v>
      </c>
      <c r="J271" s="11">
        <f>LOOKUP(I271,{0,3,4,5,6,7,8,9,10,11,12,13,14,15,16,17},{0,10,20,30,40,50,60,64,68,72,76,80,85,90,95,100})</f>
        <v>100</v>
      </c>
      <c r="K271" s="12">
        <f>I271-17</f>
        <v>1</v>
      </c>
      <c r="L271" s="16">
        <f>LOOKUP(K271,{0,1,2,3,4,5,6,7,8,9,10},{0,1,2,3,4,5,6,7,8,9,10})</f>
        <v>1</v>
      </c>
      <c r="M271" s="12">
        <f t="shared" si="159"/>
        <v>101</v>
      </c>
      <c r="N271" s="12">
        <v>7.2</v>
      </c>
      <c r="O271" s="12">
        <f t="shared" si="160"/>
        <v>4.8</v>
      </c>
      <c r="P271" s="11">
        <f>LOOKUP(O271,{0,1.6,1.8,2,2.2,2.4,2.6,2.8,3,3.2,3.4,3.6,3.8,4,4.2,4.4,4.6,4.7,4.8,4.9,5},{0,10,20,30,40,50,60,62,64,66,68,70,72,74,76,78,80,85,90,95,100})</f>
        <v>90</v>
      </c>
      <c r="Q271" s="12">
        <v>3.24</v>
      </c>
      <c r="R271" s="12">
        <f t="shared" si="161"/>
        <v>6.76</v>
      </c>
      <c r="S271" s="11">
        <f>LOOKUP(R271,{0,3.8,4,4.6,4.8,5,5.6,5.65,5.7,5.75,5.8,5.85,5.9,5.95,6,6.45,6.5,6.58,6.65,6.7,6.75},{0,10,20,30,40,50,60,62,64,66,68,70,72,74,76,78,80,85,90,95,100})</f>
        <v>100</v>
      </c>
      <c r="T271" s="12">
        <f>3.25-Q271</f>
        <v>0.00999999999999979</v>
      </c>
      <c r="U271" s="11">
        <f>LOOKUP(T271,{0,0.04,0.08,0.12,0.16,0.2,0.23,0.26,0.29,0.32,0.35},{0,1,2,3,4,5,6,7,8,9,10})</f>
        <v>0</v>
      </c>
      <c r="V271" s="12">
        <f t="shared" si="162"/>
        <v>100</v>
      </c>
      <c r="W271" s="12"/>
      <c r="X271" s="20">
        <f t="shared" si="163"/>
        <v>62.6</v>
      </c>
      <c r="Y271" s="20">
        <f t="shared" si="164"/>
        <v>90.4285714285714</v>
      </c>
    </row>
    <row r="272" ht="15.6" hidden="1" outlineLevel="2" spans="1:25">
      <c r="A272" s="12">
        <v>209</v>
      </c>
      <c r="B272" s="12">
        <v>6</v>
      </c>
      <c r="C272" s="6" t="s">
        <v>441</v>
      </c>
      <c r="D272" s="6" t="s">
        <v>11</v>
      </c>
      <c r="E272" s="12">
        <v>5.4</v>
      </c>
      <c r="F272" s="11">
        <f>LOOKUP(E272,{0,-2.9,-1.9,-0.9,0.1,1.1,2.1,3.5,4.9,6.3,7.7,9.1,10.5,11.9,13.3,14.7,16.1,18.3,20.5,22.4,24.3},{0,10,20,30,40,50,60,62,64,66,68,70,72,74,76,78,80,85,90,95,100})</f>
        <v>64</v>
      </c>
      <c r="G272" s="12">
        <v>253</v>
      </c>
      <c r="H272" s="11">
        <f>LOOKUP(G272,{0,175,180,185,190,195,200,204,208,212,216,220,224,228,232,236,240,248,255,260,265},{0,10,20,30,40,50,60,62,64,66,68,70,72,74,76,78,80,85,90,95,100})</f>
        <v>85</v>
      </c>
      <c r="I272" s="12">
        <v>15</v>
      </c>
      <c r="J272" s="11">
        <f>LOOKUP(I272,{0,3,4,5,6,7,8,9,10,11,12,13,14,15,16,17},{0,10,20,30,40,50,60,64,68,72,76,80,85,90,95,100})</f>
        <v>90</v>
      </c>
      <c r="K272" s="12"/>
      <c r="L272" s="12"/>
      <c r="M272" s="12">
        <f t="shared" si="159"/>
        <v>90</v>
      </c>
      <c r="N272" s="12">
        <v>7</v>
      </c>
      <c r="O272" s="12">
        <f t="shared" si="160"/>
        <v>5</v>
      </c>
      <c r="P272" s="11">
        <f>LOOKUP(O272,{0,1.6,1.8,2,2.2,2.4,2.6,2.8,3,3.2,3.4,3.6,3.8,4,4.2,4.4,4.6,4.7,4.8,4.9,5},{0,10,20,30,40,50,60,62,64,66,68,70,72,74,76,78,80,85,90,95,100})</f>
        <v>100</v>
      </c>
      <c r="Q272" s="12">
        <v>3.48</v>
      </c>
      <c r="R272" s="12">
        <f t="shared" si="161"/>
        <v>6.52</v>
      </c>
      <c r="S272" s="11">
        <f>LOOKUP(R272,{0,3.8,4,4.6,4.8,5,5.6,5.65,5.7,5.75,5.8,5.85,5.9,5.95,6,6.45,6.5,6.58,6.65,6.7,6.75},{0,10,20,30,40,50,60,62,64,66,68,70,72,74,76,78,80,85,90,95,100})</f>
        <v>80</v>
      </c>
      <c r="T272" s="12"/>
      <c r="U272" s="12"/>
      <c r="V272" s="12">
        <f t="shared" si="162"/>
        <v>80</v>
      </c>
      <c r="W272" s="12"/>
      <c r="X272" s="20">
        <f t="shared" si="163"/>
        <v>59.9</v>
      </c>
      <c r="Y272" s="20">
        <f t="shared" si="164"/>
        <v>85.5714285714286</v>
      </c>
    </row>
    <row r="273" ht="15.6" hidden="1" outlineLevel="2" spans="1:25">
      <c r="A273" s="12">
        <v>209</v>
      </c>
      <c r="B273" s="12">
        <v>7</v>
      </c>
      <c r="C273" s="6" t="s">
        <v>442</v>
      </c>
      <c r="D273" s="6" t="s">
        <v>11</v>
      </c>
      <c r="E273" s="12">
        <v>7.3</v>
      </c>
      <c r="F273" s="11">
        <f>LOOKUP(E273,{0,-2.9,-1.9,-0.9,0.1,1.1,2.1,3.5,4.9,6.3,7.7,9.1,10.5,11.9,13.3,14.7,16.1,18.3,20.5,22.4,24.3},{0,10,20,30,40,50,60,62,64,66,68,70,72,74,76,78,80,85,90,95,100})</f>
        <v>66</v>
      </c>
      <c r="G273" s="12">
        <v>219</v>
      </c>
      <c r="H273" s="11">
        <f>LOOKUP(G273,{0,175,180,185,190,195,200,204,208,212,216,220,224,228,232,236,240,248,255,260,265},{0,10,20,30,40,50,60,62,64,66,68,70,72,74,76,78,80,85,90,95,100})</f>
        <v>68</v>
      </c>
      <c r="I273" s="12">
        <v>8</v>
      </c>
      <c r="J273" s="11">
        <f>LOOKUP(I273,{0,3,4,5,6,7,8,9,10,11,12,13,14,15,16,17},{0,10,20,30,40,50,60,64,68,72,76,80,85,90,95,100})</f>
        <v>60</v>
      </c>
      <c r="K273" s="12"/>
      <c r="L273" s="12"/>
      <c r="M273" s="12">
        <f t="shared" si="159"/>
        <v>60</v>
      </c>
      <c r="N273" s="12">
        <v>7.7</v>
      </c>
      <c r="O273" s="12">
        <f t="shared" si="160"/>
        <v>4.3</v>
      </c>
      <c r="P273" s="11">
        <f>LOOKUP(O273,{0,1.6,1.8,2,2.2,2.4,2.6,2.8,3,3.2,3.4,3.6,3.8,4,4.2,4.4,4.6,4.7,4.8,4.9,5},{0,10,20,30,40,50,60,62,64,66,68,70,72,74,76,78,80,85,90,95,100})</f>
        <v>76</v>
      </c>
      <c r="Q273" s="12">
        <v>3.51</v>
      </c>
      <c r="R273" s="12">
        <f t="shared" si="161"/>
        <v>6.49</v>
      </c>
      <c r="S273" s="11">
        <f>LOOKUP(R273,{0,3.8,4,4.6,4.8,5,5.6,5.65,5.7,5.75,5.8,5.85,5.9,5.95,6,6.45,6.5,6.58,6.65,6.7,6.75},{0,10,20,30,40,50,60,62,64,66,68,70,72,74,76,78,80,85,90,95,100})</f>
        <v>78</v>
      </c>
      <c r="T273" s="12"/>
      <c r="U273" s="12"/>
      <c r="V273" s="12">
        <f t="shared" si="162"/>
        <v>78</v>
      </c>
      <c r="W273" s="12"/>
      <c r="X273" s="20">
        <f t="shared" si="163"/>
        <v>50.2</v>
      </c>
      <c r="Y273" s="20">
        <f t="shared" si="164"/>
        <v>71.7142857142857</v>
      </c>
    </row>
    <row r="274" ht="15.6" hidden="1" outlineLevel="2" spans="1:25">
      <c r="A274" s="12">
        <v>209</v>
      </c>
      <c r="B274" s="12">
        <v>8</v>
      </c>
      <c r="C274" s="6" t="s">
        <v>443</v>
      </c>
      <c r="D274" s="6" t="s">
        <v>11</v>
      </c>
      <c r="E274" s="12">
        <v>0.5</v>
      </c>
      <c r="F274" s="11">
        <f>LOOKUP(E274,{0,-2.9,-1.9,-0.9,0.1,1.1,2.1,3.5,4.9,6.3,7.7,9.1,10.5,11.9,13.3,14.7,16.1,18.3,20.5,22.4,24.3},{0,10,20,30,40,50,60,62,64,66,68,70,72,74,76,78,80,85,90,95,100})</f>
        <v>40</v>
      </c>
      <c r="G274" s="12">
        <v>214</v>
      </c>
      <c r="H274" s="11">
        <f>LOOKUP(G274,{0,175,180,185,190,195,200,204,208,212,216,220,224,228,232,236,240,248,255,260,265},{0,10,20,30,40,50,60,62,64,66,68,70,72,74,76,78,80,85,90,95,100})</f>
        <v>66</v>
      </c>
      <c r="I274" s="12">
        <v>5</v>
      </c>
      <c r="J274" s="11">
        <f>LOOKUP(I274,{0,3,4,5,6,7,8,9,10,11,12,13,14,15,16,17},{0,10,20,30,40,50,60,64,68,72,76,80,85,90,95,100})</f>
        <v>30</v>
      </c>
      <c r="K274" s="12"/>
      <c r="L274" s="12"/>
      <c r="M274" s="12">
        <f t="shared" si="159"/>
        <v>30</v>
      </c>
      <c r="N274" s="12">
        <v>7.5</v>
      </c>
      <c r="O274" s="12">
        <f t="shared" si="160"/>
        <v>4.5</v>
      </c>
      <c r="P274" s="11">
        <f>LOOKUP(O274,{0,1.6,1.8,2,2.2,2.4,2.6,2.8,3,3.2,3.4,3.6,3.8,4,4.2,4.4,4.6,4.7,4.8,4.9,5},{0,10,20,30,40,50,60,62,64,66,68,70,72,74,76,78,80,85,90,95,100})</f>
        <v>78</v>
      </c>
      <c r="Q274" s="12">
        <v>4.05</v>
      </c>
      <c r="R274" s="12">
        <f t="shared" si="161"/>
        <v>5.95</v>
      </c>
      <c r="S274" s="11">
        <f>LOOKUP(R274,{0,3.8,4,4.6,4.8,5,5.6,5.65,5.7,5.75,5.8,5.85,5.9,5.95,6,6.45,6.5,6.58,6.65,6.7,6.75},{0,10,20,30,40,50,60,62,64,66,68,70,72,74,76,78,80,85,90,95,100})</f>
        <v>74</v>
      </c>
      <c r="T274" s="12"/>
      <c r="U274" s="12"/>
      <c r="V274" s="12">
        <f t="shared" si="162"/>
        <v>74</v>
      </c>
      <c r="W274" s="12"/>
      <c r="X274" s="20">
        <f t="shared" si="163"/>
        <v>44</v>
      </c>
      <c r="Y274" s="20">
        <f t="shared" si="164"/>
        <v>62.8571428571429</v>
      </c>
    </row>
    <row r="275" ht="15.6" hidden="1" outlineLevel="2" spans="1:25">
      <c r="A275" s="12">
        <v>209</v>
      </c>
      <c r="B275" s="12">
        <v>9</v>
      </c>
      <c r="C275" s="6" t="s">
        <v>444</v>
      </c>
      <c r="D275" s="6" t="s">
        <v>11</v>
      </c>
      <c r="E275" s="12"/>
      <c r="F275" s="11"/>
      <c r="G275" s="12"/>
      <c r="H275" s="11"/>
      <c r="I275" s="12"/>
      <c r="J275" s="11"/>
      <c r="K275" s="12"/>
      <c r="L275" s="12"/>
      <c r="M275" s="12"/>
      <c r="N275" s="12"/>
      <c r="O275" s="12"/>
      <c r="P275" s="11"/>
      <c r="Q275" s="12"/>
      <c r="R275" s="12"/>
      <c r="S275" s="11"/>
      <c r="T275" s="12"/>
      <c r="U275" s="11"/>
      <c r="V275" s="12"/>
      <c r="W275" s="12" t="s">
        <v>14</v>
      </c>
      <c r="X275" s="20">
        <f t="shared" si="163"/>
        <v>0</v>
      </c>
      <c r="Y275" s="20">
        <v>50</v>
      </c>
    </row>
    <row r="276" ht="15.6" hidden="1" outlineLevel="2" spans="1:25">
      <c r="A276" s="12">
        <v>209</v>
      </c>
      <c r="B276" s="12">
        <v>10</v>
      </c>
      <c r="C276" s="6" t="s">
        <v>445</v>
      </c>
      <c r="D276" s="6" t="s">
        <v>11</v>
      </c>
      <c r="E276" s="12">
        <v>6.9</v>
      </c>
      <c r="F276" s="11">
        <f>LOOKUP(E276,{0,-2.9,-1.9,-0.9,0.1,1.1,2.1,3.5,4.9,6.3,7.7,9.1,10.5,11.9,13.3,14.7,16.1,18.3,20.5,22.4,24.3},{0,10,20,30,40,50,60,62,64,66,68,70,72,74,76,78,80,85,90,95,100})</f>
        <v>66</v>
      </c>
      <c r="G276" s="12">
        <v>247</v>
      </c>
      <c r="H276" s="11">
        <f>LOOKUP(G276,{0,175,180,185,190,195,200,204,208,212,216,220,224,228,232,236,240,248,255,260,265},{0,10,20,30,40,50,60,62,64,66,68,70,72,74,76,78,80,85,90,95,100})</f>
        <v>80</v>
      </c>
      <c r="I276" s="12">
        <v>6</v>
      </c>
      <c r="J276" s="11">
        <f>LOOKUP(I276,{0,3,4,5,6,7,8,9,10,11,12,13,14,15,16,17},{0,10,20,30,40,50,60,64,68,72,76,80,85,90,95,100})</f>
        <v>40</v>
      </c>
      <c r="K276" s="12"/>
      <c r="L276" s="15"/>
      <c r="M276" s="12">
        <f t="shared" ref="M276:M306" si="165">J276+L276</f>
        <v>40</v>
      </c>
      <c r="N276" s="12">
        <v>7.4</v>
      </c>
      <c r="O276" s="12">
        <f t="shared" ref="O276:O282" si="166">12-N276</f>
        <v>4.6</v>
      </c>
      <c r="P276" s="11">
        <f>LOOKUP(O276,{0,1.6,1.8,2,2.2,2.4,2.6,2.8,3,3.2,3.4,3.6,3.8,4,4.2,4.4,4.6,4.7,4.8,4.9,5},{0,10,20,30,40,50,60,62,64,66,68,70,72,74,76,78,80,85,90,95,100})</f>
        <v>80</v>
      </c>
      <c r="Q276" s="12">
        <v>4.07</v>
      </c>
      <c r="R276" s="12">
        <f t="shared" ref="R276:R282" si="167">10-Q276</f>
        <v>5.93</v>
      </c>
      <c r="S276" s="11">
        <f>LOOKUP(R276,{0,3.8,4,4.6,4.8,5,5.6,5.65,5.7,5.75,5.8,5.85,5.9,5.95,6,6.45,6.5,6.58,6.65,6.7,6.75},{0,10,20,30,40,50,60,62,64,66,68,70,72,74,76,78,80,85,90,95,100})</f>
        <v>72</v>
      </c>
      <c r="T276" s="12"/>
      <c r="U276" s="12"/>
      <c r="V276" s="12">
        <f t="shared" ref="V276:V282" si="168">S276+U276</f>
        <v>72</v>
      </c>
      <c r="W276" s="12"/>
      <c r="X276" s="20">
        <f t="shared" si="163"/>
        <v>49</v>
      </c>
      <c r="Y276" s="20">
        <f t="shared" ref="Y276:Y282" si="169">X276/0.7+L276+U276</f>
        <v>70</v>
      </c>
    </row>
    <row r="277" ht="15.6" hidden="1" outlineLevel="2" spans="1:25">
      <c r="A277" s="12">
        <v>209</v>
      </c>
      <c r="B277" s="12">
        <v>11</v>
      </c>
      <c r="C277" s="13" t="s">
        <v>447</v>
      </c>
      <c r="D277" s="6" t="s">
        <v>11</v>
      </c>
      <c r="E277" s="12">
        <v>8.8</v>
      </c>
      <c r="F277" s="11">
        <f>LOOKUP(E277,{0,-2.9,-1.9,-0.9,0.1,1.1,2.1,3.5,4.9,6.3,7.7,9.1,10.5,11.9,13.3,14.7,16.1,18.3,20.5,22.4,24.3},{0,10,20,30,40,50,60,62,64,66,68,70,72,74,76,78,80,85,90,95,100})</f>
        <v>68</v>
      </c>
      <c r="G277" s="12">
        <v>205</v>
      </c>
      <c r="H277" s="11">
        <f>LOOKUP(G277,{0,175,180,185,190,195,200,204,208,212,216,220,224,228,232,236,240,248,255,260,265},{0,10,20,30,40,50,60,62,64,66,68,70,72,74,76,78,80,85,90,95,100})</f>
        <v>62</v>
      </c>
      <c r="I277" s="12">
        <v>11</v>
      </c>
      <c r="J277" s="11">
        <f>LOOKUP(I277,{0,3,4,5,6,7,8,9,10,11,12,13,14,15,16,17},{0,10,20,30,40,50,60,64,68,72,76,80,85,90,95,100})</f>
        <v>72</v>
      </c>
      <c r="K277" s="12"/>
      <c r="L277" s="12"/>
      <c r="M277" s="12">
        <f t="shared" si="165"/>
        <v>72</v>
      </c>
      <c r="N277" s="12">
        <v>7.7</v>
      </c>
      <c r="O277" s="12">
        <f t="shared" si="166"/>
        <v>4.3</v>
      </c>
      <c r="P277" s="11">
        <f>LOOKUP(O277,{0,1.6,1.8,2,2.2,2.4,2.6,2.8,3,3.2,3.4,3.6,3.8,4,4.2,4.4,4.6,4.7,4.8,4.9,5},{0,10,20,30,40,50,60,62,64,66,68,70,72,74,76,78,80,85,90,95,100})</f>
        <v>76</v>
      </c>
      <c r="Q277" s="12">
        <v>4.17</v>
      </c>
      <c r="R277" s="12">
        <f t="shared" si="167"/>
        <v>5.83</v>
      </c>
      <c r="S277" s="11">
        <f>LOOKUP(R277,{0,3.8,4,4.6,4.8,5,5.6,5.65,5.7,5.75,5.8,5.85,5.9,5.95,6,6.45,6.5,6.58,6.65,6.7,6.75},{0,10,20,30,40,50,60,62,64,66,68,70,72,74,76,78,80,85,90,95,100})</f>
        <v>68</v>
      </c>
      <c r="T277" s="12"/>
      <c r="U277" s="12"/>
      <c r="V277" s="12">
        <f t="shared" si="168"/>
        <v>68</v>
      </c>
      <c r="W277" s="12"/>
      <c r="X277" s="20">
        <f t="shared" si="163"/>
        <v>49</v>
      </c>
      <c r="Y277" s="20">
        <f t="shared" si="169"/>
        <v>70</v>
      </c>
    </row>
    <row r="278" ht="15.6" hidden="1" outlineLevel="2" spans="1:25">
      <c r="A278" s="12">
        <v>209</v>
      </c>
      <c r="B278" s="12">
        <v>12</v>
      </c>
      <c r="C278" s="6" t="s">
        <v>448</v>
      </c>
      <c r="D278" s="6" t="s">
        <v>11</v>
      </c>
      <c r="E278" s="12">
        <v>8.5</v>
      </c>
      <c r="F278" s="11">
        <f>LOOKUP(E278,{0,-2.9,-1.9,-0.9,0.1,1.1,2.1,3.5,4.9,6.3,7.7,9.1,10.5,11.9,13.3,14.7,16.1,18.3,20.5,22.4,24.3},{0,10,20,30,40,50,60,62,64,66,68,70,72,74,76,78,80,85,90,95,100})</f>
        <v>68</v>
      </c>
      <c r="G278" s="12">
        <v>234</v>
      </c>
      <c r="H278" s="11">
        <f>LOOKUP(G278,{0,175,180,185,190,195,200,204,208,212,216,220,224,228,232,236,240,248,255,260,265},{0,10,20,30,40,50,60,62,64,66,68,70,72,74,76,78,80,85,90,95,100})</f>
        <v>76</v>
      </c>
      <c r="I278" s="12">
        <v>0</v>
      </c>
      <c r="J278" s="11">
        <f>LOOKUP(I278,{0,3,4,5,6,7,8,9,10,11,12,13,14,15,16,17},{0,10,20,30,40,50,60,64,68,72,76,80,85,90,95,100})</f>
        <v>0</v>
      </c>
      <c r="K278" s="12"/>
      <c r="L278" s="12"/>
      <c r="M278" s="12">
        <f t="shared" si="165"/>
        <v>0</v>
      </c>
      <c r="N278" s="12">
        <v>7.6</v>
      </c>
      <c r="O278" s="12">
        <f t="shared" si="166"/>
        <v>4.4</v>
      </c>
      <c r="P278" s="11">
        <f>LOOKUP(O278,{0,1.6,1.8,2,2.2,2.4,2.6,2.8,3,3.2,3.4,3.6,3.8,4,4.2,4.4,4.6,4.7,4.8,4.9,5},{0,10,20,30,40,50,60,62,64,66,68,70,72,74,76,78,80,85,90,95,100})</f>
        <v>78</v>
      </c>
      <c r="Q278" s="12">
        <v>3.5</v>
      </c>
      <c r="R278" s="12">
        <f t="shared" si="167"/>
        <v>6.5</v>
      </c>
      <c r="S278" s="11">
        <f>LOOKUP(R278,{0,3.8,4,4.6,4.8,5,5.6,5.65,5.7,5.75,5.8,5.85,5.9,5.95,6,6.45,6.5,6.58,6.65,6.7,6.75},{0,10,20,30,40,50,60,62,64,66,68,70,72,74,76,78,80,85,90,95,100})</f>
        <v>80</v>
      </c>
      <c r="T278" s="12"/>
      <c r="U278" s="12"/>
      <c r="V278" s="12">
        <f t="shared" si="168"/>
        <v>80</v>
      </c>
      <c r="W278" s="12"/>
      <c r="X278" s="20">
        <f t="shared" si="163"/>
        <v>46</v>
      </c>
      <c r="Y278" s="20">
        <f t="shared" si="169"/>
        <v>65.7142857142857</v>
      </c>
    </row>
    <row r="279" ht="15.6" hidden="1" outlineLevel="2" spans="1:25">
      <c r="A279" s="12">
        <v>209</v>
      </c>
      <c r="B279" s="12">
        <v>13</v>
      </c>
      <c r="C279" s="6" t="s">
        <v>449</v>
      </c>
      <c r="D279" s="6" t="s">
        <v>11</v>
      </c>
      <c r="E279" s="12">
        <v>25.5</v>
      </c>
      <c r="F279" s="11">
        <f>LOOKUP(E279,{0,-2.9,-1.9,-0.9,0.1,1.1,2.1,3.5,4.9,6.3,7.7,9.1,10.5,11.9,13.3,14.7,16.1,18.3,20.5,22.4,24.3},{0,10,20,30,40,50,60,62,64,66,68,70,72,74,76,78,80,85,90,95,100})</f>
        <v>100</v>
      </c>
      <c r="G279" s="12">
        <v>258</v>
      </c>
      <c r="H279" s="11">
        <f>LOOKUP(G279,{0,175,180,185,190,195,200,204,208,212,216,220,224,228,232,236,240,248,255,260,265},{0,10,20,30,40,50,60,62,64,66,68,70,72,74,76,78,80,85,90,95,100})</f>
        <v>90</v>
      </c>
      <c r="I279" s="12">
        <v>7</v>
      </c>
      <c r="J279" s="11">
        <f>LOOKUP(I279,{0,3,4,5,6,7,8,9,10,11,12,13,14,15,16,17},{0,10,20,30,40,50,60,64,68,72,76,80,85,90,95,100})</f>
        <v>50</v>
      </c>
      <c r="K279" s="12"/>
      <c r="L279" s="12"/>
      <c r="M279" s="12">
        <f t="shared" si="165"/>
        <v>50</v>
      </c>
      <c r="N279" s="12">
        <v>6.9</v>
      </c>
      <c r="O279" s="12">
        <f t="shared" si="166"/>
        <v>5.1</v>
      </c>
      <c r="P279" s="11">
        <f>LOOKUP(O279,{0,1.6,1.8,2,2.2,2.4,2.6,2.8,3,3.2,3.4,3.6,3.8,4,4.2,4.4,4.6,4.7,4.8,4.9,5},{0,10,20,30,40,50,60,62,64,66,68,70,72,74,76,78,80,85,90,95,100})</f>
        <v>100</v>
      </c>
      <c r="Q279" s="12">
        <v>3.28</v>
      </c>
      <c r="R279" s="12">
        <f t="shared" si="167"/>
        <v>6.72</v>
      </c>
      <c r="S279" s="11">
        <f>LOOKUP(R279,{0,3.8,4,4.6,4.8,5,5.6,5.65,5.7,5.75,5.8,5.85,5.9,5.95,6,6.45,6.5,6.58,6.65,6.7,6.75},{0,10,20,30,40,50,60,62,64,66,68,70,72,74,76,78,80,85,90,95,100})</f>
        <v>95</v>
      </c>
      <c r="T279" s="12"/>
      <c r="U279" s="12"/>
      <c r="V279" s="12">
        <f t="shared" si="168"/>
        <v>95</v>
      </c>
      <c r="W279" s="12"/>
      <c r="X279" s="20">
        <f t="shared" si="163"/>
        <v>63</v>
      </c>
      <c r="Y279" s="20">
        <f t="shared" si="169"/>
        <v>90</v>
      </c>
    </row>
    <row r="280" ht="15.6" hidden="1" outlineLevel="2" spans="1:25">
      <c r="A280" s="12">
        <v>209</v>
      </c>
      <c r="B280" s="12">
        <v>14</v>
      </c>
      <c r="C280" s="6" t="s">
        <v>450</v>
      </c>
      <c r="D280" s="6" t="s">
        <v>11</v>
      </c>
      <c r="E280" s="12">
        <v>0</v>
      </c>
      <c r="F280" s="11">
        <f>LOOKUP(E280,{0,-2.9,-1.9,-0.9,0.1,1.1,2.1,3.5,4.9,6.3,7.7,9.1,10.5,11.9,13.3,14.7,16.1,18.3,20.5,22.4,24.3},{0,10,20,30,40,50,60,62,64,66,68,70,72,74,76,78,80,85,90,95,100})</f>
        <v>30</v>
      </c>
      <c r="G280" s="12">
        <v>265</v>
      </c>
      <c r="H280" s="11">
        <f>LOOKUP(G280,{0,175,180,185,190,195,200,204,208,212,216,220,224,228,232,236,240,248,255,260,265},{0,10,20,30,40,50,60,62,64,66,68,70,72,74,76,78,80,85,90,95,100})</f>
        <v>100</v>
      </c>
      <c r="I280" s="12">
        <v>20</v>
      </c>
      <c r="J280" s="11">
        <f>LOOKUP(I280,{0,3,4,5,6,7,8,9,10,11,12,13,14,15,16,17},{0,10,20,30,40,50,60,64,68,72,76,80,85,90,95,100})</f>
        <v>100</v>
      </c>
      <c r="K280" s="12">
        <f>I280-17</f>
        <v>3</v>
      </c>
      <c r="L280" s="16">
        <f>LOOKUP(K280,{0,1,2,3,4,5,6,7,8,9,10},{0,1,2,3,4,5,6,7,8,9,10})</f>
        <v>3</v>
      </c>
      <c r="M280" s="12">
        <f t="shared" si="165"/>
        <v>103</v>
      </c>
      <c r="N280" s="12">
        <v>6.6</v>
      </c>
      <c r="O280" s="12">
        <f t="shared" si="166"/>
        <v>5.4</v>
      </c>
      <c r="P280" s="11">
        <f>LOOKUP(O280,{0,1.6,1.8,2,2.2,2.4,2.6,2.8,3,3.2,3.4,3.6,3.8,4,4.2,4.4,4.6,4.7,4.8,4.9,5},{0,10,20,30,40,50,60,62,64,66,68,70,72,74,76,78,80,85,90,95,100})</f>
        <v>100</v>
      </c>
      <c r="Q280" s="12">
        <v>4.13</v>
      </c>
      <c r="R280" s="12">
        <f t="shared" si="167"/>
        <v>5.87</v>
      </c>
      <c r="S280" s="11">
        <f>LOOKUP(R280,{0,3.8,4,4.6,4.8,5,5.6,5.65,5.7,5.75,5.8,5.85,5.9,5.95,6,6.45,6.5,6.58,6.65,6.7,6.75},{0,10,20,30,40,50,60,62,64,66,68,70,72,74,76,78,80,85,90,95,100})</f>
        <v>70</v>
      </c>
      <c r="T280" s="12"/>
      <c r="U280" s="12"/>
      <c r="V280" s="12">
        <f t="shared" si="168"/>
        <v>70</v>
      </c>
      <c r="W280" s="12"/>
      <c r="X280" s="20">
        <f t="shared" si="163"/>
        <v>57</v>
      </c>
      <c r="Y280" s="20">
        <f t="shared" si="169"/>
        <v>84.4285714285714</v>
      </c>
    </row>
    <row r="281" ht="15.6" hidden="1" outlineLevel="2" spans="1:25">
      <c r="A281" s="12">
        <v>209</v>
      </c>
      <c r="B281" s="12">
        <v>15</v>
      </c>
      <c r="C281" s="6" t="s">
        <v>451</v>
      </c>
      <c r="D281" s="6" t="s">
        <v>11</v>
      </c>
      <c r="E281" s="12">
        <v>1.2</v>
      </c>
      <c r="F281" s="11">
        <f>LOOKUP(E281,{0,-2.9,-1.9,-0.9,0.1,1.1,2.1,3.5,4.9,6.3,7.7,9.1,10.5,11.9,13.3,14.7,16.1,18.3,20.5,22.4,24.3},{0,10,20,30,40,50,60,62,64,66,68,70,72,74,76,78,80,85,90,95,100})</f>
        <v>50</v>
      </c>
      <c r="G281" s="12">
        <v>280</v>
      </c>
      <c r="H281" s="11">
        <f>LOOKUP(G281,{0,175,180,185,190,195,200,204,208,212,216,220,224,228,232,236,240,248,255,260,265},{0,10,20,30,40,50,60,62,64,66,68,70,72,74,76,78,80,85,90,95,100})</f>
        <v>100</v>
      </c>
      <c r="I281" s="12">
        <v>11</v>
      </c>
      <c r="J281" s="11">
        <f>LOOKUP(I281,{0,3,4,5,6,7,8,9,10,11,12,13,14,15,16,17},{0,10,20,30,40,50,60,64,68,72,76,80,85,90,95,100})</f>
        <v>72</v>
      </c>
      <c r="K281" s="12"/>
      <c r="L281" s="12"/>
      <c r="M281" s="12">
        <f t="shared" si="165"/>
        <v>72</v>
      </c>
      <c r="N281" s="12">
        <v>7.1</v>
      </c>
      <c r="O281" s="12">
        <f t="shared" si="166"/>
        <v>4.9</v>
      </c>
      <c r="P281" s="11">
        <f>LOOKUP(O281,{0,1.6,1.8,2,2.2,2.4,2.6,2.8,3,3.2,3.4,3.6,3.8,4,4.2,4.4,4.6,4.7,4.8,4.9,5},{0,10,20,30,40,50,60,62,64,66,68,70,72,74,76,78,80,85,90,95,100})</f>
        <v>95</v>
      </c>
      <c r="Q281" s="12">
        <v>3.54</v>
      </c>
      <c r="R281" s="12">
        <f t="shared" si="167"/>
        <v>6.46</v>
      </c>
      <c r="S281" s="11">
        <f>LOOKUP(R281,{0,3.8,4,4.6,4.8,5,5.6,5.65,5.7,5.75,5.8,5.85,5.9,5.95,6,6.45,6.5,6.58,6.65,6.7,6.75},{0,10,20,30,40,50,60,62,64,66,68,70,72,74,76,78,80,85,90,95,100})</f>
        <v>78</v>
      </c>
      <c r="T281" s="12"/>
      <c r="U281" s="12"/>
      <c r="V281" s="12">
        <f t="shared" si="168"/>
        <v>78</v>
      </c>
      <c r="W281" s="12"/>
      <c r="X281" s="20">
        <f t="shared" si="163"/>
        <v>56.8</v>
      </c>
      <c r="Y281" s="20">
        <f t="shared" si="169"/>
        <v>81.1428571428572</v>
      </c>
    </row>
    <row r="282" ht="15.6" hidden="1" outlineLevel="2" spans="1:25">
      <c r="A282" s="12">
        <v>209</v>
      </c>
      <c r="B282" s="12">
        <v>16</v>
      </c>
      <c r="C282" s="6" t="s">
        <v>452</v>
      </c>
      <c r="D282" s="6" t="s">
        <v>11</v>
      </c>
      <c r="E282" s="12">
        <v>8.1</v>
      </c>
      <c r="F282" s="11">
        <f>LOOKUP(E282,{0,-2.9,-1.9,-0.9,0.1,1.1,2.1,3.5,4.9,6.3,7.7,9.1,10.5,11.9,13.3,14.7,16.1,18.3,20.5,22.4,24.3},{0,10,20,30,40,50,60,62,64,66,68,70,72,74,76,78,80,85,90,95,100})</f>
        <v>68</v>
      </c>
      <c r="G282" s="12">
        <v>197</v>
      </c>
      <c r="H282" s="11">
        <f>LOOKUP(G282,{0,175,180,185,190,195,200,204,208,212,216,220,224,228,232,236,240,248,255,260,265},{0,10,20,30,40,50,60,62,64,66,68,70,72,74,76,78,80,85,90,95,100})</f>
        <v>50</v>
      </c>
      <c r="I282" s="12">
        <v>0</v>
      </c>
      <c r="J282" s="11">
        <f>LOOKUP(I282,{0,3,4,5,6,7,8,9,10,11,12,13,14,15,16,17},{0,10,20,30,40,50,60,64,68,72,76,80,85,90,95,100})</f>
        <v>0</v>
      </c>
      <c r="K282" s="12"/>
      <c r="L282" s="12"/>
      <c r="M282" s="12">
        <f t="shared" si="165"/>
        <v>0</v>
      </c>
      <c r="N282" s="12">
        <v>8.2</v>
      </c>
      <c r="O282" s="12">
        <f t="shared" si="166"/>
        <v>3.8</v>
      </c>
      <c r="P282" s="11">
        <f>LOOKUP(O282,{0,1.6,1.8,2,2.2,2.4,2.6,2.8,3,3.2,3.4,3.6,3.8,4,4.2,4.4,4.6,4.7,4.8,4.9,5},{0,10,20,30,40,50,60,62,64,66,68,70,72,74,76,78,80,85,90,95,100})</f>
        <v>72</v>
      </c>
      <c r="Q282" s="12">
        <v>4.26</v>
      </c>
      <c r="R282" s="12">
        <f t="shared" si="167"/>
        <v>5.74</v>
      </c>
      <c r="S282" s="11">
        <f>LOOKUP(R282,{0,3.8,4,4.6,4.8,5,5.6,5.65,5.7,5.75,5.8,5.85,5.9,5.95,6,6.45,6.5,6.58,6.65,6.7,6.75},{0,10,20,30,40,50,60,62,64,66,68,70,72,74,76,78,80,85,90,95,100})</f>
        <v>64</v>
      </c>
      <c r="T282" s="12"/>
      <c r="U282" s="12"/>
      <c r="V282" s="12">
        <f t="shared" si="168"/>
        <v>64</v>
      </c>
      <c r="W282" s="12"/>
      <c r="X282" s="20">
        <f t="shared" si="163"/>
        <v>39</v>
      </c>
      <c r="Y282" s="20">
        <f t="shared" si="169"/>
        <v>55.7142857142857</v>
      </c>
    </row>
    <row r="283" ht="15.6" hidden="1" outlineLevel="2" spans="1:25">
      <c r="A283" s="12">
        <v>209</v>
      </c>
      <c r="B283" s="12">
        <v>17</v>
      </c>
      <c r="C283" s="6" t="s">
        <v>453</v>
      </c>
      <c r="D283" s="6" t="s">
        <v>11</v>
      </c>
      <c r="E283" s="12">
        <v>8</v>
      </c>
      <c r="F283" s="11">
        <f>LOOKUP(E283,{0,-2.9,-1.9,-0.9,0.1,1.1,2.1,3.5,4.9,6.3,7.7,9.1,10.5,11.9,13.3,14.7,16.1,18.3,20.5,22.4,24.3},{0,10,20,30,40,50,60,62,64,66,68,70,72,74,76,78,80,85,90,95,100})</f>
        <v>68</v>
      </c>
      <c r="G283" s="12">
        <v>204</v>
      </c>
      <c r="H283" s="11">
        <f>LOOKUP(G283,{0,175,180,185,190,195,200,204,208,212,216,220,224,228,232,236,240,248,255,260,265},{0,10,20,30,40,50,60,62,64,66,68,70,72,74,76,78,80,85,90,95,100})</f>
        <v>62</v>
      </c>
      <c r="I283" s="12">
        <v>0</v>
      </c>
      <c r="J283" s="11">
        <f>LOOKUP(I283,{0,3,4,5,6,7,8,9,10,11,12,13,14,15,16,17},{0,10,20,30,40,50,60,64,68,72,76,80,85,90,95,100})</f>
        <v>0</v>
      </c>
      <c r="K283" s="12"/>
      <c r="L283" s="12"/>
      <c r="M283" s="12">
        <f t="shared" si="165"/>
        <v>0</v>
      </c>
      <c r="N283" s="12"/>
      <c r="O283" s="12"/>
      <c r="P283" s="11"/>
      <c r="Q283" s="12"/>
      <c r="R283" s="12"/>
      <c r="S283" s="11"/>
      <c r="T283" s="12"/>
      <c r="U283" s="11"/>
      <c r="V283" s="12"/>
      <c r="W283" s="12" t="s">
        <v>454</v>
      </c>
      <c r="X283" s="20">
        <f t="shared" si="163"/>
        <v>13</v>
      </c>
      <c r="Y283" s="20">
        <v>50</v>
      </c>
    </row>
    <row r="284" ht="15.6" hidden="1" outlineLevel="2" spans="1:25">
      <c r="A284" s="12">
        <v>209</v>
      </c>
      <c r="B284" s="12">
        <v>18</v>
      </c>
      <c r="C284" s="6" t="s">
        <v>455</v>
      </c>
      <c r="D284" s="6" t="s">
        <v>11</v>
      </c>
      <c r="E284" s="12">
        <v>20</v>
      </c>
      <c r="F284" s="11">
        <f>LOOKUP(E284,{0,-2.9,-1.9,-0.9,0.1,1.1,2.1,3.5,4.9,6.3,7.7,9.1,10.5,11.9,13.3,14.7,16.1,18.3,20.5,22.4,24.3},{0,10,20,30,40,50,60,62,64,66,68,70,72,74,76,78,80,85,90,95,100})</f>
        <v>85</v>
      </c>
      <c r="G284" s="12">
        <v>227</v>
      </c>
      <c r="H284" s="11">
        <f>LOOKUP(G284,{0,175,180,185,190,195,200,204,208,212,216,220,224,228,232,236,240,248,255,260,265},{0,10,20,30,40,50,60,62,64,66,68,70,72,74,76,78,80,85,90,95,100})</f>
        <v>72</v>
      </c>
      <c r="I284" s="12">
        <v>0</v>
      </c>
      <c r="J284" s="11">
        <f>LOOKUP(I284,{0,3,4,5,6,7,8,9,10,11,12,13,14,15,16,17},{0,10,20,30,40,50,60,64,68,72,76,80,85,90,95,100})</f>
        <v>0</v>
      </c>
      <c r="K284" s="12"/>
      <c r="L284" s="12"/>
      <c r="M284" s="12">
        <f t="shared" si="165"/>
        <v>0</v>
      </c>
      <c r="N284" s="12">
        <v>7.9</v>
      </c>
      <c r="O284" s="12">
        <f t="shared" ref="O284:O290" si="170">12-N284</f>
        <v>4.1</v>
      </c>
      <c r="P284" s="11">
        <f>LOOKUP(O284,{0,1.6,1.8,2,2.2,2.4,2.6,2.8,3,3.2,3.4,3.6,3.8,4,4.2,4.4,4.6,4.7,4.8,4.9,5},{0,10,20,30,40,50,60,62,64,66,68,70,72,74,76,78,80,85,90,95,100})</f>
        <v>74</v>
      </c>
      <c r="Q284" s="12">
        <v>3.52</v>
      </c>
      <c r="R284" s="12">
        <f t="shared" ref="R284:R286" si="171">10-Q284</f>
        <v>6.48</v>
      </c>
      <c r="S284" s="11">
        <f>LOOKUP(R284,{0,3.8,4,4.6,4.8,5,5.6,5.65,5.7,5.75,5.8,5.85,5.9,5.95,6,6.45,6.5,6.58,6.65,6.7,6.75},{0,10,20,30,40,50,60,62,64,66,68,70,72,74,76,78,80,85,90,95,100})</f>
        <v>78</v>
      </c>
      <c r="T284" s="12"/>
      <c r="U284" s="12"/>
      <c r="V284" s="12">
        <f t="shared" ref="V284:V286" si="172">S284+U284</f>
        <v>78</v>
      </c>
      <c r="W284" s="12"/>
      <c r="X284" s="20">
        <f t="shared" si="163"/>
        <v>46.1</v>
      </c>
      <c r="Y284" s="20">
        <f t="shared" ref="Y284:Y306" si="173">X284/0.7+L284+U284</f>
        <v>65.8571428571429</v>
      </c>
    </row>
    <row r="285" ht="15.6" hidden="1" outlineLevel="2" spans="1:25">
      <c r="A285" s="12">
        <v>209</v>
      </c>
      <c r="B285" s="12">
        <v>19</v>
      </c>
      <c r="C285" s="6" t="s">
        <v>456</v>
      </c>
      <c r="D285" s="6" t="s">
        <v>11</v>
      </c>
      <c r="E285" s="12">
        <v>5.5</v>
      </c>
      <c r="F285" s="11">
        <f>LOOKUP(E285,{0,-2.9,-1.9,-0.9,0.1,1.1,2.1,3.5,4.9,6.3,7.7,9.1,10.5,11.9,13.3,14.7,16.1,18.3,20.5,22.4,24.3},{0,10,20,30,40,50,60,62,64,66,68,70,72,74,76,78,80,85,90,95,100})</f>
        <v>64</v>
      </c>
      <c r="G285" s="12">
        <v>210</v>
      </c>
      <c r="H285" s="11">
        <f>LOOKUP(G285,{0,175,180,185,190,195,200,204,208,212,216,220,224,228,232,236,240,248,255,260,265},{0,10,20,30,40,50,60,62,64,66,68,70,72,74,76,78,80,85,90,95,100})</f>
        <v>64</v>
      </c>
      <c r="I285" s="12">
        <v>8</v>
      </c>
      <c r="J285" s="11">
        <f>LOOKUP(I285,{0,3,4,5,6,7,8,9,10,11,12,13,14,15,16,17},{0,10,20,30,40,50,60,64,68,72,76,80,85,90,95,100})</f>
        <v>60</v>
      </c>
      <c r="K285" s="12"/>
      <c r="L285" s="12"/>
      <c r="M285" s="12">
        <f t="shared" si="165"/>
        <v>60</v>
      </c>
      <c r="N285" s="12">
        <v>7.1</v>
      </c>
      <c r="O285" s="12">
        <f t="shared" si="170"/>
        <v>4.9</v>
      </c>
      <c r="P285" s="11">
        <f>LOOKUP(O285,{0,1.6,1.8,2,2.2,2.4,2.6,2.8,3,3.2,3.4,3.6,3.8,4,4.2,4.4,4.6,4.7,4.8,4.9,5},{0,10,20,30,40,50,60,62,64,66,68,70,72,74,76,78,80,85,90,95,100})</f>
        <v>95</v>
      </c>
      <c r="Q285" s="12">
        <v>3.51</v>
      </c>
      <c r="R285" s="12">
        <f t="shared" si="171"/>
        <v>6.49</v>
      </c>
      <c r="S285" s="11">
        <f>LOOKUP(R285,{0,3.8,4,4.6,4.8,5,5.6,5.65,5.7,5.75,5.8,5.85,5.9,5.95,6,6.45,6.5,6.58,6.65,6.7,6.75},{0,10,20,30,40,50,60,62,64,66,68,70,72,74,76,78,80,85,90,95,100})</f>
        <v>78</v>
      </c>
      <c r="T285" s="12"/>
      <c r="U285" s="12"/>
      <c r="V285" s="12">
        <f t="shared" si="172"/>
        <v>78</v>
      </c>
      <c r="W285" s="12"/>
      <c r="X285" s="20">
        <f t="shared" si="163"/>
        <v>53.4</v>
      </c>
      <c r="Y285" s="20">
        <f t="shared" si="173"/>
        <v>76.2857142857143</v>
      </c>
    </row>
    <row r="286" ht="15.6" hidden="1" outlineLevel="2" spans="1:25">
      <c r="A286" s="12">
        <v>209</v>
      </c>
      <c r="B286" s="12">
        <v>20</v>
      </c>
      <c r="C286" s="6" t="s">
        <v>457</v>
      </c>
      <c r="D286" s="6" t="s">
        <v>11</v>
      </c>
      <c r="E286" s="12">
        <v>8.2</v>
      </c>
      <c r="F286" s="11">
        <f>LOOKUP(E286,{0,-2.9,-1.9,-0.9,0.1,1.1,2.1,3.5,4.9,6.3,7.7,9.1,10.5,11.9,13.3,14.7,16.1,18.3,20.5,22.4,24.3},{0,10,20,30,40,50,60,62,64,66,68,70,72,74,76,78,80,85,90,95,100})</f>
        <v>68</v>
      </c>
      <c r="G286" s="12">
        <v>290</v>
      </c>
      <c r="H286" s="11">
        <f>LOOKUP(G286,{0,175,180,185,190,195,200,204,208,212,216,220,224,228,232,236,240,248,255,260,265},{0,10,20,30,40,50,60,62,64,66,68,70,72,74,76,78,80,85,90,95,100})</f>
        <v>100</v>
      </c>
      <c r="I286" s="12">
        <v>10</v>
      </c>
      <c r="J286" s="11">
        <f>LOOKUP(I286,{0,3,4,5,6,7,8,9,10,11,12,13,14,15,16,17},{0,10,20,30,40,50,60,64,68,72,76,80,85,90,95,100})</f>
        <v>68</v>
      </c>
      <c r="K286" s="12"/>
      <c r="L286" s="12"/>
      <c r="M286" s="12">
        <f t="shared" si="165"/>
        <v>68</v>
      </c>
      <c r="N286" s="12">
        <v>6.5</v>
      </c>
      <c r="O286" s="12">
        <f t="shared" si="170"/>
        <v>5.5</v>
      </c>
      <c r="P286" s="11">
        <f>LOOKUP(O286,{0,1.6,1.8,2,2.2,2.4,2.6,2.8,3,3.2,3.4,3.6,3.8,4,4.2,4.4,4.6,4.7,4.8,4.9,5},{0,10,20,30,40,50,60,62,64,66,68,70,72,74,76,78,80,85,90,95,100})</f>
        <v>100</v>
      </c>
      <c r="Q286" s="12">
        <v>3.12</v>
      </c>
      <c r="R286" s="12">
        <f t="shared" si="171"/>
        <v>6.88</v>
      </c>
      <c r="S286" s="11">
        <f>LOOKUP(R286,{0,3.8,4,4.6,4.8,5,5.6,5.65,5.7,5.75,5.8,5.85,5.9,5.95,6,6.45,6.5,6.58,6.65,6.7,6.75},{0,10,20,30,40,50,60,62,64,66,68,70,72,74,76,78,80,85,90,95,100})</f>
        <v>100</v>
      </c>
      <c r="T286" s="12">
        <f>3.25-Q286</f>
        <v>0.13</v>
      </c>
      <c r="U286" s="11">
        <f>LOOKUP(T286,{0,0.04,0.08,0.12,0.16,0.2,0.23,0.26,0.29,0.32,0.35},{0,1,2,3,4,5,6,7,8,9,10})</f>
        <v>3</v>
      </c>
      <c r="V286" s="12">
        <f t="shared" si="172"/>
        <v>103</v>
      </c>
      <c r="W286" s="12"/>
      <c r="X286" s="20">
        <f t="shared" si="163"/>
        <v>63.6</v>
      </c>
      <c r="Y286" s="20">
        <f t="shared" si="173"/>
        <v>93.8571428571429</v>
      </c>
    </row>
    <row r="287" ht="15.6" hidden="1" outlineLevel="2" spans="1:25">
      <c r="A287" s="12">
        <v>209</v>
      </c>
      <c r="B287" s="12">
        <v>21</v>
      </c>
      <c r="C287" s="13" t="s">
        <v>459</v>
      </c>
      <c r="D287" s="6" t="s">
        <v>11</v>
      </c>
      <c r="E287" s="12">
        <v>17.3</v>
      </c>
      <c r="F287" s="11">
        <f>LOOKUP(E287,{0,-2.9,-1.9,-0.9,0.1,1.1,2.1,3.5,4.9,6.3,7.7,9.1,10.5,11.9,13.3,14.7,16.1,18.3,20.5,22.4,24.3},{0,10,20,30,40,50,60,62,64,66,68,70,72,74,76,78,80,85,90,95,100})</f>
        <v>80</v>
      </c>
      <c r="G287" s="12">
        <v>240</v>
      </c>
      <c r="H287" s="11">
        <f>LOOKUP(G287,{0,175,180,185,190,195,200,204,208,212,216,220,224,228,232,236,240,248,255,260,265},{0,10,20,30,40,50,60,62,64,66,68,70,72,74,76,78,80,85,90,95,100})</f>
        <v>80</v>
      </c>
      <c r="I287" s="12">
        <v>22</v>
      </c>
      <c r="J287" s="11">
        <f>LOOKUP(I287,{0,3,4,5,6,7,8,9,10,11,12,13,14,15,16,17},{0,10,20,30,40,50,60,64,68,72,76,80,85,90,95,100})</f>
        <v>100</v>
      </c>
      <c r="K287" s="12">
        <f>I287-17</f>
        <v>5</v>
      </c>
      <c r="L287" s="16">
        <f>LOOKUP(K287,{0,1,2,3,4,5,6,7,8,9,10},{0,1,2,3,4,5,6,7,8,9,10})</f>
        <v>5</v>
      </c>
      <c r="M287" s="12">
        <f t="shared" si="165"/>
        <v>105</v>
      </c>
      <c r="N287" s="12">
        <v>6.9</v>
      </c>
      <c r="O287" s="12">
        <f t="shared" si="170"/>
        <v>5.1</v>
      </c>
      <c r="P287" s="11">
        <f>LOOKUP(O287,{0,1.6,1.8,2,2.2,2.4,2.6,2.8,3,3.2,3.4,3.6,3.8,4,4.2,4.4,4.6,4.7,4.8,4.9,5},{0,10,20,30,40,50,60,62,64,66,68,70,72,74,76,78,80,85,90,95,100})</f>
        <v>100</v>
      </c>
      <c r="Q287" s="12"/>
      <c r="R287" s="12"/>
      <c r="S287" s="11"/>
      <c r="T287" s="12"/>
      <c r="U287" s="11"/>
      <c r="V287" s="12"/>
      <c r="W287" s="12"/>
      <c r="X287" s="20">
        <f t="shared" si="163"/>
        <v>46</v>
      </c>
      <c r="Y287" s="20">
        <f t="shared" si="173"/>
        <v>70.7142857142857</v>
      </c>
    </row>
    <row r="288" ht="15.6" hidden="1" outlineLevel="2" spans="1:25">
      <c r="A288" s="12">
        <v>209</v>
      </c>
      <c r="B288" s="12">
        <v>22</v>
      </c>
      <c r="C288" s="6" t="s">
        <v>460</v>
      </c>
      <c r="D288" s="6" t="s">
        <v>11</v>
      </c>
      <c r="E288" s="12">
        <v>2.8</v>
      </c>
      <c r="F288" s="11">
        <f>LOOKUP(E288,{0,-2.9,-1.9,-0.9,0.1,1.1,2.1,3.5,4.9,6.3,7.7,9.1,10.5,11.9,13.3,14.7,16.1,18.3,20.5,22.4,24.3},{0,10,20,30,40,50,60,62,64,66,68,70,72,74,76,78,80,85,90,95,100})</f>
        <v>60</v>
      </c>
      <c r="G288" s="12">
        <v>210</v>
      </c>
      <c r="H288" s="11">
        <f>LOOKUP(G288,{0,175,180,185,190,195,200,204,208,212,216,220,224,228,232,236,240,248,255,260,265},{0,10,20,30,40,50,60,62,64,66,68,70,72,74,76,78,80,85,90,95,100})</f>
        <v>64</v>
      </c>
      <c r="I288" s="12">
        <v>8</v>
      </c>
      <c r="J288" s="11">
        <f>LOOKUP(I288,{0,3,4,5,6,7,8,9,10,11,12,13,14,15,16,17},{0,10,20,30,40,50,60,64,68,72,76,80,85,90,95,100})</f>
        <v>60</v>
      </c>
      <c r="K288" s="12"/>
      <c r="L288" s="12"/>
      <c r="M288" s="12">
        <f t="shared" si="165"/>
        <v>60</v>
      </c>
      <c r="N288" s="12">
        <v>6.9</v>
      </c>
      <c r="O288" s="12">
        <f t="shared" si="170"/>
        <v>5.1</v>
      </c>
      <c r="P288" s="11">
        <f>LOOKUP(O288,{0,1.6,1.8,2,2.2,2.4,2.6,2.8,3,3.2,3.4,3.6,3.8,4,4.2,4.4,4.6,4.7,4.8,4.9,5},{0,10,20,30,40,50,60,62,64,66,68,70,72,74,76,78,80,85,90,95,100})</f>
        <v>100</v>
      </c>
      <c r="Q288" s="12">
        <v>4.07</v>
      </c>
      <c r="R288" s="12">
        <f t="shared" ref="R288:R306" si="174">10-Q288</f>
        <v>5.93</v>
      </c>
      <c r="S288" s="11">
        <f>LOOKUP(R288,{0,3.8,4,4.6,4.8,5,5.6,5.65,5.7,5.75,5.8,5.85,5.9,5.95,6,6.45,6.5,6.58,6.65,6.7,6.75},{0,10,20,30,40,50,60,62,64,66,68,70,72,74,76,78,80,85,90,95,100})</f>
        <v>72</v>
      </c>
      <c r="T288" s="12"/>
      <c r="U288" s="12"/>
      <c r="V288" s="12">
        <f t="shared" ref="V288:V297" si="175">S288+U288</f>
        <v>72</v>
      </c>
      <c r="W288" s="12"/>
      <c r="X288" s="20">
        <f t="shared" si="163"/>
        <v>52.8</v>
      </c>
      <c r="Y288" s="20">
        <f t="shared" si="173"/>
        <v>75.4285714285714</v>
      </c>
    </row>
    <row r="289" ht="15.6" hidden="1" outlineLevel="2" spans="1:25">
      <c r="A289" s="12">
        <v>209</v>
      </c>
      <c r="B289" s="12">
        <v>23</v>
      </c>
      <c r="C289" s="6" t="s">
        <v>461</v>
      </c>
      <c r="D289" s="6" t="s">
        <v>11</v>
      </c>
      <c r="E289" s="12">
        <v>17</v>
      </c>
      <c r="F289" s="11">
        <f>LOOKUP(E289,{0,-2.9,-1.9,-0.9,0.1,1.1,2.1,3.5,4.9,6.3,7.7,9.1,10.5,11.9,13.3,14.7,16.1,18.3,20.5,22.4,24.3},{0,10,20,30,40,50,60,62,64,66,68,70,72,74,76,78,80,85,90,95,100})</f>
        <v>80</v>
      </c>
      <c r="G289" s="12">
        <v>205</v>
      </c>
      <c r="H289" s="11">
        <f>LOOKUP(G289,{0,175,180,185,190,195,200,204,208,212,216,220,224,228,232,236,240,248,255,260,265},{0,10,20,30,40,50,60,62,64,66,68,70,72,74,76,78,80,85,90,95,100})</f>
        <v>62</v>
      </c>
      <c r="I289" s="12">
        <v>3</v>
      </c>
      <c r="J289" s="11">
        <f>LOOKUP(I289,{0,3,4,5,6,7,8,9,10,11,12,13,14,15,16,17},{0,10,20,30,40,50,60,64,68,72,76,80,85,90,95,100})</f>
        <v>10</v>
      </c>
      <c r="K289" s="12"/>
      <c r="L289" s="12"/>
      <c r="M289" s="12">
        <f t="shared" si="165"/>
        <v>10</v>
      </c>
      <c r="N289" s="12">
        <v>7.7</v>
      </c>
      <c r="O289" s="12">
        <f t="shared" si="170"/>
        <v>4.3</v>
      </c>
      <c r="P289" s="11">
        <f>LOOKUP(O289,{0,1.6,1.8,2,2.2,2.4,2.6,2.8,3,3.2,3.4,3.6,3.8,4,4.2,4.4,4.6,4.7,4.8,4.9,5},{0,10,20,30,40,50,60,62,64,66,68,70,72,74,76,78,80,85,90,95,100})</f>
        <v>76</v>
      </c>
      <c r="Q289" s="12">
        <v>4.08</v>
      </c>
      <c r="R289" s="12">
        <f t="shared" si="174"/>
        <v>5.92</v>
      </c>
      <c r="S289" s="11">
        <f>LOOKUP(R289,{0,3.8,4,4.6,4.8,5,5.6,5.65,5.7,5.75,5.8,5.85,5.9,5.95,6,6.45,6.5,6.58,6.65,6.7,6.75},{0,10,20,30,40,50,60,62,64,66,68,70,72,74,76,78,80,85,90,95,100})</f>
        <v>72</v>
      </c>
      <c r="T289" s="12"/>
      <c r="U289" s="12"/>
      <c r="V289" s="12">
        <f t="shared" si="175"/>
        <v>72</v>
      </c>
      <c r="W289" s="12"/>
      <c r="X289" s="20">
        <f t="shared" si="163"/>
        <v>44.8</v>
      </c>
      <c r="Y289" s="20">
        <f t="shared" si="173"/>
        <v>64</v>
      </c>
    </row>
    <row r="290" s="1" customFormat="1" ht="15.6" hidden="1" outlineLevel="2" spans="1:25">
      <c r="A290" s="12">
        <v>209</v>
      </c>
      <c r="B290" s="12">
        <v>24</v>
      </c>
      <c r="C290" s="6" t="s">
        <v>462</v>
      </c>
      <c r="D290" s="6" t="s">
        <v>11</v>
      </c>
      <c r="E290" s="12">
        <v>22.2</v>
      </c>
      <c r="F290" s="11">
        <f>LOOKUP(E290,{0,-2.9,-1.9,-0.9,0.1,1.1,2.1,3.5,4.9,6.3,7.7,9.1,10.5,11.9,13.3,14.7,16.1,18.3,20.5,22.4,24.3},{0,10,20,30,40,50,60,62,64,66,68,70,72,74,76,78,80,85,90,95,100})</f>
        <v>90</v>
      </c>
      <c r="G290" s="12">
        <v>260</v>
      </c>
      <c r="H290" s="11">
        <f>LOOKUP(G290,{0,175,180,185,190,195,200,204,208,212,216,220,224,228,232,236,240,248,255,260,265},{0,10,20,30,40,50,60,62,64,66,68,70,72,74,76,78,80,85,90,95,100})</f>
        <v>95</v>
      </c>
      <c r="I290" s="12">
        <v>0</v>
      </c>
      <c r="J290" s="11">
        <f>LOOKUP(I290,{0,3,4,5,6,7,8,9,10,11,12,13,14,15,16,17},{0,10,20,30,40,50,60,64,68,72,76,80,85,90,95,100})</f>
        <v>0</v>
      </c>
      <c r="K290" s="12"/>
      <c r="L290" s="12"/>
      <c r="M290" s="12">
        <f t="shared" si="165"/>
        <v>0</v>
      </c>
      <c r="N290" s="12">
        <v>6.7</v>
      </c>
      <c r="O290" s="12">
        <f t="shared" si="170"/>
        <v>5.3</v>
      </c>
      <c r="P290" s="11">
        <f>LOOKUP(O290,{0,1.6,1.8,2,2.2,2.4,2.6,2.8,3,3.2,3.4,3.6,3.8,4,4.2,4.4,4.6,4.7,4.8,4.9,5},{0,10,20,30,40,50,60,62,64,66,68,70,72,74,76,78,80,85,90,95,100})</f>
        <v>100</v>
      </c>
      <c r="Q290" s="12">
        <v>3.44</v>
      </c>
      <c r="R290" s="12">
        <f t="shared" si="174"/>
        <v>6.56</v>
      </c>
      <c r="S290" s="11">
        <f>LOOKUP(R290,{0,3.8,4,4.6,4.8,5,5.6,5.65,5.7,5.75,5.8,5.85,5.9,5.95,6,6.45,6.5,6.58,6.65,6.7,6.75},{0,10,20,30,40,50,60,62,64,66,68,70,72,74,76,78,80,85,90,95,100})</f>
        <v>80</v>
      </c>
      <c r="T290" s="12"/>
      <c r="U290" s="12"/>
      <c r="V290" s="12">
        <f t="shared" si="175"/>
        <v>80</v>
      </c>
      <c r="W290" s="12"/>
      <c r="X290" s="20">
        <f t="shared" si="163"/>
        <v>54.5</v>
      </c>
      <c r="Y290" s="20">
        <f t="shared" si="173"/>
        <v>77.8571428571429</v>
      </c>
    </row>
    <row r="291" ht="15.6" hidden="1" outlineLevel="2" spans="1:25">
      <c r="A291" s="12">
        <v>209</v>
      </c>
      <c r="B291" s="12">
        <v>25</v>
      </c>
      <c r="C291" s="6" t="s">
        <v>463</v>
      </c>
      <c r="D291" s="6" t="s">
        <v>11</v>
      </c>
      <c r="E291" s="12">
        <v>18.4</v>
      </c>
      <c r="F291" s="11">
        <f>LOOKUP(E291,{0,-2.9,-1.9,-0.9,0.1,1.1,2.1,3.5,4.9,6.3,7.7,9.1,10.5,11.9,13.3,14.7,16.1,18.3,20.5,22.4,24.3},{0,10,20,30,40,50,60,62,64,66,68,70,72,74,76,78,80,85,90,95,100})</f>
        <v>85</v>
      </c>
      <c r="G291" s="12">
        <v>260</v>
      </c>
      <c r="H291" s="11">
        <f>LOOKUP(G291,{0,175,180,185,190,195,200,204,208,212,216,220,224,228,232,236,240,248,255,260,265},{0,10,20,30,40,50,60,62,64,66,68,70,72,74,76,78,80,85,90,95,100})</f>
        <v>95</v>
      </c>
      <c r="I291" s="12">
        <v>5</v>
      </c>
      <c r="J291" s="11">
        <f>LOOKUP(I291,{0,3,4,5,6,7,8,9,10,11,12,13,14,15,16,17},{0,10,20,30,40,50,60,64,68,72,76,80,85,90,95,100})</f>
        <v>30</v>
      </c>
      <c r="K291" s="12"/>
      <c r="L291" s="12"/>
      <c r="M291" s="12">
        <f t="shared" si="165"/>
        <v>30</v>
      </c>
      <c r="N291" s="12"/>
      <c r="O291" s="12"/>
      <c r="P291" s="11"/>
      <c r="Q291" s="12">
        <v>4.12</v>
      </c>
      <c r="R291" s="12">
        <f t="shared" si="174"/>
        <v>5.88</v>
      </c>
      <c r="S291" s="11">
        <f>LOOKUP(R291,{0,3.8,4,4.6,4.8,5,5.6,5.65,5.7,5.75,5.8,5.85,5.9,5.95,6,6.45,6.5,6.58,6.65,6.7,6.75},{0,10,20,30,40,50,60,62,64,66,68,70,72,74,76,78,80,85,90,95,100})</f>
        <v>70</v>
      </c>
      <c r="T291" s="12"/>
      <c r="U291" s="12"/>
      <c r="V291" s="12">
        <f t="shared" si="175"/>
        <v>70</v>
      </c>
      <c r="W291" s="12"/>
      <c r="X291" s="20">
        <f t="shared" si="163"/>
        <v>35</v>
      </c>
      <c r="Y291" s="20">
        <f t="shared" si="173"/>
        <v>50</v>
      </c>
    </row>
    <row r="292" ht="15.6" hidden="1" outlineLevel="2" spans="1:25">
      <c r="A292" s="12">
        <v>209</v>
      </c>
      <c r="B292" s="12">
        <v>26</v>
      </c>
      <c r="C292" s="6" t="s">
        <v>464</v>
      </c>
      <c r="D292" s="6" t="s">
        <v>11</v>
      </c>
      <c r="E292" s="12">
        <v>3.6</v>
      </c>
      <c r="F292" s="11">
        <f>LOOKUP(E292,{0,-2.9,-1.9,-0.9,0.1,1.1,2.1,3.5,4.9,6.3,7.7,9.1,10.5,11.9,13.3,14.7,16.1,18.3,20.5,22.4,24.3},{0,10,20,30,40,50,60,62,64,66,68,70,72,74,76,78,80,85,90,95,100})</f>
        <v>62</v>
      </c>
      <c r="G292" s="12">
        <v>230</v>
      </c>
      <c r="H292" s="11">
        <f>LOOKUP(G292,{0,175,180,185,190,195,200,204,208,212,216,220,224,228,232,236,240,248,255,260,265},{0,10,20,30,40,50,60,62,64,66,68,70,72,74,76,78,80,85,90,95,100})</f>
        <v>74</v>
      </c>
      <c r="I292" s="12">
        <v>16</v>
      </c>
      <c r="J292" s="11">
        <f>LOOKUP(I292,{0,3,4,5,6,7,8,9,10,11,12,13,14,15,16,17},{0,10,20,30,40,50,60,64,68,72,76,80,85,90,95,100})</f>
        <v>95</v>
      </c>
      <c r="K292" s="12"/>
      <c r="L292" s="12"/>
      <c r="M292" s="12">
        <f t="shared" si="165"/>
        <v>95</v>
      </c>
      <c r="N292" s="12">
        <v>7.1</v>
      </c>
      <c r="O292" s="12">
        <f t="shared" ref="O292:O306" si="176">12-N292</f>
        <v>4.9</v>
      </c>
      <c r="P292" s="11">
        <f>LOOKUP(O292,{0,1.6,1.8,2,2.2,2.4,2.6,2.8,3,3.2,3.4,3.6,3.8,4,4.2,4.4,4.6,4.7,4.8,4.9,5},{0,10,20,30,40,50,60,62,64,66,68,70,72,74,76,78,80,85,90,95,100})</f>
        <v>95</v>
      </c>
      <c r="Q292" s="12">
        <v>3.26</v>
      </c>
      <c r="R292" s="12">
        <f t="shared" si="174"/>
        <v>6.74</v>
      </c>
      <c r="S292" s="11">
        <f>LOOKUP(R292,{0,3.8,4,4.6,4.8,5,5.6,5.65,5.7,5.75,5.8,5.85,5.9,5.95,6,6.45,6.5,6.58,6.65,6.7,6.75},{0,10,20,30,40,50,60,62,64,66,68,70,72,74,76,78,80,85,90,95,100})</f>
        <v>95</v>
      </c>
      <c r="T292" s="12"/>
      <c r="U292" s="12"/>
      <c r="V292" s="12">
        <f t="shared" si="175"/>
        <v>95</v>
      </c>
      <c r="W292" s="12"/>
      <c r="X292" s="20">
        <f t="shared" si="163"/>
        <v>61.1</v>
      </c>
      <c r="Y292" s="20">
        <f t="shared" si="173"/>
        <v>87.2857142857143</v>
      </c>
    </row>
    <row r="293" ht="15.6" hidden="1" outlineLevel="2" spans="1:25">
      <c r="A293" s="12">
        <v>209</v>
      </c>
      <c r="B293" s="12">
        <v>27</v>
      </c>
      <c r="C293" s="6" t="s">
        <v>465</v>
      </c>
      <c r="D293" s="6" t="s">
        <v>11</v>
      </c>
      <c r="E293" s="12">
        <v>2.9</v>
      </c>
      <c r="F293" s="11">
        <f>LOOKUP(E293,{0,-2.9,-1.9,-0.9,0.1,1.1,2.1,3.5,4.9,6.3,7.7,9.1,10.5,11.9,13.3,14.7,16.1,18.3,20.5,22.4,24.3},{0,10,20,30,40,50,60,62,64,66,68,70,72,74,76,78,80,85,90,95,100})</f>
        <v>60</v>
      </c>
      <c r="G293" s="12">
        <v>265</v>
      </c>
      <c r="H293" s="11">
        <f>LOOKUP(G293,{0,175,180,185,190,195,200,204,208,212,216,220,224,228,232,236,240,248,255,260,265},{0,10,20,30,40,50,60,62,64,66,68,70,72,74,76,78,80,85,90,95,100})</f>
        <v>100</v>
      </c>
      <c r="I293" s="12">
        <v>14</v>
      </c>
      <c r="J293" s="11">
        <f>LOOKUP(I293,{0,3,4,5,6,7,8,9,10,11,12,13,14,15,16,17},{0,10,20,30,40,50,60,64,68,72,76,80,85,90,95,100})</f>
        <v>85</v>
      </c>
      <c r="K293" s="12"/>
      <c r="L293" s="12"/>
      <c r="M293" s="12">
        <f t="shared" si="165"/>
        <v>85</v>
      </c>
      <c r="N293" s="12">
        <v>7</v>
      </c>
      <c r="O293" s="12">
        <f t="shared" si="176"/>
        <v>5</v>
      </c>
      <c r="P293" s="11">
        <f>LOOKUP(O293,{0,1.6,1.8,2,2.2,2.4,2.6,2.8,3,3.2,3.4,3.6,3.8,4,4.2,4.4,4.6,4.7,4.8,4.9,5},{0,10,20,30,40,50,60,62,64,66,68,70,72,74,76,78,80,85,90,95,100})</f>
        <v>100</v>
      </c>
      <c r="Q293" s="12">
        <v>3.36</v>
      </c>
      <c r="R293" s="12">
        <f t="shared" si="174"/>
        <v>6.64</v>
      </c>
      <c r="S293" s="11">
        <f>LOOKUP(R293,{0,3.8,4,4.6,4.8,5,5.6,5.65,5.7,5.75,5.8,5.85,5.9,5.95,6,6.45,6.5,6.58,6.65,6.7,6.75},{0,10,20,30,40,50,60,62,64,66,68,70,72,74,76,78,80,85,90,95,100})</f>
        <v>85</v>
      </c>
      <c r="T293" s="12"/>
      <c r="U293" s="12"/>
      <c r="V293" s="12">
        <f t="shared" si="175"/>
        <v>85</v>
      </c>
      <c r="W293" s="12"/>
      <c r="X293" s="20">
        <f t="shared" si="163"/>
        <v>61.5</v>
      </c>
      <c r="Y293" s="20">
        <f t="shared" si="173"/>
        <v>87.8571428571429</v>
      </c>
    </row>
    <row r="294" ht="15.6" hidden="1" outlineLevel="2" spans="1:25">
      <c r="A294" s="12">
        <v>209</v>
      </c>
      <c r="B294" s="12">
        <v>28</v>
      </c>
      <c r="C294" s="6" t="s">
        <v>466</v>
      </c>
      <c r="D294" s="6" t="s">
        <v>11</v>
      </c>
      <c r="E294" s="12">
        <v>14.5</v>
      </c>
      <c r="F294" s="11">
        <f>LOOKUP(E294,{0,-2.9,-1.9,-0.9,0.1,1.1,2.1,3.5,4.9,6.3,7.7,9.1,10.5,11.9,13.3,14.7,16.1,18.3,20.5,22.4,24.3},{0,10,20,30,40,50,60,62,64,66,68,70,72,74,76,78,80,85,90,95,100})</f>
        <v>76</v>
      </c>
      <c r="G294" s="12">
        <v>223</v>
      </c>
      <c r="H294" s="11">
        <f>LOOKUP(G294,{0,175,180,185,190,195,200,204,208,212,216,220,224,228,232,236,240,248,255,260,265},{0,10,20,30,40,50,60,62,64,66,68,70,72,74,76,78,80,85,90,95,100})</f>
        <v>70</v>
      </c>
      <c r="I294" s="12">
        <v>22</v>
      </c>
      <c r="J294" s="11">
        <f>LOOKUP(I294,{0,3,4,5,6,7,8,9,10,11,12,13,14,15,16,17},{0,10,20,30,40,50,60,64,68,72,76,80,85,90,95,100})</f>
        <v>100</v>
      </c>
      <c r="K294" s="12">
        <f t="shared" ref="K294:K296" si="177">I294-17</f>
        <v>5</v>
      </c>
      <c r="L294" s="11">
        <f>LOOKUP(K294,{0,1,2,3,4,5,6,7,8,9,10},{0,1,2,3,4,5,6,7,8,9,10})</f>
        <v>5</v>
      </c>
      <c r="M294" s="12">
        <f t="shared" si="165"/>
        <v>105</v>
      </c>
      <c r="N294" s="12">
        <v>7.5</v>
      </c>
      <c r="O294" s="12">
        <f t="shared" si="176"/>
        <v>4.5</v>
      </c>
      <c r="P294" s="11">
        <f>LOOKUP(O294,{0,1.6,1.8,2,2.2,2.4,2.6,2.8,3,3.2,3.4,3.6,3.8,4,4.2,4.4,4.6,4.7,4.8,4.9,5},{0,10,20,30,40,50,60,62,64,66,68,70,72,74,76,78,80,85,90,95,100})</f>
        <v>78</v>
      </c>
      <c r="Q294" s="12">
        <v>4.08</v>
      </c>
      <c r="R294" s="12">
        <f t="shared" si="174"/>
        <v>5.92</v>
      </c>
      <c r="S294" s="11">
        <f>LOOKUP(R294,{0,3.8,4,4.6,4.8,5,5.6,5.65,5.7,5.75,5.8,5.85,5.9,5.95,6,6.45,6.5,6.58,6.65,6.7,6.75},{0,10,20,30,40,50,60,62,64,66,68,70,72,74,76,78,80,85,90,95,100})</f>
        <v>72</v>
      </c>
      <c r="T294" s="12"/>
      <c r="U294" s="12"/>
      <c r="V294" s="12">
        <f t="shared" si="175"/>
        <v>72</v>
      </c>
      <c r="W294" s="12"/>
      <c r="X294" s="20">
        <f t="shared" si="163"/>
        <v>54.6</v>
      </c>
      <c r="Y294" s="20">
        <f t="shared" si="173"/>
        <v>83</v>
      </c>
    </row>
    <row r="295" ht="15.6" hidden="1" outlineLevel="2" spans="1:25">
      <c r="A295" s="12">
        <v>209</v>
      </c>
      <c r="B295" s="12">
        <v>29</v>
      </c>
      <c r="C295" s="6" t="s">
        <v>467</v>
      </c>
      <c r="D295" s="6" t="s">
        <v>11</v>
      </c>
      <c r="E295" s="12">
        <v>20</v>
      </c>
      <c r="F295" s="11">
        <f>LOOKUP(E295,{0,-2.9,-1.9,-0.9,0.1,1.1,2.1,3.5,4.9,6.3,7.7,9.1,10.5,11.9,13.3,14.7,16.1,18.3,20.5,22.4,24.3},{0,10,20,30,40,50,60,62,64,66,68,70,72,74,76,78,80,85,90,95,100})</f>
        <v>85</v>
      </c>
      <c r="G295" s="12">
        <v>237</v>
      </c>
      <c r="H295" s="11">
        <f>LOOKUP(G295,{0,175,180,185,190,195,200,204,208,212,216,220,224,228,232,236,240,248,255,260,265},{0,10,20,30,40,50,60,62,64,66,68,70,72,74,76,78,80,85,90,95,100})</f>
        <v>78</v>
      </c>
      <c r="I295" s="12">
        <v>27</v>
      </c>
      <c r="J295" s="11">
        <f>LOOKUP(I295,{0,3,4,5,6,7,8,9,10,11,12,13,14,15,16,17},{0,10,20,30,40,50,60,64,68,72,76,80,85,90,95,100})</f>
        <v>100</v>
      </c>
      <c r="K295" s="12">
        <f t="shared" si="177"/>
        <v>10</v>
      </c>
      <c r="L295" s="11">
        <f>LOOKUP(K295,{0,1,2,3,4,5,6,7,8,9,10},{0,1,2,3,4,5,6,7,8,9,10})</f>
        <v>10</v>
      </c>
      <c r="M295" s="12">
        <f t="shared" si="165"/>
        <v>110</v>
      </c>
      <c r="N295" s="12">
        <v>6.8</v>
      </c>
      <c r="O295" s="12">
        <f t="shared" si="176"/>
        <v>5.2</v>
      </c>
      <c r="P295" s="11">
        <f>LOOKUP(O295,{0,1.6,1.8,2,2.2,2.4,2.6,2.8,3,3.2,3.4,3.6,3.8,4,4.2,4.4,4.6,4.7,4.8,4.9,5},{0,10,20,30,40,50,60,62,64,66,68,70,72,74,76,78,80,85,90,95,100})</f>
        <v>100</v>
      </c>
      <c r="Q295" s="12">
        <v>3.3</v>
      </c>
      <c r="R295" s="12">
        <f t="shared" si="174"/>
        <v>6.7</v>
      </c>
      <c r="S295" s="11">
        <f>LOOKUP(R295,{0,3.8,4,4.6,4.8,5,5.6,5.65,5.7,5.75,5.8,5.85,5.9,5.95,6,6.45,6.5,6.58,6.65,6.7,6.75},{0,10,20,30,40,50,60,62,64,66,68,70,72,74,76,78,80,85,90,95,100})</f>
        <v>95</v>
      </c>
      <c r="T295" s="12"/>
      <c r="U295" s="12"/>
      <c r="V295" s="12">
        <f t="shared" si="175"/>
        <v>95</v>
      </c>
      <c r="W295" s="12"/>
      <c r="X295" s="20">
        <f t="shared" si="163"/>
        <v>65.3</v>
      </c>
      <c r="Y295" s="20">
        <f t="shared" si="173"/>
        <v>103.285714285714</v>
      </c>
    </row>
    <row r="296" ht="15.6" hidden="1" outlineLevel="2" spans="1:25">
      <c r="A296" s="12">
        <v>209</v>
      </c>
      <c r="B296" s="12">
        <v>30</v>
      </c>
      <c r="C296" s="6" t="s">
        <v>468</v>
      </c>
      <c r="D296" s="6" t="s">
        <v>11</v>
      </c>
      <c r="E296" s="12">
        <v>18.9</v>
      </c>
      <c r="F296" s="11">
        <f>LOOKUP(E296,{0,-2.9,-1.9,-0.9,0.1,1.1,2.1,3.5,4.9,6.3,7.7,9.1,10.5,11.9,13.3,14.7,16.1,18.3,20.5,22.4,24.3},{0,10,20,30,40,50,60,62,64,66,68,70,72,74,76,78,80,85,90,95,100})</f>
        <v>85</v>
      </c>
      <c r="G296" s="12">
        <v>260</v>
      </c>
      <c r="H296" s="11">
        <f>LOOKUP(G296,{0,175,180,185,190,195,200,204,208,212,216,220,224,228,232,236,240,248,255,260,265},{0,10,20,30,40,50,60,62,64,66,68,70,72,74,76,78,80,85,90,95,100})</f>
        <v>95</v>
      </c>
      <c r="I296" s="12">
        <v>18</v>
      </c>
      <c r="J296" s="11">
        <f>LOOKUP(I296,{0,3,4,5,6,7,8,9,10,11,12,13,14,15,16,17},{0,10,20,30,40,50,60,64,68,72,76,80,85,90,95,100})</f>
        <v>100</v>
      </c>
      <c r="K296" s="12">
        <f t="shared" si="177"/>
        <v>1</v>
      </c>
      <c r="L296" s="11">
        <f>LOOKUP(K296,{0,1,2,3,4,5,6,7,8,9,10},{0,1,2,3,4,5,6,7,8,9,10})</f>
        <v>1</v>
      </c>
      <c r="M296" s="12">
        <f t="shared" si="165"/>
        <v>101</v>
      </c>
      <c r="N296" s="12">
        <v>7</v>
      </c>
      <c r="O296" s="12">
        <f t="shared" si="176"/>
        <v>5</v>
      </c>
      <c r="P296" s="11">
        <f>LOOKUP(O296,{0,1.6,1.8,2,2.2,2.4,2.6,2.8,3,3.2,3.4,3.6,3.8,4,4.2,4.4,4.6,4.7,4.8,4.9,5},{0,10,20,30,40,50,60,62,64,66,68,70,72,74,76,78,80,85,90,95,100})</f>
        <v>100</v>
      </c>
      <c r="Q296" s="12">
        <v>3.38</v>
      </c>
      <c r="R296" s="12">
        <f t="shared" si="174"/>
        <v>6.62</v>
      </c>
      <c r="S296" s="11">
        <f>LOOKUP(R296,{0,3.8,4,4.6,4.8,5,5.6,5.65,5.7,5.75,5.8,5.85,5.9,5.95,6,6.45,6.5,6.58,6.65,6.7,6.75},{0,10,20,30,40,50,60,62,64,66,68,70,72,74,76,78,80,85,90,95,100})</f>
        <v>85</v>
      </c>
      <c r="T296" s="12"/>
      <c r="U296" s="12"/>
      <c r="V296" s="12">
        <f t="shared" si="175"/>
        <v>85</v>
      </c>
      <c r="W296" s="12"/>
      <c r="X296" s="20">
        <f t="shared" si="163"/>
        <v>65</v>
      </c>
      <c r="Y296" s="20">
        <f t="shared" si="173"/>
        <v>93.8571428571429</v>
      </c>
    </row>
    <row r="297" ht="15.6" hidden="1" outlineLevel="2" spans="1:25">
      <c r="A297" s="12">
        <v>209</v>
      </c>
      <c r="B297" s="12">
        <v>31</v>
      </c>
      <c r="C297" s="13" t="s">
        <v>470</v>
      </c>
      <c r="D297" s="6" t="s">
        <v>11</v>
      </c>
      <c r="E297" s="12">
        <v>20.1</v>
      </c>
      <c r="F297" s="11">
        <f>LOOKUP(E297,{0,-2.9,-1.9,-0.9,0.1,1.1,2.1,3.5,4.9,6.3,7.7,9.1,10.5,11.9,13.3,14.7,16.1,18.3,20.5,22.4,24.3},{0,10,20,30,40,50,60,62,64,66,68,70,72,74,76,78,80,85,90,95,100})</f>
        <v>85</v>
      </c>
      <c r="G297" s="12">
        <v>214</v>
      </c>
      <c r="H297" s="11">
        <f>LOOKUP(G297,{0,175,180,185,190,195,200,204,208,212,216,220,224,228,232,236,240,248,255,260,265},{0,10,20,30,40,50,60,62,64,66,68,70,72,74,76,78,80,85,90,95,100})</f>
        <v>66</v>
      </c>
      <c r="I297" s="12">
        <v>4</v>
      </c>
      <c r="J297" s="11">
        <f>LOOKUP(I297,{0,3,4,5,6,7,8,9,10,11,12,13,14,15,16,17},{0,10,20,30,40,50,60,64,68,72,76,80,85,90,95,100})</f>
        <v>20</v>
      </c>
      <c r="K297" s="12"/>
      <c r="L297" s="12"/>
      <c r="M297" s="12">
        <f t="shared" si="165"/>
        <v>20</v>
      </c>
      <c r="N297" s="12">
        <v>7.6</v>
      </c>
      <c r="O297" s="12">
        <f t="shared" si="176"/>
        <v>4.4</v>
      </c>
      <c r="P297" s="11">
        <f>LOOKUP(O297,{0,1.6,1.8,2,2.2,2.4,2.6,2.8,3,3.2,3.4,3.6,3.8,4,4.2,4.4,4.6,4.7,4.8,4.9,5},{0,10,20,30,40,50,60,62,64,66,68,70,72,74,76,78,80,85,90,95,100})</f>
        <v>78</v>
      </c>
      <c r="Q297" s="12">
        <v>3.4</v>
      </c>
      <c r="R297" s="12">
        <f t="shared" si="174"/>
        <v>6.6</v>
      </c>
      <c r="S297" s="11">
        <f>LOOKUP(R297,{0,3.8,4,4.6,4.8,5,5.6,5.65,5.7,5.75,5.8,5.85,5.9,5.95,6,6.45,6.5,6.58,6.65,6.7,6.75},{0,10,20,30,40,50,60,62,64,66,68,70,72,74,76,78,80,85,90,95,100})</f>
        <v>85</v>
      </c>
      <c r="T297" s="12"/>
      <c r="U297" s="12"/>
      <c r="V297" s="12">
        <f t="shared" si="175"/>
        <v>85</v>
      </c>
      <c r="W297" s="12"/>
      <c r="X297" s="20">
        <f t="shared" si="163"/>
        <v>49.7</v>
      </c>
      <c r="Y297" s="20">
        <f t="shared" si="173"/>
        <v>71</v>
      </c>
    </row>
    <row r="298" ht="15.6" hidden="1" outlineLevel="2" spans="1:25">
      <c r="A298" s="12">
        <v>209</v>
      </c>
      <c r="B298" s="12">
        <v>32</v>
      </c>
      <c r="C298" s="6" t="s">
        <v>471</v>
      </c>
      <c r="D298" s="6" t="s">
        <v>11</v>
      </c>
      <c r="E298" s="12">
        <v>16.7</v>
      </c>
      <c r="F298" s="11">
        <f>LOOKUP(E298,{0,-2.9,-1.9,-0.9,0.1,1.1,2.1,3.5,4.9,6.3,7.7,9.1,10.5,11.9,13.3,14.7,16.1,18.3,20.5,22.4,24.3},{0,10,20,30,40,50,60,62,64,66,68,70,72,74,76,78,80,85,90,95,100})</f>
        <v>80</v>
      </c>
      <c r="G298" s="12">
        <v>218</v>
      </c>
      <c r="H298" s="11">
        <f>LOOKUP(G298,{0,175,180,185,190,195,200,204,208,212,216,220,224,228,232,236,240,248,255,260,265},{0,10,20,30,40,50,60,62,64,66,68,70,72,74,76,78,80,85,90,95,100})</f>
        <v>68</v>
      </c>
      <c r="I298" s="12">
        <v>7</v>
      </c>
      <c r="J298" s="11">
        <f>LOOKUP(I298,{0,3,4,5,6,7,8,9,10,11,12,13,14,15,16,17},{0,10,20,30,40,50,60,64,68,72,76,80,85,90,95,100})</f>
        <v>50</v>
      </c>
      <c r="K298" s="12"/>
      <c r="L298" s="12"/>
      <c r="M298" s="12">
        <f t="shared" si="165"/>
        <v>50</v>
      </c>
      <c r="N298" s="12">
        <v>7.4</v>
      </c>
      <c r="O298" s="12">
        <f t="shared" si="176"/>
        <v>4.6</v>
      </c>
      <c r="P298" s="11">
        <f>LOOKUP(O298,{0,1.6,1.8,2,2.2,2.4,2.6,2.8,3,3.2,3.4,3.6,3.8,4,4.2,4.4,4.6,4.7,4.8,4.9,5},{0,10,20,30,40,50,60,62,64,66,68,70,72,74,76,78,80,85,90,95,100})</f>
        <v>80</v>
      </c>
      <c r="Q298" s="12" t="s">
        <v>472</v>
      </c>
      <c r="R298" s="12" t="e">
        <f t="shared" si="174"/>
        <v>#VALUE!</v>
      </c>
      <c r="S298" s="11"/>
      <c r="T298" s="12"/>
      <c r="U298" s="12"/>
      <c r="V298" s="12"/>
      <c r="W298" s="12"/>
      <c r="X298" s="20">
        <f t="shared" si="163"/>
        <v>35.8</v>
      </c>
      <c r="Y298" s="20">
        <f t="shared" si="173"/>
        <v>51.1428571428571</v>
      </c>
    </row>
    <row r="299" ht="15.6" hidden="1" outlineLevel="2" spans="1:25">
      <c r="A299" s="12">
        <v>209</v>
      </c>
      <c r="B299" s="12">
        <v>33</v>
      </c>
      <c r="C299" s="6" t="s">
        <v>473</v>
      </c>
      <c r="D299" s="6" t="s">
        <v>11</v>
      </c>
      <c r="E299" s="12">
        <v>18.5</v>
      </c>
      <c r="F299" s="11">
        <f>LOOKUP(E299,{0,-2.9,-1.9,-0.9,0.1,1.1,2.1,3.5,4.9,6.3,7.7,9.1,10.5,11.9,13.3,14.7,16.1,18.3,20.5,22.4,24.3},{0,10,20,30,40,50,60,62,64,66,68,70,72,74,76,78,80,85,90,95,100})</f>
        <v>85</v>
      </c>
      <c r="G299" s="12">
        <v>240</v>
      </c>
      <c r="H299" s="11">
        <f>LOOKUP(G299,{0,175,180,185,190,195,200,204,208,212,216,220,224,228,232,236,240,248,255,260,265},{0,10,20,30,40,50,60,62,64,66,68,70,72,74,76,78,80,85,90,95,100})</f>
        <v>80</v>
      </c>
      <c r="I299" s="12">
        <v>0</v>
      </c>
      <c r="J299" s="11">
        <f>LOOKUP(I299,{0,3,4,5,6,7,8,9,10,11,12,13,14,15,16,17},{0,10,20,30,40,50,60,64,68,72,76,80,85,90,95,100})</f>
        <v>0</v>
      </c>
      <c r="K299" s="12"/>
      <c r="L299" s="12"/>
      <c r="M299" s="12">
        <f t="shared" si="165"/>
        <v>0</v>
      </c>
      <c r="N299" s="12">
        <v>7.2</v>
      </c>
      <c r="O299" s="12">
        <f t="shared" si="176"/>
        <v>4.8</v>
      </c>
      <c r="P299" s="11">
        <f>LOOKUP(O299,{0,1.6,1.8,2,2.2,2.4,2.6,2.8,3,3.2,3.4,3.6,3.8,4,4.2,4.4,4.6,4.7,4.8,4.9,5},{0,10,20,30,40,50,60,62,64,66,68,70,72,74,76,78,80,85,90,95,100})</f>
        <v>90</v>
      </c>
      <c r="Q299" s="12">
        <v>4.04</v>
      </c>
      <c r="R299" s="12">
        <f t="shared" si="174"/>
        <v>5.96</v>
      </c>
      <c r="S299" s="11">
        <f>LOOKUP(R299,{0,3.8,4,4.6,4.8,5,5.6,5.65,5.7,5.75,5.8,5.85,5.9,5.95,6,6.45,6.5,6.58,6.65,6.7,6.75},{0,10,20,30,40,50,60,62,64,66,68,70,72,74,76,78,80,85,90,95,100})</f>
        <v>74</v>
      </c>
      <c r="T299" s="12"/>
      <c r="U299" s="12"/>
      <c r="V299" s="12">
        <f t="shared" ref="V299:V306" si="178">S299+U299</f>
        <v>74</v>
      </c>
      <c r="W299" s="12"/>
      <c r="X299" s="20">
        <f t="shared" si="163"/>
        <v>49.3</v>
      </c>
      <c r="Y299" s="20">
        <f t="shared" si="173"/>
        <v>70.4285714285714</v>
      </c>
    </row>
    <row r="300" ht="15.6" hidden="1" outlineLevel="2" spans="1:25">
      <c r="A300" s="12">
        <v>209</v>
      </c>
      <c r="B300" s="12">
        <v>34</v>
      </c>
      <c r="C300" s="6" t="s">
        <v>474</v>
      </c>
      <c r="D300" s="6" t="s">
        <v>11</v>
      </c>
      <c r="E300" s="12">
        <v>12.3</v>
      </c>
      <c r="F300" s="11">
        <f>LOOKUP(E300,{0,-2.9,-1.9,-0.9,0.1,1.1,2.1,3.5,4.9,6.3,7.7,9.1,10.5,11.9,13.3,14.7,16.1,18.3,20.5,22.4,24.3},{0,10,20,30,40,50,60,62,64,66,68,70,72,74,76,78,80,85,90,95,100})</f>
        <v>74</v>
      </c>
      <c r="G300" s="12">
        <v>207</v>
      </c>
      <c r="H300" s="11">
        <f>LOOKUP(G300,{0,175,180,185,190,195,200,204,208,212,216,220,224,228,232,236,240,248,255,260,265},{0,10,20,30,40,50,60,62,64,66,68,70,72,74,76,78,80,85,90,95,100})</f>
        <v>62</v>
      </c>
      <c r="I300" s="12">
        <v>1</v>
      </c>
      <c r="J300" s="11">
        <f>LOOKUP(I300,{0,3,4,5,6,7,8,9,10,11,12,13,14,15,16,17},{0,10,20,30,40,50,60,64,68,72,76,80,85,90,95,100})</f>
        <v>0</v>
      </c>
      <c r="K300" s="12"/>
      <c r="L300" s="12"/>
      <c r="M300" s="12">
        <f t="shared" si="165"/>
        <v>0</v>
      </c>
      <c r="N300" s="12">
        <v>7.9</v>
      </c>
      <c r="O300" s="12">
        <f t="shared" si="176"/>
        <v>4.1</v>
      </c>
      <c r="P300" s="11">
        <f>LOOKUP(O300,{0,1.6,1.8,2,2.2,2.4,2.6,2.8,3,3.2,3.4,3.6,3.8,4,4.2,4.4,4.6,4.7,4.8,4.9,5},{0,10,20,30,40,50,60,62,64,66,68,70,72,74,76,78,80,85,90,95,100})</f>
        <v>74</v>
      </c>
      <c r="Q300" s="12">
        <v>4.03</v>
      </c>
      <c r="R300" s="12">
        <f t="shared" si="174"/>
        <v>5.97</v>
      </c>
      <c r="S300" s="11">
        <f>LOOKUP(R300,{0,3.8,4,4.6,4.8,5,5.6,5.65,5.7,5.75,5.8,5.85,5.9,5.95,6,6.45,6.5,6.58,6.65,6.7,6.75},{0,10,20,30,40,50,60,62,64,66,68,70,72,74,76,78,80,85,90,95,100})</f>
        <v>74</v>
      </c>
      <c r="T300" s="12"/>
      <c r="U300" s="12"/>
      <c r="V300" s="12">
        <f t="shared" si="178"/>
        <v>74</v>
      </c>
      <c r="W300" s="12"/>
      <c r="X300" s="20">
        <f t="shared" si="163"/>
        <v>43.2</v>
      </c>
      <c r="Y300" s="20">
        <f t="shared" si="173"/>
        <v>61.7142857142857</v>
      </c>
    </row>
    <row r="301" ht="15.6" hidden="1" outlineLevel="2" spans="1:25">
      <c r="A301" s="12">
        <v>209</v>
      </c>
      <c r="B301" s="12">
        <v>35</v>
      </c>
      <c r="C301" s="6" t="s">
        <v>475</v>
      </c>
      <c r="D301" s="6" t="s">
        <v>11</v>
      </c>
      <c r="E301" s="12">
        <v>16.3</v>
      </c>
      <c r="F301" s="11">
        <f>LOOKUP(E301,{0,-2.9,-1.9,-0.9,0.1,1.1,2.1,3.5,4.9,6.3,7.7,9.1,10.5,11.9,13.3,14.7,16.1,18.3,20.5,22.4,24.3},{0,10,20,30,40,50,60,62,64,66,68,70,72,74,76,78,80,85,90,95,100})</f>
        <v>80</v>
      </c>
      <c r="G301" s="12">
        <v>255</v>
      </c>
      <c r="H301" s="11">
        <f>LOOKUP(G301,{0,175,180,185,190,195,200,204,208,212,216,220,224,228,232,236,240,248,255,260,265},{0,10,20,30,40,50,60,62,64,66,68,70,72,74,76,78,80,85,90,95,100})</f>
        <v>90</v>
      </c>
      <c r="I301" s="12">
        <v>26</v>
      </c>
      <c r="J301" s="11">
        <f>LOOKUP(I301,{0,3,4,5,6,7,8,9,10,11,12,13,14,15,16,17},{0,10,20,30,40,50,60,64,68,72,76,80,85,90,95,100})</f>
        <v>100</v>
      </c>
      <c r="K301" s="12">
        <f>I301-17</f>
        <v>9</v>
      </c>
      <c r="L301" s="11">
        <f>LOOKUP(K301,{0,1,2,3,4,5,6,7,8,9,10},{0,1,2,3,4,5,6,7,8,9,10})</f>
        <v>9</v>
      </c>
      <c r="M301" s="12">
        <f t="shared" si="165"/>
        <v>109</v>
      </c>
      <c r="N301" s="12">
        <v>6.8</v>
      </c>
      <c r="O301" s="12">
        <f t="shared" si="176"/>
        <v>5.2</v>
      </c>
      <c r="P301" s="11">
        <f>LOOKUP(O301,{0,1.6,1.8,2,2.2,2.4,2.6,2.8,3,3.2,3.4,3.6,3.8,4,4.2,4.4,4.6,4.7,4.8,4.9,5},{0,10,20,30,40,50,60,62,64,66,68,70,72,74,76,78,80,85,90,95,100})</f>
        <v>100</v>
      </c>
      <c r="Q301" s="12">
        <v>3.07</v>
      </c>
      <c r="R301" s="12">
        <f t="shared" si="174"/>
        <v>6.93</v>
      </c>
      <c r="S301" s="11">
        <f>LOOKUP(R301,{0,3.8,4,4.6,4.8,5,5.6,5.65,5.7,5.75,5.8,5.85,5.9,5.95,6,6.45,6.5,6.58,6.65,6.7,6.75},{0,10,20,30,40,50,60,62,64,66,68,70,72,74,76,78,80,85,90,95,100})</f>
        <v>100</v>
      </c>
      <c r="T301" s="12">
        <f>3.25-Q301</f>
        <v>0.18</v>
      </c>
      <c r="U301" s="11">
        <f>LOOKUP(T301,{0,0.04,0.08,0.12,0.16,0.2,0.23,0.26,0.29,0.32,0.35},{0,1,2,3,4,5,6,7,8,9,10})</f>
        <v>4</v>
      </c>
      <c r="V301" s="12">
        <f t="shared" si="178"/>
        <v>104</v>
      </c>
      <c r="W301" s="12"/>
      <c r="X301" s="20">
        <f t="shared" si="163"/>
        <v>67</v>
      </c>
      <c r="Y301" s="20">
        <f t="shared" si="173"/>
        <v>108.714285714286</v>
      </c>
    </row>
    <row r="302" ht="15.6" hidden="1" outlineLevel="2" spans="1:25">
      <c r="A302" s="12">
        <v>209</v>
      </c>
      <c r="B302" s="12">
        <v>36</v>
      </c>
      <c r="C302" s="6" t="s">
        <v>476</v>
      </c>
      <c r="D302" s="6" t="s">
        <v>11</v>
      </c>
      <c r="E302" s="12">
        <v>12.9</v>
      </c>
      <c r="F302" s="11">
        <f>LOOKUP(E302,{0,-2.9,-1.9,-0.9,0.1,1.1,2.1,3.5,4.9,6.3,7.7,9.1,10.5,11.9,13.3,14.7,16.1,18.3,20.5,22.4,24.3},{0,10,20,30,40,50,60,62,64,66,68,70,72,74,76,78,80,85,90,95,100})</f>
        <v>74</v>
      </c>
      <c r="G302" s="12">
        <v>205</v>
      </c>
      <c r="H302" s="11">
        <f>LOOKUP(G302,{0,175,180,185,190,195,200,204,208,212,216,220,224,228,232,236,240,248,255,260,265},{0,10,20,30,40,50,60,62,64,66,68,70,72,74,76,78,80,85,90,95,100})</f>
        <v>62</v>
      </c>
      <c r="I302" s="12">
        <v>0</v>
      </c>
      <c r="J302" s="11">
        <f>LOOKUP(I302,{0,3,4,5,6,7,8,9,10,11,12,13,14,15,16,17},{0,10,20,30,40,50,60,64,68,72,76,80,85,90,95,100})</f>
        <v>0</v>
      </c>
      <c r="K302" s="12"/>
      <c r="L302" s="12"/>
      <c r="M302" s="12">
        <f t="shared" si="165"/>
        <v>0</v>
      </c>
      <c r="N302" s="12">
        <v>7.9</v>
      </c>
      <c r="O302" s="12">
        <f t="shared" si="176"/>
        <v>4.1</v>
      </c>
      <c r="P302" s="11">
        <f>LOOKUP(O302,{0,1.6,1.8,2,2.2,2.4,2.6,2.8,3,3.2,3.4,3.6,3.8,4,4.2,4.4,4.6,4.7,4.8,4.9,5},{0,10,20,30,40,50,60,62,64,66,68,70,72,74,76,78,80,85,90,95,100})</f>
        <v>74</v>
      </c>
      <c r="Q302" s="12">
        <v>4.32</v>
      </c>
      <c r="R302" s="12">
        <f t="shared" si="174"/>
        <v>5.68</v>
      </c>
      <c r="S302" s="11">
        <f>LOOKUP(R302,{0,3.8,4,4.6,4.8,5,5.6,5.65,5.7,5.75,5.8,5.85,5.9,5.95,6,6.45,6.5,6.58,6.65,6.7,6.75},{0,10,20,30,40,50,60,62,64,66,68,70,72,74,76,78,80,85,90,95,100})</f>
        <v>62</v>
      </c>
      <c r="T302" s="12"/>
      <c r="U302" s="12"/>
      <c r="V302" s="12">
        <f t="shared" si="178"/>
        <v>62</v>
      </c>
      <c r="W302" s="12"/>
      <c r="X302" s="20">
        <f t="shared" si="163"/>
        <v>40.8</v>
      </c>
      <c r="Y302" s="20">
        <f t="shared" si="173"/>
        <v>58.2857142857143</v>
      </c>
    </row>
    <row r="303" ht="15.6" hidden="1" outlineLevel="2" spans="1:25">
      <c r="A303" s="12">
        <v>209</v>
      </c>
      <c r="B303" s="12">
        <v>37</v>
      </c>
      <c r="C303" s="6" t="s">
        <v>477</v>
      </c>
      <c r="D303" s="6" t="s">
        <v>11</v>
      </c>
      <c r="E303" s="12">
        <v>20</v>
      </c>
      <c r="F303" s="11">
        <f>LOOKUP(E303,{0,-2.9,-1.9,-0.9,0.1,1.1,2.1,3.5,4.9,6.3,7.7,9.1,10.5,11.9,13.3,14.7,16.1,18.3,20.5,22.4,24.3},{0,10,20,30,40,50,60,62,64,66,68,70,72,74,76,78,80,85,90,95,100})</f>
        <v>85</v>
      </c>
      <c r="G303" s="12">
        <v>270</v>
      </c>
      <c r="H303" s="11">
        <f>LOOKUP(G303,{0,175,180,185,190,195,200,204,208,212,216,220,224,228,232,236,240,248,255,260,265},{0,10,20,30,40,50,60,62,64,66,68,70,72,74,76,78,80,85,90,95,100})</f>
        <v>100</v>
      </c>
      <c r="I303" s="12">
        <v>1</v>
      </c>
      <c r="J303" s="11">
        <f>LOOKUP(I303,{0,3,4,5,6,7,8,9,10,11,12,13,14,15,16,17},{0,10,20,30,40,50,60,64,68,72,76,80,85,90,95,100})</f>
        <v>0</v>
      </c>
      <c r="K303" s="12"/>
      <c r="L303" s="12"/>
      <c r="M303" s="12">
        <f t="shared" si="165"/>
        <v>0</v>
      </c>
      <c r="N303" s="12">
        <v>6.8</v>
      </c>
      <c r="O303" s="12">
        <f t="shared" si="176"/>
        <v>5.2</v>
      </c>
      <c r="P303" s="11">
        <f>LOOKUP(O303,{0,1.6,1.8,2,2.2,2.4,2.6,2.8,3,3.2,3.4,3.6,3.8,4,4.2,4.4,4.6,4.7,4.8,4.9,5},{0,10,20,30,40,50,60,62,64,66,68,70,72,74,76,78,80,85,90,95,100})</f>
        <v>100</v>
      </c>
      <c r="Q303" s="12">
        <v>3.59</v>
      </c>
      <c r="R303" s="12">
        <f t="shared" si="174"/>
        <v>6.41</v>
      </c>
      <c r="S303" s="11">
        <f>LOOKUP(R303,{0,3.8,4,4.6,4.8,5,5.6,5.65,5.7,5.75,5.8,5.85,5.9,5.95,6,6.45,6.5,6.58,6.65,6.7,6.75},{0,10,20,30,40,50,60,62,64,66,68,70,72,74,76,78,80,85,90,95,100})</f>
        <v>76</v>
      </c>
      <c r="T303" s="12"/>
      <c r="U303" s="12"/>
      <c r="V303" s="12">
        <f t="shared" si="178"/>
        <v>76</v>
      </c>
      <c r="W303" s="12"/>
      <c r="X303" s="20">
        <f t="shared" si="163"/>
        <v>53.7</v>
      </c>
      <c r="Y303" s="20">
        <f t="shared" si="173"/>
        <v>76.7142857142857</v>
      </c>
    </row>
    <row r="304" s="1" customFormat="1" ht="15.6" hidden="1" outlineLevel="2" spans="1:25">
      <c r="A304" s="12">
        <v>209</v>
      </c>
      <c r="B304" s="12">
        <v>38</v>
      </c>
      <c r="C304" s="6" t="s">
        <v>478</v>
      </c>
      <c r="D304" s="6" t="s">
        <v>11</v>
      </c>
      <c r="E304" s="12">
        <v>17.4</v>
      </c>
      <c r="F304" s="11">
        <f>LOOKUP(E304,{0,-2.9,-1.9,-0.9,0.1,1.1,2.1,3.5,4.9,6.3,7.7,9.1,10.5,11.9,13.3,14.7,16.1,18.3,20.5,22.4,24.3},{0,10,20,30,40,50,60,62,64,66,68,70,72,74,76,78,80,85,90,95,100})</f>
        <v>80</v>
      </c>
      <c r="G304" s="12">
        <v>230</v>
      </c>
      <c r="H304" s="11">
        <f>LOOKUP(G304,{0,175,180,185,190,195,200,204,208,212,216,220,224,228,232,236,240,248,255,260,265},{0,10,20,30,40,50,60,62,64,66,68,70,72,74,76,78,80,85,90,95,100})</f>
        <v>74</v>
      </c>
      <c r="I304" s="12">
        <v>10</v>
      </c>
      <c r="J304" s="11">
        <f>LOOKUP(I304,{0,3,4,5,6,7,8,9,10,11,12,13,14,15,16,17},{0,10,20,30,40,50,60,64,68,72,76,80,85,90,95,100})</f>
        <v>68</v>
      </c>
      <c r="K304" s="12"/>
      <c r="L304" s="12"/>
      <c r="M304" s="12">
        <f t="shared" si="165"/>
        <v>68</v>
      </c>
      <c r="N304" s="12">
        <v>7.3</v>
      </c>
      <c r="O304" s="12">
        <f t="shared" si="176"/>
        <v>4.7</v>
      </c>
      <c r="P304" s="11">
        <f>LOOKUP(O304,{0,1.6,1.8,2,2.2,2.4,2.6,2.8,3,3.2,3.4,3.6,3.8,4,4.2,4.4,4.6,4.7,4.8,4.9,5},{0,10,20,30,40,50,60,62,64,66,68,70,72,74,76,78,80,85,90,95,100})</f>
        <v>85</v>
      </c>
      <c r="Q304" s="12">
        <v>3.48</v>
      </c>
      <c r="R304" s="12">
        <f t="shared" si="174"/>
        <v>6.52</v>
      </c>
      <c r="S304" s="11">
        <f>LOOKUP(R304,{0,3.8,4,4.6,4.8,5,5.6,5.65,5.7,5.75,5.8,5.85,5.9,5.95,6,6.45,6.5,6.58,6.65,6.7,6.75},{0,10,20,30,40,50,60,62,64,66,68,70,72,74,76,78,80,85,90,95,100})</f>
        <v>80</v>
      </c>
      <c r="T304" s="12"/>
      <c r="U304" s="12"/>
      <c r="V304" s="12">
        <f t="shared" si="178"/>
        <v>80</v>
      </c>
      <c r="W304" s="12"/>
      <c r="X304" s="20">
        <f t="shared" si="163"/>
        <v>55.2</v>
      </c>
      <c r="Y304" s="20">
        <f t="shared" si="173"/>
        <v>78.8571428571429</v>
      </c>
    </row>
    <row r="305" ht="15.6" hidden="1" outlineLevel="2" spans="1:25">
      <c r="A305" s="12">
        <v>209</v>
      </c>
      <c r="B305" s="12">
        <v>39</v>
      </c>
      <c r="C305" s="6" t="s">
        <v>479</v>
      </c>
      <c r="D305" s="6" t="s">
        <v>11</v>
      </c>
      <c r="E305" s="12">
        <v>17.6</v>
      </c>
      <c r="F305" s="11">
        <f>LOOKUP(E305,{0,-2.9,-1.9,-0.9,0.1,1.1,2.1,3.5,4.9,6.3,7.7,9.1,10.5,11.9,13.3,14.7,16.1,18.3,20.5,22.4,24.3},{0,10,20,30,40,50,60,62,64,66,68,70,72,74,76,78,80,85,90,95,100})</f>
        <v>80</v>
      </c>
      <c r="G305" s="12">
        <v>215</v>
      </c>
      <c r="H305" s="11">
        <f>LOOKUP(G305,{0,175,180,185,190,195,200,204,208,212,216,220,224,228,232,236,240,248,255,260,265},{0,10,20,30,40,50,60,62,64,66,68,70,72,74,76,78,80,85,90,95,100})</f>
        <v>66</v>
      </c>
      <c r="I305" s="12">
        <v>13</v>
      </c>
      <c r="J305" s="11">
        <f>LOOKUP(I305,{0,3,4,5,6,7,8,9,10,11,12,13,14,15,16,17},{0,10,20,30,40,50,60,64,68,72,76,80,85,90,95,100})</f>
        <v>80</v>
      </c>
      <c r="K305" s="12"/>
      <c r="L305" s="12"/>
      <c r="M305" s="12">
        <f t="shared" si="165"/>
        <v>80</v>
      </c>
      <c r="N305" s="12">
        <v>6.8</v>
      </c>
      <c r="O305" s="12">
        <f t="shared" si="176"/>
        <v>5.2</v>
      </c>
      <c r="P305" s="11">
        <f>LOOKUP(O305,{0,1.6,1.8,2,2.2,2.4,2.6,2.8,3,3.2,3.4,3.6,3.8,4,4.2,4.4,4.6,4.7,4.8,4.9,5},{0,10,20,30,40,50,60,62,64,66,68,70,72,74,76,78,80,85,90,95,100})</f>
        <v>100</v>
      </c>
      <c r="Q305" s="12">
        <v>3.27</v>
      </c>
      <c r="R305" s="12">
        <f t="shared" si="174"/>
        <v>6.73</v>
      </c>
      <c r="S305" s="11">
        <f>LOOKUP(R305,{0,3.8,4,4.6,4.8,5,5.6,5.65,5.7,5.75,5.8,5.85,5.9,5.95,6,6.45,6.5,6.58,6.65,6.7,6.75},{0,10,20,30,40,50,60,62,64,66,68,70,72,74,76,78,80,85,90,95,100})</f>
        <v>95</v>
      </c>
      <c r="T305" s="12"/>
      <c r="U305" s="12"/>
      <c r="V305" s="12">
        <f t="shared" si="178"/>
        <v>95</v>
      </c>
      <c r="W305" s="12"/>
      <c r="X305" s="20">
        <f t="shared" si="163"/>
        <v>61.6</v>
      </c>
      <c r="Y305" s="20">
        <f t="shared" si="173"/>
        <v>88</v>
      </c>
    </row>
    <row r="306" ht="15.6" hidden="1" outlineLevel="2" spans="1:25">
      <c r="A306" s="12">
        <v>209</v>
      </c>
      <c r="B306" s="12">
        <v>40</v>
      </c>
      <c r="C306" s="6" t="s">
        <v>480</v>
      </c>
      <c r="D306" s="6" t="s">
        <v>11</v>
      </c>
      <c r="E306" s="12">
        <v>19.5</v>
      </c>
      <c r="F306" s="11">
        <f>LOOKUP(E306,{0,-2.9,-1.9,-0.9,0.1,1.1,2.1,3.5,4.9,6.3,7.7,9.1,10.5,11.9,13.3,14.7,16.1,18.3,20.5,22.4,24.3},{0,10,20,30,40,50,60,62,64,66,68,70,72,74,76,78,80,85,90,95,100})</f>
        <v>85</v>
      </c>
      <c r="G306" s="12">
        <v>270</v>
      </c>
      <c r="H306" s="11">
        <f>LOOKUP(G306,{0,175,180,185,190,195,200,204,208,212,216,220,224,228,232,236,240,248,255,260,265},{0,10,20,30,40,50,60,62,64,66,68,70,72,74,76,78,80,85,90,95,100})</f>
        <v>100</v>
      </c>
      <c r="I306" s="12">
        <v>27</v>
      </c>
      <c r="J306" s="11">
        <f>LOOKUP(I306,{0,3,4,5,6,7,8,9,10,11,12,13,14,15,16,17},{0,10,20,30,40,50,60,64,68,72,76,80,85,90,95,100})</f>
        <v>100</v>
      </c>
      <c r="K306" s="12">
        <f>I306-17</f>
        <v>10</v>
      </c>
      <c r="L306" s="11">
        <f>LOOKUP(K306,{0,1,2,3,4,5,6,7,8,9,10},{0,1,2,3,4,5,6,7,8,9,10})</f>
        <v>10</v>
      </c>
      <c r="M306" s="12">
        <f t="shared" si="165"/>
        <v>110</v>
      </c>
      <c r="N306" s="12">
        <v>6.2</v>
      </c>
      <c r="O306" s="12">
        <f t="shared" si="176"/>
        <v>5.8</v>
      </c>
      <c r="P306" s="11">
        <f>LOOKUP(O306,{0,1.6,1.8,2,2.2,2.4,2.6,2.8,3,3.2,3.4,3.6,3.8,4,4.2,4.4,4.6,4.7,4.8,4.9,5},{0,10,20,30,40,50,60,62,64,66,68,70,72,74,76,78,80,85,90,95,100})</f>
        <v>100</v>
      </c>
      <c r="Q306" s="12">
        <v>3.34</v>
      </c>
      <c r="R306" s="12">
        <f t="shared" si="174"/>
        <v>6.66</v>
      </c>
      <c r="S306" s="11">
        <f>LOOKUP(R306,{0,3.8,4,4.6,4.8,5,5.6,5.65,5.7,5.75,5.8,5.85,5.9,5.95,6,6.45,6.5,6.58,6.65,6.7,6.75},{0,10,20,30,40,50,60,62,64,66,68,70,72,74,76,78,80,85,90,95,100})</f>
        <v>90</v>
      </c>
      <c r="T306" s="12"/>
      <c r="U306" s="12"/>
      <c r="V306" s="12">
        <f t="shared" si="178"/>
        <v>90</v>
      </c>
      <c r="W306" s="12"/>
      <c r="X306" s="20">
        <f t="shared" si="163"/>
        <v>66.5</v>
      </c>
      <c r="Y306" s="20">
        <f t="shared" si="173"/>
        <v>105</v>
      </c>
    </row>
    <row r="307" ht="15.6" outlineLevel="1" collapsed="1" spans="1:25">
      <c r="A307" s="14" t="s">
        <v>863</v>
      </c>
      <c r="B307" s="12"/>
      <c r="C307" s="6"/>
      <c r="D307" s="6"/>
      <c r="E307" s="12"/>
      <c r="F307" s="11">
        <f>SUBTOTAL(1,F267:F306)</f>
        <v>71.7435897435897</v>
      </c>
      <c r="G307" s="12"/>
      <c r="H307" s="11">
        <f>SUBTOTAL(1,H267:H306)</f>
        <v>78.6666666666667</v>
      </c>
      <c r="I307" s="12"/>
      <c r="J307" s="11">
        <f>SUBTOTAL(1,J267:J306)</f>
        <v>50.5128205128205</v>
      </c>
      <c r="K307" s="12"/>
      <c r="L307" s="11"/>
      <c r="M307" s="12">
        <f>SUBTOTAL(1,M267:M306)</f>
        <v>51.7435897435897</v>
      </c>
      <c r="N307" s="12"/>
      <c r="O307" s="12"/>
      <c r="P307" s="11">
        <f>SUBTOTAL(1,P267:P306)</f>
        <v>89.2432432432432</v>
      </c>
      <c r="Q307" s="12"/>
      <c r="R307" s="12"/>
      <c r="S307" s="11">
        <f>SUBTOTAL(1,S267:S306)</f>
        <v>81.5</v>
      </c>
      <c r="T307" s="12"/>
      <c r="U307" s="12"/>
      <c r="V307" s="12">
        <f>SUBTOTAL(1,V267:V306)</f>
        <v>81.7222222222222</v>
      </c>
      <c r="W307" s="12"/>
      <c r="X307" s="20">
        <f>SUBTOTAL(1,X267:X306)</f>
        <v>50.77</v>
      </c>
      <c r="Y307" s="20">
        <f>SUBTOTAL(1,Y267:Y306)</f>
        <v>75.9642857142857</v>
      </c>
    </row>
    <row r="308" ht="15.6" hidden="1" outlineLevel="2" spans="1:25">
      <c r="A308" s="12">
        <v>210</v>
      </c>
      <c r="B308" s="12">
        <v>1</v>
      </c>
      <c r="C308" s="13" t="s">
        <v>494</v>
      </c>
      <c r="D308" s="6" t="s">
        <v>11</v>
      </c>
      <c r="E308" s="12">
        <v>6.1</v>
      </c>
      <c r="F308" s="11">
        <f>LOOKUP(E308,{0,-2.9,-1.9,-0.9,0.1,1.1,2.1,3.5,4.9,6.3,7.7,9.1,10.5,11.9,13.3,14.7,16.1,18.3,20.5,22.4,24.3},{0,10,20,30,40,50,60,62,64,66,68,70,72,74,76,78,80,85,90,95,100})</f>
        <v>64</v>
      </c>
      <c r="G308" s="12">
        <v>243</v>
      </c>
      <c r="H308" s="11">
        <f>LOOKUP(G308,{0,175,180,185,190,195,200,204,208,212,216,220,224,228,232,236,240,248,255,260,265},{0,10,20,30,40,50,60,62,64,66,68,70,72,74,76,78,80,85,90,95,100})</f>
        <v>80</v>
      </c>
      <c r="I308" s="12">
        <v>17</v>
      </c>
      <c r="J308" s="11">
        <f>LOOKUP(I308,{0,3,4,5,6,7,8,9,10,11,12,13,14,15,16,17},{0,10,20,30,40,50,60,64,68,72,76,80,85,90,95,100})</f>
        <v>100</v>
      </c>
      <c r="K308" s="12">
        <f t="shared" ref="K308:K313" si="179">I308-17</f>
        <v>0</v>
      </c>
      <c r="L308" s="11">
        <f>LOOKUP(K308,{0,1,2,3,4,5,6,7,8,9,10},{0,1,2,3,4,5,6,7,8,9,10})</f>
        <v>0</v>
      </c>
      <c r="M308" s="12">
        <f t="shared" ref="M308:M313" si="180">J308+L308</f>
        <v>100</v>
      </c>
      <c r="N308" s="12">
        <v>6.7</v>
      </c>
      <c r="O308" s="12">
        <f t="shared" ref="O308:O313" si="181">12-N308</f>
        <v>5.3</v>
      </c>
      <c r="P308" s="11">
        <f>LOOKUP(O308,{0,1.6,1.8,2,2.2,2.4,2.6,2.8,3,3.2,3.4,3.6,3.8,4,4.2,4.4,4.6,4.7,4.8,4.9,5},{0,10,20,30,40,50,60,62,64,66,68,70,72,74,76,78,80,85,90,95,100})</f>
        <v>100</v>
      </c>
      <c r="Q308" s="12">
        <v>3.4</v>
      </c>
      <c r="R308" s="12">
        <f t="shared" ref="R308:R313" si="182">10-Q308</f>
        <v>6.6</v>
      </c>
      <c r="S308" s="11">
        <f>LOOKUP(R308,{0,3.8,4,4.6,4.8,5,5.6,5.65,5.7,5.75,5.8,5.85,5.9,5.95,6,6.45,6.5,6.58,6.65,6.7,6.75},{0,10,20,30,40,50,60,62,64,66,68,70,72,74,76,78,80,85,90,95,100})</f>
        <v>85</v>
      </c>
      <c r="T308" s="12"/>
      <c r="U308" s="12"/>
      <c r="V308" s="12">
        <f t="shared" ref="V308:V313" si="183">S308+U308</f>
        <v>85</v>
      </c>
      <c r="W308" s="12"/>
      <c r="X308" s="20">
        <f t="shared" ref="X308:X342" si="184">F308*0.1+H308*0.1+J308*0.1+P308*0.2+S308*0.2</f>
        <v>61.4</v>
      </c>
      <c r="Y308" s="20">
        <f t="shared" ref="Y308:Y313" si="185">X308/0.7+L308+U308</f>
        <v>87.7142857142857</v>
      </c>
    </row>
    <row r="309" ht="15.6" hidden="1" outlineLevel="2" spans="1:25">
      <c r="A309" s="12">
        <v>210</v>
      </c>
      <c r="B309" s="12">
        <v>2</v>
      </c>
      <c r="C309" s="6" t="s">
        <v>495</v>
      </c>
      <c r="D309" s="6" t="s">
        <v>11</v>
      </c>
      <c r="E309" s="12">
        <v>37</v>
      </c>
      <c r="F309" s="11">
        <f>LOOKUP(E309,{0,-2.9,-1.9,-0.9,0.1,1.1,2.1,3.5,4.9,6.3,7.7,9.1,10.5,11.9,13.3,14.7,16.1,18.3,20.5,22.4,24.3},{0,10,20,30,40,50,60,62,64,66,68,70,72,74,76,78,80,85,90,95,100})</f>
        <v>100</v>
      </c>
      <c r="G309" s="12">
        <v>278</v>
      </c>
      <c r="H309" s="11">
        <f>LOOKUP(G309,{0,175,180,185,190,195,200,204,208,212,216,220,224,228,232,236,240,248,255,260,265},{0,10,20,30,40,50,60,62,64,66,68,70,72,74,76,78,80,85,90,95,100})</f>
        <v>100</v>
      </c>
      <c r="I309" s="12">
        <v>25</v>
      </c>
      <c r="J309" s="11">
        <f>LOOKUP(I309,{0,3,4,5,6,7,8,9,10,11,12,13,14,15,16,17},{0,10,20,30,40,50,60,64,68,72,76,80,85,90,95,100})</f>
        <v>100</v>
      </c>
      <c r="K309" s="12">
        <f t="shared" si="179"/>
        <v>8</v>
      </c>
      <c r="L309" s="11">
        <f>LOOKUP(K309,{0,1,2,3,4,5,6,7,8,9,10},{0,1,2,3,4,5,6,7,8,9,10})</f>
        <v>8</v>
      </c>
      <c r="M309" s="12">
        <f t="shared" si="180"/>
        <v>108</v>
      </c>
      <c r="N309" s="12">
        <v>6.9</v>
      </c>
      <c r="O309" s="12">
        <f t="shared" si="181"/>
        <v>5.1</v>
      </c>
      <c r="P309" s="11">
        <f>LOOKUP(O309,{0,1.6,1.8,2,2.2,2.4,2.6,2.8,3,3.2,3.4,3.6,3.8,4,4.2,4.4,4.6,4.7,4.8,4.9,5},{0,10,20,30,40,50,60,62,64,66,68,70,72,74,76,78,80,85,90,95,100})</f>
        <v>100</v>
      </c>
      <c r="Q309" s="12">
        <v>3.34</v>
      </c>
      <c r="R309" s="12">
        <f t="shared" si="182"/>
        <v>6.66</v>
      </c>
      <c r="S309" s="11">
        <f>LOOKUP(R309,{0,3.8,4,4.6,4.8,5,5.6,5.65,5.7,5.75,5.8,5.85,5.9,5.95,6,6.45,6.5,6.58,6.65,6.7,6.75},{0,10,20,30,40,50,60,62,64,66,68,70,72,74,76,78,80,85,90,95,100})</f>
        <v>90</v>
      </c>
      <c r="T309" s="12"/>
      <c r="U309" s="12"/>
      <c r="V309" s="12">
        <f t="shared" si="183"/>
        <v>90</v>
      </c>
      <c r="W309" s="12"/>
      <c r="X309" s="20">
        <f t="shared" si="184"/>
        <v>68</v>
      </c>
      <c r="Y309" s="20">
        <f t="shared" si="185"/>
        <v>105.142857142857</v>
      </c>
    </row>
    <row r="310" s="3" customFormat="1" ht="15.6" hidden="1" outlineLevel="2" spans="1:25">
      <c r="A310" s="12">
        <v>210</v>
      </c>
      <c r="B310" s="12">
        <v>3</v>
      </c>
      <c r="C310" s="6" t="s">
        <v>496</v>
      </c>
      <c r="D310" s="6" t="s">
        <v>11</v>
      </c>
      <c r="E310" s="12"/>
      <c r="F310" s="11"/>
      <c r="G310" s="12"/>
      <c r="H310" s="11"/>
      <c r="I310" s="12"/>
      <c r="J310" s="11"/>
      <c r="K310" s="12"/>
      <c r="L310" s="12"/>
      <c r="M310" s="12"/>
      <c r="N310" s="12"/>
      <c r="O310" s="12"/>
      <c r="P310" s="11"/>
      <c r="Q310" s="12"/>
      <c r="R310" s="12"/>
      <c r="S310" s="11"/>
      <c r="T310" s="12"/>
      <c r="U310" s="16"/>
      <c r="V310" s="12"/>
      <c r="W310" s="12"/>
      <c r="X310" s="20">
        <f t="shared" si="184"/>
        <v>0</v>
      </c>
      <c r="Y310" s="23">
        <v>50</v>
      </c>
    </row>
    <row r="311" ht="15.6" hidden="1" outlineLevel="2" spans="1:25">
      <c r="A311" s="12">
        <v>210</v>
      </c>
      <c r="B311" s="12">
        <v>4</v>
      </c>
      <c r="C311" s="6" t="s">
        <v>497</v>
      </c>
      <c r="D311" s="6" t="s">
        <v>11</v>
      </c>
      <c r="E311" s="12"/>
      <c r="F311" s="11"/>
      <c r="G311" s="12"/>
      <c r="H311" s="11"/>
      <c r="I311" s="12"/>
      <c r="J311" s="11"/>
      <c r="K311" s="12"/>
      <c r="L311" s="12"/>
      <c r="M311" s="12"/>
      <c r="N311" s="12"/>
      <c r="O311" s="12"/>
      <c r="P311" s="11"/>
      <c r="Q311" s="12"/>
      <c r="R311" s="12"/>
      <c r="S311" s="11"/>
      <c r="T311" s="12"/>
      <c r="U311" s="11"/>
      <c r="V311" s="12"/>
      <c r="W311" s="12"/>
      <c r="X311" s="20">
        <f t="shared" si="184"/>
        <v>0</v>
      </c>
      <c r="Y311" s="23">
        <v>50</v>
      </c>
    </row>
    <row r="312" ht="15.6" hidden="1" outlineLevel="2" spans="1:25">
      <c r="A312" s="12">
        <v>210</v>
      </c>
      <c r="B312" s="12">
        <v>5</v>
      </c>
      <c r="C312" s="6" t="s">
        <v>498</v>
      </c>
      <c r="D312" s="6" t="s">
        <v>11</v>
      </c>
      <c r="E312" s="12">
        <v>5.5</v>
      </c>
      <c r="F312" s="11">
        <f>LOOKUP(E312,{0,-2.9,-1.9,-0.9,0.1,1.1,2.1,3.5,4.9,6.3,7.7,9.1,10.5,11.9,13.3,14.7,16.1,18.3,20.5,22.4,24.3},{0,10,20,30,40,50,60,62,64,66,68,70,72,74,76,78,80,85,90,95,100})</f>
        <v>64</v>
      </c>
      <c r="G312" s="12">
        <v>245</v>
      </c>
      <c r="H312" s="11">
        <f>LOOKUP(G312,{0,175,180,185,190,195,200,204,208,212,216,220,224,228,232,236,240,248,255,260,265},{0,10,20,30,40,50,60,62,64,66,68,70,72,74,76,78,80,85,90,95,100})</f>
        <v>80</v>
      </c>
      <c r="I312" s="12">
        <v>2</v>
      </c>
      <c r="J312" s="11">
        <f>LOOKUP(I312,{0,3,4,5,6,7,8,9,10,11,12,13,14,15,16,17},{0,10,20,30,40,50,60,64,68,72,76,80,85,90,95,100})</f>
        <v>0</v>
      </c>
      <c r="K312" s="12"/>
      <c r="L312" s="12"/>
      <c r="M312" s="12">
        <f t="shared" si="180"/>
        <v>0</v>
      </c>
      <c r="N312" s="12">
        <v>7.1</v>
      </c>
      <c r="O312" s="12">
        <f t="shared" si="181"/>
        <v>4.9</v>
      </c>
      <c r="P312" s="11">
        <f>LOOKUP(O312,{0,1.6,1.8,2,2.2,2.4,2.6,2.8,3,3.2,3.4,3.6,3.8,4,4.2,4.4,4.6,4.7,4.8,4.9,5},{0,10,20,30,40,50,60,62,64,66,68,70,72,74,76,78,80,85,90,95,100})</f>
        <v>95</v>
      </c>
      <c r="Q312" s="12">
        <v>3.25</v>
      </c>
      <c r="R312" s="12">
        <f t="shared" si="182"/>
        <v>6.75</v>
      </c>
      <c r="S312" s="11">
        <f>LOOKUP(R312,{0,3.8,4,4.6,4.8,5,5.6,5.65,5.7,5.75,5.8,5.85,5.9,5.95,6,6.45,6.5,6.58,6.65,6.7,6.75},{0,10,20,30,40,50,60,62,64,66,68,70,72,74,76,78,80,85,90,95,100})</f>
        <v>100</v>
      </c>
      <c r="T312" s="12">
        <f>3.25-Q312</f>
        <v>0</v>
      </c>
      <c r="U312" s="16">
        <f>LOOKUP(T312,{0,0.04,0.08,0.12,0.16,0.2,0.23,0.26,0.29,0.32,0.35},{0,1,2,3,4,5,6,7,8,9,10})</f>
        <v>0</v>
      </c>
      <c r="V312" s="12">
        <f t="shared" si="183"/>
        <v>100</v>
      </c>
      <c r="W312" s="12"/>
      <c r="X312" s="20">
        <f t="shared" si="184"/>
        <v>53.4</v>
      </c>
      <c r="Y312" s="20">
        <f t="shared" si="185"/>
        <v>76.2857142857143</v>
      </c>
    </row>
    <row r="313" ht="15.6" hidden="1" outlineLevel="2" spans="1:25">
      <c r="A313" s="12">
        <v>210</v>
      </c>
      <c r="B313" s="12">
        <v>6</v>
      </c>
      <c r="C313" s="6" t="s">
        <v>499</v>
      </c>
      <c r="D313" s="6" t="s">
        <v>11</v>
      </c>
      <c r="E313" s="12">
        <v>21</v>
      </c>
      <c r="F313" s="11">
        <f>LOOKUP(E313,{0,-2.9,-1.9,-0.9,0.1,1.1,2.1,3.5,4.9,6.3,7.7,9.1,10.5,11.9,13.3,14.7,16.1,18.3,20.5,22.4,24.3},{0,10,20,30,40,50,60,62,64,66,68,70,72,74,76,78,80,85,90,95,100})</f>
        <v>90</v>
      </c>
      <c r="G313" s="12">
        <v>246</v>
      </c>
      <c r="H313" s="11">
        <f>LOOKUP(G313,{0,175,180,185,190,195,200,204,208,212,216,220,224,228,232,236,240,248,255,260,265},{0,10,20,30,40,50,60,62,64,66,68,70,72,74,76,78,80,85,90,95,100})</f>
        <v>80</v>
      </c>
      <c r="I313" s="12">
        <v>20</v>
      </c>
      <c r="J313" s="11">
        <f>LOOKUP(I313,{0,3,4,5,6,7,8,9,10,11,12,13,14,15,16,17},{0,10,20,30,40,50,60,64,68,72,76,80,85,90,95,100})</f>
        <v>100</v>
      </c>
      <c r="K313" s="12">
        <f t="shared" si="179"/>
        <v>3</v>
      </c>
      <c r="L313" s="11">
        <f>LOOKUP(K313,{0,1,2,3,4,5,6,7,8,9,10},{0,1,2,3,4,5,6,7,8,9,10})</f>
        <v>3</v>
      </c>
      <c r="M313" s="12">
        <f t="shared" si="180"/>
        <v>103</v>
      </c>
      <c r="N313" s="12">
        <v>7.5</v>
      </c>
      <c r="O313" s="12">
        <f t="shared" si="181"/>
        <v>4.5</v>
      </c>
      <c r="P313" s="11">
        <f>LOOKUP(O313,{0,1.6,1.8,2,2.2,2.4,2.6,2.8,3,3.2,3.4,3.6,3.8,4,4.2,4.4,4.6,4.7,4.8,4.9,5},{0,10,20,30,40,50,60,62,64,66,68,70,72,74,76,78,80,85,90,95,100})</f>
        <v>78</v>
      </c>
      <c r="Q313" s="12">
        <v>3.58</v>
      </c>
      <c r="R313" s="12">
        <f t="shared" si="182"/>
        <v>6.42</v>
      </c>
      <c r="S313" s="11">
        <f>LOOKUP(R313,{0,3.8,4,4.6,4.8,5,5.6,5.65,5.7,5.75,5.8,5.85,5.9,5.95,6,6.45,6.5,6.58,6.65,6.7,6.75},{0,10,20,30,40,50,60,62,64,66,68,70,72,74,76,78,80,85,90,95,100})</f>
        <v>76</v>
      </c>
      <c r="T313" s="12"/>
      <c r="U313" s="12"/>
      <c r="V313" s="12">
        <f t="shared" si="183"/>
        <v>76</v>
      </c>
      <c r="W313" s="12"/>
      <c r="X313" s="20">
        <f t="shared" si="184"/>
        <v>57.8</v>
      </c>
      <c r="Y313" s="20">
        <f t="shared" si="185"/>
        <v>85.5714285714286</v>
      </c>
    </row>
    <row r="314" ht="15.6" hidden="1" outlineLevel="2" spans="1:25">
      <c r="A314" s="12">
        <v>210</v>
      </c>
      <c r="B314" s="12">
        <v>7</v>
      </c>
      <c r="C314" s="6" t="s">
        <v>500</v>
      </c>
      <c r="D314" s="6" t="s">
        <v>11</v>
      </c>
      <c r="E314" s="12"/>
      <c r="F314" s="11"/>
      <c r="G314" s="12"/>
      <c r="H314" s="11"/>
      <c r="I314" s="12"/>
      <c r="J314" s="11"/>
      <c r="K314" s="12"/>
      <c r="L314" s="12"/>
      <c r="M314" s="12"/>
      <c r="N314" s="12"/>
      <c r="O314" s="12"/>
      <c r="P314" s="11"/>
      <c r="Q314" s="12"/>
      <c r="R314" s="12"/>
      <c r="S314" s="11"/>
      <c r="T314" s="12"/>
      <c r="U314" s="11"/>
      <c r="V314" s="12"/>
      <c r="W314" s="12"/>
      <c r="X314" s="20">
        <f t="shared" si="184"/>
        <v>0</v>
      </c>
      <c r="Y314" s="23">
        <v>50</v>
      </c>
    </row>
    <row r="315" s="1" customFormat="1" ht="15.6" hidden="1" outlineLevel="2" spans="1:25">
      <c r="A315" s="12">
        <v>210</v>
      </c>
      <c r="B315" s="12">
        <v>8</v>
      </c>
      <c r="C315" s="6" t="s">
        <v>501</v>
      </c>
      <c r="D315" s="6" t="s">
        <v>11</v>
      </c>
      <c r="E315" s="12">
        <v>11.1</v>
      </c>
      <c r="F315" s="11">
        <f>LOOKUP(E315,{0,-2.9,-1.9,-0.9,0.1,1.1,2.1,3.5,4.9,6.3,7.7,9.1,10.5,11.9,13.3,14.7,16.1,18.3,20.5,22.4,24.3},{0,10,20,30,40,50,60,62,64,66,68,70,72,74,76,78,80,85,90,95,100})</f>
        <v>72</v>
      </c>
      <c r="G315" s="12">
        <v>225</v>
      </c>
      <c r="H315" s="11">
        <f>LOOKUP(G315,{0,175,180,185,190,195,200,204,208,212,216,220,224,228,232,236,240,248,255,260,265},{0,10,20,30,40,50,60,62,64,66,68,70,72,74,76,78,80,85,90,95,100})</f>
        <v>72</v>
      </c>
      <c r="I315" s="12">
        <v>22</v>
      </c>
      <c r="J315" s="11">
        <f>LOOKUP(I315,{0,3,4,5,6,7,8,9,10,11,12,13,14,15,16,17},{0,10,20,30,40,50,60,64,68,72,76,80,85,90,95,100})</f>
        <v>100</v>
      </c>
      <c r="K315" s="12">
        <f>I315-17</f>
        <v>5</v>
      </c>
      <c r="L315" s="11">
        <f>LOOKUP(K315,{0,1,2,3,4,5,6,7,8,9,10},{0,1,2,3,4,5,6,7,8,9,10})</f>
        <v>5</v>
      </c>
      <c r="M315" s="12">
        <f t="shared" ref="M315:M317" si="186">J315+L315</f>
        <v>105</v>
      </c>
      <c r="N315" s="12">
        <v>7.4</v>
      </c>
      <c r="O315" s="12">
        <f t="shared" ref="O315:O317" si="187">12-N315</f>
        <v>4.6</v>
      </c>
      <c r="P315" s="11">
        <f>LOOKUP(O315,{0,1.6,1.8,2,2.2,2.4,2.6,2.8,3,3.2,3.4,3.6,3.8,4,4.2,4.4,4.6,4.7,4.8,4.9,5},{0,10,20,30,40,50,60,62,64,66,68,70,72,74,76,78,80,85,90,95,100})</f>
        <v>80</v>
      </c>
      <c r="Q315" s="12">
        <v>3.5</v>
      </c>
      <c r="R315" s="12">
        <f t="shared" ref="R315:R317" si="188">10-Q315</f>
        <v>6.5</v>
      </c>
      <c r="S315" s="11">
        <f>LOOKUP(R315,{0,3.8,4,4.6,4.8,5,5.6,5.65,5.7,5.75,5.8,5.85,5.9,5.95,6,6.45,6.5,6.58,6.65,6.7,6.75},{0,10,20,30,40,50,60,62,64,66,68,70,72,74,76,78,80,85,90,95,100})</f>
        <v>80</v>
      </c>
      <c r="T315" s="12"/>
      <c r="U315" s="12"/>
      <c r="V315" s="12">
        <f t="shared" ref="V315:V317" si="189">S315+U315</f>
        <v>80</v>
      </c>
      <c r="W315" s="12"/>
      <c r="X315" s="20">
        <f t="shared" si="184"/>
        <v>56.4</v>
      </c>
      <c r="Y315" s="20">
        <f t="shared" ref="Y315:Y317" si="190">X315/0.7+L315+U315</f>
        <v>85.5714285714286</v>
      </c>
    </row>
    <row r="316" ht="15.6" hidden="1" outlineLevel="2" spans="1:25">
      <c r="A316" s="12">
        <v>210</v>
      </c>
      <c r="B316" s="12">
        <v>9</v>
      </c>
      <c r="C316" s="6" t="s">
        <v>502</v>
      </c>
      <c r="D316" s="6" t="s">
        <v>11</v>
      </c>
      <c r="E316" s="12">
        <v>21.7</v>
      </c>
      <c r="F316" s="11">
        <f>LOOKUP(E316,{0,-2.9,-1.9,-0.9,0.1,1.1,2.1,3.5,4.9,6.3,7.7,9.1,10.5,11.9,13.3,14.7,16.1,18.3,20.5,22.4,24.3},{0,10,20,30,40,50,60,62,64,66,68,70,72,74,76,78,80,85,90,95,100})</f>
        <v>90</v>
      </c>
      <c r="G316" s="12">
        <v>229</v>
      </c>
      <c r="H316" s="11">
        <f>LOOKUP(G316,{0,175,180,185,190,195,200,204,208,212,216,220,224,228,232,236,240,248,255,260,265},{0,10,20,30,40,50,60,62,64,66,68,70,72,74,76,78,80,85,90,95,100})</f>
        <v>74</v>
      </c>
      <c r="I316" s="12">
        <v>7</v>
      </c>
      <c r="J316" s="11">
        <f>LOOKUP(I316,{0,3,4,5,6,7,8,9,10,11,12,13,14,15,16,17},{0,10,20,30,40,50,60,64,68,72,76,80,85,90,95,100})</f>
        <v>50</v>
      </c>
      <c r="K316" s="12"/>
      <c r="L316" s="12"/>
      <c r="M316" s="12">
        <f t="shared" si="186"/>
        <v>50</v>
      </c>
      <c r="N316" s="12">
        <v>8.4</v>
      </c>
      <c r="O316" s="12">
        <f t="shared" si="187"/>
        <v>3.6</v>
      </c>
      <c r="P316" s="11">
        <f>LOOKUP(O316,{0,1.6,1.8,2,2.2,2.4,2.6,2.8,3,3.2,3.4,3.6,3.8,4,4.2,4.4,4.6,4.7,4.8,4.9,5},{0,10,20,30,40,50,60,62,64,66,68,70,72,74,76,78,80,85,90,95,100})</f>
        <v>70</v>
      </c>
      <c r="Q316" s="12">
        <v>4.11</v>
      </c>
      <c r="R316" s="12">
        <f t="shared" si="188"/>
        <v>5.89</v>
      </c>
      <c r="S316" s="11">
        <f>LOOKUP(R316,{0,3.8,4,4.6,4.8,5,5.6,5.65,5.7,5.75,5.8,5.85,5.9,5.95,6,6.45,6.5,6.58,6.65,6.7,6.75},{0,10,20,30,40,50,60,62,64,66,68,70,72,74,76,78,80,85,90,95,100})</f>
        <v>70</v>
      </c>
      <c r="T316" s="12"/>
      <c r="U316" s="12"/>
      <c r="V316" s="12">
        <f t="shared" si="189"/>
        <v>70</v>
      </c>
      <c r="W316" s="12"/>
      <c r="X316" s="20">
        <f t="shared" si="184"/>
        <v>49.4</v>
      </c>
      <c r="Y316" s="20">
        <f t="shared" si="190"/>
        <v>70.5714285714286</v>
      </c>
    </row>
    <row r="317" ht="15.6" hidden="1" outlineLevel="2" spans="1:25">
      <c r="A317" s="12">
        <v>210</v>
      </c>
      <c r="B317" s="12">
        <v>10</v>
      </c>
      <c r="C317" s="6" t="s">
        <v>503</v>
      </c>
      <c r="D317" s="6" t="s">
        <v>11</v>
      </c>
      <c r="E317" s="12">
        <v>23.2</v>
      </c>
      <c r="F317" s="11">
        <f>LOOKUP(E317,{0,-2.9,-1.9,-0.9,0.1,1.1,2.1,3.5,4.9,6.3,7.7,9.1,10.5,11.9,13.3,14.7,16.1,18.3,20.5,22.4,24.3},{0,10,20,30,40,50,60,62,64,66,68,70,72,74,76,78,80,85,90,95,100})</f>
        <v>95</v>
      </c>
      <c r="G317" s="12">
        <v>205</v>
      </c>
      <c r="H317" s="11">
        <f>LOOKUP(G317,{0,175,180,185,190,195,200,204,208,212,216,220,224,228,232,236,240,248,255,260,265},{0,10,20,30,40,50,60,62,64,66,68,70,72,74,76,78,80,85,90,95,100})</f>
        <v>62</v>
      </c>
      <c r="I317" s="12">
        <v>0</v>
      </c>
      <c r="J317" s="11">
        <f>LOOKUP(I317,{0,3,4,5,6,7,8,9,10,11,12,13,14,15,16,17},{0,10,20,30,40,50,60,64,68,72,76,80,85,90,95,100})</f>
        <v>0</v>
      </c>
      <c r="K317" s="12"/>
      <c r="L317" s="12"/>
      <c r="M317" s="12">
        <f t="shared" si="186"/>
        <v>0</v>
      </c>
      <c r="N317" s="12">
        <v>7.8</v>
      </c>
      <c r="O317" s="12">
        <f t="shared" si="187"/>
        <v>4.2</v>
      </c>
      <c r="P317" s="11">
        <f>LOOKUP(O317,{0,1.6,1.8,2,2.2,2.4,2.6,2.8,3,3.2,3.4,3.6,3.8,4,4.2,4.4,4.6,4.7,4.8,4.9,5},{0,10,20,30,40,50,60,62,64,66,68,70,72,74,76,78,80,85,90,95,100})</f>
        <v>76</v>
      </c>
      <c r="Q317" s="12">
        <v>4.57</v>
      </c>
      <c r="R317" s="12">
        <f t="shared" si="188"/>
        <v>5.43</v>
      </c>
      <c r="S317" s="11">
        <f>LOOKUP(R317,{0,3.8,4,4.6,4.8,5,5.6,5.65,5.7,5.75,5.8,5.85,5.9,5.95,6,6.45,6.5,6.58,6.65,6.7,6.75},{0,10,20,30,40,50,60,62,64,66,68,70,72,74,76,78,80,85,90,95,100})</f>
        <v>50</v>
      </c>
      <c r="T317" s="12"/>
      <c r="U317" s="15"/>
      <c r="V317" s="12">
        <f t="shared" si="189"/>
        <v>50</v>
      </c>
      <c r="W317" s="12"/>
      <c r="X317" s="20">
        <f t="shared" si="184"/>
        <v>40.9</v>
      </c>
      <c r="Y317" s="20">
        <f t="shared" si="190"/>
        <v>58.4285714285714</v>
      </c>
    </row>
    <row r="318" ht="15.6" hidden="1" outlineLevel="2" spans="1:25">
      <c r="A318" s="12">
        <v>210</v>
      </c>
      <c r="B318" s="12">
        <v>11</v>
      </c>
      <c r="C318" s="6" t="s">
        <v>504</v>
      </c>
      <c r="D318" s="6" t="s">
        <v>11</v>
      </c>
      <c r="E318" s="12"/>
      <c r="F318" s="11"/>
      <c r="G318" s="12"/>
      <c r="H318" s="11"/>
      <c r="I318" s="12"/>
      <c r="J318" s="11"/>
      <c r="K318" s="12"/>
      <c r="L318" s="12"/>
      <c r="M318" s="12"/>
      <c r="N318" s="12"/>
      <c r="O318" s="12"/>
      <c r="P318" s="11"/>
      <c r="Q318" s="12"/>
      <c r="R318" s="12"/>
      <c r="S318" s="11"/>
      <c r="T318" s="12"/>
      <c r="U318" s="16"/>
      <c r="V318" s="12"/>
      <c r="W318" s="12"/>
      <c r="X318" s="20">
        <f t="shared" si="184"/>
        <v>0</v>
      </c>
      <c r="Y318" s="23">
        <v>50</v>
      </c>
    </row>
    <row r="319" ht="15.6" hidden="1" outlineLevel="2" spans="1:25">
      <c r="A319" s="12">
        <v>210</v>
      </c>
      <c r="B319" s="12">
        <v>12</v>
      </c>
      <c r="C319" s="6" t="s">
        <v>505</v>
      </c>
      <c r="D319" s="6" t="s">
        <v>11</v>
      </c>
      <c r="E319" s="12">
        <v>25</v>
      </c>
      <c r="F319" s="11">
        <f>LOOKUP(E319,{0,-2.9,-1.9,-0.9,0.1,1.1,2.1,3.5,4.9,6.3,7.7,9.1,10.5,11.9,13.3,14.7,16.1,18.3,20.5,22.4,24.3},{0,10,20,30,40,50,60,62,64,66,68,70,72,74,76,78,80,85,90,95,100})</f>
        <v>100</v>
      </c>
      <c r="G319" s="12">
        <v>215</v>
      </c>
      <c r="H319" s="11">
        <f>LOOKUP(G319,{0,175,180,185,190,195,200,204,208,212,216,220,224,228,232,236,240,248,255,260,265},{0,10,20,30,40,50,60,62,64,66,68,70,72,74,76,78,80,85,90,95,100})</f>
        <v>66</v>
      </c>
      <c r="I319" s="12">
        <v>2</v>
      </c>
      <c r="J319" s="11">
        <f>LOOKUP(I319,{0,3,4,5,6,7,8,9,10,11,12,13,14,15,16,17},{0,10,20,30,40,50,60,64,68,72,76,80,85,90,95,100})</f>
        <v>0</v>
      </c>
      <c r="K319" s="12"/>
      <c r="L319" s="12"/>
      <c r="M319" s="12">
        <f t="shared" ref="M319:M334" si="191">J319+L319</f>
        <v>0</v>
      </c>
      <c r="N319" s="12">
        <v>7.8</v>
      </c>
      <c r="O319" s="12">
        <f t="shared" ref="O319:O334" si="192">12-N319</f>
        <v>4.2</v>
      </c>
      <c r="P319" s="11">
        <f>LOOKUP(O319,{0,1.6,1.8,2,2.2,2.4,2.6,2.8,3,3.2,3.4,3.6,3.8,4,4.2,4.4,4.6,4.7,4.8,4.9,5},{0,10,20,30,40,50,60,62,64,66,68,70,72,74,76,78,80,85,90,95,100})</f>
        <v>76</v>
      </c>
      <c r="Q319" s="12">
        <v>3.57</v>
      </c>
      <c r="R319" s="12">
        <f t="shared" ref="R319:R334" si="193">10-Q319</f>
        <v>6.43</v>
      </c>
      <c r="S319" s="11">
        <f>LOOKUP(R319,{0,3.8,4,4.6,4.8,5,5.6,5.65,5.7,5.75,5.8,5.85,5.9,5.95,6,6.45,6.5,6.58,6.65,6.7,6.75},{0,10,20,30,40,50,60,62,64,66,68,70,72,74,76,78,80,85,90,95,100})</f>
        <v>76</v>
      </c>
      <c r="T319" s="12"/>
      <c r="U319" s="12"/>
      <c r="V319" s="12">
        <f t="shared" ref="V319:V334" si="194">S319+U319</f>
        <v>76</v>
      </c>
      <c r="W319" s="12"/>
      <c r="X319" s="20">
        <f t="shared" si="184"/>
        <v>47</v>
      </c>
      <c r="Y319" s="20">
        <f t="shared" ref="Y319:Y334" si="195">X319/0.7+L319+U319</f>
        <v>67.1428571428572</v>
      </c>
    </row>
    <row r="320" ht="15.6" hidden="1" outlineLevel="2" spans="1:25">
      <c r="A320" s="12">
        <v>210</v>
      </c>
      <c r="B320" s="12">
        <v>13</v>
      </c>
      <c r="C320" s="13" t="s">
        <v>507</v>
      </c>
      <c r="D320" s="6" t="s">
        <v>11</v>
      </c>
      <c r="E320" s="12">
        <v>16</v>
      </c>
      <c r="F320" s="11">
        <f>LOOKUP(E320,{0,-2.9,-1.9,-0.9,0.1,1.1,2.1,3.5,4.9,6.3,7.7,9.1,10.5,11.9,13.3,14.7,16.1,18.3,20.5,22.4,24.3},{0,10,20,30,40,50,60,62,64,66,68,70,72,74,76,78,80,85,90,95,100})</f>
        <v>78</v>
      </c>
      <c r="G320" s="12">
        <v>275</v>
      </c>
      <c r="H320" s="11">
        <f>LOOKUP(G320,{0,175,180,185,190,195,200,204,208,212,216,220,224,228,232,236,240,248,255,260,265},{0,10,20,30,40,50,60,62,64,66,68,70,72,74,76,78,80,85,90,95,100})</f>
        <v>100</v>
      </c>
      <c r="I320" s="12">
        <v>16</v>
      </c>
      <c r="J320" s="11">
        <f>LOOKUP(I320,{0,3,4,5,6,7,8,9,10,11,12,13,14,15,16,17},{0,10,20,30,40,50,60,64,68,72,76,80,85,90,95,100})</f>
        <v>95</v>
      </c>
      <c r="K320" s="12"/>
      <c r="L320" s="12"/>
      <c r="M320" s="12">
        <f t="shared" si="191"/>
        <v>95</v>
      </c>
      <c r="N320" s="12">
        <v>7.1</v>
      </c>
      <c r="O320" s="12">
        <f t="shared" si="192"/>
        <v>4.9</v>
      </c>
      <c r="P320" s="11">
        <f>LOOKUP(O320,{0,1.6,1.8,2,2.2,2.4,2.6,2.8,3,3.2,3.4,3.6,3.8,4,4.2,4.4,4.6,4.7,4.8,4.9,5},{0,10,20,30,40,50,60,62,64,66,68,70,72,74,76,78,80,85,90,95,100})</f>
        <v>95</v>
      </c>
      <c r="Q320" s="12">
        <v>3.19</v>
      </c>
      <c r="R320" s="12">
        <f t="shared" si="193"/>
        <v>6.81</v>
      </c>
      <c r="S320" s="11">
        <f>LOOKUP(R320,{0,3.8,4,4.6,4.8,5,5.6,5.65,5.7,5.75,5.8,5.85,5.9,5.95,6,6.45,6.5,6.58,6.65,6.7,6.75},{0,10,20,30,40,50,60,62,64,66,68,70,72,74,76,78,80,85,90,95,100})</f>
        <v>100</v>
      </c>
      <c r="T320" s="12">
        <f>3.25-Q320</f>
        <v>0.0600000000000001</v>
      </c>
      <c r="U320" s="11">
        <f>LOOKUP(T320,{0,0.04,0.08,0.12,0.16,0.2,0.23,0.26,0.29,0.32,0.35},{0,1,2,3,4,5,6,7,8,9,10})</f>
        <v>1</v>
      </c>
      <c r="V320" s="12">
        <f t="shared" si="194"/>
        <v>101</v>
      </c>
      <c r="W320" s="12"/>
      <c r="X320" s="20">
        <f t="shared" si="184"/>
        <v>66.3</v>
      </c>
      <c r="Y320" s="20">
        <f t="shared" si="195"/>
        <v>95.7142857142857</v>
      </c>
    </row>
    <row r="321" ht="15.6" hidden="1" outlineLevel="2" spans="1:25">
      <c r="A321" s="12">
        <v>210</v>
      </c>
      <c r="B321" s="12">
        <v>14</v>
      </c>
      <c r="C321" s="6" t="s">
        <v>508</v>
      </c>
      <c r="D321" s="6" t="s">
        <v>11</v>
      </c>
      <c r="E321" s="12">
        <v>12.7</v>
      </c>
      <c r="F321" s="11">
        <f>LOOKUP(E321,{0,-2.9,-1.9,-0.9,0.1,1.1,2.1,3.5,4.9,6.3,7.7,9.1,10.5,11.9,13.3,14.7,16.1,18.3,20.5,22.4,24.3},{0,10,20,30,40,50,60,62,64,66,68,70,72,74,76,78,80,85,90,95,100})</f>
        <v>74</v>
      </c>
      <c r="G321" s="12">
        <v>221</v>
      </c>
      <c r="H321" s="11">
        <f>LOOKUP(G321,{0,175,180,185,190,195,200,204,208,212,216,220,224,228,232,236,240,248,255,260,265},{0,10,20,30,40,50,60,62,64,66,68,70,72,74,76,78,80,85,90,95,100})</f>
        <v>70</v>
      </c>
      <c r="I321" s="12">
        <v>2</v>
      </c>
      <c r="J321" s="11">
        <f>LOOKUP(I321,{0,3,4,5,6,7,8,9,10,11,12,13,14,15,16,17},{0,10,20,30,40,50,60,64,68,72,76,80,85,90,95,100})</f>
        <v>0</v>
      </c>
      <c r="K321" s="12"/>
      <c r="L321" s="12"/>
      <c r="M321" s="12">
        <f t="shared" si="191"/>
        <v>0</v>
      </c>
      <c r="N321" s="12">
        <v>7</v>
      </c>
      <c r="O321" s="12">
        <f t="shared" si="192"/>
        <v>5</v>
      </c>
      <c r="P321" s="11">
        <f>LOOKUP(O321,{0,1.6,1.8,2,2.2,2.4,2.6,2.8,3,3.2,3.4,3.6,3.8,4,4.2,4.4,4.6,4.7,4.8,4.9,5},{0,10,20,30,40,50,60,62,64,66,68,70,72,74,76,78,80,85,90,95,100})</f>
        <v>100</v>
      </c>
      <c r="Q321" s="12">
        <v>3.51</v>
      </c>
      <c r="R321" s="12">
        <f t="shared" si="193"/>
        <v>6.49</v>
      </c>
      <c r="S321" s="11">
        <f>LOOKUP(R321,{0,3.8,4,4.6,4.8,5,5.6,5.65,5.7,5.75,5.8,5.85,5.9,5.95,6,6.45,6.5,6.58,6.65,6.7,6.75},{0,10,20,30,40,50,60,62,64,66,68,70,72,74,76,78,80,85,90,95,100})</f>
        <v>78</v>
      </c>
      <c r="T321" s="12"/>
      <c r="U321" s="12"/>
      <c r="V321" s="12">
        <f t="shared" si="194"/>
        <v>78</v>
      </c>
      <c r="W321" s="12"/>
      <c r="X321" s="20">
        <f t="shared" si="184"/>
        <v>50</v>
      </c>
      <c r="Y321" s="20">
        <f t="shared" si="195"/>
        <v>71.4285714285714</v>
      </c>
    </row>
    <row r="322" ht="15.6" hidden="1" outlineLevel="2" spans="1:25">
      <c r="A322" s="12">
        <v>210</v>
      </c>
      <c r="B322" s="12">
        <v>15</v>
      </c>
      <c r="C322" s="6" t="s">
        <v>509</v>
      </c>
      <c r="D322" s="6" t="s">
        <v>11</v>
      </c>
      <c r="E322" s="12">
        <v>15.5</v>
      </c>
      <c r="F322" s="11">
        <f>LOOKUP(E322,{0,-2.9,-1.9,-0.9,0.1,1.1,2.1,3.5,4.9,6.3,7.7,9.1,10.5,11.9,13.3,14.7,16.1,18.3,20.5,22.4,24.3},{0,10,20,30,40,50,60,62,64,66,68,70,72,74,76,78,80,85,90,95,100})</f>
        <v>78</v>
      </c>
      <c r="G322" s="12">
        <v>245</v>
      </c>
      <c r="H322" s="11">
        <f>LOOKUP(G322,{0,175,180,185,190,195,200,204,208,212,216,220,224,228,232,236,240,248,255,260,265},{0,10,20,30,40,50,60,62,64,66,68,70,72,74,76,78,80,85,90,95,100})</f>
        <v>80</v>
      </c>
      <c r="I322" s="12">
        <v>1</v>
      </c>
      <c r="J322" s="11">
        <f>LOOKUP(I322,{0,3,4,5,6,7,8,9,10,11,12,13,14,15,16,17},{0,10,20,30,40,50,60,64,68,72,76,80,85,90,95,100})</f>
        <v>0</v>
      </c>
      <c r="K322" s="12"/>
      <c r="L322" s="12"/>
      <c r="M322" s="12">
        <f t="shared" si="191"/>
        <v>0</v>
      </c>
      <c r="N322" s="12">
        <v>7.4</v>
      </c>
      <c r="O322" s="12">
        <f t="shared" si="192"/>
        <v>4.6</v>
      </c>
      <c r="P322" s="11">
        <f>LOOKUP(O322,{0,1.6,1.8,2,2.2,2.4,2.6,2.8,3,3.2,3.4,3.6,3.8,4,4.2,4.4,4.6,4.7,4.8,4.9,5},{0,10,20,30,40,50,60,62,64,66,68,70,72,74,76,78,80,85,90,95,100})</f>
        <v>80</v>
      </c>
      <c r="Q322" s="12">
        <v>3.47</v>
      </c>
      <c r="R322" s="12">
        <f t="shared" si="193"/>
        <v>6.53</v>
      </c>
      <c r="S322" s="11">
        <f>LOOKUP(R322,{0,3.8,4,4.6,4.8,5,5.6,5.65,5.7,5.75,5.8,5.85,5.9,5.95,6,6.45,6.5,6.58,6.65,6.7,6.75},{0,10,20,30,40,50,60,62,64,66,68,70,72,74,76,78,80,85,90,95,100})</f>
        <v>80</v>
      </c>
      <c r="T322" s="12"/>
      <c r="U322" s="12"/>
      <c r="V322" s="12">
        <f t="shared" si="194"/>
        <v>80</v>
      </c>
      <c r="W322" s="12"/>
      <c r="X322" s="20">
        <f t="shared" si="184"/>
        <v>47.8</v>
      </c>
      <c r="Y322" s="20">
        <f t="shared" si="195"/>
        <v>68.2857142857143</v>
      </c>
    </row>
    <row r="323" ht="15.6" hidden="1" outlineLevel="2" spans="1:25">
      <c r="A323" s="12">
        <v>210</v>
      </c>
      <c r="B323" s="12">
        <v>16</v>
      </c>
      <c r="C323" s="6" t="s">
        <v>510</v>
      </c>
      <c r="D323" s="6" t="s">
        <v>11</v>
      </c>
      <c r="E323" s="12">
        <v>13.2</v>
      </c>
      <c r="F323" s="11">
        <f>LOOKUP(E323,{0,-2.9,-1.9,-0.9,0.1,1.1,2.1,3.5,4.9,6.3,7.7,9.1,10.5,11.9,13.3,14.7,16.1,18.3,20.5,22.4,24.3},{0,10,20,30,40,50,60,62,64,66,68,70,72,74,76,78,80,85,90,95,100})</f>
        <v>74</v>
      </c>
      <c r="G323" s="12">
        <v>273</v>
      </c>
      <c r="H323" s="11">
        <f>LOOKUP(G323,{0,175,180,185,190,195,200,204,208,212,216,220,224,228,232,236,240,248,255,260,265},{0,10,20,30,40,50,60,62,64,66,68,70,72,74,76,78,80,85,90,95,100})</f>
        <v>100</v>
      </c>
      <c r="I323" s="12">
        <v>2</v>
      </c>
      <c r="J323" s="11">
        <f>LOOKUP(I323,{0,3,4,5,6,7,8,9,10,11,12,13,14,15,16,17},{0,10,20,30,40,50,60,64,68,72,76,80,85,90,95,100})</f>
        <v>0</v>
      </c>
      <c r="K323" s="12"/>
      <c r="L323" s="12"/>
      <c r="M323" s="12">
        <f t="shared" si="191"/>
        <v>0</v>
      </c>
      <c r="N323" s="12">
        <v>7.4</v>
      </c>
      <c r="O323" s="12">
        <f t="shared" si="192"/>
        <v>4.6</v>
      </c>
      <c r="P323" s="11">
        <f>LOOKUP(O323,{0,1.6,1.8,2,2.2,2.4,2.6,2.8,3,3.2,3.4,3.6,3.8,4,4.2,4.4,4.6,4.7,4.8,4.9,5},{0,10,20,30,40,50,60,62,64,66,68,70,72,74,76,78,80,85,90,95,100})</f>
        <v>80</v>
      </c>
      <c r="Q323" s="12">
        <v>3.39</v>
      </c>
      <c r="R323" s="12">
        <f t="shared" si="193"/>
        <v>6.61</v>
      </c>
      <c r="S323" s="11">
        <f>LOOKUP(R323,{0,3.8,4,4.6,4.8,5,5.6,5.65,5.7,5.75,5.8,5.85,5.9,5.95,6,6.45,6.5,6.58,6.65,6.7,6.75},{0,10,20,30,40,50,60,62,64,66,68,70,72,74,76,78,80,85,90,95,100})</f>
        <v>85</v>
      </c>
      <c r="T323" s="12"/>
      <c r="U323" s="12"/>
      <c r="V323" s="12">
        <f t="shared" si="194"/>
        <v>85</v>
      </c>
      <c r="W323" s="12"/>
      <c r="X323" s="20">
        <f t="shared" si="184"/>
        <v>50.4</v>
      </c>
      <c r="Y323" s="20">
        <f t="shared" si="195"/>
        <v>72</v>
      </c>
    </row>
    <row r="324" ht="15.6" hidden="1" outlineLevel="2" spans="1:25">
      <c r="A324" s="12">
        <v>210</v>
      </c>
      <c r="B324" s="12">
        <v>17</v>
      </c>
      <c r="C324" s="6" t="s">
        <v>511</v>
      </c>
      <c r="D324" s="6" t="s">
        <v>11</v>
      </c>
      <c r="E324" s="12">
        <v>13.4</v>
      </c>
      <c r="F324" s="11">
        <f>LOOKUP(E324,{0,-2.9,-1.9,-0.9,0.1,1.1,2.1,3.5,4.9,6.3,7.7,9.1,10.5,11.9,13.3,14.7,16.1,18.3,20.5,22.4,24.3},{0,10,20,30,40,50,60,62,64,66,68,70,72,74,76,78,80,85,90,95,100})</f>
        <v>76</v>
      </c>
      <c r="G324" s="12">
        <v>232</v>
      </c>
      <c r="H324" s="11">
        <f>LOOKUP(G324,{0,175,180,185,190,195,200,204,208,212,216,220,224,228,232,236,240,248,255,260,265},{0,10,20,30,40,50,60,62,64,66,68,70,72,74,76,78,80,85,90,95,100})</f>
        <v>76</v>
      </c>
      <c r="I324" s="12">
        <v>3</v>
      </c>
      <c r="J324" s="11">
        <f>LOOKUP(I324,{0,3,4,5,6,7,8,9,10,11,12,13,14,15,16,17},{0,10,20,30,40,50,60,64,68,72,76,80,85,90,95,100})</f>
        <v>10</v>
      </c>
      <c r="K324" s="12"/>
      <c r="L324" s="12"/>
      <c r="M324" s="12">
        <f t="shared" si="191"/>
        <v>10</v>
      </c>
      <c r="N324" s="12">
        <v>7.2</v>
      </c>
      <c r="O324" s="12">
        <f t="shared" si="192"/>
        <v>4.8</v>
      </c>
      <c r="P324" s="11">
        <f>LOOKUP(O324,{0,1.6,1.8,2,2.2,2.4,2.6,2.8,3,3.2,3.4,3.6,3.8,4,4.2,4.4,4.6,4.7,4.8,4.9,5},{0,10,20,30,40,50,60,62,64,66,68,70,72,74,76,78,80,85,90,95,100})</f>
        <v>90</v>
      </c>
      <c r="Q324" s="12">
        <v>3.34</v>
      </c>
      <c r="R324" s="12">
        <f t="shared" si="193"/>
        <v>6.66</v>
      </c>
      <c r="S324" s="11">
        <f>LOOKUP(R324,{0,3.8,4,4.6,4.8,5,5.6,5.65,5.7,5.75,5.8,5.85,5.9,5.95,6,6.45,6.5,6.58,6.65,6.7,6.75},{0,10,20,30,40,50,60,62,64,66,68,70,72,74,76,78,80,85,90,95,100})</f>
        <v>90</v>
      </c>
      <c r="T324" s="12"/>
      <c r="U324" s="12"/>
      <c r="V324" s="12">
        <f t="shared" si="194"/>
        <v>90</v>
      </c>
      <c r="W324" s="12"/>
      <c r="X324" s="20">
        <f t="shared" si="184"/>
        <v>52.2</v>
      </c>
      <c r="Y324" s="20">
        <f t="shared" si="195"/>
        <v>74.5714285714286</v>
      </c>
    </row>
    <row r="325" ht="15.6" hidden="1" outlineLevel="2" spans="1:25">
      <c r="A325" s="12">
        <v>210</v>
      </c>
      <c r="B325" s="12">
        <v>18</v>
      </c>
      <c r="C325" s="6" t="s">
        <v>512</v>
      </c>
      <c r="D325" s="6" t="s">
        <v>11</v>
      </c>
      <c r="E325" s="12">
        <v>18.4</v>
      </c>
      <c r="F325" s="11">
        <f>LOOKUP(E325,{0,-2.9,-1.9,-0.9,0.1,1.1,2.1,3.5,4.9,6.3,7.7,9.1,10.5,11.9,13.3,14.7,16.1,18.3,20.5,22.4,24.3},{0,10,20,30,40,50,60,62,64,66,68,70,72,74,76,78,80,85,90,95,100})</f>
        <v>85</v>
      </c>
      <c r="G325" s="12">
        <v>278</v>
      </c>
      <c r="H325" s="11">
        <f>LOOKUP(G325,{0,175,180,185,190,195,200,204,208,212,216,220,224,228,232,236,240,248,255,260,265},{0,10,20,30,40,50,60,62,64,66,68,70,72,74,76,78,80,85,90,95,100})</f>
        <v>100</v>
      </c>
      <c r="I325" s="12">
        <v>13</v>
      </c>
      <c r="J325" s="11">
        <f>LOOKUP(I325,{0,3,4,5,6,7,8,9,10,11,12,13,14,15,16,17},{0,10,20,30,40,50,60,64,68,72,76,80,85,90,95,100})</f>
        <v>80</v>
      </c>
      <c r="K325" s="12"/>
      <c r="L325" s="12"/>
      <c r="M325" s="12">
        <f t="shared" si="191"/>
        <v>80</v>
      </c>
      <c r="N325" s="12">
        <v>7</v>
      </c>
      <c r="O325" s="12">
        <f t="shared" si="192"/>
        <v>5</v>
      </c>
      <c r="P325" s="11">
        <f>LOOKUP(O325,{0,1.6,1.8,2,2.2,2.4,2.6,2.8,3,3.2,3.4,3.6,3.8,4,4.2,4.4,4.6,4.7,4.8,4.9,5},{0,10,20,30,40,50,60,62,64,66,68,70,72,74,76,78,80,85,90,95,100})</f>
        <v>100</v>
      </c>
      <c r="Q325" s="12">
        <v>3.5</v>
      </c>
      <c r="R325" s="12">
        <f t="shared" si="193"/>
        <v>6.5</v>
      </c>
      <c r="S325" s="11">
        <f>LOOKUP(R325,{0,3.8,4,4.6,4.8,5,5.6,5.65,5.7,5.75,5.8,5.85,5.9,5.95,6,6.45,6.5,6.58,6.65,6.7,6.75},{0,10,20,30,40,50,60,62,64,66,68,70,72,74,76,78,80,85,90,95,100})</f>
        <v>80</v>
      </c>
      <c r="T325" s="12"/>
      <c r="U325" s="15"/>
      <c r="V325" s="12">
        <f t="shared" si="194"/>
        <v>80</v>
      </c>
      <c r="W325" s="12"/>
      <c r="X325" s="20">
        <f t="shared" si="184"/>
        <v>62.5</v>
      </c>
      <c r="Y325" s="20">
        <f t="shared" si="195"/>
        <v>89.2857142857143</v>
      </c>
    </row>
    <row r="326" ht="15.6" hidden="1" outlineLevel="2" spans="1:25">
      <c r="A326" s="12">
        <v>210</v>
      </c>
      <c r="B326" s="12">
        <v>19</v>
      </c>
      <c r="C326" s="6" t="s">
        <v>513</v>
      </c>
      <c r="D326" s="6" t="s">
        <v>11</v>
      </c>
      <c r="E326" s="12">
        <v>15.4</v>
      </c>
      <c r="F326" s="11">
        <f>LOOKUP(E326,{0,-2.9,-1.9,-0.9,0.1,1.1,2.1,3.5,4.9,6.3,7.7,9.1,10.5,11.9,13.3,14.7,16.1,18.3,20.5,22.4,24.3},{0,10,20,30,40,50,60,62,64,66,68,70,72,74,76,78,80,85,90,95,100})</f>
        <v>78</v>
      </c>
      <c r="G326" s="12">
        <v>195</v>
      </c>
      <c r="H326" s="11">
        <f>LOOKUP(G326,{0,175,180,185,190,195,200,204,208,212,216,220,224,228,232,236,240,248,255,260,265},{0,10,20,30,40,50,60,62,64,66,68,70,72,74,76,78,80,85,90,95,100})</f>
        <v>50</v>
      </c>
      <c r="I326" s="12">
        <v>1</v>
      </c>
      <c r="J326" s="11">
        <f>LOOKUP(I326,{0,3,4,5,6,7,8,9,10,11,12,13,14,15,16,17},{0,10,20,30,40,50,60,64,68,72,76,80,85,90,95,100})</f>
        <v>0</v>
      </c>
      <c r="K326" s="12"/>
      <c r="L326" s="12"/>
      <c r="M326" s="12">
        <f t="shared" si="191"/>
        <v>0</v>
      </c>
      <c r="N326" s="12">
        <v>7.8</v>
      </c>
      <c r="O326" s="12">
        <f t="shared" si="192"/>
        <v>4.2</v>
      </c>
      <c r="P326" s="11">
        <f>LOOKUP(O326,{0,1.6,1.8,2,2.2,2.4,2.6,2.8,3,3.2,3.4,3.6,3.8,4,4.2,4.4,4.6,4.7,4.8,4.9,5},{0,10,20,30,40,50,60,62,64,66,68,70,72,74,76,78,80,85,90,95,100})</f>
        <v>76</v>
      </c>
      <c r="Q326" s="12">
        <v>4.35</v>
      </c>
      <c r="R326" s="12">
        <f t="shared" si="193"/>
        <v>5.65</v>
      </c>
      <c r="S326" s="11">
        <f>LOOKUP(R326,{0,3.8,4,4.6,4.8,5,5.6,5.65,5.7,5.75,5.8,5.85,5.9,5.95,6,6.45,6.5,6.58,6.65,6.7,6.75},{0,10,20,30,40,50,60,62,64,66,68,70,72,74,76,78,80,85,90,95,100})</f>
        <v>62</v>
      </c>
      <c r="T326" s="12"/>
      <c r="U326" s="15"/>
      <c r="V326" s="12">
        <f t="shared" si="194"/>
        <v>62</v>
      </c>
      <c r="W326" s="12"/>
      <c r="X326" s="20">
        <f t="shared" si="184"/>
        <v>40.4</v>
      </c>
      <c r="Y326" s="20">
        <f t="shared" si="195"/>
        <v>57.7142857142857</v>
      </c>
    </row>
    <row r="327" ht="15.6" hidden="1" outlineLevel="2" spans="1:25">
      <c r="A327" s="12">
        <v>210</v>
      </c>
      <c r="B327" s="12">
        <v>20</v>
      </c>
      <c r="C327" s="6" t="s">
        <v>514</v>
      </c>
      <c r="D327" s="6" t="s">
        <v>11</v>
      </c>
      <c r="E327" s="12">
        <v>3</v>
      </c>
      <c r="F327" s="11">
        <f>LOOKUP(E327,{0,-2.9,-1.9,-0.9,0.1,1.1,2.1,3.5,4.9,6.3,7.7,9.1,10.5,11.9,13.3,14.7,16.1,18.3,20.5,22.4,24.3},{0,10,20,30,40,50,60,62,64,66,68,70,72,74,76,78,80,85,90,95,100})</f>
        <v>60</v>
      </c>
      <c r="G327" s="12">
        <v>261</v>
      </c>
      <c r="H327" s="11">
        <f>LOOKUP(G327,{0,175,180,185,190,195,200,204,208,212,216,220,224,228,232,236,240,248,255,260,265},{0,10,20,30,40,50,60,62,64,66,68,70,72,74,76,78,80,85,90,95,100})</f>
        <v>95</v>
      </c>
      <c r="I327" s="12">
        <v>20</v>
      </c>
      <c r="J327" s="11">
        <f>LOOKUP(I327,{0,3,4,5,6,7,8,9,10,11,12,13,14,15,16,17},{0,10,20,30,40,50,60,64,68,72,76,80,85,90,95,100})</f>
        <v>100</v>
      </c>
      <c r="K327" s="12">
        <f t="shared" ref="K327:K331" si="196">I327-17</f>
        <v>3</v>
      </c>
      <c r="L327" s="11">
        <f>LOOKUP(K327,{0,1,2,3,4,5,6,7,8,9,10},{0,1,2,3,4,5,6,7,8,9,10})</f>
        <v>3</v>
      </c>
      <c r="M327" s="12">
        <f t="shared" si="191"/>
        <v>103</v>
      </c>
      <c r="N327" s="12">
        <v>7.2</v>
      </c>
      <c r="O327" s="12">
        <f t="shared" si="192"/>
        <v>4.8</v>
      </c>
      <c r="P327" s="11">
        <f>LOOKUP(O327,{0,1.6,1.8,2,2.2,2.4,2.6,2.8,3,3.2,3.4,3.6,3.8,4,4.2,4.4,4.6,4.7,4.8,4.9,5},{0,10,20,30,40,50,60,62,64,66,68,70,72,74,76,78,80,85,90,95,100})</f>
        <v>90</v>
      </c>
      <c r="Q327" s="12">
        <v>4</v>
      </c>
      <c r="R327" s="12">
        <f t="shared" si="193"/>
        <v>6</v>
      </c>
      <c r="S327" s="11">
        <f>LOOKUP(R327,{0,3.8,4,4.6,4.8,5,5.6,5.65,5.7,5.75,5.8,5.85,5.9,5.95,6,6.45,6.5,6.58,6.65,6.7,6.75},{0,10,20,30,40,50,60,62,64,66,68,70,72,74,76,78,80,85,90,95,100})</f>
        <v>76</v>
      </c>
      <c r="T327" s="12"/>
      <c r="U327" s="12"/>
      <c r="V327" s="12">
        <f t="shared" si="194"/>
        <v>76</v>
      </c>
      <c r="W327" s="12"/>
      <c r="X327" s="20">
        <f t="shared" si="184"/>
        <v>58.7</v>
      </c>
      <c r="Y327" s="20">
        <f t="shared" si="195"/>
        <v>86.8571428571429</v>
      </c>
    </row>
    <row r="328" ht="15.6" hidden="1" outlineLevel="2" spans="1:25">
      <c r="A328" s="12">
        <v>210</v>
      </c>
      <c r="B328" s="12">
        <v>21</v>
      </c>
      <c r="C328" s="6" t="s">
        <v>515</v>
      </c>
      <c r="D328" s="6" t="s">
        <v>11</v>
      </c>
      <c r="E328" s="12">
        <v>4.6</v>
      </c>
      <c r="F328" s="11">
        <f>LOOKUP(E328,{0,-2.9,-1.9,-0.9,0.1,1.1,2.1,3.5,4.9,6.3,7.7,9.1,10.5,11.9,13.3,14.7,16.1,18.3,20.5,22.4,24.3},{0,10,20,30,40,50,60,62,64,66,68,70,72,74,76,78,80,85,90,95,100})</f>
        <v>62</v>
      </c>
      <c r="G328" s="12">
        <v>251</v>
      </c>
      <c r="H328" s="11">
        <f>LOOKUP(G328,{0,175,180,185,190,195,200,204,208,212,216,220,224,228,232,236,240,248,255,260,265},{0,10,20,30,40,50,60,62,64,66,68,70,72,74,76,78,80,85,90,95,100})</f>
        <v>85</v>
      </c>
      <c r="I328" s="12">
        <v>20</v>
      </c>
      <c r="J328" s="11">
        <f>LOOKUP(I328,{0,3,4,5,6,7,8,9,10,11,12,13,14,15,16,17},{0,10,20,30,40,50,60,64,68,72,76,80,85,90,95,100})</f>
        <v>100</v>
      </c>
      <c r="K328" s="12">
        <f t="shared" si="196"/>
        <v>3</v>
      </c>
      <c r="L328" s="11">
        <f>LOOKUP(K328,{0,1,2,3,4,5,6,7,8,9,10},{0,1,2,3,4,5,6,7,8,9,10})</f>
        <v>3</v>
      </c>
      <c r="M328" s="12">
        <f t="shared" si="191"/>
        <v>103</v>
      </c>
      <c r="N328" s="12">
        <v>7.7</v>
      </c>
      <c r="O328" s="12">
        <f t="shared" si="192"/>
        <v>4.3</v>
      </c>
      <c r="P328" s="11">
        <f>LOOKUP(O328,{0,1.6,1.8,2,2.2,2.4,2.6,2.8,3,3.2,3.4,3.6,3.8,4,4.2,4.4,4.6,4.7,4.8,4.9,5},{0,10,20,30,40,50,60,62,64,66,68,70,72,74,76,78,80,85,90,95,100})</f>
        <v>76</v>
      </c>
      <c r="Q328" s="12">
        <v>4</v>
      </c>
      <c r="R328" s="12">
        <f t="shared" si="193"/>
        <v>6</v>
      </c>
      <c r="S328" s="11">
        <f>LOOKUP(R328,{0,3.8,4,4.6,4.8,5,5.6,5.65,5.7,5.75,5.8,5.85,5.9,5.95,6,6.45,6.5,6.58,6.65,6.7,6.75},{0,10,20,30,40,50,60,62,64,66,68,70,72,74,76,78,80,85,90,95,100})</f>
        <v>76</v>
      </c>
      <c r="T328" s="12"/>
      <c r="U328" s="15"/>
      <c r="V328" s="12">
        <f t="shared" si="194"/>
        <v>76</v>
      </c>
      <c r="W328" s="12"/>
      <c r="X328" s="20">
        <f t="shared" si="184"/>
        <v>55.1</v>
      </c>
      <c r="Y328" s="20">
        <f t="shared" si="195"/>
        <v>81.7142857142857</v>
      </c>
    </row>
    <row r="329" s="1" customFormat="1" ht="15.6" hidden="1" outlineLevel="2" spans="1:25">
      <c r="A329" s="12">
        <v>210</v>
      </c>
      <c r="B329" s="12">
        <v>22</v>
      </c>
      <c r="C329" s="6" t="s">
        <v>516</v>
      </c>
      <c r="D329" s="6" t="s">
        <v>11</v>
      </c>
      <c r="E329" s="12">
        <v>20.8</v>
      </c>
      <c r="F329" s="11">
        <f>LOOKUP(E329,{0,-2.9,-1.9,-0.9,0.1,1.1,2.1,3.5,4.9,6.3,7.7,9.1,10.5,11.9,13.3,14.7,16.1,18.3,20.5,22.4,24.3},{0,10,20,30,40,50,60,62,64,66,68,70,72,74,76,78,80,85,90,95,100})</f>
        <v>90</v>
      </c>
      <c r="G329" s="12">
        <v>235</v>
      </c>
      <c r="H329" s="11">
        <f>LOOKUP(G329,{0,175,180,185,190,195,200,204,208,212,216,220,224,228,232,236,240,248,255,260,265},{0,10,20,30,40,50,60,62,64,66,68,70,72,74,76,78,80,85,90,95,100})</f>
        <v>76</v>
      </c>
      <c r="I329" s="12">
        <v>8</v>
      </c>
      <c r="J329" s="11">
        <f>LOOKUP(I329,{0,3,4,5,6,7,8,9,10,11,12,13,14,15,16,17},{0,10,20,30,40,50,60,64,68,72,76,80,85,90,95,100})</f>
        <v>60</v>
      </c>
      <c r="K329" s="12"/>
      <c r="L329" s="12"/>
      <c r="M329" s="12">
        <f t="shared" si="191"/>
        <v>60</v>
      </c>
      <c r="N329" s="12">
        <v>7.7</v>
      </c>
      <c r="O329" s="12">
        <f t="shared" si="192"/>
        <v>4.3</v>
      </c>
      <c r="P329" s="11">
        <f>LOOKUP(O329,{0,1.6,1.8,2,2.2,2.4,2.6,2.8,3,3.2,3.4,3.6,3.8,4,4.2,4.4,4.6,4.7,4.8,4.9,5},{0,10,20,30,40,50,60,62,64,66,68,70,72,74,76,78,80,85,90,95,100})</f>
        <v>76</v>
      </c>
      <c r="Q329" s="12">
        <v>3.24</v>
      </c>
      <c r="R329" s="12">
        <f t="shared" si="193"/>
        <v>6.76</v>
      </c>
      <c r="S329" s="11">
        <f>LOOKUP(R329,{0,3.8,4,4.6,4.8,5,5.6,5.65,5.7,5.75,5.8,5.85,5.9,5.95,6,6.45,6.5,6.58,6.65,6.7,6.75},{0,10,20,30,40,50,60,62,64,66,68,70,72,74,76,78,80,85,90,95,100})</f>
        <v>100</v>
      </c>
      <c r="T329" s="12">
        <f>3.25-Q329</f>
        <v>0.00999999999999979</v>
      </c>
      <c r="U329" s="16">
        <f>LOOKUP(T329,{0,0.04,0.08,0.12,0.16,0.2,0.23,0.26,0.29,0.32,0.35},{0,1,2,3,4,5,6,7,8,9,10})</f>
        <v>0</v>
      </c>
      <c r="V329" s="12">
        <f t="shared" si="194"/>
        <v>100</v>
      </c>
      <c r="W329" s="12"/>
      <c r="X329" s="20">
        <f t="shared" si="184"/>
        <v>57.8</v>
      </c>
      <c r="Y329" s="20">
        <f t="shared" si="195"/>
        <v>82.5714285714286</v>
      </c>
    </row>
    <row r="330" ht="15.6" hidden="1" outlineLevel="2" spans="1:25">
      <c r="A330" s="12">
        <v>210</v>
      </c>
      <c r="B330" s="12">
        <v>23</v>
      </c>
      <c r="C330" s="6" t="s">
        <v>517</v>
      </c>
      <c r="D330" s="6" t="s">
        <v>11</v>
      </c>
      <c r="E330" s="12">
        <v>15.3</v>
      </c>
      <c r="F330" s="11">
        <f>LOOKUP(E330,{0,-2.9,-1.9,-0.9,0.1,1.1,2.1,3.5,4.9,6.3,7.7,9.1,10.5,11.9,13.3,14.7,16.1,18.3,20.5,22.4,24.3},{0,10,20,30,40,50,60,62,64,66,68,70,72,74,76,78,80,85,90,95,100})</f>
        <v>78</v>
      </c>
      <c r="G330" s="12">
        <v>256</v>
      </c>
      <c r="H330" s="11">
        <f>LOOKUP(G330,{0,175,180,185,190,195,200,204,208,212,216,220,224,228,232,236,240,248,255,260,265},{0,10,20,30,40,50,60,62,64,66,68,70,72,74,76,78,80,85,90,95,100})</f>
        <v>90</v>
      </c>
      <c r="I330" s="12">
        <v>9</v>
      </c>
      <c r="J330" s="11">
        <f>LOOKUP(I330,{0,3,4,5,6,7,8,9,10,11,12,13,14,15,16,17},{0,10,20,30,40,50,60,64,68,72,76,80,85,90,95,100})</f>
        <v>64</v>
      </c>
      <c r="K330" s="12"/>
      <c r="L330" s="12"/>
      <c r="M330" s="12">
        <f t="shared" si="191"/>
        <v>64</v>
      </c>
      <c r="N330" s="12">
        <v>7</v>
      </c>
      <c r="O330" s="12">
        <f t="shared" si="192"/>
        <v>5</v>
      </c>
      <c r="P330" s="11">
        <f>LOOKUP(O330,{0,1.6,1.8,2,2.2,2.4,2.6,2.8,3,3.2,3.4,3.6,3.8,4,4.2,4.4,4.6,4.7,4.8,4.9,5},{0,10,20,30,40,50,60,62,64,66,68,70,72,74,76,78,80,85,90,95,100})</f>
        <v>100</v>
      </c>
      <c r="Q330" s="12">
        <v>3.51</v>
      </c>
      <c r="R330" s="12">
        <f t="shared" si="193"/>
        <v>6.49</v>
      </c>
      <c r="S330" s="11">
        <f>LOOKUP(R330,{0,3.8,4,4.6,4.8,5,5.6,5.65,5.7,5.75,5.8,5.85,5.9,5.95,6,6.45,6.5,6.58,6.65,6.7,6.75},{0,10,20,30,40,50,60,62,64,66,68,70,72,74,76,78,80,85,90,95,100})</f>
        <v>78</v>
      </c>
      <c r="T330" s="12"/>
      <c r="U330" s="12"/>
      <c r="V330" s="12">
        <f t="shared" si="194"/>
        <v>78</v>
      </c>
      <c r="W330" s="12"/>
      <c r="X330" s="20">
        <f t="shared" si="184"/>
        <v>58.8</v>
      </c>
      <c r="Y330" s="20">
        <f t="shared" si="195"/>
        <v>84</v>
      </c>
    </row>
    <row r="331" ht="15.6" hidden="1" outlineLevel="2" spans="1:25">
      <c r="A331" s="12">
        <v>210</v>
      </c>
      <c r="B331" s="12">
        <v>24</v>
      </c>
      <c r="C331" s="6" t="s">
        <v>518</v>
      </c>
      <c r="D331" s="6" t="s">
        <v>11</v>
      </c>
      <c r="E331" s="12">
        <v>25.5</v>
      </c>
      <c r="F331" s="11">
        <f>LOOKUP(E331,{0,-2.9,-1.9,-0.9,0.1,1.1,2.1,3.5,4.9,6.3,7.7,9.1,10.5,11.9,13.3,14.7,16.1,18.3,20.5,22.4,24.3},{0,10,20,30,40,50,60,62,64,66,68,70,72,74,76,78,80,85,90,95,100})</f>
        <v>100</v>
      </c>
      <c r="G331" s="12">
        <v>276</v>
      </c>
      <c r="H331" s="11">
        <f>LOOKUP(G331,{0,175,180,185,190,195,200,204,208,212,216,220,224,228,232,236,240,248,255,260,265},{0,10,20,30,40,50,60,62,64,66,68,70,72,74,76,78,80,85,90,95,100})</f>
        <v>100</v>
      </c>
      <c r="I331" s="12">
        <v>24</v>
      </c>
      <c r="J331" s="11">
        <f>LOOKUP(I331,{0,3,4,5,6,7,8,9,10,11,12,13,14,15,16,17},{0,10,20,30,40,50,60,64,68,72,76,80,85,90,95,100})</f>
        <v>100</v>
      </c>
      <c r="K331" s="12">
        <f t="shared" si="196"/>
        <v>7</v>
      </c>
      <c r="L331" s="11">
        <f>LOOKUP(K331,{0,1,2,3,4,5,6,7,8,9,10},{0,1,2,3,4,5,6,7,8,9,10})</f>
        <v>7</v>
      </c>
      <c r="M331" s="12">
        <f t="shared" si="191"/>
        <v>107</v>
      </c>
      <c r="N331" s="12">
        <v>6.5</v>
      </c>
      <c r="O331" s="12">
        <f t="shared" si="192"/>
        <v>5.5</v>
      </c>
      <c r="P331" s="11">
        <f>LOOKUP(O331,{0,1.6,1.8,2,2.2,2.4,2.6,2.8,3,3.2,3.4,3.6,3.8,4,4.2,4.4,4.6,4.7,4.8,4.9,5},{0,10,20,30,40,50,60,62,64,66,68,70,72,74,76,78,80,85,90,95,100})</f>
        <v>100</v>
      </c>
      <c r="Q331" s="12">
        <v>3.23</v>
      </c>
      <c r="R331" s="12">
        <f t="shared" si="193"/>
        <v>6.77</v>
      </c>
      <c r="S331" s="11">
        <f>LOOKUP(R331,{0,3.8,4,4.6,4.8,5,5.6,5.65,5.7,5.75,5.8,5.85,5.9,5.95,6,6.45,6.5,6.58,6.65,6.7,6.75},{0,10,20,30,40,50,60,62,64,66,68,70,72,74,76,78,80,85,90,95,100})</f>
        <v>100</v>
      </c>
      <c r="T331" s="12">
        <f>3.25-Q331</f>
        <v>0.02</v>
      </c>
      <c r="U331" s="11">
        <f>LOOKUP(T331,{0,0.04,0.08,0.12,0.16,0.2,0.23,0.26,0.29,0.32,0.35},{0,1,2,3,4,5,6,7,8,9,10})</f>
        <v>0</v>
      </c>
      <c r="V331" s="12">
        <f t="shared" si="194"/>
        <v>100</v>
      </c>
      <c r="W331" s="12"/>
      <c r="X331" s="20">
        <f t="shared" si="184"/>
        <v>70</v>
      </c>
      <c r="Y331" s="20">
        <f t="shared" si="195"/>
        <v>107</v>
      </c>
    </row>
    <row r="332" ht="15.6" hidden="1" outlineLevel="2" spans="1:25">
      <c r="A332" s="12">
        <v>210</v>
      </c>
      <c r="B332" s="12">
        <v>25</v>
      </c>
      <c r="C332" s="13" t="s">
        <v>520</v>
      </c>
      <c r="D332" s="6" t="s">
        <v>11</v>
      </c>
      <c r="E332" s="12">
        <v>7.9</v>
      </c>
      <c r="F332" s="11">
        <f>LOOKUP(E332,{0,-2.9,-1.9,-0.9,0.1,1.1,2.1,3.5,4.9,6.3,7.7,9.1,10.5,11.9,13.3,14.7,16.1,18.3,20.5,22.4,24.3},{0,10,20,30,40,50,60,62,64,66,68,70,72,74,76,78,80,85,90,95,100})</f>
        <v>68</v>
      </c>
      <c r="G332" s="12">
        <v>235</v>
      </c>
      <c r="H332" s="11">
        <f>LOOKUP(G332,{0,175,180,185,190,195,200,204,208,212,216,220,224,228,232,236,240,248,255,260,265},{0,10,20,30,40,50,60,62,64,66,68,70,72,74,76,78,80,85,90,95,100})</f>
        <v>76</v>
      </c>
      <c r="I332" s="12">
        <v>2</v>
      </c>
      <c r="J332" s="11">
        <f>LOOKUP(I332,{0,3,4,5,6,7,8,9,10,11,12,13,14,15,16,17},{0,10,20,30,40,50,60,64,68,72,76,80,85,90,95,100})</f>
        <v>0</v>
      </c>
      <c r="K332" s="12"/>
      <c r="L332" s="12"/>
      <c r="M332" s="12">
        <f t="shared" si="191"/>
        <v>0</v>
      </c>
      <c r="N332" s="12">
        <v>7.7</v>
      </c>
      <c r="O332" s="12">
        <f t="shared" si="192"/>
        <v>4.3</v>
      </c>
      <c r="P332" s="11">
        <f>LOOKUP(O332,{0,1.6,1.8,2,2.2,2.4,2.6,2.8,3,3.2,3.4,3.6,3.8,4,4.2,4.4,4.6,4.7,4.8,4.9,5},{0,10,20,30,40,50,60,62,64,66,68,70,72,74,76,78,80,85,90,95,100})</f>
        <v>76</v>
      </c>
      <c r="Q332" s="12">
        <v>3.32</v>
      </c>
      <c r="R332" s="12">
        <f t="shared" si="193"/>
        <v>6.68</v>
      </c>
      <c r="S332" s="11">
        <f>LOOKUP(R332,{0,3.8,4,4.6,4.8,5,5.6,5.65,5.7,5.75,5.8,5.85,5.9,5.95,6,6.45,6.5,6.58,6.65,6.7,6.75},{0,10,20,30,40,50,60,62,64,66,68,70,72,74,76,78,80,85,90,95,100})</f>
        <v>90</v>
      </c>
      <c r="T332" s="12"/>
      <c r="U332" s="15"/>
      <c r="V332" s="12">
        <f t="shared" si="194"/>
        <v>90</v>
      </c>
      <c r="W332" s="12"/>
      <c r="X332" s="20">
        <f t="shared" si="184"/>
        <v>47.6</v>
      </c>
      <c r="Y332" s="20">
        <f t="shared" si="195"/>
        <v>68</v>
      </c>
    </row>
    <row r="333" ht="15.6" hidden="1" outlineLevel="2" spans="1:25">
      <c r="A333" s="12">
        <v>210</v>
      </c>
      <c r="B333" s="12">
        <v>26</v>
      </c>
      <c r="C333" s="6" t="s">
        <v>521</v>
      </c>
      <c r="D333" s="6" t="s">
        <v>11</v>
      </c>
      <c r="E333" s="12">
        <v>16</v>
      </c>
      <c r="F333" s="11">
        <f>LOOKUP(E333,{0,-2.9,-1.9,-0.9,0.1,1.1,2.1,3.5,4.9,6.3,7.7,9.1,10.5,11.9,13.3,14.7,16.1,18.3,20.5,22.4,24.3},{0,10,20,30,40,50,60,62,64,66,68,70,72,74,76,78,80,85,90,95,100})</f>
        <v>78</v>
      </c>
      <c r="G333" s="12">
        <v>236</v>
      </c>
      <c r="H333" s="11">
        <f>LOOKUP(G333,{0,175,180,185,190,195,200,204,208,212,216,220,224,228,232,236,240,248,255,260,265},{0,10,20,30,40,50,60,62,64,66,68,70,72,74,76,78,80,85,90,95,100})</f>
        <v>78</v>
      </c>
      <c r="I333" s="12">
        <v>4</v>
      </c>
      <c r="J333" s="11">
        <f>LOOKUP(I333,{0,3,4,5,6,7,8,9,10,11,12,13,14,15,16,17},{0,10,20,30,40,50,60,64,68,72,76,80,85,90,95,100})</f>
        <v>20</v>
      </c>
      <c r="K333" s="12"/>
      <c r="L333" s="12"/>
      <c r="M333" s="12">
        <f t="shared" si="191"/>
        <v>20</v>
      </c>
      <c r="N333" s="12">
        <v>7.3</v>
      </c>
      <c r="O333" s="12">
        <f t="shared" si="192"/>
        <v>4.7</v>
      </c>
      <c r="P333" s="11">
        <f>LOOKUP(O333,{0,1.6,1.8,2,2.2,2.4,2.6,2.8,3,3.2,3.4,3.6,3.8,4,4.2,4.4,4.6,4.7,4.8,4.9,5},{0,10,20,30,40,50,60,62,64,66,68,70,72,74,76,78,80,85,90,95,100})</f>
        <v>85</v>
      </c>
      <c r="Q333" s="12">
        <v>3.32</v>
      </c>
      <c r="R333" s="12">
        <f t="shared" si="193"/>
        <v>6.68</v>
      </c>
      <c r="S333" s="11">
        <f>LOOKUP(R333,{0,3.8,4,4.6,4.8,5,5.6,5.65,5.7,5.75,5.8,5.85,5.9,5.95,6,6.45,6.5,6.58,6.65,6.7,6.75},{0,10,20,30,40,50,60,62,64,66,68,70,72,74,76,78,80,85,90,95,100})</f>
        <v>90</v>
      </c>
      <c r="T333" s="12"/>
      <c r="U333" s="15"/>
      <c r="V333" s="12">
        <f t="shared" si="194"/>
        <v>90</v>
      </c>
      <c r="W333" s="12"/>
      <c r="X333" s="20">
        <f t="shared" si="184"/>
        <v>52.6</v>
      </c>
      <c r="Y333" s="20">
        <f t="shared" si="195"/>
        <v>75.1428571428572</v>
      </c>
    </row>
    <row r="334" ht="15.6" hidden="1" outlineLevel="2" spans="1:25">
      <c r="A334" s="12">
        <v>210</v>
      </c>
      <c r="B334" s="12">
        <v>27</v>
      </c>
      <c r="C334" s="6" t="s">
        <v>522</v>
      </c>
      <c r="D334" s="6" t="s">
        <v>11</v>
      </c>
      <c r="E334" s="12">
        <v>22</v>
      </c>
      <c r="F334" s="11">
        <f>LOOKUP(E334,{0,-2.9,-1.9,-0.9,0.1,1.1,2.1,3.5,4.9,6.3,7.7,9.1,10.5,11.9,13.3,14.7,16.1,18.3,20.5,22.4,24.3},{0,10,20,30,40,50,60,62,64,66,68,70,72,74,76,78,80,85,90,95,100})</f>
        <v>90</v>
      </c>
      <c r="G334" s="12">
        <v>251</v>
      </c>
      <c r="H334" s="11">
        <f>LOOKUP(G334,{0,175,180,185,190,195,200,204,208,212,216,220,224,228,232,236,240,248,255,260,265},{0,10,20,30,40,50,60,62,64,66,68,70,72,74,76,78,80,85,90,95,100})</f>
        <v>85</v>
      </c>
      <c r="I334" s="12">
        <v>18</v>
      </c>
      <c r="J334" s="11">
        <f>LOOKUP(I334,{0,3,4,5,6,7,8,9,10,11,12,13,14,15,16,17},{0,10,20,30,40,50,60,64,68,72,76,80,85,90,95,100})</f>
        <v>100</v>
      </c>
      <c r="K334" s="12">
        <f t="shared" ref="K334:K338" si="197">I334-17</f>
        <v>1</v>
      </c>
      <c r="L334" s="11">
        <f>LOOKUP(K334,{0,1,2,3,4,5,6,7,8,9,10},{0,1,2,3,4,5,6,7,8,9,10})</f>
        <v>1</v>
      </c>
      <c r="M334" s="12">
        <f t="shared" si="191"/>
        <v>101</v>
      </c>
      <c r="N334" s="12">
        <v>7.5</v>
      </c>
      <c r="O334" s="12">
        <f t="shared" si="192"/>
        <v>4.5</v>
      </c>
      <c r="P334" s="11">
        <f>LOOKUP(O334,{0,1.6,1.8,2,2.2,2.4,2.6,2.8,3,3.2,3.4,3.6,3.8,4,4.2,4.4,4.6,4.7,4.8,4.9,5},{0,10,20,30,40,50,60,62,64,66,68,70,72,74,76,78,80,85,90,95,100})</f>
        <v>78</v>
      </c>
      <c r="Q334" s="12">
        <v>3.45</v>
      </c>
      <c r="R334" s="12">
        <f t="shared" si="193"/>
        <v>6.55</v>
      </c>
      <c r="S334" s="11">
        <f>LOOKUP(R334,{0,3.8,4,4.6,4.8,5,5.6,5.65,5.7,5.75,5.8,5.85,5.9,5.95,6,6.45,6.5,6.58,6.65,6.7,6.75},{0,10,20,30,40,50,60,62,64,66,68,70,72,74,76,78,80,85,90,95,100})</f>
        <v>80</v>
      </c>
      <c r="T334" s="12"/>
      <c r="U334" s="12"/>
      <c r="V334" s="12">
        <f t="shared" si="194"/>
        <v>80</v>
      </c>
      <c r="W334" s="12"/>
      <c r="X334" s="20">
        <f t="shared" si="184"/>
        <v>59.1</v>
      </c>
      <c r="Y334" s="20">
        <f t="shared" si="195"/>
        <v>85.4285714285714</v>
      </c>
    </row>
    <row r="335" ht="15.6" hidden="1" outlineLevel="2" spans="1:25">
      <c r="A335" s="12">
        <v>210</v>
      </c>
      <c r="B335" s="12">
        <v>28</v>
      </c>
      <c r="C335" s="6" t="s">
        <v>523</v>
      </c>
      <c r="D335" s="6" t="s">
        <v>11</v>
      </c>
      <c r="E335" s="12"/>
      <c r="F335" s="11"/>
      <c r="G335" s="12"/>
      <c r="H335" s="11"/>
      <c r="I335" s="12"/>
      <c r="J335" s="11"/>
      <c r="K335" s="12"/>
      <c r="L335" s="12"/>
      <c r="M335" s="12"/>
      <c r="N335" s="12"/>
      <c r="O335" s="12"/>
      <c r="P335" s="11"/>
      <c r="Q335" s="12"/>
      <c r="R335" s="12"/>
      <c r="S335" s="11"/>
      <c r="T335" s="12"/>
      <c r="U335" s="11"/>
      <c r="V335" s="12"/>
      <c r="W335" s="12"/>
      <c r="X335" s="20">
        <f t="shared" si="184"/>
        <v>0</v>
      </c>
      <c r="Y335" s="23">
        <v>50</v>
      </c>
    </row>
    <row r="336" ht="15.6" hidden="1" outlineLevel="2" spans="1:25">
      <c r="A336" s="12">
        <v>210</v>
      </c>
      <c r="B336" s="12">
        <v>29</v>
      </c>
      <c r="C336" s="6" t="s">
        <v>524</v>
      </c>
      <c r="D336" s="6" t="s">
        <v>11</v>
      </c>
      <c r="E336" s="12">
        <v>25.5</v>
      </c>
      <c r="F336" s="11">
        <f>LOOKUP(E336,{0,-2.9,-1.9,-0.9,0.1,1.1,2.1,3.5,4.9,6.3,7.7,9.1,10.5,11.9,13.3,14.7,16.1,18.3,20.5,22.4,24.3},{0,10,20,30,40,50,60,62,64,66,68,70,72,74,76,78,80,85,90,95,100})</f>
        <v>100</v>
      </c>
      <c r="G336" s="12">
        <v>271</v>
      </c>
      <c r="H336" s="11">
        <f>LOOKUP(G336,{0,175,180,185,190,195,200,204,208,212,216,220,224,228,232,236,240,248,255,260,265},{0,10,20,30,40,50,60,62,64,66,68,70,72,74,76,78,80,85,90,95,100})</f>
        <v>100</v>
      </c>
      <c r="I336" s="12">
        <v>21</v>
      </c>
      <c r="J336" s="11">
        <f>LOOKUP(I336,{0,3,4,5,6,7,8,9,10,11,12,13,14,15,16,17},{0,10,20,30,40,50,60,64,68,72,76,80,85,90,95,100})</f>
        <v>100</v>
      </c>
      <c r="K336" s="12">
        <f t="shared" si="197"/>
        <v>4</v>
      </c>
      <c r="L336" s="11">
        <f>LOOKUP(K336,{0,1,2,3,4,5,6,7,8,9,10},{0,1,2,3,4,5,6,7,8,9,10})</f>
        <v>4</v>
      </c>
      <c r="M336" s="12">
        <f t="shared" ref="M336:M342" si="198">J336+L336</f>
        <v>104</v>
      </c>
      <c r="N336" s="12">
        <v>6.5</v>
      </c>
      <c r="O336" s="12">
        <f t="shared" ref="O336:O342" si="199">12-N336</f>
        <v>5.5</v>
      </c>
      <c r="P336" s="11">
        <f>LOOKUP(O336,{0,1.6,1.8,2,2.2,2.4,2.6,2.8,3,3.2,3.4,3.6,3.8,4,4.2,4.4,4.6,4.7,4.8,4.9,5},{0,10,20,30,40,50,60,62,64,66,68,70,72,74,76,78,80,85,90,95,100})</f>
        <v>100</v>
      </c>
      <c r="Q336" s="12">
        <v>3.17</v>
      </c>
      <c r="R336" s="12">
        <f t="shared" ref="R336:R342" si="200">10-Q336</f>
        <v>6.83</v>
      </c>
      <c r="S336" s="11">
        <f>LOOKUP(R336,{0,3.8,4,4.6,4.8,5,5.6,5.65,5.7,5.75,5.8,5.85,5.9,5.95,6,6.45,6.5,6.58,6.65,6.7,6.75},{0,10,20,30,40,50,60,62,64,66,68,70,72,74,76,78,80,85,90,95,100})</f>
        <v>100</v>
      </c>
      <c r="T336" s="12">
        <f>3.25-Q336</f>
        <v>0.0800000000000001</v>
      </c>
      <c r="U336" s="16">
        <f>LOOKUP(T336,{0,0.04,0.08,0.12,0.16,0.2,0.23,0.26,0.29,0.32,0.35},{0,1,2,3,4,5,6,7,8,9,10})</f>
        <v>2</v>
      </c>
      <c r="V336" s="12">
        <f t="shared" ref="V336:V342" si="201">S336+U336</f>
        <v>102</v>
      </c>
      <c r="W336" s="12"/>
      <c r="X336" s="20">
        <f t="shared" si="184"/>
        <v>70</v>
      </c>
      <c r="Y336" s="20">
        <f t="shared" ref="Y336:Y342" si="202">X336/0.7+L336+U336</f>
        <v>106</v>
      </c>
    </row>
    <row r="337" ht="15.6" hidden="1" outlineLevel="2" spans="1:25">
      <c r="A337" s="12">
        <v>210</v>
      </c>
      <c r="B337" s="12">
        <v>30</v>
      </c>
      <c r="C337" s="6" t="s">
        <v>525</v>
      </c>
      <c r="D337" s="6" t="s">
        <v>11</v>
      </c>
      <c r="E337" s="12">
        <v>19.7</v>
      </c>
      <c r="F337" s="11">
        <f>LOOKUP(E337,{0,-2.9,-1.9,-0.9,0.1,1.1,2.1,3.5,4.9,6.3,7.7,9.1,10.5,11.9,13.3,14.7,16.1,18.3,20.5,22.4,24.3},{0,10,20,30,40,50,60,62,64,66,68,70,72,74,76,78,80,85,90,95,100})</f>
        <v>85</v>
      </c>
      <c r="G337" s="12">
        <v>210</v>
      </c>
      <c r="H337" s="11">
        <f>LOOKUP(G337,{0,175,180,185,190,195,200,204,208,212,216,220,224,228,232,236,240,248,255,260,265},{0,10,20,30,40,50,60,62,64,66,68,70,72,74,76,78,80,85,90,95,100})</f>
        <v>64</v>
      </c>
      <c r="I337" s="12">
        <v>10</v>
      </c>
      <c r="J337" s="11">
        <f>LOOKUP(I337,{0,3,4,5,6,7,8,9,10,11,12,13,14,15,16,17},{0,10,20,30,40,50,60,64,68,72,76,80,85,90,95,100})</f>
        <v>68</v>
      </c>
      <c r="K337" s="12"/>
      <c r="L337" s="12"/>
      <c r="M337" s="12">
        <f t="shared" si="198"/>
        <v>68</v>
      </c>
      <c r="N337" s="12">
        <v>8</v>
      </c>
      <c r="O337" s="12">
        <f t="shared" si="199"/>
        <v>4</v>
      </c>
      <c r="P337" s="11">
        <f>LOOKUP(O337,{0,1.6,1.8,2,2.2,2.4,2.6,2.8,3,3.2,3.4,3.6,3.8,4,4.2,4.4,4.6,4.7,4.8,4.9,5},{0,10,20,30,40,50,60,62,64,66,68,70,72,74,76,78,80,85,90,95,100})</f>
        <v>74</v>
      </c>
      <c r="Q337" s="12">
        <v>4.01</v>
      </c>
      <c r="R337" s="12">
        <f t="shared" si="200"/>
        <v>5.99</v>
      </c>
      <c r="S337" s="11">
        <f>LOOKUP(R337,{0,3.8,4,4.6,4.8,5,5.6,5.65,5.7,5.75,5.8,5.85,5.9,5.95,6,6.45,6.5,6.58,6.65,6.7,6.75},{0,10,20,30,40,50,60,62,64,66,68,70,72,74,76,78,80,85,90,95,100})</f>
        <v>74</v>
      </c>
      <c r="T337" s="12"/>
      <c r="U337" s="12"/>
      <c r="V337" s="12">
        <f t="shared" si="201"/>
        <v>74</v>
      </c>
      <c r="W337" s="12"/>
      <c r="X337" s="20">
        <f t="shared" si="184"/>
        <v>51.3</v>
      </c>
      <c r="Y337" s="20">
        <f t="shared" si="202"/>
        <v>73.2857142857143</v>
      </c>
    </row>
    <row r="338" ht="15.6" hidden="1" outlineLevel="2" spans="1:25">
      <c r="A338" s="12">
        <v>210</v>
      </c>
      <c r="B338" s="12">
        <v>31</v>
      </c>
      <c r="C338" s="6" t="s">
        <v>526</v>
      </c>
      <c r="D338" s="6" t="s">
        <v>11</v>
      </c>
      <c r="E338" s="12">
        <v>8.8</v>
      </c>
      <c r="F338" s="11">
        <f>LOOKUP(E338,{0,-2.9,-1.9,-0.9,0.1,1.1,2.1,3.5,4.9,6.3,7.7,9.1,10.5,11.9,13.3,14.7,16.1,18.3,20.5,22.4,24.3},{0,10,20,30,40,50,60,62,64,66,68,70,72,74,76,78,80,85,90,95,100})</f>
        <v>68</v>
      </c>
      <c r="G338" s="12">
        <v>272</v>
      </c>
      <c r="H338" s="11">
        <f>LOOKUP(G338,{0,175,180,185,190,195,200,204,208,212,216,220,224,228,232,236,240,248,255,260,265},{0,10,20,30,40,50,60,62,64,66,68,70,72,74,76,78,80,85,90,95,100})</f>
        <v>100</v>
      </c>
      <c r="I338" s="12">
        <v>23</v>
      </c>
      <c r="J338" s="11">
        <f>LOOKUP(I338,{0,3,4,5,6,7,8,9,10,11,12,13,14,15,16,17},{0,10,20,30,40,50,60,64,68,72,76,80,85,90,95,100})</f>
        <v>100</v>
      </c>
      <c r="K338" s="12">
        <f t="shared" si="197"/>
        <v>6</v>
      </c>
      <c r="L338" s="11">
        <f>LOOKUP(K338,{0,1,2,3,4,5,6,7,8,9,10},{0,1,2,3,4,5,6,7,8,9,10})</f>
        <v>6</v>
      </c>
      <c r="M338" s="12">
        <f t="shared" si="198"/>
        <v>106</v>
      </c>
      <c r="N338" s="12">
        <v>6.4</v>
      </c>
      <c r="O338" s="12">
        <f t="shared" si="199"/>
        <v>5.6</v>
      </c>
      <c r="P338" s="11">
        <f>LOOKUP(O338,{0,1.6,1.8,2,2.2,2.4,2.6,2.8,3,3.2,3.4,3.6,3.8,4,4.2,4.4,4.6,4.7,4.8,4.9,5},{0,10,20,30,40,50,60,62,64,66,68,70,72,74,76,78,80,85,90,95,100})</f>
        <v>100</v>
      </c>
      <c r="Q338" s="12">
        <v>3.36</v>
      </c>
      <c r="R338" s="12">
        <f t="shared" si="200"/>
        <v>6.64</v>
      </c>
      <c r="S338" s="11">
        <f>LOOKUP(R338,{0,3.8,4,4.6,4.8,5,5.6,5.65,5.7,5.75,5.8,5.85,5.9,5.95,6,6.45,6.5,6.58,6.65,6.7,6.75},{0,10,20,30,40,50,60,62,64,66,68,70,72,74,76,78,80,85,90,95,100})</f>
        <v>85</v>
      </c>
      <c r="T338" s="12"/>
      <c r="U338" s="12"/>
      <c r="V338" s="12">
        <f t="shared" si="201"/>
        <v>85</v>
      </c>
      <c r="W338" s="12"/>
      <c r="X338" s="20">
        <f t="shared" si="184"/>
        <v>63.8</v>
      </c>
      <c r="Y338" s="20">
        <f t="shared" si="202"/>
        <v>97.1428571428571</v>
      </c>
    </row>
    <row r="339" ht="15.6" hidden="1" outlineLevel="2" spans="1:25">
      <c r="A339" s="12">
        <v>210</v>
      </c>
      <c r="B339" s="12">
        <v>32</v>
      </c>
      <c r="C339" s="6" t="s">
        <v>527</v>
      </c>
      <c r="D339" s="6" t="s">
        <v>11</v>
      </c>
      <c r="E339" s="12">
        <v>16.5</v>
      </c>
      <c r="F339" s="11">
        <f>LOOKUP(E339,{0,-2.9,-1.9,-0.9,0.1,1.1,2.1,3.5,4.9,6.3,7.7,9.1,10.5,11.9,13.3,14.7,16.1,18.3,20.5,22.4,24.3},{0,10,20,30,40,50,60,62,64,66,68,70,72,74,76,78,80,85,90,95,100})</f>
        <v>80</v>
      </c>
      <c r="G339" s="12">
        <v>215</v>
      </c>
      <c r="H339" s="11">
        <f>LOOKUP(G339,{0,175,180,185,190,195,200,204,208,212,216,220,224,228,232,236,240,248,255,260,265},{0,10,20,30,40,50,60,62,64,66,68,70,72,74,76,78,80,85,90,95,100})</f>
        <v>66</v>
      </c>
      <c r="I339" s="12">
        <v>0</v>
      </c>
      <c r="J339" s="11">
        <f>LOOKUP(I339,{0,3,4,5,6,7,8,9,10,11,12,13,14,15,16,17},{0,10,20,30,40,50,60,64,68,72,76,80,85,90,95,100})</f>
        <v>0</v>
      </c>
      <c r="K339" s="12"/>
      <c r="L339" s="12"/>
      <c r="M339" s="12">
        <f t="shared" si="198"/>
        <v>0</v>
      </c>
      <c r="N339" s="12">
        <v>7.9</v>
      </c>
      <c r="O339" s="12">
        <f t="shared" si="199"/>
        <v>4.1</v>
      </c>
      <c r="P339" s="11">
        <f>LOOKUP(O339,{0,1.6,1.8,2,2.2,2.4,2.6,2.8,3,3.2,3.4,3.6,3.8,4,4.2,4.4,4.6,4.7,4.8,4.9,5},{0,10,20,30,40,50,60,62,64,66,68,70,72,74,76,78,80,85,90,95,100})</f>
        <v>74</v>
      </c>
      <c r="Q339" s="12">
        <v>4.02</v>
      </c>
      <c r="R339" s="12">
        <f t="shared" si="200"/>
        <v>5.98</v>
      </c>
      <c r="S339" s="11">
        <f>LOOKUP(R339,{0,3.8,4,4.6,4.8,5,5.6,5.65,5.7,5.75,5.8,5.85,5.9,5.95,6,6.45,6.5,6.58,6.65,6.7,6.75},{0,10,20,30,40,50,60,62,64,66,68,70,72,74,76,78,80,85,90,95,100})</f>
        <v>74</v>
      </c>
      <c r="T339" s="12"/>
      <c r="U339" s="12"/>
      <c r="V339" s="12">
        <f t="shared" si="201"/>
        <v>74</v>
      </c>
      <c r="W339" s="12"/>
      <c r="X339" s="20">
        <f t="shared" si="184"/>
        <v>44.2</v>
      </c>
      <c r="Y339" s="20">
        <f t="shared" si="202"/>
        <v>63.1428571428572</v>
      </c>
    </row>
    <row r="340" ht="15.6" hidden="1" outlineLevel="2" spans="1:25">
      <c r="A340" s="12">
        <v>210</v>
      </c>
      <c r="B340" s="12">
        <v>33</v>
      </c>
      <c r="C340" s="6" t="s">
        <v>528</v>
      </c>
      <c r="D340" s="6" t="s">
        <v>11</v>
      </c>
      <c r="E340" s="12">
        <v>25</v>
      </c>
      <c r="F340" s="11">
        <f>LOOKUP(E340,{0,-2.9,-1.9,-0.9,0.1,1.1,2.1,3.5,4.9,6.3,7.7,9.1,10.5,11.9,13.3,14.7,16.1,18.3,20.5,22.4,24.3},{0,10,20,30,40,50,60,62,64,66,68,70,72,74,76,78,80,85,90,95,100})</f>
        <v>100</v>
      </c>
      <c r="G340" s="12">
        <v>216</v>
      </c>
      <c r="H340" s="11">
        <f>LOOKUP(G340,{0,175,180,185,190,195,200,204,208,212,216,220,224,228,232,236,240,248,255,260,265},{0,10,20,30,40,50,60,62,64,66,68,70,72,74,76,78,80,85,90,95,100})</f>
        <v>68</v>
      </c>
      <c r="I340" s="12">
        <v>1</v>
      </c>
      <c r="J340" s="11">
        <f>LOOKUP(I340,{0,3,4,5,6,7,8,9,10,11,12,13,14,15,16,17},{0,10,20,30,40,50,60,64,68,72,76,80,85,90,95,100})</f>
        <v>0</v>
      </c>
      <c r="K340" s="12"/>
      <c r="L340" s="12"/>
      <c r="M340" s="12">
        <f t="shared" si="198"/>
        <v>0</v>
      </c>
      <c r="N340" s="12">
        <v>6.8</v>
      </c>
      <c r="O340" s="12">
        <f t="shared" si="199"/>
        <v>5.2</v>
      </c>
      <c r="P340" s="11">
        <f>LOOKUP(O340,{0,1.6,1.8,2,2.2,2.4,2.6,2.8,3,3.2,3.4,3.6,3.8,4,4.2,4.4,4.6,4.7,4.8,4.9,5},{0,10,20,30,40,50,60,62,64,66,68,70,72,74,76,78,80,85,90,95,100})</f>
        <v>100</v>
      </c>
      <c r="Q340" s="12">
        <v>3.11</v>
      </c>
      <c r="R340" s="12">
        <f t="shared" si="200"/>
        <v>6.89</v>
      </c>
      <c r="S340" s="11">
        <f>LOOKUP(R340,{0,3.8,4,4.6,4.8,5,5.6,5.65,5.7,5.75,5.8,5.85,5.9,5.95,6,6.45,6.5,6.58,6.65,6.7,6.75},{0,10,20,30,40,50,60,62,64,66,68,70,72,74,76,78,80,85,90,95,100})</f>
        <v>100</v>
      </c>
      <c r="T340" s="12">
        <f>3.25-Q340</f>
        <v>0.14</v>
      </c>
      <c r="U340" s="11">
        <f>LOOKUP(T340,{0,0.04,0.08,0.12,0.16,0.2,0.23,0.26,0.29,0.32,0.35},{0,1,2,3,4,5,6,7,8,9,10})</f>
        <v>3</v>
      </c>
      <c r="V340" s="12">
        <f t="shared" si="201"/>
        <v>103</v>
      </c>
      <c r="W340" s="12"/>
      <c r="X340" s="20">
        <f t="shared" si="184"/>
        <v>56.8</v>
      </c>
      <c r="Y340" s="20">
        <f t="shared" si="202"/>
        <v>84.1428571428571</v>
      </c>
    </row>
    <row r="341" ht="15.6" hidden="1" outlineLevel="2" spans="1:25">
      <c r="A341" s="12">
        <v>210</v>
      </c>
      <c r="B341" s="12">
        <v>34</v>
      </c>
      <c r="C341" s="6" t="s">
        <v>529</v>
      </c>
      <c r="D341" s="6" t="s">
        <v>11</v>
      </c>
      <c r="E341" s="12">
        <v>7.58</v>
      </c>
      <c r="F341" s="11">
        <f>LOOKUP(E341,{0,-2.9,-1.9,-0.9,0.1,1.1,2.1,3.5,4.9,6.3,7.7,9.1,10.5,11.9,13.3,14.7,16.1,18.3,20.5,22.4,24.3},{0,10,20,30,40,50,60,62,64,66,68,70,72,74,76,78,80,85,90,95,100})</f>
        <v>66</v>
      </c>
      <c r="G341" s="12">
        <v>225</v>
      </c>
      <c r="H341" s="11">
        <f>LOOKUP(G341,{0,175,180,185,190,195,200,204,208,212,216,220,224,228,232,236,240,248,255,260,265},{0,10,20,30,40,50,60,62,64,66,68,70,72,74,76,78,80,85,90,95,100})</f>
        <v>72</v>
      </c>
      <c r="I341" s="12">
        <v>12</v>
      </c>
      <c r="J341" s="11">
        <f>LOOKUP(I341,{0,3,4,5,6,7,8,9,10,11,12,13,14,15,16,17},{0,10,20,30,40,50,60,64,68,72,76,80,85,90,95,100})</f>
        <v>76</v>
      </c>
      <c r="K341" s="12"/>
      <c r="L341" s="12"/>
      <c r="M341" s="12">
        <f t="shared" si="198"/>
        <v>76</v>
      </c>
      <c r="N341" s="12">
        <v>7.8</v>
      </c>
      <c r="O341" s="12">
        <f t="shared" si="199"/>
        <v>4.2</v>
      </c>
      <c r="P341" s="11">
        <f>LOOKUP(O341,{0,1.6,1.8,2,2.2,2.4,2.6,2.8,3,3.2,3.4,3.6,3.8,4,4.2,4.4,4.6,4.7,4.8,4.9,5},{0,10,20,30,40,50,60,62,64,66,68,70,72,74,76,78,80,85,90,95,100})</f>
        <v>76</v>
      </c>
      <c r="Q341" s="12">
        <v>4.06</v>
      </c>
      <c r="R341" s="12">
        <f t="shared" si="200"/>
        <v>5.94</v>
      </c>
      <c r="S341" s="11">
        <f>LOOKUP(R341,{0,3.8,4,4.6,4.8,5,5.6,5.65,5.7,5.75,5.8,5.85,5.9,5.95,6,6.45,6.5,6.58,6.65,6.7,6.75},{0,10,20,30,40,50,60,62,64,66,68,70,72,74,76,78,80,85,90,95,100})</f>
        <v>72</v>
      </c>
      <c r="T341" s="12"/>
      <c r="U341" s="15"/>
      <c r="V341" s="12">
        <f t="shared" si="201"/>
        <v>72</v>
      </c>
      <c r="W341" s="12"/>
      <c r="X341" s="20">
        <f t="shared" si="184"/>
        <v>51</v>
      </c>
      <c r="Y341" s="20">
        <f t="shared" si="202"/>
        <v>72.8571428571429</v>
      </c>
    </row>
    <row r="342" ht="15.6" hidden="1" outlineLevel="2" spans="1:25">
      <c r="A342" s="12">
        <v>210</v>
      </c>
      <c r="B342" s="12">
        <v>35</v>
      </c>
      <c r="C342" s="6" t="s">
        <v>530</v>
      </c>
      <c r="D342" s="6" t="s">
        <v>11</v>
      </c>
      <c r="E342" s="12">
        <v>15.3</v>
      </c>
      <c r="F342" s="11">
        <f>LOOKUP(E342,{0,-2.9,-1.9,-0.9,0.1,1.1,2.1,3.5,4.9,6.3,7.7,9.1,10.5,11.9,13.3,14.7,16.1,18.3,20.5,22.4,24.3},{0,10,20,30,40,50,60,62,64,66,68,70,72,74,76,78,80,85,90,95,100})</f>
        <v>78</v>
      </c>
      <c r="G342" s="12">
        <v>274</v>
      </c>
      <c r="H342" s="11">
        <f>LOOKUP(G342,{0,175,180,185,190,195,200,204,208,212,216,220,224,228,232,236,240,248,255,260,265},{0,10,20,30,40,50,60,62,64,66,68,70,72,74,76,78,80,85,90,95,100})</f>
        <v>100</v>
      </c>
      <c r="I342" s="12">
        <v>12</v>
      </c>
      <c r="J342" s="11">
        <f>LOOKUP(I342,{0,3,4,5,6,7,8,9,10,11,12,13,14,15,16,17},{0,10,20,30,40,50,60,64,68,72,76,80,85,90,95,100})</f>
        <v>76</v>
      </c>
      <c r="K342" s="12"/>
      <c r="L342" s="12"/>
      <c r="M342" s="12">
        <f t="shared" si="198"/>
        <v>76</v>
      </c>
      <c r="N342" s="12">
        <v>6.8</v>
      </c>
      <c r="O342" s="12">
        <f t="shared" si="199"/>
        <v>5.2</v>
      </c>
      <c r="P342" s="11">
        <f>LOOKUP(O342,{0,1.6,1.8,2,2.2,2.4,2.6,2.8,3,3.2,3.4,3.6,3.8,4,4.2,4.4,4.6,4.7,4.8,4.9,5},{0,10,20,30,40,50,60,62,64,66,68,70,72,74,76,78,80,85,90,95,100})</f>
        <v>100</v>
      </c>
      <c r="Q342" s="12">
        <v>3.29</v>
      </c>
      <c r="R342" s="12">
        <f t="shared" si="200"/>
        <v>6.71</v>
      </c>
      <c r="S342" s="11">
        <f>LOOKUP(R342,{0,3.8,4,4.6,4.8,5,5.6,5.65,5.7,5.75,5.8,5.85,5.9,5.95,6,6.45,6.5,6.58,6.65,6.7,6.75},{0,10,20,30,40,50,60,62,64,66,68,70,72,74,76,78,80,85,90,95,100})</f>
        <v>95</v>
      </c>
      <c r="T342" s="12"/>
      <c r="U342" s="15"/>
      <c r="V342" s="12">
        <f t="shared" si="201"/>
        <v>95</v>
      </c>
      <c r="W342" s="12"/>
      <c r="X342" s="20">
        <f t="shared" si="184"/>
        <v>64.4</v>
      </c>
      <c r="Y342" s="20">
        <f t="shared" si="202"/>
        <v>92</v>
      </c>
    </row>
    <row r="343" ht="15.6" outlineLevel="1" collapsed="1" spans="1:25">
      <c r="A343" s="14" t="s">
        <v>864</v>
      </c>
      <c r="B343" s="12"/>
      <c r="C343" s="6"/>
      <c r="D343" s="6"/>
      <c r="E343" s="12"/>
      <c r="F343" s="11">
        <f>SUBTOTAL(1,F308:F342)</f>
        <v>80.7</v>
      </c>
      <c r="G343" s="12"/>
      <c r="H343" s="11">
        <f>SUBTOTAL(1,H308:H342)</f>
        <v>81.5</v>
      </c>
      <c r="I343" s="12"/>
      <c r="J343" s="11">
        <f>SUBTOTAL(1,J308:J342)</f>
        <v>53.3</v>
      </c>
      <c r="K343" s="12"/>
      <c r="L343" s="12"/>
      <c r="M343" s="12">
        <f>SUBTOTAL(1,M308:M342)</f>
        <v>54.6333333333333</v>
      </c>
      <c r="N343" s="12"/>
      <c r="O343" s="12"/>
      <c r="P343" s="11">
        <f>SUBTOTAL(1,P308:P342)</f>
        <v>86.7</v>
      </c>
      <c r="Q343" s="12"/>
      <c r="R343" s="12"/>
      <c r="S343" s="11">
        <f>SUBTOTAL(1,S308:S342)</f>
        <v>83.0666666666667</v>
      </c>
      <c r="T343" s="12"/>
      <c r="U343" s="15"/>
      <c r="V343" s="12">
        <f>SUBTOTAL(1,V308:V342)</f>
        <v>83.2666666666667</v>
      </c>
      <c r="W343" s="12"/>
      <c r="X343" s="20">
        <f>SUBTOTAL(1,X308:X342)</f>
        <v>47.5742857142857</v>
      </c>
      <c r="Y343" s="20">
        <f>SUBTOTAL(1,Y308:Y342)</f>
        <v>76.4204081632653</v>
      </c>
    </row>
    <row r="344" ht="15.6" hidden="1" outlineLevel="2" spans="1:25">
      <c r="A344" s="12">
        <v>211</v>
      </c>
      <c r="B344" s="12">
        <v>1</v>
      </c>
      <c r="C344" s="13" t="s">
        <v>550</v>
      </c>
      <c r="D344" s="6" t="s">
        <v>11</v>
      </c>
      <c r="E344" s="12">
        <v>17.2</v>
      </c>
      <c r="F344" s="11">
        <f>LOOKUP(E344,{0,-2.9,-1.9,-0.9,0.1,1.1,2.1,3.5,4.9,6.3,7.7,9.1,10.5,11.9,13.3,14.7,16.1,18.3,20.5,22.4,24.3},{0,10,20,30,40,50,60,62,64,66,68,70,72,74,76,78,80,85,90,95,100})</f>
        <v>80</v>
      </c>
      <c r="G344" s="12">
        <v>265</v>
      </c>
      <c r="H344" s="11">
        <f>LOOKUP(G344,{0,175,180,185,190,195,200,204,208,212,216,220,224,228,232,236,240,248,255,260,265},{0,10,20,30,40,50,60,62,64,66,68,70,72,74,76,78,80,85,90,95,100})</f>
        <v>100</v>
      </c>
      <c r="I344" s="12">
        <v>10</v>
      </c>
      <c r="J344" s="11">
        <f>LOOKUP(I344,{0,3,4,5,6,7,8,9,10,11,12,13,14,15,16,17},{0,10,20,30,40,50,60,64,68,72,76,80,85,90,95,100})</f>
        <v>68</v>
      </c>
      <c r="K344" s="12"/>
      <c r="L344" s="12"/>
      <c r="M344" s="12">
        <f t="shared" ref="M344:M354" si="203">J344+L344</f>
        <v>68</v>
      </c>
      <c r="N344" s="12">
        <v>6.9</v>
      </c>
      <c r="O344" s="12">
        <f t="shared" ref="O344:O353" si="204">12-N344</f>
        <v>5.1</v>
      </c>
      <c r="P344" s="11">
        <f>LOOKUP(O344,{0,1.6,1.8,2,2.2,2.4,2.6,2.8,3,3.2,3.4,3.6,3.8,4,4.2,4.4,4.6,4.7,4.8,4.9,5},{0,10,20,30,40,50,60,62,64,66,68,70,72,74,76,78,80,85,90,95,100})</f>
        <v>100</v>
      </c>
      <c r="Q344" s="12">
        <v>3.15</v>
      </c>
      <c r="R344" s="12">
        <f t="shared" ref="R344:R352" si="205">10-Q344</f>
        <v>6.85</v>
      </c>
      <c r="S344" s="11">
        <f>LOOKUP(R344,{0,3.8,4,4.6,4.8,5,5.6,5.65,5.7,5.75,5.8,5.85,5.9,5.95,6,6.45,6.5,6.58,6.65,6.7,6.75},{0,10,20,30,40,50,60,62,64,66,68,70,72,74,76,78,80,85,90,95,100})</f>
        <v>100</v>
      </c>
      <c r="T344" s="12">
        <f>3.25-Q344</f>
        <v>0.1</v>
      </c>
      <c r="U344" s="11">
        <f>LOOKUP(T344,{0,0.04,0.08,0.12,0.16,0.2,0.23,0.26,0.29,0.32,0.35},{0,1,2,3,4,5,6,7,8,9,10})</f>
        <v>2</v>
      </c>
      <c r="V344" s="12">
        <f t="shared" ref="V344:V352" si="206">S344+U344</f>
        <v>102</v>
      </c>
      <c r="W344" s="12"/>
      <c r="X344" s="20">
        <f t="shared" ref="X344:X375" si="207">F344*0.1+H344*0.1+J344*0.1+P344*0.2+S344*0.2</f>
        <v>64.8</v>
      </c>
      <c r="Y344" s="20">
        <f t="shared" ref="Y344:Y353" si="208">X344/0.7+L344+U344</f>
        <v>94.5714285714286</v>
      </c>
    </row>
    <row r="345" ht="15.6" hidden="1" outlineLevel="2" spans="1:25">
      <c r="A345" s="12">
        <v>211</v>
      </c>
      <c r="B345" s="12">
        <v>2</v>
      </c>
      <c r="C345" s="6" t="s">
        <v>551</v>
      </c>
      <c r="D345" s="6" t="s">
        <v>11</v>
      </c>
      <c r="E345" s="12">
        <v>6.5</v>
      </c>
      <c r="F345" s="11">
        <f>LOOKUP(E345,{0,-2.9,-1.9,-0.9,0.1,1.1,2.1,3.5,4.9,6.3,7.7,9.1,10.5,11.9,13.3,14.7,16.1,18.3,20.5,22.4,24.3},{0,10,20,30,40,50,60,62,64,66,68,70,72,74,76,78,80,85,90,95,100})</f>
        <v>66</v>
      </c>
      <c r="G345" s="12">
        <v>250</v>
      </c>
      <c r="H345" s="11">
        <f>LOOKUP(G345,{0,175,180,185,190,195,200,204,208,212,216,220,224,228,232,236,240,248,255,260,265},{0,10,20,30,40,50,60,62,64,66,68,70,72,74,76,78,80,85,90,95,100})</f>
        <v>85</v>
      </c>
      <c r="I345" s="12">
        <v>0</v>
      </c>
      <c r="J345" s="11">
        <f>LOOKUP(I345,{0,3,4,5,6,7,8,9,10,11,12,13,14,15,16,17},{0,10,20,30,40,50,60,64,68,72,76,80,85,90,95,100})</f>
        <v>0</v>
      </c>
      <c r="K345" s="12"/>
      <c r="L345" s="12"/>
      <c r="M345" s="12">
        <f t="shared" si="203"/>
        <v>0</v>
      </c>
      <c r="N345" s="12">
        <v>7.3</v>
      </c>
      <c r="O345" s="12">
        <f t="shared" si="204"/>
        <v>4.7</v>
      </c>
      <c r="P345" s="11">
        <f>LOOKUP(O345,{0,1.6,1.8,2,2.2,2.4,2.6,2.8,3,3.2,3.4,3.6,3.8,4,4.2,4.4,4.6,4.7,4.8,4.9,5},{0,10,20,30,40,50,60,62,64,66,68,70,72,74,76,78,80,85,90,95,100})</f>
        <v>85</v>
      </c>
      <c r="Q345" s="12">
        <v>3.39</v>
      </c>
      <c r="R345" s="12">
        <f t="shared" si="205"/>
        <v>6.61</v>
      </c>
      <c r="S345" s="11">
        <f>LOOKUP(R345,{0,3.8,4,4.6,4.8,5,5.6,5.65,5.7,5.75,5.8,5.85,5.9,5.95,6,6.45,6.5,6.58,6.65,6.7,6.75},{0,10,20,30,40,50,60,62,64,66,68,70,72,74,76,78,80,85,90,95,100})</f>
        <v>85</v>
      </c>
      <c r="T345" s="12"/>
      <c r="U345" s="15"/>
      <c r="V345" s="12">
        <f t="shared" si="206"/>
        <v>85</v>
      </c>
      <c r="W345" s="12"/>
      <c r="X345" s="20">
        <f t="shared" si="207"/>
        <v>49.1</v>
      </c>
      <c r="Y345" s="20">
        <f t="shared" si="208"/>
        <v>70.1428571428572</v>
      </c>
    </row>
    <row r="346" ht="15.6" hidden="1" outlineLevel="2" spans="1:25">
      <c r="A346" s="12">
        <v>211</v>
      </c>
      <c r="B346" s="12">
        <v>3</v>
      </c>
      <c r="C346" s="6" t="s">
        <v>552</v>
      </c>
      <c r="D346" s="6" t="s">
        <v>11</v>
      </c>
      <c r="E346" s="12">
        <v>18.2</v>
      </c>
      <c r="F346" s="11">
        <f>LOOKUP(E346,{0,-2.9,-1.9,-0.9,0.1,1.1,2.1,3.5,4.9,6.3,7.7,9.1,10.5,11.9,13.3,14.7,16.1,18.3,20.5,22.4,24.3},{0,10,20,30,40,50,60,62,64,66,68,70,72,74,76,78,80,85,90,95,100})</f>
        <v>80</v>
      </c>
      <c r="G346" s="12">
        <v>245</v>
      </c>
      <c r="H346" s="11">
        <f>LOOKUP(G346,{0,175,180,185,190,195,200,204,208,212,216,220,224,228,232,236,240,248,255,260,265},{0,10,20,30,40,50,60,62,64,66,68,70,72,74,76,78,80,85,90,95,100})</f>
        <v>80</v>
      </c>
      <c r="I346" s="12">
        <v>7</v>
      </c>
      <c r="J346" s="11">
        <f>LOOKUP(I346,{0,3,4,5,6,7,8,9,10,11,12,13,14,15,16,17},{0,10,20,30,40,50,60,64,68,72,76,80,85,90,95,100})</f>
        <v>50</v>
      </c>
      <c r="K346" s="12"/>
      <c r="L346" s="12"/>
      <c r="M346" s="12">
        <f t="shared" si="203"/>
        <v>50</v>
      </c>
      <c r="N346" s="12">
        <v>7</v>
      </c>
      <c r="O346" s="12">
        <f t="shared" si="204"/>
        <v>5</v>
      </c>
      <c r="P346" s="11">
        <f>LOOKUP(O346,{0,1.6,1.8,2,2.2,2.4,2.6,2.8,3,3.2,3.4,3.6,3.8,4,4.2,4.4,4.6,4.7,4.8,4.9,5},{0,10,20,30,40,50,60,62,64,66,68,70,72,74,76,78,80,85,90,95,100})</f>
        <v>100</v>
      </c>
      <c r="Q346" s="12">
        <v>3.57</v>
      </c>
      <c r="R346" s="12">
        <f t="shared" si="205"/>
        <v>6.43</v>
      </c>
      <c r="S346" s="11">
        <f>LOOKUP(R346,{0,3.8,4,4.6,4.8,5,5.6,5.65,5.7,5.75,5.8,5.85,5.9,5.95,6,6.45,6.5,6.58,6.65,6.7,6.75},{0,10,20,30,40,50,60,62,64,66,68,70,72,74,76,78,80,85,90,95,100})</f>
        <v>76</v>
      </c>
      <c r="T346" s="12"/>
      <c r="U346" s="15"/>
      <c r="V346" s="12">
        <f t="shared" si="206"/>
        <v>76</v>
      </c>
      <c r="W346" s="12"/>
      <c r="X346" s="20">
        <f t="shared" si="207"/>
        <v>56.2</v>
      </c>
      <c r="Y346" s="20">
        <f t="shared" si="208"/>
        <v>80.2857142857143</v>
      </c>
    </row>
    <row r="347" ht="15.6" hidden="1" outlineLevel="2" spans="1:25">
      <c r="A347" s="12">
        <v>211</v>
      </c>
      <c r="B347" s="12">
        <v>4</v>
      </c>
      <c r="C347" s="6" t="s">
        <v>553</v>
      </c>
      <c r="D347" s="6" t="s">
        <v>11</v>
      </c>
      <c r="E347" s="12">
        <v>23.5</v>
      </c>
      <c r="F347" s="11">
        <f>LOOKUP(E347,{0,-2.9,-1.9,-0.9,0.1,1.1,2.1,3.5,4.9,6.3,7.7,9.1,10.5,11.9,13.3,14.7,16.1,18.3,20.5,22.4,24.3},{0,10,20,30,40,50,60,62,64,66,68,70,72,74,76,78,80,85,90,95,100})</f>
        <v>95</v>
      </c>
      <c r="G347" s="12">
        <v>260</v>
      </c>
      <c r="H347" s="11">
        <f>LOOKUP(G347,{0,175,180,185,190,195,200,204,208,212,216,220,224,228,232,236,240,248,255,260,265},{0,10,20,30,40,50,60,62,64,66,68,70,72,74,76,78,80,85,90,95,100})</f>
        <v>95</v>
      </c>
      <c r="I347" s="12">
        <v>18</v>
      </c>
      <c r="J347" s="11">
        <f>LOOKUP(I347,{0,3,4,5,6,7,8,9,10,11,12,13,14,15,16,17},{0,10,20,30,40,50,60,64,68,72,76,80,85,90,95,100})</f>
        <v>100</v>
      </c>
      <c r="K347" s="12">
        <f t="shared" ref="K347:K351" si="209">I347-17</f>
        <v>1</v>
      </c>
      <c r="L347" s="11">
        <f>LOOKUP(K347,{0,1,2,3,4,5,6,7,8,9,10},{0,1,2,3,4,5,6,7,8,9,10})</f>
        <v>1</v>
      </c>
      <c r="M347" s="12">
        <f t="shared" si="203"/>
        <v>101</v>
      </c>
      <c r="N347" s="12">
        <v>7.4</v>
      </c>
      <c r="O347" s="12">
        <f t="shared" si="204"/>
        <v>4.6</v>
      </c>
      <c r="P347" s="11">
        <f>LOOKUP(O347,{0,1.6,1.8,2,2.2,2.4,2.6,2.8,3,3.2,3.4,3.6,3.8,4,4.2,4.4,4.6,4.7,4.8,4.9,5},{0,10,20,30,40,50,60,62,64,66,68,70,72,74,76,78,80,85,90,95,100})</f>
        <v>80</v>
      </c>
      <c r="Q347" s="12">
        <v>4.13</v>
      </c>
      <c r="R347" s="12">
        <f t="shared" si="205"/>
        <v>5.87</v>
      </c>
      <c r="S347" s="11">
        <f>LOOKUP(R347,{0,3.8,4,4.6,4.8,5,5.6,5.65,5.7,5.75,5.8,5.85,5.9,5.95,6,6.45,6.5,6.58,6.65,6.7,6.75},{0,10,20,30,40,50,60,62,64,66,68,70,72,74,76,78,80,85,90,95,100})</f>
        <v>70</v>
      </c>
      <c r="T347" s="12"/>
      <c r="U347" s="12"/>
      <c r="V347" s="12">
        <f t="shared" si="206"/>
        <v>70</v>
      </c>
      <c r="W347" s="12"/>
      <c r="X347" s="20">
        <f t="shared" si="207"/>
        <v>59</v>
      </c>
      <c r="Y347" s="20">
        <f t="shared" si="208"/>
        <v>85.2857142857143</v>
      </c>
    </row>
    <row r="348" ht="15.6" hidden="1" outlineLevel="2" spans="1:25">
      <c r="A348" s="12">
        <v>211</v>
      </c>
      <c r="B348" s="12">
        <v>5</v>
      </c>
      <c r="C348" s="6" t="s">
        <v>554</v>
      </c>
      <c r="D348" s="6" t="s">
        <v>11</v>
      </c>
      <c r="E348" s="12">
        <v>7.4</v>
      </c>
      <c r="F348" s="11">
        <f>LOOKUP(E348,{0,-2.9,-1.9,-0.9,0.1,1.1,2.1,3.5,4.9,6.3,7.7,9.1,10.5,11.9,13.3,14.7,16.1,18.3,20.5,22.4,24.3},{0,10,20,30,40,50,60,62,64,66,68,70,72,74,76,78,80,85,90,95,100})</f>
        <v>66</v>
      </c>
      <c r="G348" s="12">
        <v>228</v>
      </c>
      <c r="H348" s="11">
        <f>LOOKUP(G348,{0,175,180,185,190,195,200,204,208,212,216,220,224,228,232,236,240,248,255,260,265},{0,10,20,30,40,50,60,62,64,66,68,70,72,74,76,78,80,85,90,95,100})</f>
        <v>74</v>
      </c>
      <c r="I348" s="12">
        <v>22</v>
      </c>
      <c r="J348" s="11">
        <f>LOOKUP(I348,{0,3,4,5,6,7,8,9,10,11,12,13,14,15,16,17},{0,10,20,30,40,50,60,64,68,72,76,80,85,90,95,100})</f>
        <v>100</v>
      </c>
      <c r="K348" s="12">
        <f t="shared" si="209"/>
        <v>5</v>
      </c>
      <c r="L348" s="11">
        <f>LOOKUP(K348,{0,1,2,3,4,5,6,7,8,9,10},{0,1,2,3,4,5,6,7,8,9,10})</f>
        <v>5</v>
      </c>
      <c r="M348" s="12">
        <f t="shared" si="203"/>
        <v>105</v>
      </c>
      <c r="N348" s="12">
        <v>7.2</v>
      </c>
      <c r="O348" s="12">
        <f t="shared" si="204"/>
        <v>4.8</v>
      </c>
      <c r="P348" s="11">
        <f>LOOKUP(O348,{0,1.6,1.8,2,2.2,2.4,2.6,2.8,3,3.2,3.4,3.6,3.8,4,4.2,4.4,4.6,4.7,4.8,4.9,5},{0,10,20,30,40,50,60,62,64,66,68,70,72,74,76,78,80,85,90,95,100})</f>
        <v>90</v>
      </c>
      <c r="Q348" s="12">
        <v>4.1</v>
      </c>
      <c r="R348" s="12">
        <f t="shared" si="205"/>
        <v>5.9</v>
      </c>
      <c r="S348" s="11">
        <f>LOOKUP(R348,{0,3.8,4,4.6,4.8,5,5.6,5.65,5.7,5.75,5.8,5.85,5.9,5.95,6,6.45,6.5,6.58,6.65,6.7,6.75},{0,10,20,30,40,50,60,62,64,66,68,70,72,74,76,78,80,85,90,95,100})</f>
        <v>72</v>
      </c>
      <c r="T348" s="12"/>
      <c r="U348" s="15"/>
      <c r="V348" s="12">
        <f t="shared" si="206"/>
        <v>72</v>
      </c>
      <c r="W348" s="12"/>
      <c r="X348" s="20">
        <f t="shared" si="207"/>
        <v>56.4</v>
      </c>
      <c r="Y348" s="20">
        <f t="shared" si="208"/>
        <v>85.5714285714286</v>
      </c>
    </row>
    <row r="349" s="1" customFormat="1" ht="15.6" hidden="1" outlineLevel="2" spans="1:25">
      <c r="A349" s="12">
        <v>211</v>
      </c>
      <c r="B349" s="12">
        <v>6</v>
      </c>
      <c r="C349" s="6" t="s">
        <v>555</v>
      </c>
      <c r="D349" s="6" t="s">
        <v>11</v>
      </c>
      <c r="E349" s="12">
        <v>17</v>
      </c>
      <c r="F349" s="11">
        <f>LOOKUP(E349,{0,-2.9,-1.9,-0.9,0.1,1.1,2.1,3.5,4.9,6.3,7.7,9.1,10.5,11.9,13.3,14.7,16.1,18.3,20.5,22.4,24.3},{0,10,20,30,40,50,60,62,64,66,68,70,72,74,76,78,80,85,90,95,100})</f>
        <v>80</v>
      </c>
      <c r="G349" s="12">
        <v>239</v>
      </c>
      <c r="H349" s="11">
        <f>LOOKUP(G349,{0,175,180,185,190,195,200,204,208,212,216,220,224,228,232,236,240,248,255,260,265},{0,10,20,30,40,50,60,62,64,66,68,70,72,74,76,78,80,85,90,95,100})</f>
        <v>78</v>
      </c>
      <c r="I349" s="12">
        <v>0</v>
      </c>
      <c r="J349" s="11">
        <f>LOOKUP(I349,{0,3,4,5,6,7,8,9,10,11,12,13,14,15,16,17},{0,10,20,30,40,50,60,64,68,72,76,80,85,90,95,100})</f>
        <v>0</v>
      </c>
      <c r="K349" s="12"/>
      <c r="L349" s="12"/>
      <c r="M349" s="12">
        <f t="shared" si="203"/>
        <v>0</v>
      </c>
      <c r="N349" s="12">
        <v>7.7</v>
      </c>
      <c r="O349" s="12">
        <f t="shared" si="204"/>
        <v>4.3</v>
      </c>
      <c r="P349" s="11">
        <f>LOOKUP(O349,{0,1.6,1.8,2,2.2,2.4,2.6,2.8,3,3.2,3.4,3.6,3.8,4,4.2,4.4,4.6,4.7,4.8,4.9,5},{0,10,20,30,40,50,60,62,64,66,68,70,72,74,76,78,80,85,90,95,100})</f>
        <v>76</v>
      </c>
      <c r="Q349" s="12">
        <v>4.24</v>
      </c>
      <c r="R349" s="12">
        <f t="shared" si="205"/>
        <v>5.76</v>
      </c>
      <c r="S349" s="11">
        <f>LOOKUP(R349,{0,3.8,4,4.6,4.8,5,5.6,5.65,5.7,5.75,5.8,5.85,5.9,5.95,6,6.45,6.5,6.58,6.65,6.7,6.75},{0,10,20,30,40,50,60,62,64,66,68,70,72,74,76,78,80,85,90,95,100})</f>
        <v>66</v>
      </c>
      <c r="T349" s="12"/>
      <c r="U349" s="12"/>
      <c r="V349" s="12">
        <f t="shared" si="206"/>
        <v>66</v>
      </c>
      <c r="W349" s="12"/>
      <c r="X349" s="20">
        <f t="shared" si="207"/>
        <v>44.2</v>
      </c>
      <c r="Y349" s="20">
        <f t="shared" si="208"/>
        <v>63.1428571428572</v>
      </c>
    </row>
    <row r="350" ht="15.6" hidden="1" outlineLevel="2" spans="1:25">
      <c r="A350" s="12">
        <v>211</v>
      </c>
      <c r="B350" s="12">
        <v>7</v>
      </c>
      <c r="C350" s="6" t="s">
        <v>556</v>
      </c>
      <c r="D350" s="6" t="s">
        <v>11</v>
      </c>
      <c r="E350" s="12">
        <v>10</v>
      </c>
      <c r="F350" s="11">
        <f>LOOKUP(E350,{0,-2.9,-1.9,-0.9,0.1,1.1,2.1,3.5,4.9,6.3,7.7,9.1,10.5,11.9,13.3,14.7,16.1,18.3,20.5,22.4,24.3},{0,10,20,30,40,50,60,62,64,66,68,70,72,74,76,78,80,85,90,95,100})</f>
        <v>70</v>
      </c>
      <c r="G350" s="12">
        <v>247</v>
      </c>
      <c r="H350" s="11">
        <f>LOOKUP(G350,{0,175,180,185,190,195,200,204,208,212,216,220,224,228,232,236,240,248,255,260,265},{0,10,20,30,40,50,60,62,64,66,68,70,72,74,76,78,80,85,90,95,100})</f>
        <v>80</v>
      </c>
      <c r="I350" s="12">
        <v>12</v>
      </c>
      <c r="J350" s="11">
        <f>LOOKUP(I350,{0,3,4,5,6,7,8,9,10,11,12,13,14,15,16,17},{0,10,20,30,40,50,60,64,68,72,76,80,85,90,95,100})</f>
        <v>76</v>
      </c>
      <c r="K350" s="12"/>
      <c r="L350" s="12"/>
      <c r="M350" s="12">
        <f t="shared" si="203"/>
        <v>76</v>
      </c>
      <c r="N350" s="12">
        <v>9.2</v>
      </c>
      <c r="O350" s="12">
        <f t="shared" si="204"/>
        <v>2.8</v>
      </c>
      <c r="P350" s="11">
        <f>LOOKUP(O350,{0,1.6,1.8,2,2.2,2.4,2.6,2.8,3,3.2,3.4,3.6,3.8,4,4.2,4.4,4.6,4.7,4.8,4.9,5},{0,10,20,30,40,50,60,62,64,66,68,70,72,74,76,78,80,85,90,95,100})</f>
        <v>62</v>
      </c>
      <c r="Q350" s="12">
        <v>3.41</v>
      </c>
      <c r="R350" s="12">
        <f t="shared" si="205"/>
        <v>6.59</v>
      </c>
      <c r="S350" s="11">
        <f>LOOKUP(R350,{0,3.8,4,4.6,4.8,5,5.6,5.65,5.7,5.75,5.8,5.85,5.9,5.95,6,6.45,6.5,6.58,6.65,6.7,6.75},{0,10,20,30,40,50,60,62,64,66,68,70,72,74,76,78,80,85,90,95,100})</f>
        <v>85</v>
      </c>
      <c r="T350" s="12"/>
      <c r="U350" s="12"/>
      <c r="V350" s="12">
        <f t="shared" si="206"/>
        <v>85</v>
      </c>
      <c r="W350" s="12"/>
      <c r="X350" s="20">
        <f t="shared" si="207"/>
        <v>52</v>
      </c>
      <c r="Y350" s="20">
        <f t="shared" si="208"/>
        <v>74.2857142857143</v>
      </c>
    </row>
    <row r="351" ht="15.6" hidden="1" outlineLevel="2" spans="1:25">
      <c r="A351" s="12">
        <v>211</v>
      </c>
      <c r="B351" s="12">
        <v>8</v>
      </c>
      <c r="C351" s="6" t="s">
        <v>557</v>
      </c>
      <c r="D351" s="6" t="s">
        <v>11</v>
      </c>
      <c r="E351" s="12">
        <v>13.8</v>
      </c>
      <c r="F351" s="11">
        <f>LOOKUP(E351,{0,-2.9,-1.9,-0.9,0.1,1.1,2.1,3.5,4.9,6.3,7.7,9.1,10.5,11.9,13.3,14.7,16.1,18.3,20.5,22.4,24.3},{0,10,20,30,40,50,60,62,64,66,68,70,72,74,76,78,80,85,90,95,100})</f>
        <v>76</v>
      </c>
      <c r="G351" s="12">
        <v>257</v>
      </c>
      <c r="H351" s="11">
        <f>LOOKUP(G351,{0,175,180,185,190,195,200,204,208,212,216,220,224,228,232,236,240,248,255,260,265},{0,10,20,30,40,50,60,62,64,66,68,70,72,74,76,78,80,85,90,95,100})</f>
        <v>90</v>
      </c>
      <c r="I351" s="12">
        <v>40</v>
      </c>
      <c r="J351" s="11">
        <f>LOOKUP(I351,{0,3,4,5,6,7,8,9,10,11,12,13,14,15,16,17},{0,10,20,30,40,50,60,64,68,72,76,80,85,90,95,100})</f>
        <v>100</v>
      </c>
      <c r="K351" s="12">
        <f t="shared" si="209"/>
        <v>23</v>
      </c>
      <c r="L351" s="11">
        <f>LOOKUP(K351,{0,1,2,3,4,5,6,7,8,9,10},{0,1,2,3,4,5,6,7,8,9,10})</f>
        <v>10</v>
      </c>
      <c r="M351" s="12">
        <f t="shared" si="203"/>
        <v>110</v>
      </c>
      <c r="N351" s="12">
        <v>7.2</v>
      </c>
      <c r="O351" s="12">
        <f t="shared" si="204"/>
        <v>4.8</v>
      </c>
      <c r="P351" s="11">
        <f>LOOKUP(O351,{0,1.6,1.8,2,2.2,2.4,2.6,2.8,3,3.2,3.4,3.6,3.8,4,4.2,4.4,4.6,4.7,4.8,4.9,5},{0,10,20,30,40,50,60,62,64,66,68,70,72,74,76,78,80,85,90,95,100})</f>
        <v>90</v>
      </c>
      <c r="Q351" s="12">
        <v>3.47</v>
      </c>
      <c r="R351" s="12">
        <f t="shared" si="205"/>
        <v>6.53</v>
      </c>
      <c r="S351" s="11">
        <f>LOOKUP(R351,{0,3.8,4,4.6,4.8,5,5.6,5.65,5.7,5.75,5.8,5.85,5.9,5.95,6,6.45,6.5,6.58,6.65,6.7,6.75},{0,10,20,30,40,50,60,62,64,66,68,70,72,74,76,78,80,85,90,95,100})</f>
        <v>80</v>
      </c>
      <c r="T351" s="12"/>
      <c r="U351" s="12"/>
      <c r="V351" s="12">
        <f t="shared" si="206"/>
        <v>80</v>
      </c>
      <c r="W351" s="12"/>
      <c r="X351" s="20">
        <f t="shared" si="207"/>
        <v>60.6</v>
      </c>
      <c r="Y351" s="20">
        <f t="shared" si="208"/>
        <v>96.5714285714286</v>
      </c>
    </row>
    <row r="352" ht="15.6" hidden="1" outlineLevel="2" spans="1:25">
      <c r="A352" s="12">
        <v>211</v>
      </c>
      <c r="B352" s="12">
        <v>9</v>
      </c>
      <c r="C352" s="6" t="s">
        <v>558</v>
      </c>
      <c r="D352" s="6" t="s">
        <v>11</v>
      </c>
      <c r="E352" s="12">
        <v>19.3</v>
      </c>
      <c r="F352" s="11">
        <f>LOOKUP(E352,{0,-2.9,-1.9,-0.9,0.1,1.1,2.1,3.5,4.9,6.3,7.7,9.1,10.5,11.9,13.3,14.7,16.1,18.3,20.5,22.4,24.3},{0,10,20,30,40,50,60,62,64,66,68,70,72,74,76,78,80,85,90,95,100})</f>
        <v>85</v>
      </c>
      <c r="G352" s="12">
        <v>214</v>
      </c>
      <c r="H352" s="11">
        <f>LOOKUP(G352,{0,175,180,185,190,195,200,204,208,212,216,220,224,228,232,236,240,248,255,260,265},{0,10,20,30,40,50,60,62,64,66,68,70,72,74,76,78,80,85,90,95,100})</f>
        <v>66</v>
      </c>
      <c r="I352" s="12">
        <v>6</v>
      </c>
      <c r="J352" s="11">
        <f>LOOKUP(I352,{0,3,4,5,6,7,8,9,10,11,12,13,14,15,16,17},{0,10,20,30,40,50,60,64,68,72,76,80,85,90,95,100})</f>
        <v>40</v>
      </c>
      <c r="K352" s="12"/>
      <c r="L352" s="12"/>
      <c r="M352" s="12">
        <f t="shared" si="203"/>
        <v>40</v>
      </c>
      <c r="N352" s="12">
        <v>7.1</v>
      </c>
      <c r="O352" s="12">
        <f t="shared" si="204"/>
        <v>4.9</v>
      </c>
      <c r="P352" s="11">
        <f>LOOKUP(O352,{0,1.6,1.8,2,2.2,2.4,2.6,2.8,3,3.2,3.4,3.6,3.8,4,4.2,4.4,4.6,4.7,4.8,4.9,5},{0,10,20,30,40,50,60,62,64,66,68,70,72,74,76,78,80,85,90,95,100})</f>
        <v>95</v>
      </c>
      <c r="Q352" s="12">
        <v>3.58</v>
      </c>
      <c r="R352" s="12">
        <f t="shared" si="205"/>
        <v>6.42</v>
      </c>
      <c r="S352" s="11">
        <f>LOOKUP(R352,{0,3.8,4,4.6,4.8,5,5.6,5.65,5.7,5.75,5.8,5.85,5.9,5.95,6,6.45,6.5,6.58,6.65,6.7,6.75},{0,10,20,30,40,50,60,62,64,66,68,70,72,74,76,78,80,85,90,95,100})</f>
        <v>76</v>
      </c>
      <c r="T352" s="12"/>
      <c r="U352" s="12"/>
      <c r="V352" s="12">
        <f t="shared" si="206"/>
        <v>76</v>
      </c>
      <c r="W352" s="12"/>
      <c r="X352" s="20">
        <f t="shared" si="207"/>
        <v>53.3</v>
      </c>
      <c r="Y352" s="20">
        <f t="shared" si="208"/>
        <v>76.1428571428572</v>
      </c>
    </row>
    <row r="353" ht="15.6" hidden="1" outlineLevel="2" spans="1:25">
      <c r="A353" s="12">
        <v>211</v>
      </c>
      <c r="B353" s="12">
        <v>10</v>
      </c>
      <c r="C353" s="6" t="s">
        <v>559</v>
      </c>
      <c r="D353" s="6" t="s">
        <v>11</v>
      </c>
      <c r="E353" s="12">
        <v>18.5</v>
      </c>
      <c r="F353" s="11">
        <f>LOOKUP(E353,{0,-2.9,-1.9,-0.9,0.1,1.1,2.1,3.5,4.9,6.3,7.7,9.1,10.5,11.9,13.3,14.7,16.1,18.3,20.5,22.4,24.3},{0,10,20,30,40,50,60,62,64,66,68,70,72,74,76,78,80,85,90,95,100})</f>
        <v>85</v>
      </c>
      <c r="G353" s="12">
        <v>260</v>
      </c>
      <c r="H353" s="11">
        <f>LOOKUP(G353,{0,175,180,185,190,195,200,204,208,212,216,220,224,228,232,236,240,248,255,260,265},{0,10,20,30,40,50,60,62,64,66,68,70,72,74,76,78,80,85,90,95,100})</f>
        <v>95</v>
      </c>
      <c r="I353" s="12">
        <v>17</v>
      </c>
      <c r="J353" s="11">
        <f>LOOKUP(I353,{0,3,4,5,6,7,8,9,10,11,12,13,14,15,16,17},{0,10,20,30,40,50,60,64,68,72,76,80,85,90,95,100})</f>
        <v>100</v>
      </c>
      <c r="K353" s="12">
        <f>I353-17</f>
        <v>0</v>
      </c>
      <c r="L353" s="11">
        <f>LOOKUP(K353,{0,1,2,3,4,5,6,7,8,9,10},{0,1,2,3,4,5,6,7,8,9,10})</f>
        <v>0</v>
      </c>
      <c r="M353" s="12">
        <f t="shared" si="203"/>
        <v>100</v>
      </c>
      <c r="N353" s="12">
        <v>6.8</v>
      </c>
      <c r="O353" s="12">
        <f t="shared" si="204"/>
        <v>5.2</v>
      </c>
      <c r="P353" s="11">
        <f>LOOKUP(O353,{0,1.6,1.8,2,2.2,2.4,2.6,2.8,3,3.2,3.4,3.6,3.8,4,4.2,4.4,4.6,4.7,4.8,4.9,5},{0,10,20,30,40,50,60,62,64,66,68,70,72,74,76,78,80,85,90,95,100})</f>
        <v>100</v>
      </c>
      <c r="Q353" s="12"/>
      <c r="R353" s="12"/>
      <c r="S353" s="11"/>
      <c r="T353" s="12"/>
      <c r="U353" s="11"/>
      <c r="V353" s="12"/>
      <c r="W353" s="12"/>
      <c r="X353" s="20">
        <f t="shared" si="207"/>
        <v>48</v>
      </c>
      <c r="Y353" s="20">
        <f t="shared" si="208"/>
        <v>68.5714285714286</v>
      </c>
    </row>
    <row r="354" ht="15.6" hidden="1" outlineLevel="2" spans="1:25">
      <c r="A354" s="12">
        <v>211</v>
      </c>
      <c r="B354" s="12">
        <v>11</v>
      </c>
      <c r="C354" s="6" t="s">
        <v>560</v>
      </c>
      <c r="D354" s="6" t="s">
        <v>11</v>
      </c>
      <c r="E354" s="12">
        <v>22.7</v>
      </c>
      <c r="F354" s="11">
        <f>LOOKUP(E354,{0,-2.9,-1.9,-0.9,0.1,1.1,2.1,3.5,4.9,6.3,7.7,9.1,10.5,11.9,13.3,14.7,16.1,18.3,20.5,22.4,24.3},{0,10,20,30,40,50,60,62,64,66,68,70,72,74,76,78,80,85,90,95,100})</f>
        <v>95</v>
      </c>
      <c r="G354" s="12"/>
      <c r="H354" s="11"/>
      <c r="I354" s="12">
        <v>7</v>
      </c>
      <c r="J354" s="11">
        <f>LOOKUP(I354,{0,3,4,5,6,7,8,9,10,11,12,13,14,15,16,17},{0,10,20,30,40,50,60,64,68,72,76,80,85,90,95,100})</f>
        <v>50</v>
      </c>
      <c r="K354" s="12"/>
      <c r="L354" s="12"/>
      <c r="M354" s="12">
        <f t="shared" si="203"/>
        <v>50</v>
      </c>
      <c r="N354" s="12"/>
      <c r="O354" s="12"/>
      <c r="P354" s="11"/>
      <c r="Q354" s="12"/>
      <c r="R354" s="12"/>
      <c r="S354" s="11"/>
      <c r="T354" s="12"/>
      <c r="U354" s="11"/>
      <c r="V354" s="12"/>
      <c r="W354" s="12" t="s">
        <v>561</v>
      </c>
      <c r="X354" s="20">
        <f t="shared" si="207"/>
        <v>14.5</v>
      </c>
      <c r="Y354" s="20">
        <v>50</v>
      </c>
    </row>
    <row r="355" ht="15.6" hidden="1" outlineLevel="2" spans="1:25">
      <c r="A355" s="12">
        <v>211</v>
      </c>
      <c r="B355" s="12">
        <v>12</v>
      </c>
      <c r="C355" s="13" t="s">
        <v>563</v>
      </c>
      <c r="D355" s="6" t="s">
        <v>11</v>
      </c>
      <c r="E355" s="12"/>
      <c r="F355" s="11"/>
      <c r="G355" s="12"/>
      <c r="H355" s="11"/>
      <c r="I355" s="12"/>
      <c r="J355" s="11"/>
      <c r="K355" s="12"/>
      <c r="L355" s="12"/>
      <c r="M355" s="12"/>
      <c r="N355" s="12"/>
      <c r="O355" s="12"/>
      <c r="P355" s="11"/>
      <c r="Q355" s="12"/>
      <c r="R355" s="12"/>
      <c r="S355" s="11"/>
      <c r="T355" s="12"/>
      <c r="U355" s="11"/>
      <c r="V355" s="12"/>
      <c r="W355" s="12"/>
      <c r="X355" s="20">
        <f t="shared" si="207"/>
        <v>0</v>
      </c>
      <c r="Y355" s="23">
        <v>50</v>
      </c>
    </row>
    <row r="356" ht="15.6" hidden="1" outlineLevel="2" spans="1:25">
      <c r="A356" s="12">
        <v>211</v>
      </c>
      <c r="B356" s="12">
        <v>13</v>
      </c>
      <c r="C356" s="6" t="s">
        <v>564</v>
      </c>
      <c r="D356" s="6" t="s">
        <v>11</v>
      </c>
      <c r="E356" s="12">
        <v>4</v>
      </c>
      <c r="F356" s="11">
        <f>LOOKUP(E356,{0,-2.9,-1.9,-0.9,0.1,1.1,2.1,3.5,4.9,6.3,7.7,9.1,10.5,11.9,13.3,14.7,16.1,18.3,20.5,22.4,24.3},{0,10,20,30,40,50,60,62,64,66,68,70,72,74,76,78,80,85,90,95,100})</f>
        <v>62</v>
      </c>
      <c r="G356" s="12">
        <v>220</v>
      </c>
      <c r="H356" s="11">
        <f>LOOKUP(G356,{0,175,180,185,190,195,200,204,208,212,216,220,224,228,232,236,240,248,255,260,265},{0,10,20,30,40,50,60,62,64,66,68,70,72,74,76,78,80,85,90,95,100})</f>
        <v>70</v>
      </c>
      <c r="I356" s="12">
        <v>10</v>
      </c>
      <c r="J356" s="11">
        <f>LOOKUP(I356,{0,3,4,5,6,7,8,9,10,11,12,13,14,15,16,17},{0,10,20,30,40,50,60,64,68,72,76,80,85,90,95,100})</f>
        <v>68</v>
      </c>
      <c r="K356" s="12"/>
      <c r="L356" s="12"/>
      <c r="M356" s="12">
        <f t="shared" ref="M356:M365" si="210">J356+L356</f>
        <v>68</v>
      </c>
      <c r="N356" s="12">
        <v>7.7</v>
      </c>
      <c r="O356" s="12">
        <f t="shared" ref="O356:O365" si="211">12-N356</f>
        <v>4.3</v>
      </c>
      <c r="P356" s="11">
        <f>LOOKUP(O356,{0,1.6,1.8,2,2.2,2.4,2.6,2.8,3,3.2,3.4,3.6,3.8,4,4.2,4.4,4.6,4.7,4.8,4.9,5},{0,10,20,30,40,50,60,62,64,66,68,70,72,74,76,78,80,85,90,95,100})</f>
        <v>76</v>
      </c>
      <c r="Q356" s="12">
        <v>3.54</v>
      </c>
      <c r="R356" s="12">
        <f t="shared" ref="R356:R365" si="212">10-Q356</f>
        <v>6.46</v>
      </c>
      <c r="S356" s="11">
        <f>LOOKUP(R356,{0,3.8,4,4.6,4.8,5,5.6,5.65,5.7,5.75,5.8,5.85,5.9,5.95,6,6.45,6.5,6.58,6.65,6.7,6.75},{0,10,20,30,40,50,60,62,64,66,68,70,72,74,76,78,80,85,90,95,100})</f>
        <v>78</v>
      </c>
      <c r="T356" s="12"/>
      <c r="U356" s="12"/>
      <c r="V356" s="12">
        <f t="shared" ref="V356:V365" si="213">S356+U356</f>
        <v>78</v>
      </c>
      <c r="W356" s="12"/>
      <c r="X356" s="20">
        <f t="shared" si="207"/>
        <v>50.8</v>
      </c>
      <c r="Y356" s="20">
        <f t="shared" ref="Y356:Y365" si="214">X356/0.7+L356+U356</f>
        <v>72.5714285714286</v>
      </c>
    </row>
    <row r="357" ht="15.6" hidden="1" outlineLevel="2" spans="1:25">
      <c r="A357" s="12">
        <v>211</v>
      </c>
      <c r="B357" s="12">
        <v>14</v>
      </c>
      <c r="C357" s="6" t="s">
        <v>565</v>
      </c>
      <c r="D357" s="6" t="s">
        <v>11</v>
      </c>
      <c r="E357" s="12">
        <v>19</v>
      </c>
      <c r="F357" s="11">
        <f>LOOKUP(E357,{0,-2.9,-1.9,-0.9,0.1,1.1,2.1,3.5,4.9,6.3,7.7,9.1,10.5,11.9,13.3,14.7,16.1,18.3,20.5,22.4,24.3},{0,10,20,30,40,50,60,62,64,66,68,70,72,74,76,78,80,85,90,95,100})</f>
        <v>85</v>
      </c>
      <c r="G357" s="12">
        <v>261</v>
      </c>
      <c r="H357" s="11">
        <f>LOOKUP(G357,{0,175,180,185,190,195,200,204,208,212,216,220,224,228,232,236,240,248,255,260,265},{0,10,20,30,40,50,60,62,64,66,68,70,72,74,76,78,80,85,90,95,100})</f>
        <v>95</v>
      </c>
      <c r="I357" s="12">
        <v>22</v>
      </c>
      <c r="J357" s="11">
        <f>LOOKUP(I357,{0,3,4,5,6,7,8,9,10,11,12,13,14,15,16,17},{0,10,20,30,40,50,60,64,68,72,76,80,85,90,95,100})</f>
        <v>100</v>
      </c>
      <c r="K357" s="12">
        <f t="shared" ref="K357:K361" si="215">I357-17</f>
        <v>5</v>
      </c>
      <c r="L357" s="11">
        <f>LOOKUP(K357,{0,1,2,3,4,5,6,7,8,9,10},{0,1,2,3,4,5,6,7,8,9,10})</f>
        <v>5</v>
      </c>
      <c r="M357" s="12">
        <f t="shared" si="210"/>
        <v>105</v>
      </c>
      <c r="N357" s="12">
        <v>7.1</v>
      </c>
      <c r="O357" s="12">
        <f t="shared" si="211"/>
        <v>4.9</v>
      </c>
      <c r="P357" s="11">
        <f>LOOKUP(O357,{0,1.6,1.8,2,2.2,2.4,2.6,2.8,3,3.2,3.4,3.6,3.8,4,4.2,4.4,4.6,4.7,4.8,4.9,5},{0,10,20,30,40,50,60,62,64,66,68,70,72,74,76,78,80,85,90,95,100})</f>
        <v>95</v>
      </c>
      <c r="Q357" s="12">
        <v>3.49</v>
      </c>
      <c r="R357" s="12">
        <f t="shared" si="212"/>
        <v>6.51</v>
      </c>
      <c r="S357" s="11">
        <f>LOOKUP(R357,{0,3.8,4,4.6,4.8,5,5.6,5.65,5.7,5.75,5.8,5.85,5.9,5.95,6,6.45,6.5,6.58,6.65,6.7,6.75},{0,10,20,30,40,50,60,62,64,66,68,70,72,74,76,78,80,85,90,95,100})</f>
        <v>80</v>
      </c>
      <c r="T357" s="12"/>
      <c r="U357" s="12"/>
      <c r="V357" s="12">
        <f t="shared" si="213"/>
        <v>80</v>
      </c>
      <c r="W357" s="12"/>
      <c r="X357" s="20">
        <f t="shared" si="207"/>
        <v>63</v>
      </c>
      <c r="Y357" s="20">
        <f t="shared" si="214"/>
        <v>95</v>
      </c>
    </row>
    <row r="358" ht="15.6" hidden="1" outlineLevel="2" spans="1:25">
      <c r="A358" s="12">
        <v>211</v>
      </c>
      <c r="B358" s="12">
        <v>15</v>
      </c>
      <c r="C358" s="6" t="s">
        <v>566</v>
      </c>
      <c r="D358" s="6" t="s">
        <v>11</v>
      </c>
      <c r="E358" s="12">
        <v>19</v>
      </c>
      <c r="F358" s="11">
        <f>LOOKUP(E358,{0,-2.9,-1.9,-0.9,0.1,1.1,2.1,3.5,4.9,6.3,7.7,9.1,10.5,11.9,13.3,14.7,16.1,18.3,20.5,22.4,24.3},{0,10,20,30,40,50,60,62,64,66,68,70,72,74,76,78,80,85,90,95,100})</f>
        <v>85</v>
      </c>
      <c r="G358" s="12">
        <v>236</v>
      </c>
      <c r="H358" s="11">
        <f>LOOKUP(G358,{0,175,180,185,190,195,200,204,208,212,216,220,224,228,232,236,240,248,255,260,265},{0,10,20,30,40,50,60,62,64,66,68,70,72,74,76,78,80,85,90,95,100})</f>
        <v>78</v>
      </c>
      <c r="I358" s="12">
        <v>8</v>
      </c>
      <c r="J358" s="11">
        <f>LOOKUP(I358,{0,3,4,5,6,7,8,9,10,11,12,13,14,15,16,17},{0,10,20,30,40,50,60,64,68,72,76,80,85,90,95,100})</f>
        <v>60</v>
      </c>
      <c r="K358" s="12"/>
      <c r="L358" s="12"/>
      <c r="M358" s="12">
        <f t="shared" si="210"/>
        <v>60</v>
      </c>
      <c r="N358" s="12">
        <v>7.2</v>
      </c>
      <c r="O358" s="12">
        <f t="shared" si="211"/>
        <v>4.8</v>
      </c>
      <c r="P358" s="11">
        <f>LOOKUP(O358,{0,1.6,1.8,2,2.2,2.4,2.6,2.8,3,3.2,3.4,3.6,3.8,4,4.2,4.4,4.6,4.7,4.8,4.9,5},{0,10,20,30,40,50,60,62,64,66,68,70,72,74,76,78,80,85,90,95,100})</f>
        <v>90</v>
      </c>
      <c r="Q358" s="12">
        <v>3.28</v>
      </c>
      <c r="R358" s="12">
        <f t="shared" si="212"/>
        <v>6.72</v>
      </c>
      <c r="S358" s="11">
        <f>LOOKUP(R358,{0,3.8,4,4.6,4.8,5,5.6,5.65,5.7,5.75,5.8,5.85,5.9,5.95,6,6.45,6.5,6.58,6.65,6.7,6.75},{0,10,20,30,40,50,60,62,64,66,68,70,72,74,76,78,80,85,90,95,100})</f>
        <v>95</v>
      </c>
      <c r="T358" s="12"/>
      <c r="U358" s="12"/>
      <c r="V358" s="12">
        <f t="shared" si="213"/>
        <v>95</v>
      </c>
      <c r="W358" s="12"/>
      <c r="X358" s="20">
        <f t="shared" si="207"/>
        <v>59.3</v>
      </c>
      <c r="Y358" s="20">
        <f t="shared" si="214"/>
        <v>84.7142857142857</v>
      </c>
    </row>
    <row r="359" ht="15.6" hidden="1" outlineLevel="2" spans="1:25">
      <c r="A359" s="12">
        <v>211</v>
      </c>
      <c r="B359" s="12">
        <v>16</v>
      </c>
      <c r="C359" s="6" t="s">
        <v>567</v>
      </c>
      <c r="D359" s="6" t="s">
        <v>11</v>
      </c>
      <c r="E359" s="12">
        <v>19</v>
      </c>
      <c r="F359" s="11">
        <f>LOOKUP(E359,{0,-2.9,-1.9,-0.9,0.1,1.1,2.1,3.5,4.9,6.3,7.7,9.1,10.5,11.9,13.3,14.7,16.1,18.3,20.5,22.4,24.3},{0,10,20,30,40,50,60,62,64,66,68,70,72,74,76,78,80,85,90,95,100})</f>
        <v>85</v>
      </c>
      <c r="G359" s="12">
        <v>218</v>
      </c>
      <c r="H359" s="11">
        <f>LOOKUP(G359,{0,175,180,185,190,195,200,204,208,212,216,220,224,228,232,236,240,248,255,260,265},{0,10,20,30,40,50,60,62,64,66,68,70,72,74,76,78,80,85,90,95,100})</f>
        <v>68</v>
      </c>
      <c r="I359" s="12">
        <v>0</v>
      </c>
      <c r="J359" s="11">
        <f>LOOKUP(I359,{0,3,4,5,6,7,8,9,10,11,12,13,14,15,16,17},{0,10,20,30,40,50,60,64,68,72,76,80,85,90,95,100})</f>
        <v>0</v>
      </c>
      <c r="K359" s="12"/>
      <c r="L359" s="12"/>
      <c r="M359" s="12">
        <f t="shared" si="210"/>
        <v>0</v>
      </c>
      <c r="N359" s="12">
        <v>8.2</v>
      </c>
      <c r="O359" s="12">
        <f t="shared" si="211"/>
        <v>3.8</v>
      </c>
      <c r="P359" s="11">
        <f>LOOKUP(O359,{0,1.6,1.8,2,2.2,2.4,2.6,2.8,3,3.2,3.4,3.6,3.8,4,4.2,4.4,4.6,4.7,4.8,4.9,5},{0,10,20,30,40,50,60,62,64,66,68,70,72,74,76,78,80,85,90,95,100})</f>
        <v>72</v>
      </c>
      <c r="Q359" s="12">
        <v>4.34</v>
      </c>
      <c r="R359" s="12">
        <f t="shared" si="212"/>
        <v>5.66</v>
      </c>
      <c r="S359" s="11">
        <f>LOOKUP(R359,{0,3.8,4,4.6,4.8,5,5.6,5.65,5.7,5.75,5.8,5.85,5.9,5.95,6,6.45,6.5,6.58,6.65,6.7,6.75},{0,10,20,30,40,50,60,62,64,66,68,70,72,74,76,78,80,85,90,95,100})</f>
        <v>62</v>
      </c>
      <c r="T359" s="12"/>
      <c r="U359" s="12"/>
      <c r="V359" s="12">
        <f t="shared" si="213"/>
        <v>62</v>
      </c>
      <c r="W359" s="12"/>
      <c r="X359" s="20">
        <f t="shared" si="207"/>
        <v>42.1</v>
      </c>
      <c r="Y359" s="20">
        <f t="shared" si="214"/>
        <v>60.1428571428571</v>
      </c>
    </row>
    <row r="360" ht="15.6" hidden="1" outlineLevel="2" spans="1:25">
      <c r="A360" s="12">
        <v>211</v>
      </c>
      <c r="B360" s="12">
        <v>17</v>
      </c>
      <c r="C360" s="6" t="s">
        <v>568</v>
      </c>
      <c r="D360" s="6" t="s">
        <v>11</v>
      </c>
      <c r="E360" s="12">
        <v>26</v>
      </c>
      <c r="F360" s="11">
        <f>LOOKUP(E360,{0,-2.9,-1.9,-0.9,0.1,1.1,2.1,3.5,4.9,6.3,7.7,9.1,10.5,11.9,13.3,14.7,16.1,18.3,20.5,22.4,24.3},{0,10,20,30,40,50,60,62,64,66,68,70,72,74,76,78,80,85,90,95,100})</f>
        <v>100</v>
      </c>
      <c r="G360" s="12">
        <v>245</v>
      </c>
      <c r="H360" s="11">
        <f>LOOKUP(G360,{0,175,180,185,190,195,200,204,208,212,216,220,224,228,232,236,240,248,255,260,265},{0,10,20,30,40,50,60,62,64,66,68,70,72,74,76,78,80,85,90,95,100})</f>
        <v>80</v>
      </c>
      <c r="I360" s="12">
        <v>27</v>
      </c>
      <c r="J360" s="11">
        <f>LOOKUP(I360,{0,3,4,5,6,7,8,9,10,11,12,13,14,15,16,17},{0,10,20,30,40,50,60,64,68,72,76,80,85,90,95,100})</f>
        <v>100</v>
      </c>
      <c r="K360" s="12">
        <f t="shared" si="215"/>
        <v>10</v>
      </c>
      <c r="L360" s="11">
        <f>LOOKUP(K360,{0,1,2,3,4,5,6,7,8,9,10},{0,1,2,3,4,5,6,7,8,9,10})</f>
        <v>10</v>
      </c>
      <c r="M360" s="12">
        <f t="shared" si="210"/>
        <v>110</v>
      </c>
      <c r="N360" s="12">
        <v>7.1</v>
      </c>
      <c r="O360" s="12">
        <f t="shared" si="211"/>
        <v>4.9</v>
      </c>
      <c r="P360" s="11">
        <f>LOOKUP(O360,{0,1.6,1.8,2,2.2,2.4,2.6,2.8,3,3.2,3.4,3.6,3.8,4,4.2,4.4,4.6,4.7,4.8,4.9,5},{0,10,20,30,40,50,60,62,64,66,68,70,72,74,76,78,80,85,90,95,100})</f>
        <v>95</v>
      </c>
      <c r="Q360" s="12">
        <v>3.15</v>
      </c>
      <c r="R360" s="12">
        <f t="shared" si="212"/>
        <v>6.85</v>
      </c>
      <c r="S360" s="11">
        <f>LOOKUP(R360,{0,3.8,4,4.6,4.8,5,5.6,5.65,5.7,5.75,5.8,5.85,5.9,5.95,6,6.45,6.5,6.58,6.65,6.7,6.75},{0,10,20,30,40,50,60,62,64,66,68,70,72,74,76,78,80,85,90,95,100})</f>
        <v>100</v>
      </c>
      <c r="T360" s="12">
        <f>3.25-Q360</f>
        <v>0.1</v>
      </c>
      <c r="U360" s="11">
        <f>LOOKUP(T360,{0,0.04,0.08,0.12,0.16,0.2,0.23,0.26,0.29,0.32,0.35},{0,1,2,3,4,5,6,7,8,9,10})</f>
        <v>2</v>
      </c>
      <c r="V360" s="12">
        <f t="shared" si="213"/>
        <v>102</v>
      </c>
      <c r="W360" s="12"/>
      <c r="X360" s="20">
        <f t="shared" si="207"/>
        <v>67</v>
      </c>
      <c r="Y360" s="20">
        <f t="shared" si="214"/>
        <v>107.714285714286</v>
      </c>
    </row>
    <row r="361" ht="15.6" hidden="1" outlineLevel="2" spans="1:25">
      <c r="A361" s="12">
        <v>211</v>
      </c>
      <c r="B361" s="12">
        <v>18</v>
      </c>
      <c r="C361" s="6" t="s">
        <v>569</v>
      </c>
      <c r="D361" s="6" t="s">
        <v>11</v>
      </c>
      <c r="E361" s="12">
        <v>4</v>
      </c>
      <c r="F361" s="11">
        <f>LOOKUP(E361,{0,-2.9,-1.9,-0.9,0.1,1.1,2.1,3.5,4.9,6.3,7.7,9.1,10.5,11.9,13.3,14.7,16.1,18.3,20.5,22.4,24.3},{0,10,20,30,40,50,60,62,64,66,68,70,72,74,76,78,80,85,90,95,100})</f>
        <v>62</v>
      </c>
      <c r="G361" s="12">
        <v>248</v>
      </c>
      <c r="H361" s="11">
        <f>LOOKUP(G361,{0,175,180,185,190,195,200,204,208,212,216,220,224,228,232,236,240,248,255,260,265},{0,10,20,30,40,50,60,62,64,66,68,70,72,74,76,78,80,85,90,95,100})</f>
        <v>85</v>
      </c>
      <c r="I361" s="12">
        <v>27</v>
      </c>
      <c r="J361" s="11">
        <f>LOOKUP(I361,{0,3,4,5,6,7,8,9,10,11,12,13,14,15,16,17},{0,10,20,30,40,50,60,64,68,72,76,80,85,90,95,100})</f>
        <v>100</v>
      </c>
      <c r="K361" s="12">
        <f t="shared" si="215"/>
        <v>10</v>
      </c>
      <c r="L361" s="11">
        <f>LOOKUP(K361,{0,1,2,3,4,5,6,7,8,9,10},{0,1,2,3,4,5,6,7,8,9,10})</f>
        <v>10</v>
      </c>
      <c r="M361" s="12">
        <f t="shared" si="210"/>
        <v>110</v>
      </c>
      <c r="N361" s="12">
        <v>7.1</v>
      </c>
      <c r="O361" s="12">
        <f t="shared" si="211"/>
        <v>4.9</v>
      </c>
      <c r="P361" s="11">
        <f>LOOKUP(O361,{0,1.6,1.8,2,2.2,2.4,2.6,2.8,3,3.2,3.4,3.6,3.8,4,4.2,4.4,4.6,4.7,4.8,4.9,5},{0,10,20,30,40,50,60,62,64,66,68,70,72,74,76,78,80,85,90,95,100})</f>
        <v>95</v>
      </c>
      <c r="Q361" s="12">
        <v>3.4</v>
      </c>
      <c r="R361" s="12">
        <f t="shared" si="212"/>
        <v>6.6</v>
      </c>
      <c r="S361" s="11">
        <f>LOOKUP(R361,{0,3.8,4,4.6,4.8,5,5.6,5.65,5.7,5.75,5.8,5.85,5.9,5.95,6,6.45,6.5,6.58,6.65,6.7,6.75},{0,10,20,30,40,50,60,62,64,66,68,70,72,74,76,78,80,85,90,95,100})</f>
        <v>85</v>
      </c>
      <c r="T361" s="12"/>
      <c r="U361" s="12"/>
      <c r="V361" s="12">
        <f t="shared" si="213"/>
        <v>85</v>
      </c>
      <c r="W361" s="12"/>
      <c r="X361" s="20">
        <f t="shared" si="207"/>
        <v>60.7</v>
      </c>
      <c r="Y361" s="20">
        <f t="shared" si="214"/>
        <v>96.7142857142857</v>
      </c>
    </row>
    <row r="362" ht="15.6" hidden="1" outlineLevel="2" spans="1:25">
      <c r="A362" s="12">
        <v>211</v>
      </c>
      <c r="B362" s="12">
        <v>19</v>
      </c>
      <c r="C362" s="6" t="s">
        <v>570</v>
      </c>
      <c r="D362" s="6" t="s">
        <v>11</v>
      </c>
      <c r="E362" s="12">
        <v>19.2</v>
      </c>
      <c r="F362" s="11">
        <f>LOOKUP(E362,{0,-2.9,-1.9,-0.9,0.1,1.1,2.1,3.5,4.9,6.3,7.7,9.1,10.5,11.9,13.3,14.7,16.1,18.3,20.5,22.4,24.3},{0,10,20,30,40,50,60,62,64,66,68,70,72,74,76,78,80,85,90,95,100})</f>
        <v>85</v>
      </c>
      <c r="G362" s="12">
        <v>252</v>
      </c>
      <c r="H362" s="11">
        <f>LOOKUP(G362,{0,175,180,185,190,195,200,204,208,212,216,220,224,228,232,236,240,248,255,260,265},{0,10,20,30,40,50,60,62,64,66,68,70,72,74,76,78,80,85,90,95,100})</f>
        <v>85</v>
      </c>
      <c r="I362" s="12">
        <v>1</v>
      </c>
      <c r="J362" s="11">
        <f>LOOKUP(I362,{0,3,4,5,6,7,8,9,10,11,12,13,14,15,16,17},{0,10,20,30,40,50,60,64,68,72,76,80,85,90,95,100})</f>
        <v>0</v>
      </c>
      <c r="K362" s="12"/>
      <c r="L362" s="12"/>
      <c r="M362" s="12">
        <f t="shared" si="210"/>
        <v>0</v>
      </c>
      <c r="N362" s="12">
        <v>7.8</v>
      </c>
      <c r="O362" s="12">
        <f t="shared" si="211"/>
        <v>4.2</v>
      </c>
      <c r="P362" s="11">
        <f>LOOKUP(O362,{0,1.6,1.8,2,2.2,2.4,2.6,2.8,3,3.2,3.4,3.6,3.8,4,4.2,4.4,4.6,4.7,4.8,4.9,5},{0,10,20,30,40,50,60,62,64,66,68,70,72,74,76,78,80,85,90,95,100})</f>
        <v>76</v>
      </c>
      <c r="Q362" s="12">
        <v>3.56</v>
      </c>
      <c r="R362" s="12">
        <f t="shared" si="212"/>
        <v>6.44</v>
      </c>
      <c r="S362" s="11">
        <f>LOOKUP(R362,{0,3.8,4,4.6,4.8,5,5.6,5.65,5.7,5.75,5.8,5.85,5.9,5.95,6,6.45,6.5,6.58,6.65,6.7,6.75},{0,10,20,30,40,50,60,62,64,66,68,70,72,74,76,78,80,85,90,95,100})</f>
        <v>76</v>
      </c>
      <c r="T362" s="12"/>
      <c r="U362" s="12"/>
      <c r="V362" s="12">
        <f t="shared" si="213"/>
        <v>76</v>
      </c>
      <c r="W362" s="12"/>
      <c r="X362" s="20">
        <f t="shared" si="207"/>
        <v>47.4</v>
      </c>
      <c r="Y362" s="20">
        <f t="shared" si="214"/>
        <v>67.7142857142857</v>
      </c>
    </row>
    <row r="363" ht="15.6" hidden="1" outlineLevel="2" spans="1:25">
      <c r="A363" s="12">
        <v>211</v>
      </c>
      <c r="B363" s="12">
        <v>20</v>
      </c>
      <c r="C363" s="6" t="s">
        <v>571</v>
      </c>
      <c r="D363" s="6" t="s">
        <v>11</v>
      </c>
      <c r="E363" s="12">
        <v>23</v>
      </c>
      <c r="F363" s="11">
        <f>LOOKUP(E363,{0,-2.9,-1.9,-0.9,0.1,1.1,2.1,3.5,4.9,6.3,7.7,9.1,10.5,11.9,13.3,14.7,16.1,18.3,20.5,22.4,24.3},{0,10,20,30,40,50,60,62,64,66,68,70,72,74,76,78,80,85,90,95,100})</f>
        <v>95</v>
      </c>
      <c r="G363" s="12">
        <v>265</v>
      </c>
      <c r="H363" s="11">
        <f>LOOKUP(G363,{0,175,180,185,190,195,200,204,208,212,216,220,224,228,232,236,240,248,255,260,265},{0,10,20,30,40,50,60,62,64,66,68,70,72,74,76,78,80,85,90,95,100})</f>
        <v>100</v>
      </c>
      <c r="I363" s="12">
        <v>9</v>
      </c>
      <c r="J363" s="11">
        <f>LOOKUP(I363,{0,3,4,5,6,7,8,9,10,11,12,13,14,15,16,17},{0,10,20,30,40,50,60,64,68,72,76,80,85,90,95,100})</f>
        <v>64</v>
      </c>
      <c r="K363" s="12"/>
      <c r="L363" s="12"/>
      <c r="M363" s="12">
        <f t="shared" si="210"/>
        <v>64</v>
      </c>
      <c r="N363" s="12">
        <v>7.1</v>
      </c>
      <c r="O363" s="12">
        <f t="shared" si="211"/>
        <v>4.9</v>
      </c>
      <c r="P363" s="11">
        <f>LOOKUP(O363,{0,1.6,1.8,2,2.2,2.4,2.6,2.8,3,3.2,3.4,3.6,3.8,4,4.2,4.4,4.6,4.7,4.8,4.9,5},{0,10,20,30,40,50,60,62,64,66,68,70,72,74,76,78,80,85,90,95,100})</f>
        <v>95</v>
      </c>
      <c r="Q363" s="12">
        <v>3.28</v>
      </c>
      <c r="R363" s="12">
        <f t="shared" si="212"/>
        <v>6.72</v>
      </c>
      <c r="S363" s="11">
        <f>LOOKUP(R363,{0,3.8,4,4.6,4.8,5,5.6,5.65,5.7,5.75,5.8,5.85,5.9,5.95,6,6.45,6.5,6.58,6.65,6.7,6.75},{0,10,20,30,40,50,60,62,64,66,68,70,72,74,76,78,80,85,90,95,100})</f>
        <v>95</v>
      </c>
      <c r="T363" s="12"/>
      <c r="U363" s="12"/>
      <c r="V363" s="12">
        <f t="shared" si="213"/>
        <v>95</v>
      </c>
      <c r="W363" s="12"/>
      <c r="X363" s="20">
        <f t="shared" si="207"/>
        <v>63.9</v>
      </c>
      <c r="Y363" s="20">
        <f t="shared" si="214"/>
        <v>91.2857142857143</v>
      </c>
    </row>
    <row r="364" ht="15.6" hidden="1" outlineLevel="2" spans="1:25">
      <c r="A364" s="12">
        <v>211</v>
      </c>
      <c r="B364" s="12">
        <v>21</v>
      </c>
      <c r="C364" s="6" t="s">
        <v>572</v>
      </c>
      <c r="D364" s="6" t="s">
        <v>11</v>
      </c>
      <c r="E364" s="12">
        <v>21</v>
      </c>
      <c r="F364" s="11">
        <f>LOOKUP(E364,{0,-2.9,-1.9,-0.9,0.1,1.1,2.1,3.5,4.9,6.3,7.7,9.1,10.5,11.9,13.3,14.7,16.1,18.3,20.5,22.4,24.3},{0,10,20,30,40,50,60,62,64,66,68,70,72,74,76,78,80,85,90,95,100})</f>
        <v>90</v>
      </c>
      <c r="G364" s="12">
        <v>238</v>
      </c>
      <c r="H364" s="11">
        <f>LOOKUP(G364,{0,175,180,185,190,195,200,204,208,212,216,220,224,228,232,236,240,248,255,260,265},{0,10,20,30,40,50,60,62,64,66,68,70,72,74,76,78,80,85,90,95,100})</f>
        <v>78</v>
      </c>
      <c r="I364" s="12">
        <v>21</v>
      </c>
      <c r="J364" s="11">
        <f>LOOKUP(I364,{0,3,4,5,6,7,8,9,10,11,12,13,14,15,16,17},{0,10,20,30,40,50,60,64,68,72,76,80,85,90,95,100})</f>
        <v>100</v>
      </c>
      <c r="K364" s="12">
        <f t="shared" ref="K364:K367" si="216">I364-17</f>
        <v>4</v>
      </c>
      <c r="L364" s="11">
        <f>LOOKUP(K364,{0,1,2,3,4,5,6,7,8,9,10},{0,1,2,3,4,5,6,7,8,9,10})</f>
        <v>4</v>
      </c>
      <c r="M364" s="12">
        <f t="shared" si="210"/>
        <v>104</v>
      </c>
      <c r="N364" s="12">
        <v>7.1</v>
      </c>
      <c r="O364" s="12">
        <f t="shared" si="211"/>
        <v>4.9</v>
      </c>
      <c r="P364" s="11">
        <f>LOOKUP(O364,{0,1.6,1.8,2,2.2,2.4,2.6,2.8,3,3.2,3.4,3.6,3.8,4,4.2,4.4,4.6,4.7,4.8,4.9,5},{0,10,20,30,40,50,60,62,64,66,68,70,72,74,76,78,80,85,90,95,100})</f>
        <v>95</v>
      </c>
      <c r="Q364" s="12">
        <v>3.45</v>
      </c>
      <c r="R364" s="12">
        <f t="shared" si="212"/>
        <v>6.55</v>
      </c>
      <c r="S364" s="11">
        <f>LOOKUP(R364,{0,3.8,4,4.6,4.8,5,5.6,5.65,5.7,5.75,5.8,5.85,5.9,5.95,6,6.45,6.5,6.58,6.65,6.7,6.75},{0,10,20,30,40,50,60,62,64,66,68,70,72,74,76,78,80,85,90,95,100})</f>
        <v>80</v>
      </c>
      <c r="T364" s="12"/>
      <c r="U364" s="12"/>
      <c r="V364" s="12">
        <f t="shared" si="213"/>
        <v>80</v>
      </c>
      <c r="W364" s="12"/>
      <c r="X364" s="20">
        <f t="shared" si="207"/>
        <v>61.8</v>
      </c>
      <c r="Y364" s="20">
        <f t="shared" si="214"/>
        <v>92.2857142857143</v>
      </c>
    </row>
    <row r="365" ht="15.6" hidden="1" outlineLevel="2" spans="1:25">
      <c r="A365" s="12">
        <v>211</v>
      </c>
      <c r="B365" s="12">
        <v>22</v>
      </c>
      <c r="C365" s="6" t="s">
        <v>573</v>
      </c>
      <c r="D365" s="6" t="s">
        <v>11</v>
      </c>
      <c r="E365" s="12">
        <v>20</v>
      </c>
      <c r="F365" s="11">
        <f>LOOKUP(E365,{0,-2.9,-1.9,-0.9,0.1,1.1,2.1,3.5,4.9,6.3,7.7,9.1,10.5,11.9,13.3,14.7,16.1,18.3,20.5,22.4,24.3},{0,10,20,30,40,50,60,62,64,66,68,70,72,74,76,78,80,85,90,95,100})</f>
        <v>85</v>
      </c>
      <c r="G365" s="12">
        <v>271</v>
      </c>
      <c r="H365" s="11">
        <f>LOOKUP(G365,{0,175,180,185,190,195,200,204,208,212,216,220,224,228,232,236,240,248,255,260,265},{0,10,20,30,40,50,60,62,64,66,68,70,72,74,76,78,80,85,90,95,100})</f>
        <v>100</v>
      </c>
      <c r="I365" s="12">
        <v>18</v>
      </c>
      <c r="J365" s="11">
        <f>LOOKUP(I365,{0,3,4,5,6,7,8,9,10,11,12,13,14,15,16,17},{0,10,20,30,40,50,60,64,68,72,76,80,85,90,95,100})</f>
        <v>100</v>
      </c>
      <c r="K365" s="12">
        <f t="shared" si="216"/>
        <v>1</v>
      </c>
      <c r="L365" s="11">
        <f>LOOKUP(K365,{0,1,2,3,4,5,6,7,8,9,10},{0,1,2,3,4,5,6,7,8,9,10})</f>
        <v>1</v>
      </c>
      <c r="M365" s="12">
        <f t="shared" si="210"/>
        <v>101</v>
      </c>
      <c r="N365" s="12">
        <v>6.8</v>
      </c>
      <c r="O365" s="12">
        <f t="shared" si="211"/>
        <v>5.2</v>
      </c>
      <c r="P365" s="11">
        <f>LOOKUP(O365,{0,1.6,1.8,2,2.2,2.4,2.6,2.8,3,3.2,3.4,3.6,3.8,4,4.2,4.4,4.6,4.7,4.8,4.9,5},{0,10,20,30,40,50,60,62,64,66,68,70,72,74,76,78,80,85,90,95,100})</f>
        <v>100</v>
      </c>
      <c r="Q365" s="12">
        <v>3.27</v>
      </c>
      <c r="R365" s="12">
        <f t="shared" si="212"/>
        <v>6.73</v>
      </c>
      <c r="S365" s="11">
        <f>LOOKUP(R365,{0,3.8,4,4.6,4.8,5,5.6,5.65,5.7,5.75,5.8,5.85,5.9,5.95,6,6.45,6.5,6.58,6.65,6.7,6.75},{0,10,20,30,40,50,60,62,64,66,68,70,72,74,76,78,80,85,90,95,100})</f>
        <v>95</v>
      </c>
      <c r="T365" s="12"/>
      <c r="U365" s="12"/>
      <c r="V365" s="12">
        <f t="shared" si="213"/>
        <v>95</v>
      </c>
      <c r="W365" s="12"/>
      <c r="X365" s="20">
        <f t="shared" si="207"/>
        <v>67.5</v>
      </c>
      <c r="Y365" s="20">
        <f t="shared" si="214"/>
        <v>97.4285714285714</v>
      </c>
    </row>
    <row r="366" ht="15.6" hidden="1" outlineLevel="2" spans="1:25">
      <c r="A366" s="12">
        <v>211</v>
      </c>
      <c r="B366" s="12">
        <v>23</v>
      </c>
      <c r="C366" s="13" t="s">
        <v>575</v>
      </c>
      <c r="D366" s="6" t="s">
        <v>11</v>
      </c>
      <c r="E366" s="12"/>
      <c r="F366" s="11"/>
      <c r="G366" s="12"/>
      <c r="H366" s="11"/>
      <c r="I366" s="12"/>
      <c r="J366" s="11"/>
      <c r="K366" s="12"/>
      <c r="L366" s="12"/>
      <c r="M366" s="12"/>
      <c r="N366" s="12"/>
      <c r="O366" s="12"/>
      <c r="P366" s="11"/>
      <c r="Q366" s="12"/>
      <c r="R366" s="12"/>
      <c r="S366" s="11"/>
      <c r="T366" s="12"/>
      <c r="U366" s="11"/>
      <c r="V366" s="12"/>
      <c r="W366" s="12" t="s">
        <v>14</v>
      </c>
      <c r="X366" s="20">
        <f t="shared" si="207"/>
        <v>0</v>
      </c>
      <c r="Y366" s="20">
        <v>50</v>
      </c>
    </row>
    <row r="367" ht="15.6" hidden="1" outlineLevel="2" spans="1:25">
      <c r="A367" s="12">
        <v>211</v>
      </c>
      <c r="B367" s="12">
        <v>24</v>
      </c>
      <c r="C367" s="6" t="s">
        <v>576</v>
      </c>
      <c r="D367" s="6" t="s">
        <v>11</v>
      </c>
      <c r="E367" s="12">
        <v>15</v>
      </c>
      <c r="F367" s="11">
        <f>LOOKUP(E367,{0,-2.9,-1.9,-0.9,0.1,1.1,2.1,3.5,4.9,6.3,7.7,9.1,10.5,11.9,13.3,14.7,16.1,18.3,20.5,22.4,24.3},{0,10,20,30,40,50,60,62,64,66,68,70,72,74,76,78,80,85,90,95,100})</f>
        <v>78</v>
      </c>
      <c r="G367" s="12">
        <v>256</v>
      </c>
      <c r="H367" s="11">
        <f>LOOKUP(G367,{0,175,180,185,190,195,200,204,208,212,216,220,224,228,232,236,240,248,255,260,265},{0,10,20,30,40,50,60,62,64,66,68,70,72,74,76,78,80,85,90,95,100})</f>
        <v>90</v>
      </c>
      <c r="I367" s="12">
        <v>27</v>
      </c>
      <c r="J367" s="11">
        <f>LOOKUP(I367,{0,3,4,5,6,7,8,9,10,11,12,13,14,15,16,17},{0,10,20,30,40,50,60,64,68,72,76,80,85,90,95,100})</f>
        <v>100</v>
      </c>
      <c r="K367" s="12">
        <f t="shared" si="216"/>
        <v>10</v>
      </c>
      <c r="L367" s="11">
        <f>LOOKUP(K367,{0,1,2,3,4,5,6,7,8,9,10},{0,1,2,3,4,5,6,7,8,9,10})</f>
        <v>10</v>
      </c>
      <c r="M367" s="12">
        <f t="shared" ref="M367:M375" si="217">J367+L367</f>
        <v>110</v>
      </c>
      <c r="N367" s="12"/>
      <c r="O367" s="12"/>
      <c r="P367" s="11"/>
      <c r="Q367" s="12">
        <v>4.05</v>
      </c>
      <c r="R367" s="12">
        <f t="shared" ref="R367:R375" si="218">10-Q367</f>
        <v>5.95</v>
      </c>
      <c r="S367" s="11">
        <f>LOOKUP(R367,{0,3.8,4,4.6,4.8,5,5.6,5.65,5.7,5.75,5.8,5.85,5.9,5.95,6,6.45,6.5,6.58,6.65,6.7,6.75},{0,10,20,30,40,50,60,62,64,66,68,70,72,74,76,78,80,85,90,95,100})</f>
        <v>74</v>
      </c>
      <c r="T367" s="12"/>
      <c r="U367" s="12"/>
      <c r="V367" s="12">
        <f t="shared" ref="V367:V375" si="219">S367+U367</f>
        <v>74</v>
      </c>
      <c r="W367" s="12"/>
      <c r="X367" s="20">
        <f t="shared" si="207"/>
        <v>41.6</v>
      </c>
      <c r="Y367" s="20">
        <f t="shared" ref="Y367:Y375" si="220">X367/0.7+L367+U367</f>
        <v>69.4285714285714</v>
      </c>
    </row>
    <row r="368" ht="15.6" hidden="1" outlineLevel="2" spans="1:25">
      <c r="A368" s="12">
        <v>211</v>
      </c>
      <c r="B368" s="12">
        <v>25</v>
      </c>
      <c r="C368" s="6" t="s">
        <v>577</v>
      </c>
      <c r="D368" s="6" t="s">
        <v>11</v>
      </c>
      <c r="E368" s="12">
        <v>21.5</v>
      </c>
      <c r="F368" s="11">
        <f>LOOKUP(E368,{0,-2.9,-1.9,-0.9,0.1,1.1,2.1,3.5,4.9,6.3,7.7,9.1,10.5,11.9,13.3,14.7,16.1,18.3,20.5,22.4,24.3},{0,10,20,30,40,50,60,62,64,66,68,70,72,74,76,78,80,85,90,95,100})</f>
        <v>90</v>
      </c>
      <c r="G368" s="12">
        <v>253</v>
      </c>
      <c r="H368" s="11">
        <f>LOOKUP(G368,{0,175,180,185,190,195,200,204,208,212,216,220,224,228,232,236,240,248,255,260,265},{0,10,20,30,40,50,60,62,64,66,68,70,72,74,76,78,80,85,90,95,100})</f>
        <v>85</v>
      </c>
      <c r="I368" s="12">
        <v>10</v>
      </c>
      <c r="J368" s="11">
        <f>LOOKUP(I368,{0,3,4,5,6,7,8,9,10,11,12,13,14,15,16,17},{0,10,20,30,40,50,60,64,68,72,76,80,85,90,95,100})</f>
        <v>68</v>
      </c>
      <c r="K368" s="12"/>
      <c r="L368" s="12"/>
      <c r="M368" s="12">
        <f t="shared" si="217"/>
        <v>68</v>
      </c>
      <c r="N368" s="12">
        <v>7.3</v>
      </c>
      <c r="O368" s="12">
        <f t="shared" ref="O368:O375" si="221">12-N368</f>
        <v>4.7</v>
      </c>
      <c r="P368" s="11">
        <f>LOOKUP(O368,{0,1.6,1.8,2,2.2,2.4,2.6,2.8,3,3.2,3.4,3.6,3.8,4,4.2,4.4,4.6,4.7,4.8,4.9,5},{0,10,20,30,40,50,60,62,64,66,68,70,72,74,76,78,80,85,90,95,100})</f>
        <v>85</v>
      </c>
      <c r="Q368" s="12">
        <v>4.04</v>
      </c>
      <c r="R368" s="12">
        <f t="shared" si="218"/>
        <v>5.96</v>
      </c>
      <c r="S368" s="11">
        <f>LOOKUP(R368,{0,3.8,4,4.6,4.8,5,5.6,5.65,5.7,5.75,5.8,5.85,5.9,5.95,6,6.45,6.5,6.58,6.65,6.7,6.75},{0,10,20,30,40,50,60,62,64,66,68,70,72,74,76,78,80,85,90,95,100})</f>
        <v>74</v>
      </c>
      <c r="T368" s="12"/>
      <c r="U368" s="12"/>
      <c r="V368" s="12">
        <f t="shared" si="219"/>
        <v>74</v>
      </c>
      <c r="W368" s="12"/>
      <c r="X368" s="20">
        <f t="shared" si="207"/>
        <v>56.1</v>
      </c>
      <c r="Y368" s="20">
        <f t="shared" si="220"/>
        <v>80.1428571428571</v>
      </c>
    </row>
    <row r="369" ht="15.6" hidden="1" outlineLevel="2" spans="1:25">
      <c r="A369" s="12">
        <v>211</v>
      </c>
      <c r="B369" s="12">
        <v>26</v>
      </c>
      <c r="C369" s="6" t="s">
        <v>578</v>
      </c>
      <c r="D369" s="6" t="s">
        <v>11</v>
      </c>
      <c r="E369" s="12">
        <v>13.5</v>
      </c>
      <c r="F369" s="11">
        <f>LOOKUP(E369,{0,-2.9,-1.9,-0.9,0.1,1.1,2.1,3.5,4.9,6.3,7.7,9.1,10.5,11.9,13.3,14.7,16.1,18.3,20.5,22.4,24.3},{0,10,20,30,40,50,60,62,64,66,68,70,72,74,76,78,80,85,90,95,100})</f>
        <v>76</v>
      </c>
      <c r="G369" s="12">
        <v>181</v>
      </c>
      <c r="H369" s="11">
        <f>LOOKUP(G369,{0,175,180,185,190,195,200,204,208,212,216,220,224,228,232,236,240,248,255,260,265},{0,10,20,30,40,50,60,62,64,66,68,70,72,74,76,78,80,85,90,95,100})</f>
        <v>20</v>
      </c>
      <c r="I369" s="12">
        <v>0</v>
      </c>
      <c r="J369" s="11">
        <f>LOOKUP(I369,{0,3,4,5,6,7,8,9,10,11,12,13,14,15,16,17},{0,10,20,30,40,50,60,64,68,72,76,80,85,90,95,100})</f>
        <v>0</v>
      </c>
      <c r="K369" s="12"/>
      <c r="L369" s="12"/>
      <c r="M369" s="12">
        <f t="shared" si="217"/>
        <v>0</v>
      </c>
      <c r="N369" s="12">
        <v>8.2</v>
      </c>
      <c r="O369" s="12">
        <f t="shared" si="221"/>
        <v>3.8</v>
      </c>
      <c r="P369" s="11">
        <f>LOOKUP(O369,{0,1.6,1.8,2,2.2,2.4,2.6,2.8,3,3.2,3.4,3.6,3.8,4,4.2,4.4,4.6,4.7,4.8,4.9,5},{0,10,20,30,40,50,60,62,64,66,68,70,72,74,76,78,80,85,90,95,100})</f>
        <v>72</v>
      </c>
      <c r="Q369" s="12">
        <v>4.57</v>
      </c>
      <c r="R369" s="12">
        <f t="shared" si="218"/>
        <v>5.43</v>
      </c>
      <c r="S369" s="11">
        <f>LOOKUP(R369,{0,3.8,4,4.6,4.8,5,5.6,5.65,5.7,5.75,5.8,5.85,5.9,5.95,6,6.45,6.5,6.58,6.65,6.7,6.75},{0,10,20,30,40,50,60,62,64,66,68,70,72,74,76,78,80,85,90,95,100})</f>
        <v>50</v>
      </c>
      <c r="T369" s="12"/>
      <c r="U369" s="15"/>
      <c r="V369" s="12">
        <f t="shared" si="219"/>
        <v>50</v>
      </c>
      <c r="W369" s="12"/>
      <c r="X369" s="20">
        <f t="shared" si="207"/>
        <v>34</v>
      </c>
      <c r="Y369" s="20">
        <f t="shared" si="220"/>
        <v>48.5714285714286</v>
      </c>
    </row>
    <row r="370" s="1" customFormat="1" ht="15.6" hidden="1" outlineLevel="2" spans="1:25">
      <c r="A370" s="12">
        <v>211</v>
      </c>
      <c r="B370" s="12">
        <v>27</v>
      </c>
      <c r="C370" s="6" t="s">
        <v>579</v>
      </c>
      <c r="D370" s="6" t="s">
        <v>11</v>
      </c>
      <c r="E370" s="12">
        <v>5</v>
      </c>
      <c r="F370" s="11">
        <f>LOOKUP(E370,{0,-2.9,-1.9,-0.9,0.1,1.1,2.1,3.5,4.9,6.3,7.7,9.1,10.5,11.9,13.3,14.7,16.1,18.3,20.5,22.4,24.3},{0,10,20,30,40,50,60,62,64,66,68,70,72,74,76,78,80,85,90,95,100})</f>
        <v>64</v>
      </c>
      <c r="G370" s="12">
        <v>212</v>
      </c>
      <c r="H370" s="11">
        <f>LOOKUP(G370,{0,175,180,185,190,195,200,204,208,212,216,220,224,228,232,236,240,248,255,260,265},{0,10,20,30,40,50,60,62,64,66,68,70,72,74,76,78,80,85,90,95,100})</f>
        <v>66</v>
      </c>
      <c r="I370" s="12">
        <v>0</v>
      </c>
      <c r="J370" s="11">
        <f>LOOKUP(I370,{0,3,4,5,6,7,8,9,10,11,12,13,14,15,16,17},{0,10,20,30,40,50,60,64,68,72,76,80,85,90,95,100})</f>
        <v>0</v>
      </c>
      <c r="K370" s="12"/>
      <c r="L370" s="12"/>
      <c r="M370" s="12">
        <f t="shared" si="217"/>
        <v>0</v>
      </c>
      <c r="N370" s="12">
        <v>7.6</v>
      </c>
      <c r="O370" s="12">
        <f t="shared" si="221"/>
        <v>4.4</v>
      </c>
      <c r="P370" s="11">
        <f>LOOKUP(O370,{0,1.6,1.8,2,2.2,2.4,2.6,2.8,3,3.2,3.4,3.6,3.8,4,4.2,4.4,4.6,4.7,4.8,4.9,5},{0,10,20,30,40,50,60,62,64,66,68,70,72,74,76,78,80,85,90,95,100})</f>
        <v>78</v>
      </c>
      <c r="Q370" s="12">
        <v>4.03</v>
      </c>
      <c r="R370" s="12">
        <f t="shared" si="218"/>
        <v>5.97</v>
      </c>
      <c r="S370" s="11">
        <f>LOOKUP(R370,{0,3.8,4,4.6,4.8,5,5.6,5.65,5.7,5.75,5.8,5.85,5.9,5.95,6,6.45,6.5,6.58,6.65,6.7,6.75},{0,10,20,30,40,50,60,62,64,66,68,70,72,74,76,78,80,85,90,95,100})</f>
        <v>74</v>
      </c>
      <c r="T370" s="12"/>
      <c r="U370" s="15"/>
      <c r="V370" s="12">
        <f t="shared" si="219"/>
        <v>74</v>
      </c>
      <c r="W370" s="12"/>
      <c r="X370" s="20">
        <f t="shared" si="207"/>
        <v>43.4</v>
      </c>
      <c r="Y370" s="20">
        <f t="shared" si="220"/>
        <v>62</v>
      </c>
    </row>
    <row r="371" ht="15.6" hidden="1" outlineLevel="2" spans="1:25">
      <c r="A371" s="12">
        <v>211</v>
      </c>
      <c r="B371" s="12">
        <v>28</v>
      </c>
      <c r="C371" s="6" t="s">
        <v>580</v>
      </c>
      <c r="D371" s="6" t="s">
        <v>11</v>
      </c>
      <c r="E371" s="12">
        <v>26</v>
      </c>
      <c r="F371" s="11">
        <f>LOOKUP(E371,{0,-2.9,-1.9,-0.9,0.1,1.1,2.1,3.5,4.9,6.3,7.7,9.1,10.5,11.9,13.3,14.7,16.1,18.3,20.5,22.4,24.3},{0,10,20,30,40,50,60,62,64,66,68,70,72,74,76,78,80,85,90,95,100})</f>
        <v>100</v>
      </c>
      <c r="G371" s="12">
        <v>250</v>
      </c>
      <c r="H371" s="11">
        <f>LOOKUP(G371,{0,175,180,185,190,195,200,204,208,212,216,220,224,228,232,236,240,248,255,260,265},{0,10,20,30,40,50,60,62,64,66,68,70,72,74,76,78,80,85,90,95,100})</f>
        <v>85</v>
      </c>
      <c r="I371" s="12">
        <v>12</v>
      </c>
      <c r="J371" s="11">
        <f>LOOKUP(I371,{0,3,4,5,6,7,8,9,10,11,12,13,14,15,16,17},{0,10,20,30,40,50,60,64,68,72,76,80,85,90,95,100})</f>
        <v>76</v>
      </c>
      <c r="K371" s="12"/>
      <c r="L371" s="12"/>
      <c r="M371" s="12">
        <f t="shared" si="217"/>
        <v>76</v>
      </c>
      <c r="N371" s="12">
        <v>6.8</v>
      </c>
      <c r="O371" s="12">
        <f t="shared" si="221"/>
        <v>5.2</v>
      </c>
      <c r="P371" s="11">
        <f>LOOKUP(O371,{0,1.6,1.8,2,2.2,2.4,2.6,2.8,3,3.2,3.4,3.6,3.8,4,4.2,4.4,4.6,4.7,4.8,4.9,5},{0,10,20,30,40,50,60,62,64,66,68,70,72,74,76,78,80,85,90,95,100})</f>
        <v>100</v>
      </c>
      <c r="Q371" s="12">
        <v>3.12</v>
      </c>
      <c r="R371" s="12">
        <f t="shared" si="218"/>
        <v>6.88</v>
      </c>
      <c r="S371" s="11">
        <f>LOOKUP(R371,{0,3.8,4,4.6,4.8,5,5.6,5.65,5.7,5.75,5.8,5.85,5.9,5.95,6,6.45,6.5,6.58,6.65,6.7,6.75},{0,10,20,30,40,50,60,62,64,66,68,70,72,74,76,78,80,85,90,95,100})</f>
        <v>100</v>
      </c>
      <c r="T371" s="12">
        <f t="shared" ref="T371:T375" si="222">3.25-Q371</f>
        <v>0.13</v>
      </c>
      <c r="U371" s="11">
        <f>LOOKUP(T371,{0,0.04,0.08,0.12,0.16,0.2,0.23,0.26,0.29,0.32,0.35},{0,1,2,3,4,5,6,7,8,9,10})</f>
        <v>3</v>
      </c>
      <c r="V371" s="12">
        <f t="shared" si="219"/>
        <v>103</v>
      </c>
      <c r="W371" s="12"/>
      <c r="X371" s="20">
        <f t="shared" si="207"/>
        <v>66.1</v>
      </c>
      <c r="Y371" s="20">
        <f t="shared" si="220"/>
        <v>97.4285714285714</v>
      </c>
    </row>
    <row r="372" ht="15.6" hidden="1" outlineLevel="2" spans="1:25">
      <c r="A372" s="12">
        <v>211</v>
      </c>
      <c r="B372" s="12">
        <v>29</v>
      </c>
      <c r="C372" s="6" t="s">
        <v>581</v>
      </c>
      <c r="D372" s="6" t="s">
        <v>11</v>
      </c>
      <c r="E372" s="12">
        <v>11</v>
      </c>
      <c r="F372" s="11">
        <f>LOOKUP(E372,{0,-2.9,-1.9,-0.9,0.1,1.1,2.1,3.5,4.9,6.3,7.7,9.1,10.5,11.9,13.3,14.7,16.1,18.3,20.5,22.4,24.3},{0,10,20,30,40,50,60,62,64,66,68,70,72,74,76,78,80,85,90,95,100})</f>
        <v>72</v>
      </c>
      <c r="G372" s="12">
        <v>257</v>
      </c>
      <c r="H372" s="11">
        <f>LOOKUP(G372,{0,175,180,185,190,195,200,204,208,212,216,220,224,228,232,236,240,248,255,260,265},{0,10,20,30,40,50,60,62,64,66,68,70,72,74,76,78,80,85,90,95,100})</f>
        <v>90</v>
      </c>
      <c r="I372" s="12">
        <v>16</v>
      </c>
      <c r="J372" s="11">
        <f>LOOKUP(I372,{0,3,4,5,6,7,8,9,10,11,12,13,14,15,16,17},{0,10,20,30,40,50,60,64,68,72,76,80,85,90,95,100})</f>
        <v>95</v>
      </c>
      <c r="K372" s="12"/>
      <c r="L372" s="12"/>
      <c r="M372" s="12">
        <f t="shared" si="217"/>
        <v>95</v>
      </c>
      <c r="N372" s="12">
        <v>7.3</v>
      </c>
      <c r="O372" s="12">
        <f t="shared" si="221"/>
        <v>4.7</v>
      </c>
      <c r="P372" s="11">
        <f>LOOKUP(O372,{0,1.6,1.8,2,2.2,2.4,2.6,2.8,3,3.2,3.4,3.6,3.8,4,4.2,4.4,4.6,4.7,4.8,4.9,5},{0,10,20,30,40,50,60,62,64,66,68,70,72,74,76,78,80,85,90,95,100})</f>
        <v>85</v>
      </c>
      <c r="Q372" s="12">
        <v>3.29</v>
      </c>
      <c r="R372" s="12">
        <f t="shared" si="218"/>
        <v>6.71</v>
      </c>
      <c r="S372" s="11">
        <f>LOOKUP(R372,{0,3.8,4,4.6,4.8,5,5.6,5.65,5.7,5.75,5.8,5.85,5.9,5.95,6,6.45,6.5,6.58,6.65,6.7,6.75},{0,10,20,30,40,50,60,62,64,66,68,70,72,74,76,78,80,85,90,95,100})</f>
        <v>95</v>
      </c>
      <c r="T372" s="12"/>
      <c r="U372" s="12"/>
      <c r="V372" s="12">
        <f t="shared" si="219"/>
        <v>95</v>
      </c>
      <c r="W372" s="12"/>
      <c r="X372" s="20">
        <f t="shared" si="207"/>
        <v>61.7</v>
      </c>
      <c r="Y372" s="20">
        <f t="shared" si="220"/>
        <v>88.1428571428572</v>
      </c>
    </row>
    <row r="373" ht="15.6" hidden="1" outlineLevel="2" spans="1:25">
      <c r="A373" s="12">
        <v>211</v>
      </c>
      <c r="B373" s="12">
        <v>30</v>
      </c>
      <c r="C373" s="6" t="s">
        <v>582</v>
      </c>
      <c r="D373" s="6" t="s">
        <v>11</v>
      </c>
      <c r="E373" s="12">
        <v>12</v>
      </c>
      <c r="F373" s="11">
        <f>LOOKUP(E373,{0,-2.9,-1.9,-0.9,0.1,1.1,2.1,3.5,4.9,6.3,7.7,9.1,10.5,11.9,13.3,14.7,16.1,18.3,20.5,22.4,24.3},{0,10,20,30,40,50,60,62,64,66,68,70,72,74,76,78,80,85,90,95,100})</f>
        <v>74</v>
      </c>
      <c r="G373" s="12">
        <v>221</v>
      </c>
      <c r="H373" s="11">
        <f>LOOKUP(G373,{0,175,180,185,190,195,200,204,208,212,216,220,224,228,232,236,240,248,255,260,265},{0,10,20,30,40,50,60,62,64,66,68,70,72,74,76,78,80,85,90,95,100})</f>
        <v>70</v>
      </c>
      <c r="I373" s="12">
        <v>22</v>
      </c>
      <c r="J373" s="11">
        <f>LOOKUP(I373,{0,3,4,5,6,7,8,9,10,11,12,13,14,15,16,17},{0,10,20,30,40,50,60,64,68,72,76,80,85,90,95,100})</f>
        <v>100</v>
      </c>
      <c r="K373" s="12">
        <f>I373-17</f>
        <v>5</v>
      </c>
      <c r="L373" s="11">
        <f>LOOKUP(K373,{0,1,2,3,4,5,6,7,8,9,10},{0,1,2,3,4,5,6,7,8,9,10})</f>
        <v>5</v>
      </c>
      <c r="M373" s="12">
        <f t="shared" si="217"/>
        <v>105</v>
      </c>
      <c r="N373" s="12">
        <v>6.9</v>
      </c>
      <c r="O373" s="12">
        <f t="shared" si="221"/>
        <v>5.1</v>
      </c>
      <c r="P373" s="11">
        <f>LOOKUP(O373,{0,1.6,1.8,2,2.2,2.4,2.6,2.8,3,3.2,3.4,3.6,3.8,4,4.2,4.4,4.6,4.7,4.8,4.9,5},{0,10,20,30,40,50,60,62,64,66,68,70,72,74,76,78,80,85,90,95,100})</f>
        <v>100</v>
      </c>
      <c r="Q373" s="12">
        <v>3.49</v>
      </c>
      <c r="R373" s="12">
        <f t="shared" si="218"/>
        <v>6.51</v>
      </c>
      <c r="S373" s="11">
        <f>LOOKUP(R373,{0,3.8,4,4.6,4.8,5,5.6,5.65,5.7,5.75,5.8,5.85,5.9,5.95,6,6.45,6.5,6.58,6.65,6.7,6.75},{0,10,20,30,40,50,60,62,64,66,68,70,72,74,76,78,80,85,90,95,100})</f>
        <v>80</v>
      </c>
      <c r="T373" s="12"/>
      <c r="U373" s="12"/>
      <c r="V373" s="12">
        <f t="shared" si="219"/>
        <v>80</v>
      </c>
      <c r="W373" s="12"/>
      <c r="X373" s="20">
        <f t="shared" si="207"/>
        <v>60.4</v>
      </c>
      <c r="Y373" s="20">
        <f t="shared" si="220"/>
        <v>91.2857142857143</v>
      </c>
    </row>
    <row r="374" ht="15.6" hidden="1" outlineLevel="2" spans="1:25">
      <c r="A374" s="12">
        <v>211</v>
      </c>
      <c r="B374" s="12">
        <v>31</v>
      </c>
      <c r="C374" s="6" t="s">
        <v>583</v>
      </c>
      <c r="D374" s="6" t="s">
        <v>11</v>
      </c>
      <c r="E374" s="12">
        <v>18.5</v>
      </c>
      <c r="F374" s="11">
        <f>LOOKUP(E374,{0,-2.9,-1.9,-0.9,0.1,1.1,2.1,3.5,4.9,6.3,7.7,9.1,10.5,11.9,13.3,14.7,16.1,18.3,20.5,22.4,24.3},{0,10,20,30,40,50,60,62,64,66,68,70,72,74,76,78,80,85,90,95,100})</f>
        <v>85</v>
      </c>
      <c r="G374" s="12">
        <v>246</v>
      </c>
      <c r="H374" s="11">
        <f>LOOKUP(G374,{0,175,180,185,190,195,200,204,208,212,216,220,224,228,232,236,240,248,255,260,265},{0,10,20,30,40,50,60,62,64,66,68,70,72,74,76,78,80,85,90,95,100})</f>
        <v>80</v>
      </c>
      <c r="I374" s="12">
        <v>15</v>
      </c>
      <c r="J374" s="11">
        <f>LOOKUP(I374,{0,3,4,5,6,7,8,9,10,11,12,13,14,15,16,17},{0,10,20,30,40,50,60,64,68,72,76,80,85,90,95,100})</f>
        <v>90</v>
      </c>
      <c r="K374" s="12"/>
      <c r="L374" s="12"/>
      <c r="M374" s="12">
        <f t="shared" si="217"/>
        <v>90</v>
      </c>
      <c r="N374" s="12">
        <v>6.9</v>
      </c>
      <c r="O374" s="12">
        <f t="shared" si="221"/>
        <v>5.1</v>
      </c>
      <c r="P374" s="11">
        <f>LOOKUP(O374,{0,1.6,1.8,2,2.2,2.4,2.6,2.8,3,3.2,3.4,3.6,3.8,4,4.2,4.4,4.6,4.7,4.8,4.9,5},{0,10,20,30,40,50,60,62,64,66,68,70,72,74,76,78,80,85,90,95,100})</f>
        <v>100</v>
      </c>
      <c r="Q374" s="12">
        <v>3.2</v>
      </c>
      <c r="R374" s="12">
        <f t="shared" si="218"/>
        <v>6.8</v>
      </c>
      <c r="S374" s="11">
        <f>LOOKUP(R374,{0,3.8,4,4.6,4.8,5,5.6,5.65,5.7,5.75,5.8,5.85,5.9,5.95,6,6.45,6.5,6.58,6.65,6.7,6.75},{0,10,20,30,40,50,60,62,64,66,68,70,72,74,76,78,80,85,90,95,100})</f>
        <v>100</v>
      </c>
      <c r="T374" s="12">
        <f t="shared" si="222"/>
        <v>0.0499999999999998</v>
      </c>
      <c r="U374" s="11">
        <f>LOOKUP(T374,{0,0.04,0.08,0.12,0.16,0.2,0.23,0.26,0.29,0.32,0.35},{0,1,2,3,4,5,6,7,8,9,10})</f>
        <v>1</v>
      </c>
      <c r="V374" s="12">
        <f t="shared" si="219"/>
        <v>101</v>
      </c>
      <c r="W374" s="12"/>
      <c r="X374" s="20">
        <f t="shared" si="207"/>
        <v>65.5</v>
      </c>
      <c r="Y374" s="20">
        <f t="shared" si="220"/>
        <v>94.5714285714286</v>
      </c>
    </row>
    <row r="375" ht="15.6" hidden="1" outlineLevel="2" spans="1:25">
      <c r="A375" s="12">
        <v>211</v>
      </c>
      <c r="B375" s="12">
        <v>32</v>
      </c>
      <c r="C375" s="6" t="s">
        <v>584</v>
      </c>
      <c r="D375" s="6" t="s">
        <v>11</v>
      </c>
      <c r="E375" s="12">
        <v>19.6</v>
      </c>
      <c r="F375" s="11">
        <f>LOOKUP(E375,{0,-2.9,-1.9,-0.9,0.1,1.1,2.1,3.5,4.9,6.3,7.7,9.1,10.5,11.9,13.3,14.7,16.1,18.3,20.5,22.4,24.3},{0,10,20,30,40,50,60,62,64,66,68,70,72,74,76,78,80,85,90,95,100})</f>
        <v>85</v>
      </c>
      <c r="G375" s="12">
        <v>260</v>
      </c>
      <c r="H375" s="11">
        <f>LOOKUP(G375,{0,175,180,185,190,195,200,204,208,212,216,220,224,228,232,236,240,248,255,260,265},{0,10,20,30,40,50,60,62,64,66,68,70,72,74,76,78,80,85,90,95,100})</f>
        <v>95</v>
      </c>
      <c r="I375" s="12">
        <v>8</v>
      </c>
      <c r="J375" s="11">
        <f>LOOKUP(I375,{0,3,4,5,6,7,8,9,10,11,12,13,14,15,16,17},{0,10,20,30,40,50,60,64,68,72,76,80,85,90,95,100})</f>
        <v>60</v>
      </c>
      <c r="K375" s="12"/>
      <c r="L375" s="12"/>
      <c r="M375" s="12">
        <f t="shared" si="217"/>
        <v>60</v>
      </c>
      <c r="N375" s="12">
        <v>6.9</v>
      </c>
      <c r="O375" s="12">
        <f t="shared" si="221"/>
        <v>5.1</v>
      </c>
      <c r="P375" s="11">
        <f>LOOKUP(O375,{0,1.6,1.8,2,2.2,2.4,2.6,2.8,3,3.2,3.4,3.6,3.8,4,4.2,4.4,4.6,4.7,4.8,4.9,5},{0,10,20,30,40,50,60,62,64,66,68,70,72,74,76,78,80,85,90,95,100})</f>
        <v>100</v>
      </c>
      <c r="Q375" s="12">
        <v>3.25</v>
      </c>
      <c r="R375" s="12">
        <f t="shared" si="218"/>
        <v>6.75</v>
      </c>
      <c r="S375" s="11">
        <f>LOOKUP(R375,{0,3.8,4,4.6,4.8,5,5.6,5.65,5.7,5.75,5.8,5.85,5.9,5.95,6,6.45,6.5,6.58,6.65,6.7,6.75},{0,10,20,30,40,50,60,62,64,66,68,70,72,74,76,78,80,85,90,95,100})</f>
        <v>100</v>
      </c>
      <c r="T375" s="12">
        <f t="shared" si="222"/>
        <v>0</v>
      </c>
      <c r="U375" s="11">
        <f>LOOKUP(T375,{0,0.04,0.08,0.12,0.16,0.2,0.23,0.26,0.29,0.32,0.35},{0,1,2,3,4,5,6,7,8,9,10})</f>
        <v>0</v>
      </c>
      <c r="V375" s="12">
        <f t="shared" si="219"/>
        <v>100</v>
      </c>
      <c r="W375" s="12"/>
      <c r="X375" s="20">
        <f t="shared" si="207"/>
        <v>64</v>
      </c>
      <c r="Y375" s="20">
        <f t="shared" si="220"/>
        <v>91.4285714285714</v>
      </c>
    </row>
    <row r="376" ht="15.6" outlineLevel="1" collapsed="1" spans="1:25">
      <c r="A376" s="14" t="s">
        <v>865</v>
      </c>
      <c r="B376" s="12"/>
      <c r="C376" s="6"/>
      <c r="D376" s="6"/>
      <c r="E376" s="12"/>
      <c r="F376" s="11">
        <f>SUBTOTAL(1,F344:F375)</f>
        <v>81.2</v>
      </c>
      <c r="G376" s="12"/>
      <c r="H376" s="11">
        <f>SUBTOTAL(1,H344:H375)</f>
        <v>81.4827586206897</v>
      </c>
      <c r="I376" s="12"/>
      <c r="J376" s="11">
        <f>SUBTOTAL(1,J344:J375)</f>
        <v>65.5</v>
      </c>
      <c r="K376" s="12"/>
      <c r="L376" s="12"/>
      <c r="M376" s="12">
        <f>SUBTOTAL(1,M344:M375)</f>
        <v>67.5333333333333</v>
      </c>
      <c r="N376" s="12"/>
      <c r="O376" s="12"/>
      <c r="P376" s="11">
        <f>SUBTOTAL(1,P344:P375)</f>
        <v>88.8214285714286</v>
      </c>
      <c r="Q376" s="12"/>
      <c r="R376" s="12"/>
      <c r="S376" s="11">
        <f>SUBTOTAL(1,S344:S375)</f>
        <v>82.25</v>
      </c>
      <c r="T376" s="12"/>
      <c r="U376" s="11"/>
      <c r="V376" s="12">
        <f>SUBTOTAL(1,V344:V375)</f>
        <v>82.5357142857143</v>
      </c>
      <c r="W376" s="12"/>
      <c r="X376" s="20">
        <f>SUBTOTAL(1,X344:X375)</f>
        <v>51.075</v>
      </c>
      <c r="Y376" s="20">
        <f>SUBTOTAL(1,Y344:Y375)</f>
        <v>79.1607142857143</v>
      </c>
    </row>
    <row r="377" ht="15.6" hidden="1" outlineLevel="2" spans="1:25">
      <c r="A377" s="12">
        <v>212</v>
      </c>
      <c r="B377" s="12">
        <v>1</v>
      </c>
      <c r="C377" s="13" t="s">
        <v>607</v>
      </c>
      <c r="D377" s="6" t="s">
        <v>11</v>
      </c>
      <c r="E377" s="12">
        <v>10.8</v>
      </c>
      <c r="F377" s="11">
        <f>LOOKUP(E377,{0,-2.9,-1.9,-0.9,0.1,1.1,2.1,3.5,4.9,6.3,7.7,9.1,10.5,11.9,13.3,14.7,16.1,18.3,20.5,22.4,24.3},{0,10,20,30,40,50,60,62,64,66,68,70,72,74,76,78,80,85,90,95,100})</f>
        <v>72</v>
      </c>
      <c r="G377" s="12">
        <v>272</v>
      </c>
      <c r="H377" s="11">
        <f>LOOKUP(G377,{0,175,180,185,190,195,200,204,208,212,216,220,224,228,232,236,240,248,255,260,265},{0,10,20,30,40,50,60,62,64,66,68,70,72,74,76,78,80,85,90,95,100})</f>
        <v>100</v>
      </c>
      <c r="I377" s="12">
        <v>15</v>
      </c>
      <c r="J377" s="11">
        <f>LOOKUP(I377,{0,3,4,5,6,7,8,9,10,11,12,13,14,15,16,17},{0,10,20,30,40,50,60,64,68,72,76,80,85,90,95,100})</f>
        <v>90</v>
      </c>
      <c r="K377" s="12"/>
      <c r="L377" s="12"/>
      <c r="M377" s="12">
        <f t="shared" ref="M377:M385" si="223">J377+L377</f>
        <v>90</v>
      </c>
      <c r="N377" s="12">
        <v>6.8</v>
      </c>
      <c r="O377" s="12">
        <f t="shared" ref="O377:O379" si="224">12-N377</f>
        <v>5.2</v>
      </c>
      <c r="P377" s="11">
        <f>LOOKUP(O377,{0,1.6,1.8,2,2.2,2.4,2.6,2.8,3,3.2,3.4,3.6,3.8,4,4.2,4.4,4.6,4.7,4.8,4.9,5},{0,10,20,30,40,50,60,62,64,66,68,70,72,74,76,78,80,85,90,95,100})</f>
        <v>100</v>
      </c>
      <c r="Q377" s="12">
        <v>3.22</v>
      </c>
      <c r="R377" s="12">
        <f t="shared" ref="R377:R385" si="225">10-Q377</f>
        <v>6.78</v>
      </c>
      <c r="S377" s="11">
        <f>LOOKUP(R377,{0,3.8,4,4.6,4.8,5,5.6,5.65,5.7,5.75,5.8,5.85,5.9,5.95,6,6.45,6.5,6.58,6.65,6.7,6.75},{0,10,20,30,40,50,60,62,64,66,68,70,72,74,76,78,80,85,90,95,100})</f>
        <v>100</v>
      </c>
      <c r="T377" s="12">
        <f>3.25-Q377</f>
        <v>0.0299999999999998</v>
      </c>
      <c r="U377" s="11">
        <f>LOOKUP(T377,{0,0.04,0.08,0.12,0.16,0.2,0.23,0.26,0.29,0.32,0.35},{0,1,2,3,4,5,6,7,8,9,10})</f>
        <v>0</v>
      </c>
      <c r="V377" s="12">
        <f t="shared" ref="V377:V385" si="226">S377+U377</f>
        <v>100</v>
      </c>
      <c r="W377" s="12"/>
      <c r="X377" s="20">
        <f t="shared" ref="X377:X406" si="227">F377*0.1+H377*0.1+J377*0.1+P377*0.2+S377*0.2</f>
        <v>66.2</v>
      </c>
      <c r="Y377" s="20">
        <f t="shared" ref="Y377:Y379" si="228">X377/0.7+L377+U377</f>
        <v>94.5714285714286</v>
      </c>
    </row>
    <row r="378" s="1" customFormat="1" ht="15.6" hidden="1" outlineLevel="2" spans="1:25">
      <c r="A378" s="12">
        <v>212</v>
      </c>
      <c r="B378" s="12">
        <v>2</v>
      </c>
      <c r="C378" s="6" t="s">
        <v>608</v>
      </c>
      <c r="D378" s="6" t="s">
        <v>11</v>
      </c>
      <c r="E378" s="12">
        <v>16</v>
      </c>
      <c r="F378" s="11">
        <f>LOOKUP(E378,{0,-2.9,-1.9,-0.9,0.1,1.1,2.1,3.5,4.9,6.3,7.7,9.1,10.5,11.9,13.3,14.7,16.1,18.3,20.5,22.4,24.3},{0,10,20,30,40,50,60,62,64,66,68,70,72,74,76,78,80,85,90,95,100})</f>
        <v>78</v>
      </c>
      <c r="G378" s="12">
        <v>228</v>
      </c>
      <c r="H378" s="11">
        <f>LOOKUP(G378,{0,175,180,185,190,195,200,204,208,212,216,220,224,228,232,236,240,248,255,260,265},{0,10,20,30,40,50,60,62,64,66,68,70,72,74,76,78,80,85,90,95,100})</f>
        <v>74</v>
      </c>
      <c r="I378" s="12">
        <v>4</v>
      </c>
      <c r="J378" s="11">
        <f>LOOKUP(I378,{0,3,4,5,6,7,8,9,10,11,12,13,14,15,16,17},{0,10,20,30,40,50,60,64,68,72,76,80,85,90,95,100})</f>
        <v>20</v>
      </c>
      <c r="K378" s="12"/>
      <c r="L378" s="12"/>
      <c r="M378" s="12">
        <f t="shared" si="223"/>
        <v>20</v>
      </c>
      <c r="N378" s="12">
        <v>7.5</v>
      </c>
      <c r="O378" s="12">
        <f t="shared" si="224"/>
        <v>4.5</v>
      </c>
      <c r="P378" s="11">
        <f>LOOKUP(O378,{0,1.6,1.8,2,2.2,2.4,2.6,2.8,3,3.2,3.4,3.6,3.8,4,4.2,4.4,4.6,4.7,4.8,4.9,5},{0,10,20,30,40,50,60,62,64,66,68,70,72,74,76,78,80,85,90,95,100})</f>
        <v>78</v>
      </c>
      <c r="Q378" s="12">
        <v>3.53</v>
      </c>
      <c r="R378" s="12">
        <f t="shared" si="225"/>
        <v>6.47</v>
      </c>
      <c r="S378" s="11">
        <f>LOOKUP(R378,{0,3.8,4,4.6,4.8,5,5.6,5.65,5.7,5.75,5.8,5.85,5.9,5.95,6,6.45,6.5,6.58,6.65,6.7,6.75},{0,10,20,30,40,50,60,62,64,66,68,70,72,74,76,78,80,85,90,95,100})</f>
        <v>78</v>
      </c>
      <c r="T378" s="12"/>
      <c r="U378" s="12"/>
      <c r="V378" s="12">
        <f t="shared" si="226"/>
        <v>78</v>
      </c>
      <c r="W378" s="12"/>
      <c r="X378" s="20">
        <f t="shared" si="227"/>
        <v>48.4</v>
      </c>
      <c r="Y378" s="20">
        <f t="shared" si="228"/>
        <v>69.1428571428572</v>
      </c>
    </row>
    <row r="379" ht="15.6" hidden="1" outlineLevel="2" spans="1:25">
      <c r="A379" s="12">
        <v>212</v>
      </c>
      <c r="B379" s="12">
        <v>3</v>
      </c>
      <c r="C379" s="6" t="s">
        <v>609</v>
      </c>
      <c r="D379" s="6" t="s">
        <v>11</v>
      </c>
      <c r="E379" s="12">
        <v>15.2</v>
      </c>
      <c r="F379" s="11">
        <f>LOOKUP(E379,{0,-2.9,-1.9,-0.9,0.1,1.1,2.1,3.5,4.9,6.3,7.7,9.1,10.5,11.9,13.3,14.7,16.1,18.3,20.5,22.4,24.3},{0,10,20,30,40,50,60,62,64,66,68,70,72,74,76,78,80,85,90,95,100})</f>
        <v>78</v>
      </c>
      <c r="G379" s="12">
        <v>257</v>
      </c>
      <c r="H379" s="11">
        <f>LOOKUP(G379,{0,175,180,185,190,195,200,204,208,212,216,220,224,228,232,236,240,248,255,260,265},{0,10,20,30,40,50,60,62,64,66,68,70,72,74,76,78,80,85,90,95,100})</f>
        <v>90</v>
      </c>
      <c r="I379" s="12">
        <v>25</v>
      </c>
      <c r="J379" s="11">
        <f>LOOKUP(I379,{0,3,4,5,6,7,8,9,10,11,12,13,14,15,16,17},{0,10,20,30,40,50,60,64,68,72,76,80,85,90,95,100})</f>
        <v>100</v>
      </c>
      <c r="K379" s="12">
        <f>I379-17</f>
        <v>8</v>
      </c>
      <c r="L379" s="11">
        <f>LOOKUP(K379,{0,1,2,3,4,5,6,7,8,9,10},{0,1,2,3,4,5,6,7,8,9,10})</f>
        <v>8</v>
      </c>
      <c r="M379" s="12">
        <f t="shared" si="223"/>
        <v>108</v>
      </c>
      <c r="N379" s="12">
        <v>7.1</v>
      </c>
      <c r="O379" s="12">
        <f t="shared" si="224"/>
        <v>4.9</v>
      </c>
      <c r="P379" s="11">
        <f>LOOKUP(O379,{0,1.6,1.8,2,2.2,2.4,2.6,2.8,3,3.2,3.4,3.6,3.8,4,4.2,4.4,4.6,4.7,4.8,4.9,5},{0,10,20,30,40,50,60,62,64,66,68,70,72,74,76,78,80,85,90,95,100})</f>
        <v>95</v>
      </c>
      <c r="Q379" s="12">
        <v>3.15</v>
      </c>
      <c r="R379" s="12">
        <f t="shared" si="225"/>
        <v>6.85</v>
      </c>
      <c r="S379" s="11">
        <f>LOOKUP(R379,{0,3.8,4,4.6,4.8,5,5.6,5.65,5.7,5.75,5.8,5.85,5.9,5.95,6,6.45,6.5,6.58,6.65,6.7,6.75},{0,10,20,30,40,50,60,62,64,66,68,70,72,74,76,78,80,85,90,95,100})</f>
        <v>100</v>
      </c>
      <c r="T379" s="12">
        <f>3.25-Q379</f>
        <v>0.1</v>
      </c>
      <c r="U379" s="11">
        <f>LOOKUP(T379,{0,0.04,0.08,0.12,0.16,0.2,0.23,0.26,0.29,0.32,0.35},{0,1,2,3,4,5,6,7,8,9,10})</f>
        <v>2</v>
      </c>
      <c r="V379" s="12">
        <f t="shared" si="226"/>
        <v>102</v>
      </c>
      <c r="W379" s="12"/>
      <c r="X379" s="20">
        <f t="shared" si="227"/>
        <v>65.8</v>
      </c>
      <c r="Y379" s="20">
        <f t="shared" si="228"/>
        <v>104</v>
      </c>
    </row>
    <row r="380" ht="15.6" hidden="1" outlineLevel="2" spans="1:25">
      <c r="A380" s="12">
        <v>212</v>
      </c>
      <c r="B380" s="12">
        <v>4</v>
      </c>
      <c r="C380" s="6" t="s">
        <v>610</v>
      </c>
      <c r="D380" s="6" t="s">
        <v>11</v>
      </c>
      <c r="E380" s="12">
        <v>8</v>
      </c>
      <c r="F380" s="11">
        <f>LOOKUP(E380,{0,-2.9,-1.9,-0.9,0.1,1.1,2.1,3.5,4.9,6.3,7.7,9.1,10.5,11.9,13.3,14.7,16.1,18.3,20.5,22.4,24.3},{0,10,20,30,40,50,60,62,64,66,68,70,72,74,76,78,80,85,90,95,100})</f>
        <v>68</v>
      </c>
      <c r="G380" s="12">
        <v>201</v>
      </c>
      <c r="H380" s="11">
        <f>LOOKUP(G380,{0,175,180,185,190,195,200,204,208,212,216,220,224,228,232,236,240,248,255,260,265},{0,10,20,30,40,50,60,62,64,66,68,70,72,74,76,78,80,85,90,95,100})</f>
        <v>60</v>
      </c>
      <c r="I380" s="12">
        <v>9</v>
      </c>
      <c r="J380" s="11">
        <f>LOOKUP(I380,{0,3,4,5,6,7,8,9,10,11,12,13,14,15,16,17},{0,10,20,30,40,50,60,64,68,72,76,80,85,90,95,100})</f>
        <v>64</v>
      </c>
      <c r="K380" s="12"/>
      <c r="L380" s="12"/>
      <c r="M380" s="12">
        <f t="shared" si="223"/>
        <v>64</v>
      </c>
      <c r="N380" s="12"/>
      <c r="O380" s="12"/>
      <c r="P380" s="11"/>
      <c r="Q380" s="12">
        <v>5.15</v>
      </c>
      <c r="R380" s="12">
        <f t="shared" si="225"/>
        <v>4.85</v>
      </c>
      <c r="S380" s="11">
        <f>LOOKUP(R380,{0,3.8,4,4.6,4.8,5,5.6,5.65,5.7,5.75,5.8,5.85,5.9,5.95,6,6.45,6.5,6.58,6.65,6.7,6.75},{0,10,20,30,40,50,60,62,64,66,68,70,72,74,76,78,80,85,90,95,100})</f>
        <v>40</v>
      </c>
      <c r="T380" s="12"/>
      <c r="U380" s="12"/>
      <c r="V380" s="12">
        <f t="shared" si="226"/>
        <v>40</v>
      </c>
      <c r="W380" s="12"/>
      <c r="X380" s="20">
        <f t="shared" si="227"/>
        <v>27.2</v>
      </c>
      <c r="Y380" s="23">
        <v>50</v>
      </c>
    </row>
    <row r="381" ht="15.6" hidden="1" outlineLevel="2" spans="1:25">
      <c r="A381" s="12">
        <v>212</v>
      </c>
      <c r="B381" s="12">
        <v>5</v>
      </c>
      <c r="C381" s="6" t="s">
        <v>611</v>
      </c>
      <c r="D381" s="6" t="s">
        <v>11</v>
      </c>
      <c r="E381" s="12">
        <v>17.5</v>
      </c>
      <c r="F381" s="11">
        <f>LOOKUP(E381,{0,-2.9,-1.9,-0.9,0.1,1.1,2.1,3.5,4.9,6.3,7.7,9.1,10.5,11.9,13.3,14.7,16.1,18.3,20.5,22.4,24.3},{0,10,20,30,40,50,60,62,64,66,68,70,72,74,76,78,80,85,90,95,100})</f>
        <v>80</v>
      </c>
      <c r="G381" s="12">
        <v>252</v>
      </c>
      <c r="H381" s="11">
        <f>LOOKUP(G381,{0,175,180,185,190,195,200,204,208,212,216,220,224,228,232,236,240,248,255,260,265},{0,10,20,30,40,50,60,62,64,66,68,70,72,74,76,78,80,85,90,95,100})</f>
        <v>85</v>
      </c>
      <c r="I381" s="12">
        <v>20</v>
      </c>
      <c r="J381" s="11">
        <f>LOOKUP(I381,{0,3,4,5,6,7,8,9,10,11,12,13,14,15,16,17},{0,10,20,30,40,50,60,64,68,72,76,80,85,90,95,100})</f>
        <v>100</v>
      </c>
      <c r="K381" s="12">
        <f>I381-17</f>
        <v>3</v>
      </c>
      <c r="L381" s="11">
        <f>LOOKUP(K381,{0,1,2,3,4,5,6,7,8,9,10},{0,1,2,3,4,5,6,7,8,9,10})</f>
        <v>3</v>
      </c>
      <c r="M381" s="12">
        <f t="shared" si="223"/>
        <v>103</v>
      </c>
      <c r="N381" s="12">
        <v>7</v>
      </c>
      <c r="O381" s="12">
        <f t="shared" ref="O381:O385" si="229">12-N381</f>
        <v>5</v>
      </c>
      <c r="P381" s="11">
        <f>LOOKUP(O381,{0,1.6,1.8,2,2.2,2.4,2.6,2.8,3,3.2,3.4,3.6,3.8,4,4.2,4.4,4.6,4.7,4.8,4.9,5},{0,10,20,30,40,50,60,62,64,66,68,70,72,74,76,78,80,85,90,95,100})</f>
        <v>100</v>
      </c>
      <c r="Q381" s="12">
        <v>4.24</v>
      </c>
      <c r="R381" s="12">
        <f t="shared" si="225"/>
        <v>5.76</v>
      </c>
      <c r="S381" s="11">
        <f>LOOKUP(R381,{0,3.8,4,4.6,4.8,5,5.6,5.65,5.7,5.75,5.8,5.85,5.9,5.95,6,6.45,6.5,6.58,6.65,6.7,6.75},{0,10,20,30,40,50,60,62,64,66,68,70,72,74,76,78,80,85,90,95,100})</f>
        <v>66</v>
      </c>
      <c r="T381" s="12"/>
      <c r="U381" s="12"/>
      <c r="V381" s="12">
        <f t="shared" si="226"/>
        <v>66</v>
      </c>
      <c r="W381" s="12"/>
      <c r="X381" s="20">
        <f t="shared" si="227"/>
        <v>59.7</v>
      </c>
      <c r="Y381" s="20">
        <f t="shared" ref="Y381:Y385" si="230">X381/0.7+L381+U381</f>
        <v>88.2857142857143</v>
      </c>
    </row>
    <row r="382" ht="15.6" hidden="1" outlineLevel="2" spans="1:25">
      <c r="A382" s="12">
        <v>212</v>
      </c>
      <c r="B382" s="12">
        <v>6</v>
      </c>
      <c r="C382" s="6" t="s">
        <v>612</v>
      </c>
      <c r="D382" s="6" t="s">
        <v>11</v>
      </c>
      <c r="E382" s="12">
        <v>15</v>
      </c>
      <c r="F382" s="11">
        <f>LOOKUP(E382,{0,-2.9,-1.9,-0.9,0.1,1.1,2.1,3.5,4.9,6.3,7.7,9.1,10.5,11.9,13.3,14.7,16.1,18.3,20.5,22.4,24.3},{0,10,20,30,40,50,60,62,64,66,68,70,72,74,76,78,80,85,90,95,100})</f>
        <v>78</v>
      </c>
      <c r="G382" s="12">
        <v>247</v>
      </c>
      <c r="H382" s="11">
        <f>LOOKUP(G382,{0,175,180,185,190,195,200,204,208,212,216,220,224,228,232,236,240,248,255,260,265},{0,10,20,30,40,50,60,62,64,66,68,70,72,74,76,78,80,85,90,95,100})</f>
        <v>80</v>
      </c>
      <c r="I382" s="12">
        <v>1</v>
      </c>
      <c r="J382" s="11">
        <f>LOOKUP(I382,{0,3,4,5,6,7,8,9,10,11,12,13,14,15,16,17},{0,10,20,30,40,50,60,64,68,72,76,80,85,90,95,100})</f>
        <v>0</v>
      </c>
      <c r="K382" s="12"/>
      <c r="L382" s="12"/>
      <c r="M382" s="12">
        <f t="shared" si="223"/>
        <v>0</v>
      </c>
      <c r="N382" s="12">
        <v>7.5</v>
      </c>
      <c r="O382" s="12">
        <f t="shared" si="229"/>
        <v>4.5</v>
      </c>
      <c r="P382" s="11">
        <f>LOOKUP(O382,{0,1.6,1.8,2,2.2,2.4,2.6,2.8,3,3.2,3.4,3.6,3.8,4,4.2,4.4,4.6,4.7,4.8,4.9,5},{0,10,20,30,40,50,60,62,64,66,68,70,72,74,76,78,80,85,90,95,100})</f>
        <v>78</v>
      </c>
      <c r="Q382" s="12">
        <v>4.29</v>
      </c>
      <c r="R382" s="12">
        <f t="shared" si="225"/>
        <v>5.71</v>
      </c>
      <c r="S382" s="11">
        <f>LOOKUP(R382,{0,3.8,4,4.6,4.8,5,5.6,5.65,5.7,5.75,5.8,5.85,5.9,5.95,6,6.45,6.5,6.58,6.65,6.7,6.75},{0,10,20,30,40,50,60,62,64,66,68,70,72,74,76,78,80,85,90,95,100})</f>
        <v>64</v>
      </c>
      <c r="T382" s="12"/>
      <c r="U382" s="12"/>
      <c r="V382" s="12">
        <f t="shared" si="226"/>
        <v>64</v>
      </c>
      <c r="W382" s="12"/>
      <c r="X382" s="20">
        <f t="shared" si="227"/>
        <v>44.2</v>
      </c>
      <c r="Y382" s="20">
        <f t="shared" si="230"/>
        <v>63.1428571428572</v>
      </c>
    </row>
    <row r="383" ht="15.6" hidden="1" outlineLevel="2" spans="1:25">
      <c r="A383" s="12">
        <v>212</v>
      </c>
      <c r="B383" s="12">
        <v>7</v>
      </c>
      <c r="C383" s="6" t="s">
        <v>613</v>
      </c>
      <c r="D383" s="6" t="s">
        <v>11</v>
      </c>
      <c r="E383" s="12">
        <v>17.8</v>
      </c>
      <c r="F383" s="11">
        <f>LOOKUP(E383,{0,-2.9,-1.9,-0.9,0.1,1.1,2.1,3.5,4.9,6.3,7.7,9.1,10.5,11.9,13.3,14.7,16.1,18.3,20.5,22.4,24.3},{0,10,20,30,40,50,60,62,64,66,68,70,72,74,76,78,80,85,90,95,100})</f>
        <v>80</v>
      </c>
      <c r="G383" s="12">
        <v>226</v>
      </c>
      <c r="H383" s="11">
        <f>LOOKUP(G383,{0,175,180,185,190,195,200,204,208,212,216,220,224,228,232,236,240,248,255,260,265},{0,10,20,30,40,50,60,62,64,66,68,70,72,74,76,78,80,85,90,95,100})</f>
        <v>72</v>
      </c>
      <c r="I383" s="12">
        <v>0</v>
      </c>
      <c r="J383" s="11">
        <f>LOOKUP(I383,{0,3,4,5,6,7,8,9,10,11,12,13,14,15,16,17},{0,10,20,30,40,50,60,64,68,72,76,80,85,90,95,100})</f>
        <v>0</v>
      </c>
      <c r="K383" s="12"/>
      <c r="L383" s="12"/>
      <c r="M383" s="12">
        <f t="shared" si="223"/>
        <v>0</v>
      </c>
      <c r="N383" s="12">
        <v>7.7</v>
      </c>
      <c r="O383" s="12">
        <f t="shared" si="229"/>
        <v>4.3</v>
      </c>
      <c r="P383" s="11">
        <f>LOOKUP(O383,{0,1.6,1.8,2,2.2,2.4,2.6,2.8,3,3.2,3.4,3.6,3.8,4,4.2,4.4,4.6,4.7,4.8,4.9,5},{0,10,20,30,40,50,60,62,64,66,68,70,72,74,76,78,80,85,90,95,100})</f>
        <v>76</v>
      </c>
      <c r="Q383" s="12">
        <v>3.5</v>
      </c>
      <c r="R383" s="12">
        <f t="shared" si="225"/>
        <v>6.5</v>
      </c>
      <c r="S383" s="11">
        <f>LOOKUP(R383,{0,3.8,4,4.6,4.8,5,5.6,5.65,5.7,5.75,5.8,5.85,5.9,5.95,6,6.45,6.5,6.58,6.65,6.7,6.75},{0,10,20,30,40,50,60,62,64,66,68,70,72,74,76,78,80,85,90,95,100})</f>
        <v>80</v>
      </c>
      <c r="T383" s="12"/>
      <c r="U383" s="12"/>
      <c r="V383" s="12">
        <f t="shared" si="226"/>
        <v>80</v>
      </c>
      <c r="W383" s="12"/>
      <c r="X383" s="20">
        <f t="shared" si="227"/>
        <v>46.4</v>
      </c>
      <c r="Y383" s="20">
        <f t="shared" si="230"/>
        <v>66.2857142857143</v>
      </c>
    </row>
    <row r="384" ht="15.6" hidden="1" outlineLevel="2" spans="1:25">
      <c r="A384" s="12">
        <v>212</v>
      </c>
      <c r="B384" s="12">
        <v>8</v>
      </c>
      <c r="C384" s="6" t="s">
        <v>614</v>
      </c>
      <c r="D384" s="6" t="s">
        <v>11</v>
      </c>
      <c r="E384" s="12">
        <v>13</v>
      </c>
      <c r="F384" s="11">
        <f>LOOKUP(E384,{0,-2.9,-1.9,-0.9,0.1,1.1,2.1,3.5,4.9,6.3,7.7,9.1,10.5,11.9,13.3,14.7,16.1,18.3,20.5,22.4,24.3},{0,10,20,30,40,50,60,62,64,66,68,70,72,74,76,78,80,85,90,95,100})</f>
        <v>74</v>
      </c>
      <c r="G384" s="12">
        <v>239</v>
      </c>
      <c r="H384" s="11">
        <f>LOOKUP(G384,{0,175,180,185,190,195,200,204,208,212,216,220,224,228,232,236,240,248,255,260,265},{0,10,20,30,40,50,60,62,64,66,68,70,72,74,76,78,80,85,90,95,100})</f>
        <v>78</v>
      </c>
      <c r="I384" s="12">
        <v>1</v>
      </c>
      <c r="J384" s="11">
        <f>LOOKUP(I384,{0,3,4,5,6,7,8,9,10,11,12,13,14,15,16,17},{0,10,20,30,40,50,60,64,68,72,76,80,85,90,95,100})</f>
        <v>0</v>
      </c>
      <c r="K384" s="12"/>
      <c r="L384" s="12"/>
      <c r="M384" s="12">
        <f t="shared" si="223"/>
        <v>0</v>
      </c>
      <c r="N384" s="12">
        <v>7.1</v>
      </c>
      <c r="O384" s="12">
        <f t="shared" si="229"/>
        <v>4.9</v>
      </c>
      <c r="P384" s="11">
        <f>LOOKUP(O384,{0,1.6,1.8,2,2.2,2.4,2.6,2.8,3,3.2,3.4,3.6,3.8,4,4.2,4.4,4.6,4.7,4.8,4.9,5},{0,10,20,30,40,50,60,62,64,66,68,70,72,74,76,78,80,85,90,95,100})</f>
        <v>95</v>
      </c>
      <c r="Q384" s="12">
        <v>3.28</v>
      </c>
      <c r="R384" s="12">
        <f t="shared" si="225"/>
        <v>6.72</v>
      </c>
      <c r="S384" s="11">
        <f>LOOKUP(R384,{0,3.8,4,4.6,4.8,5,5.6,5.65,5.7,5.75,5.8,5.85,5.9,5.95,6,6.45,6.5,6.58,6.65,6.7,6.75},{0,10,20,30,40,50,60,62,64,66,68,70,72,74,76,78,80,85,90,95,100})</f>
        <v>95</v>
      </c>
      <c r="T384" s="12"/>
      <c r="U384" s="12"/>
      <c r="V384" s="12">
        <f t="shared" si="226"/>
        <v>95</v>
      </c>
      <c r="W384" s="12"/>
      <c r="X384" s="20">
        <f t="shared" si="227"/>
        <v>53.2</v>
      </c>
      <c r="Y384" s="20">
        <f t="shared" si="230"/>
        <v>76</v>
      </c>
    </row>
    <row r="385" ht="15.6" hidden="1" outlineLevel="2" spans="1:25">
      <c r="A385" s="12">
        <v>212</v>
      </c>
      <c r="B385" s="12">
        <v>9</v>
      </c>
      <c r="C385" s="6" t="s">
        <v>615</v>
      </c>
      <c r="D385" s="6" t="s">
        <v>11</v>
      </c>
      <c r="E385" s="12">
        <v>17.5</v>
      </c>
      <c r="F385" s="11">
        <f>LOOKUP(E385,{0,-2.9,-1.9,-0.9,0.1,1.1,2.1,3.5,4.9,6.3,7.7,9.1,10.5,11.9,13.3,14.7,16.1,18.3,20.5,22.4,24.3},{0,10,20,30,40,50,60,62,64,66,68,70,72,74,76,78,80,85,90,95,100})</f>
        <v>80</v>
      </c>
      <c r="G385" s="12">
        <v>270</v>
      </c>
      <c r="H385" s="11">
        <f>LOOKUP(G385,{0,175,180,185,190,195,200,204,208,212,216,220,224,228,232,236,240,248,255,260,265},{0,10,20,30,40,50,60,62,64,66,68,70,72,74,76,78,80,85,90,95,100})</f>
        <v>100</v>
      </c>
      <c r="I385" s="12">
        <v>27</v>
      </c>
      <c r="J385" s="11">
        <f>LOOKUP(I385,{0,3,4,5,6,7,8,9,10,11,12,13,14,15,16,17},{0,10,20,30,40,50,60,64,68,72,76,80,85,90,95,100})</f>
        <v>100</v>
      </c>
      <c r="K385" s="12">
        <f>I385-17</f>
        <v>10</v>
      </c>
      <c r="L385" s="11">
        <f>LOOKUP(K385,{0,1,2,3,4,5,6,7,8,9,10},{0,1,2,3,4,5,6,7,8,9,10})</f>
        <v>10</v>
      </c>
      <c r="M385" s="12">
        <f t="shared" si="223"/>
        <v>110</v>
      </c>
      <c r="N385" s="12">
        <v>6.7</v>
      </c>
      <c r="O385" s="12">
        <f t="shared" si="229"/>
        <v>5.3</v>
      </c>
      <c r="P385" s="11">
        <f>LOOKUP(O385,{0,1.6,1.8,2,2.2,2.4,2.6,2.8,3,3.2,3.4,3.6,3.8,4,4.2,4.4,4.6,4.7,4.8,4.9,5},{0,10,20,30,40,50,60,62,64,66,68,70,72,74,76,78,80,85,90,95,100})</f>
        <v>100</v>
      </c>
      <c r="Q385" s="12">
        <v>3.34</v>
      </c>
      <c r="R385" s="12">
        <f t="shared" si="225"/>
        <v>6.66</v>
      </c>
      <c r="S385" s="11">
        <f>LOOKUP(R385,{0,3.8,4,4.6,4.8,5,5.6,5.65,5.7,5.75,5.8,5.85,5.9,5.95,6,6.45,6.5,6.58,6.65,6.7,6.75},{0,10,20,30,40,50,60,62,64,66,68,70,72,74,76,78,80,85,90,95,100})</f>
        <v>90</v>
      </c>
      <c r="T385" s="12"/>
      <c r="U385" s="12"/>
      <c r="V385" s="12">
        <f t="shared" si="226"/>
        <v>90</v>
      </c>
      <c r="W385" s="12"/>
      <c r="X385" s="20">
        <f t="shared" si="227"/>
        <v>66</v>
      </c>
      <c r="Y385" s="20">
        <f t="shared" si="230"/>
        <v>104.285714285714</v>
      </c>
    </row>
    <row r="386" ht="15.6" hidden="1" outlineLevel="2" spans="1:25">
      <c r="A386" s="12">
        <v>212</v>
      </c>
      <c r="B386" s="12">
        <v>10</v>
      </c>
      <c r="C386" s="6" t="s">
        <v>616</v>
      </c>
      <c r="D386" s="6" t="s">
        <v>11</v>
      </c>
      <c r="E386" s="12"/>
      <c r="F386" s="11"/>
      <c r="G386" s="12"/>
      <c r="H386" s="11"/>
      <c r="I386" s="12"/>
      <c r="J386" s="11"/>
      <c r="K386" s="12"/>
      <c r="L386" s="12"/>
      <c r="M386" s="12"/>
      <c r="N386" s="12"/>
      <c r="O386" s="12"/>
      <c r="P386" s="11"/>
      <c r="Q386" s="12"/>
      <c r="R386" s="12"/>
      <c r="S386" s="11"/>
      <c r="T386" s="12"/>
      <c r="U386" s="11"/>
      <c r="V386" s="12"/>
      <c r="W386" s="12" t="s">
        <v>617</v>
      </c>
      <c r="X386" s="20">
        <f t="shared" si="227"/>
        <v>0</v>
      </c>
      <c r="Y386" s="20">
        <v>50</v>
      </c>
    </row>
    <row r="387" ht="15.6" hidden="1" outlineLevel="2" spans="1:25">
      <c r="A387" s="12">
        <v>212</v>
      </c>
      <c r="B387" s="12">
        <v>11</v>
      </c>
      <c r="C387" s="13" t="s">
        <v>619</v>
      </c>
      <c r="D387" s="6" t="s">
        <v>11</v>
      </c>
      <c r="E387" s="12">
        <v>22</v>
      </c>
      <c r="F387" s="11">
        <f>LOOKUP(E387,{0,-2.9,-1.9,-0.9,0.1,1.1,2.1,3.5,4.9,6.3,7.7,9.1,10.5,11.9,13.3,14.7,16.1,18.3,20.5,22.4,24.3},{0,10,20,30,40,50,60,62,64,66,68,70,72,74,76,78,80,85,90,95,100})</f>
        <v>90</v>
      </c>
      <c r="G387" s="12">
        <v>230</v>
      </c>
      <c r="H387" s="11">
        <f>LOOKUP(G387,{0,175,180,185,190,195,200,204,208,212,216,220,224,228,232,236,240,248,255,260,265},{0,10,20,30,40,50,60,62,64,66,68,70,72,74,76,78,80,85,90,95,100})</f>
        <v>74</v>
      </c>
      <c r="I387" s="12">
        <v>10</v>
      </c>
      <c r="J387" s="11">
        <f>LOOKUP(I387,{0,3,4,5,6,7,8,9,10,11,12,13,14,15,16,17},{0,10,20,30,40,50,60,64,68,72,76,80,85,90,95,100})</f>
        <v>68</v>
      </c>
      <c r="K387" s="12"/>
      <c r="L387" s="12"/>
      <c r="M387" s="12">
        <f t="shared" ref="M387:M389" si="231">J387+L387</f>
        <v>68</v>
      </c>
      <c r="N387" s="12">
        <v>7.1</v>
      </c>
      <c r="O387" s="12">
        <f t="shared" ref="O387:O389" si="232">12-N387</f>
        <v>4.9</v>
      </c>
      <c r="P387" s="11">
        <f>LOOKUP(O387,{0,1.6,1.8,2,2.2,2.4,2.6,2.8,3,3.2,3.4,3.6,3.8,4,4.2,4.4,4.6,4.7,4.8,4.9,5},{0,10,20,30,40,50,60,62,64,66,68,70,72,74,76,78,80,85,90,95,100})</f>
        <v>95</v>
      </c>
      <c r="Q387" s="12">
        <v>4</v>
      </c>
      <c r="R387" s="12">
        <f t="shared" ref="R387:R389" si="233">10-Q387</f>
        <v>6</v>
      </c>
      <c r="S387" s="11">
        <f>LOOKUP(R387,{0,3.8,4,4.6,4.8,5,5.6,5.65,5.7,5.75,5.8,5.85,5.9,5.95,6,6.45,6.5,6.58,6.65,6.7,6.75},{0,10,20,30,40,50,60,62,64,66,68,70,72,74,76,78,80,85,90,95,100})</f>
        <v>76</v>
      </c>
      <c r="T387" s="12"/>
      <c r="U387" s="12"/>
      <c r="V387" s="12">
        <f t="shared" ref="V387:V389" si="234">S387+U387</f>
        <v>76</v>
      </c>
      <c r="W387" s="12"/>
      <c r="X387" s="20">
        <f t="shared" si="227"/>
        <v>57.4</v>
      </c>
      <c r="Y387" s="20">
        <f t="shared" ref="Y387:Y389" si="235">X387/0.7+L387+U387</f>
        <v>82</v>
      </c>
    </row>
    <row r="388" ht="15.6" hidden="1" outlineLevel="2" spans="1:25">
      <c r="A388" s="12">
        <v>212</v>
      </c>
      <c r="B388" s="12">
        <v>12</v>
      </c>
      <c r="C388" s="6" t="s">
        <v>620</v>
      </c>
      <c r="D388" s="6" t="s">
        <v>11</v>
      </c>
      <c r="E388" s="12">
        <v>17.5</v>
      </c>
      <c r="F388" s="11">
        <f>LOOKUP(E388,{0,-2.9,-1.9,-0.9,0.1,1.1,2.1,3.5,4.9,6.3,7.7,9.1,10.5,11.9,13.3,14.7,16.1,18.3,20.5,22.4,24.3},{0,10,20,30,40,50,60,62,64,66,68,70,72,74,76,78,80,85,90,95,100})</f>
        <v>80</v>
      </c>
      <c r="G388" s="12">
        <v>224</v>
      </c>
      <c r="H388" s="11">
        <f>LOOKUP(G388,{0,175,180,185,190,195,200,204,208,212,216,220,224,228,232,236,240,248,255,260,265},{0,10,20,30,40,50,60,62,64,66,68,70,72,74,76,78,80,85,90,95,100})</f>
        <v>72</v>
      </c>
      <c r="I388" s="12">
        <v>9</v>
      </c>
      <c r="J388" s="11">
        <f>LOOKUP(I388,{0,3,4,5,6,7,8,9,10,11,12,13,14,15,16,17},{0,10,20,30,40,50,60,64,68,72,76,80,85,90,95,100})</f>
        <v>64</v>
      </c>
      <c r="K388" s="12"/>
      <c r="L388" s="12"/>
      <c r="M388" s="12">
        <f t="shared" si="231"/>
        <v>64</v>
      </c>
      <c r="N388" s="12">
        <v>7.6</v>
      </c>
      <c r="O388" s="12">
        <f t="shared" si="232"/>
        <v>4.4</v>
      </c>
      <c r="P388" s="11">
        <f>LOOKUP(O388,{0,1.6,1.8,2,2.2,2.4,2.6,2.8,3,3.2,3.4,3.6,3.8,4,4.2,4.4,4.6,4.7,4.8,4.9,5},{0,10,20,30,40,50,60,62,64,66,68,70,72,74,76,78,80,85,90,95,100})</f>
        <v>78</v>
      </c>
      <c r="Q388" s="12">
        <v>4.03</v>
      </c>
      <c r="R388" s="12">
        <f t="shared" si="233"/>
        <v>5.97</v>
      </c>
      <c r="S388" s="11">
        <f>LOOKUP(R388,{0,3.8,4,4.6,4.8,5,5.6,5.65,5.7,5.75,5.8,5.85,5.9,5.95,6,6.45,6.5,6.58,6.65,6.7,6.75},{0,10,20,30,40,50,60,62,64,66,68,70,72,74,76,78,80,85,90,95,100})</f>
        <v>74</v>
      </c>
      <c r="T388" s="12"/>
      <c r="U388" s="15"/>
      <c r="V388" s="12">
        <f t="shared" si="234"/>
        <v>74</v>
      </c>
      <c r="W388" s="12"/>
      <c r="X388" s="20">
        <f t="shared" si="227"/>
        <v>52</v>
      </c>
      <c r="Y388" s="20">
        <f t="shared" si="235"/>
        <v>74.2857142857143</v>
      </c>
    </row>
    <row r="389" s="1" customFormat="1" ht="15.6" hidden="1" outlineLevel="2" spans="1:25">
      <c r="A389" s="12">
        <v>212</v>
      </c>
      <c r="B389" s="12">
        <v>13</v>
      </c>
      <c r="C389" s="6" t="s">
        <v>621</v>
      </c>
      <c r="D389" s="6" t="s">
        <v>11</v>
      </c>
      <c r="E389" s="12">
        <v>6</v>
      </c>
      <c r="F389" s="11">
        <f>LOOKUP(E389,{0,-2.9,-1.9,-0.9,0.1,1.1,2.1,3.5,4.9,6.3,7.7,9.1,10.5,11.9,13.3,14.7,16.1,18.3,20.5,22.4,24.3},{0,10,20,30,40,50,60,62,64,66,68,70,72,74,76,78,80,85,90,95,100})</f>
        <v>64</v>
      </c>
      <c r="G389" s="12">
        <v>178</v>
      </c>
      <c r="H389" s="11">
        <f>LOOKUP(G389,{0,175,180,185,190,195,200,204,208,212,216,220,224,228,232,236,240,248,255,260,265},{0,10,20,30,40,50,60,62,64,66,68,70,72,74,76,78,80,85,90,95,100})</f>
        <v>10</v>
      </c>
      <c r="I389" s="12">
        <v>1</v>
      </c>
      <c r="J389" s="11">
        <f>LOOKUP(I389,{0,3,4,5,6,7,8,9,10,11,12,13,14,15,16,17},{0,10,20,30,40,50,60,64,68,72,76,80,85,90,95,100})</f>
        <v>0</v>
      </c>
      <c r="K389" s="12"/>
      <c r="L389" s="12"/>
      <c r="M389" s="12">
        <f t="shared" si="231"/>
        <v>0</v>
      </c>
      <c r="N389" s="12">
        <v>8.3</v>
      </c>
      <c r="O389" s="12">
        <f t="shared" si="232"/>
        <v>3.7</v>
      </c>
      <c r="P389" s="11">
        <f>LOOKUP(O389,{0,1.6,1.8,2,2.2,2.4,2.6,2.8,3,3.2,3.4,3.6,3.8,4,4.2,4.4,4.6,4.7,4.8,4.9,5},{0,10,20,30,40,50,60,62,64,66,68,70,72,74,76,78,80,85,90,95,100})</f>
        <v>70</v>
      </c>
      <c r="Q389" s="12">
        <v>5.24</v>
      </c>
      <c r="R389" s="12">
        <f t="shared" si="233"/>
        <v>4.76</v>
      </c>
      <c r="S389" s="11">
        <f>LOOKUP(R389,{0,3.8,4,4.6,4.8,5,5.6,5.65,5.7,5.75,5.8,5.85,5.9,5.95,6,6.45,6.5,6.58,6.65,6.7,6.75},{0,10,20,30,40,50,60,62,64,66,68,70,72,74,76,78,80,85,90,95,100})</f>
        <v>30</v>
      </c>
      <c r="T389" s="12"/>
      <c r="U389" s="12"/>
      <c r="V389" s="12">
        <f t="shared" si="234"/>
        <v>30</v>
      </c>
      <c r="W389" s="12"/>
      <c r="X389" s="20">
        <f t="shared" si="227"/>
        <v>27.4</v>
      </c>
      <c r="Y389" s="20">
        <f t="shared" si="235"/>
        <v>39.1428571428571</v>
      </c>
    </row>
    <row r="390" ht="15.6" hidden="1" outlineLevel="2" spans="1:25">
      <c r="A390" s="12">
        <v>212</v>
      </c>
      <c r="B390" s="12">
        <v>14</v>
      </c>
      <c r="C390" s="6" t="s">
        <v>622</v>
      </c>
      <c r="D390" s="6" t="s">
        <v>11</v>
      </c>
      <c r="E390" s="12"/>
      <c r="F390" s="11"/>
      <c r="G390" s="12"/>
      <c r="H390" s="11"/>
      <c r="I390" s="12"/>
      <c r="J390" s="11"/>
      <c r="K390" s="12"/>
      <c r="L390" s="12"/>
      <c r="M390" s="12"/>
      <c r="N390" s="12"/>
      <c r="O390" s="12"/>
      <c r="P390" s="11"/>
      <c r="Q390" s="12"/>
      <c r="R390" s="12"/>
      <c r="S390" s="11"/>
      <c r="T390" s="12"/>
      <c r="U390" s="16"/>
      <c r="V390" s="12"/>
      <c r="W390" s="12" t="s">
        <v>617</v>
      </c>
      <c r="X390" s="20">
        <f t="shared" si="227"/>
        <v>0</v>
      </c>
      <c r="Y390" s="20">
        <v>50</v>
      </c>
    </row>
    <row r="391" ht="15.6" hidden="1" outlineLevel="2" spans="1:25">
      <c r="A391" s="12">
        <v>212</v>
      </c>
      <c r="B391" s="12">
        <v>15</v>
      </c>
      <c r="C391" s="6" t="s">
        <v>623</v>
      </c>
      <c r="D391" s="6" t="s">
        <v>11</v>
      </c>
      <c r="E391" s="12">
        <v>6.5</v>
      </c>
      <c r="F391" s="11">
        <f>LOOKUP(E391,{0,-2.9,-1.9,-0.9,0.1,1.1,2.1,3.5,4.9,6.3,7.7,9.1,10.5,11.9,13.3,14.7,16.1,18.3,20.5,22.4,24.3},{0,10,20,30,40,50,60,62,64,66,68,70,72,74,76,78,80,85,90,95,100})</f>
        <v>66</v>
      </c>
      <c r="G391" s="12">
        <v>214</v>
      </c>
      <c r="H391" s="11">
        <f>LOOKUP(G391,{0,175,180,185,190,195,200,204,208,212,216,220,224,228,232,236,240,248,255,260,265},{0,10,20,30,40,50,60,62,64,66,68,70,72,74,76,78,80,85,90,95,100})</f>
        <v>66</v>
      </c>
      <c r="I391" s="12">
        <v>16</v>
      </c>
      <c r="J391" s="11">
        <f>LOOKUP(I391,{0,3,4,5,6,7,8,9,10,11,12,13,14,15,16,17},{0,10,20,30,40,50,60,64,68,72,76,80,85,90,95,100})</f>
        <v>95</v>
      </c>
      <c r="K391" s="12"/>
      <c r="L391" s="12"/>
      <c r="M391" s="12">
        <f t="shared" ref="M391:M395" si="236">J391+L391</f>
        <v>95</v>
      </c>
      <c r="N391" s="12">
        <v>7.1</v>
      </c>
      <c r="O391" s="12">
        <f t="shared" ref="O391:O395" si="237">12-N391</f>
        <v>4.9</v>
      </c>
      <c r="P391" s="11">
        <f>LOOKUP(O391,{0,1.6,1.8,2,2.2,2.4,2.6,2.8,3,3.2,3.4,3.6,3.8,4,4.2,4.4,4.6,4.7,4.8,4.9,5},{0,10,20,30,40,50,60,62,64,66,68,70,72,74,76,78,80,85,90,95,100})</f>
        <v>95</v>
      </c>
      <c r="Q391" s="12">
        <v>3.48</v>
      </c>
      <c r="R391" s="12">
        <f t="shared" ref="R391:R395" si="238">10-Q391</f>
        <v>6.52</v>
      </c>
      <c r="S391" s="11">
        <f>LOOKUP(R391,{0,3.8,4,4.6,4.8,5,5.6,5.65,5.7,5.75,5.8,5.85,5.9,5.95,6,6.45,6.5,6.58,6.65,6.7,6.75},{0,10,20,30,40,50,60,62,64,66,68,70,72,74,76,78,80,85,90,95,100})</f>
        <v>80</v>
      </c>
      <c r="T391" s="12"/>
      <c r="U391" s="12"/>
      <c r="V391" s="12">
        <f t="shared" ref="V391:V395" si="239">S391+U391</f>
        <v>80</v>
      </c>
      <c r="W391" s="12"/>
      <c r="X391" s="20">
        <f t="shared" si="227"/>
        <v>57.7</v>
      </c>
      <c r="Y391" s="20">
        <f t="shared" ref="Y391:Y395" si="240">X391/0.7+L391+U391</f>
        <v>82.4285714285714</v>
      </c>
    </row>
    <row r="392" ht="15.6" hidden="1" outlineLevel="2" spans="1:25">
      <c r="A392" s="12">
        <v>212</v>
      </c>
      <c r="B392" s="12">
        <v>16</v>
      </c>
      <c r="C392" s="6" t="s">
        <v>624</v>
      </c>
      <c r="D392" s="6" t="s">
        <v>11</v>
      </c>
      <c r="E392" s="12">
        <v>18.4</v>
      </c>
      <c r="F392" s="11">
        <f>LOOKUP(E392,{0,-2.9,-1.9,-0.9,0.1,1.1,2.1,3.5,4.9,6.3,7.7,9.1,10.5,11.9,13.3,14.7,16.1,18.3,20.5,22.4,24.3},{0,10,20,30,40,50,60,62,64,66,68,70,72,74,76,78,80,85,90,95,100})</f>
        <v>85</v>
      </c>
      <c r="G392" s="12">
        <v>209</v>
      </c>
      <c r="H392" s="11">
        <f>LOOKUP(G392,{0,175,180,185,190,195,200,204,208,212,216,220,224,228,232,236,240,248,255,260,265},{0,10,20,30,40,50,60,62,64,66,68,70,72,74,76,78,80,85,90,95,100})</f>
        <v>64</v>
      </c>
      <c r="I392" s="12">
        <v>0</v>
      </c>
      <c r="J392" s="11">
        <f>LOOKUP(I392,{0,3,4,5,6,7,8,9,10,11,12,13,14,15,16,17},{0,10,20,30,40,50,60,64,68,72,76,80,85,90,95,100})</f>
        <v>0</v>
      </c>
      <c r="K392" s="12"/>
      <c r="L392" s="12"/>
      <c r="M392" s="12">
        <f t="shared" si="236"/>
        <v>0</v>
      </c>
      <c r="N392" s="12">
        <v>8</v>
      </c>
      <c r="O392" s="12">
        <f t="shared" si="237"/>
        <v>4</v>
      </c>
      <c r="P392" s="11">
        <f>LOOKUP(O392,{0,1.6,1.8,2,2.2,2.4,2.6,2.8,3,3.2,3.4,3.6,3.8,4,4.2,4.4,4.6,4.7,4.8,4.9,5},{0,10,20,30,40,50,60,62,64,66,68,70,72,74,76,78,80,85,90,95,100})</f>
        <v>74</v>
      </c>
      <c r="Q392" s="12">
        <v>3.52</v>
      </c>
      <c r="R392" s="12">
        <f t="shared" si="238"/>
        <v>6.48</v>
      </c>
      <c r="S392" s="11">
        <f>LOOKUP(R392,{0,3.8,4,4.6,4.8,5,5.6,5.65,5.7,5.75,5.8,5.85,5.9,5.95,6,6.45,6.5,6.58,6.65,6.7,6.75},{0,10,20,30,40,50,60,62,64,66,68,70,72,74,76,78,80,85,90,95,100})</f>
        <v>78</v>
      </c>
      <c r="T392" s="12"/>
      <c r="U392" s="12"/>
      <c r="V392" s="12">
        <f t="shared" si="239"/>
        <v>78</v>
      </c>
      <c r="W392" s="12"/>
      <c r="X392" s="20">
        <f t="shared" si="227"/>
        <v>45.3</v>
      </c>
      <c r="Y392" s="20">
        <f t="shared" si="240"/>
        <v>64.7142857142857</v>
      </c>
    </row>
    <row r="393" ht="15.6" hidden="1" outlineLevel="2" spans="1:25">
      <c r="A393" s="12">
        <v>212</v>
      </c>
      <c r="B393" s="12">
        <v>17</v>
      </c>
      <c r="C393" s="6" t="s">
        <v>625</v>
      </c>
      <c r="D393" s="6" t="s">
        <v>11</v>
      </c>
      <c r="E393" s="12">
        <v>16.6</v>
      </c>
      <c r="F393" s="11">
        <f>LOOKUP(E393,{0,-2.9,-1.9,-0.9,0.1,1.1,2.1,3.5,4.9,6.3,7.7,9.1,10.5,11.9,13.3,14.7,16.1,18.3,20.5,22.4,24.3},{0,10,20,30,40,50,60,62,64,66,68,70,72,74,76,78,80,85,90,95,100})</f>
        <v>80</v>
      </c>
      <c r="G393" s="12">
        <v>215</v>
      </c>
      <c r="H393" s="11">
        <f>LOOKUP(G393,{0,175,180,185,190,195,200,204,208,212,216,220,224,228,232,236,240,248,255,260,265},{0,10,20,30,40,50,60,62,64,66,68,70,72,74,76,78,80,85,90,95,100})</f>
        <v>66</v>
      </c>
      <c r="I393" s="12">
        <v>11</v>
      </c>
      <c r="J393" s="11">
        <f>LOOKUP(I393,{0,3,4,5,6,7,8,9,10,11,12,13,14,15,16,17},{0,10,20,30,40,50,60,64,68,72,76,80,85,90,95,100})</f>
        <v>72</v>
      </c>
      <c r="K393" s="12"/>
      <c r="L393" s="12"/>
      <c r="M393" s="12">
        <f t="shared" si="236"/>
        <v>72</v>
      </c>
      <c r="N393" s="12">
        <v>7.3</v>
      </c>
      <c r="O393" s="12">
        <f t="shared" si="237"/>
        <v>4.7</v>
      </c>
      <c r="P393" s="11">
        <f>LOOKUP(O393,{0,1.6,1.8,2,2.2,2.4,2.6,2.8,3,3.2,3.4,3.6,3.8,4,4.2,4.4,4.6,4.7,4.8,4.9,5},{0,10,20,30,40,50,60,62,64,66,68,70,72,74,76,78,80,85,90,95,100})</f>
        <v>85</v>
      </c>
      <c r="Q393" s="12">
        <v>3.49</v>
      </c>
      <c r="R393" s="12">
        <f t="shared" si="238"/>
        <v>6.51</v>
      </c>
      <c r="S393" s="11">
        <f>LOOKUP(R393,{0,3.8,4,4.6,4.8,5,5.6,5.65,5.7,5.75,5.8,5.85,5.9,5.95,6,6.45,6.5,6.58,6.65,6.7,6.75},{0,10,20,30,40,50,60,62,64,66,68,70,72,74,76,78,80,85,90,95,100})</f>
        <v>80</v>
      </c>
      <c r="T393" s="12"/>
      <c r="U393" s="12"/>
      <c r="V393" s="12">
        <f t="shared" si="239"/>
        <v>80</v>
      </c>
      <c r="W393" s="12"/>
      <c r="X393" s="20">
        <f t="shared" si="227"/>
        <v>54.8</v>
      </c>
      <c r="Y393" s="20">
        <f t="shared" si="240"/>
        <v>78.2857142857143</v>
      </c>
    </row>
    <row r="394" ht="15.6" hidden="1" outlineLevel="2" spans="1:25">
      <c r="A394" s="12">
        <v>212</v>
      </c>
      <c r="B394" s="12">
        <v>18</v>
      </c>
      <c r="C394" s="6" t="s">
        <v>626</v>
      </c>
      <c r="D394" s="6" t="s">
        <v>11</v>
      </c>
      <c r="E394" s="12">
        <v>10.4</v>
      </c>
      <c r="F394" s="11">
        <f>LOOKUP(E394,{0,-2.9,-1.9,-0.9,0.1,1.1,2.1,3.5,4.9,6.3,7.7,9.1,10.5,11.9,13.3,14.7,16.1,18.3,20.5,22.4,24.3},{0,10,20,30,40,50,60,62,64,66,68,70,72,74,76,78,80,85,90,95,100})</f>
        <v>70</v>
      </c>
      <c r="G394" s="12">
        <v>220</v>
      </c>
      <c r="H394" s="11">
        <f>LOOKUP(G394,{0,175,180,185,190,195,200,204,208,212,216,220,224,228,232,236,240,248,255,260,265},{0,10,20,30,40,50,60,62,64,66,68,70,72,74,76,78,80,85,90,95,100})</f>
        <v>70</v>
      </c>
      <c r="I394" s="12">
        <v>0</v>
      </c>
      <c r="J394" s="11">
        <f>LOOKUP(I394,{0,3,4,5,6,7,8,9,10,11,12,13,14,15,16,17},{0,10,20,30,40,50,60,64,68,72,76,80,85,90,95,100})</f>
        <v>0</v>
      </c>
      <c r="K394" s="12"/>
      <c r="L394" s="12"/>
      <c r="M394" s="12">
        <f t="shared" si="236"/>
        <v>0</v>
      </c>
      <c r="N394" s="12">
        <v>7.5</v>
      </c>
      <c r="O394" s="12">
        <f t="shared" si="237"/>
        <v>4.5</v>
      </c>
      <c r="P394" s="11">
        <f>LOOKUP(O394,{0,1.6,1.8,2,2.2,2.4,2.6,2.8,3,3.2,3.4,3.6,3.8,4,4.2,4.4,4.6,4.7,4.8,4.9,5},{0,10,20,30,40,50,60,62,64,66,68,70,72,74,76,78,80,85,90,95,100})</f>
        <v>78</v>
      </c>
      <c r="Q394" s="12">
        <v>4.08</v>
      </c>
      <c r="R394" s="12">
        <f t="shared" si="238"/>
        <v>5.92</v>
      </c>
      <c r="S394" s="11">
        <f>LOOKUP(R394,{0,3.8,4,4.6,4.8,5,5.6,5.65,5.7,5.75,5.8,5.85,5.9,5.95,6,6.45,6.5,6.58,6.65,6.7,6.75},{0,10,20,30,40,50,60,62,64,66,68,70,72,74,76,78,80,85,90,95,100})</f>
        <v>72</v>
      </c>
      <c r="T394" s="12"/>
      <c r="U394" s="12"/>
      <c r="V394" s="12">
        <f t="shared" si="239"/>
        <v>72</v>
      </c>
      <c r="W394" s="12"/>
      <c r="X394" s="20">
        <f t="shared" si="227"/>
        <v>44</v>
      </c>
      <c r="Y394" s="20">
        <f t="shared" si="240"/>
        <v>62.8571428571429</v>
      </c>
    </row>
    <row r="395" ht="15.6" hidden="1" outlineLevel="2" spans="1:25">
      <c r="A395" s="12">
        <v>212</v>
      </c>
      <c r="B395" s="12">
        <v>19</v>
      </c>
      <c r="C395" s="6" t="s">
        <v>627</v>
      </c>
      <c r="D395" s="6" t="s">
        <v>11</v>
      </c>
      <c r="E395" s="12">
        <v>16.5</v>
      </c>
      <c r="F395" s="11">
        <f>LOOKUP(E395,{0,-2.9,-1.9,-0.9,0.1,1.1,2.1,3.5,4.9,6.3,7.7,9.1,10.5,11.9,13.3,14.7,16.1,18.3,20.5,22.4,24.3},{0,10,20,30,40,50,60,62,64,66,68,70,72,74,76,78,80,85,90,95,100})</f>
        <v>80</v>
      </c>
      <c r="G395" s="12">
        <v>240</v>
      </c>
      <c r="H395" s="11">
        <f>LOOKUP(G395,{0,175,180,185,190,195,200,204,208,212,216,220,224,228,232,236,240,248,255,260,265},{0,10,20,30,40,50,60,62,64,66,68,70,72,74,76,78,80,85,90,95,100})</f>
        <v>80</v>
      </c>
      <c r="I395" s="12">
        <v>0</v>
      </c>
      <c r="J395" s="11">
        <f>LOOKUP(I395,{0,3,4,5,6,7,8,9,10,11,12,13,14,15,16,17},{0,10,20,30,40,50,60,64,68,72,76,80,85,90,95,100})</f>
        <v>0</v>
      </c>
      <c r="K395" s="12"/>
      <c r="L395" s="12"/>
      <c r="M395" s="12">
        <f t="shared" si="236"/>
        <v>0</v>
      </c>
      <c r="N395" s="12">
        <v>7.4</v>
      </c>
      <c r="O395" s="12">
        <f t="shared" si="237"/>
        <v>4.6</v>
      </c>
      <c r="P395" s="11">
        <f>LOOKUP(O395,{0,1.6,1.8,2,2.2,2.4,2.6,2.8,3,3.2,3.4,3.6,3.8,4,4.2,4.4,4.6,4.7,4.8,4.9,5},{0,10,20,30,40,50,60,62,64,66,68,70,72,74,76,78,80,85,90,95,100})</f>
        <v>80</v>
      </c>
      <c r="Q395" s="12">
        <v>3.25</v>
      </c>
      <c r="R395" s="12">
        <f t="shared" si="238"/>
        <v>6.75</v>
      </c>
      <c r="S395" s="11">
        <f>LOOKUP(R395,{0,3.8,4,4.6,4.8,5,5.6,5.65,5.7,5.75,5.8,5.85,5.9,5.95,6,6.45,6.5,6.58,6.65,6.7,6.75},{0,10,20,30,40,50,60,62,64,66,68,70,72,74,76,78,80,85,90,95,100})</f>
        <v>100</v>
      </c>
      <c r="T395" s="12">
        <f>3.25-Q395</f>
        <v>0</v>
      </c>
      <c r="U395" s="11">
        <f>LOOKUP(T395,{0,0.04,0.08,0.12,0.16,0.2,0.23,0.26,0.29,0.32,0.35},{0,1,2,3,4,5,6,7,8,9,10})</f>
        <v>0</v>
      </c>
      <c r="V395" s="12">
        <f t="shared" si="239"/>
        <v>100</v>
      </c>
      <c r="W395" s="12"/>
      <c r="X395" s="20">
        <f t="shared" si="227"/>
        <v>52</v>
      </c>
      <c r="Y395" s="20">
        <f t="shared" si="240"/>
        <v>74.2857142857143</v>
      </c>
    </row>
    <row r="396" ht="15.6" hidden="1" outlineLevel="2" spans="1:25">
      <c r="A396" s="12">
        <v>212</v>
      </c>
      <c r="B396" s="12">
        <v>20</v>
      </c>
      <c r="C396" s="6" t="s">
        <v>628</v>
      </c>
      <c r="D396" s="6" t="s">
        <v>11</v>
      </c>
      <c r="E396" s="12"/>
      <c r="F396" s="11"/>
      <c r="G396" s="12"/>
      <c r="H396" s="11"/>
      <c r="I396" s="12"/>
      <c r="J396" s="11"/>
      <c r="K396" s="12"/>
      <c r="L396" s="12"/>
      <c r="M396" s="12"/>
      <c r="N396" s="12"/>
      <c r="O396" s="12"/>
      <c r="P396" s="11"/>
      <c r="Q396" s="12"/>
      <c r="R396" s="12"/>
      <c r="S396" s="11"/>
      <c r="T396" s="12"/>
      <c r="U396" s="16"/>
      <c r="V396" s="12"/>
      <c r="W396" s="12" t="s">
        <v>617</v>
      </c>
      <c r="X396" s="20">
        <f t="shared" si="227"/>
        <v>0</v>
      </c>
      <c r="Y396" s="20">
        <v>50</v>
      </c>
    </row>
    <row r="397" ht="15.6" hidden="1" outlineLevel="2" spans="1:25">
      <c r="A397" s="12">
        <v>212</v>
      </c>
      <c r="B397" s="12">
        <v>21</v>
      </c>
      <c r="C397" s="13" t="s">
        <v>630</v>
      </c>
      <c r="D397" s="6" t="s">
        <v>11</v>
      </c>
      <c r="E397" s="12">
        <v>9</v>
      </c>
      <c r="F397" s="11">
        <f>LOOKUP(E397,{0,-2.9,-1.9,-0.9,0.1,1.1,2.1,3.5,4.9,6.3,7.7,9.1,10.5,11.9,13.3,14.7,16.1,18.3,20.5,22.4,24.3},{0,10,20,30,40,50,60,62,64,66,68,70,72,74,76,78,80,85,90,95,100})</f>
        <v>68</v>
      </c>
      <c r="G397" s="12">
        <v>225</v>
      </c>
      <c r="H397" s="11">
        <f>LOOKUP(G397,{0,175,180,185,190,195,200,204,208,212,216,220,224,228,232,236,240,248,255,260,265},{0,10,20,30,40,50,60,62,64,66,68,70,72,74,76,78,80,85,90,95,100})</f>
        <v>72</v>
      </c>
      <c r="I397" s="12">
        <v>3</v>
      </c>
      <c r="J397" s="11">
        <f>LOOKUP(I397,{0,3,4,5,6,7,8,9,10,11,12,13,14,15,16,17},{0,10,20,30,40,50,60,64,68,72,76,80,85,90,95,100})</f>
        <v>10</v>
      </c>
      <c r="K397" s="12"/>
      <c r="L397" s="12"/>
      <c r="M397" s="12">
        <f t="shared" ref="M397:M399" si="241">J397+L397</f>
        <v>10</v>
      </c>
      <c r="N397" s="12">
        <v>7.4</v>
      </c>
      <c r="O397" s="12">
        <f t="shared" ref="O397:O399" si="242">12-N397</f>
        <v>4.6</v>
      </c>
      <c r="P397" s="11">
        <f>LOOKUP(O397,{0,1.6,1.8,2,2.2,2.4,2.6,2.8,3,3.2,3.4,3.6,3.8,4,4.2,4.4,4.6,4.7,4.8,4.9,5},{0,10,20,30,40,50,60,62,64,66,68,70,72,74,76,78,80,85,90,95,100})</f>
        <v>80</v>
      </c>
      <c r="Q397" s="12">
        <v>3.58</v>
      </c>
      <c r="R397" s="12">
        <f t="shared" ref="R397:R399" si="243">10-Q397</f>
        <v>6.42</v>
      </c>
      <c r="S397" s="11">
        <f>LOOKUP(R397,{0,3.8,4,4.6,4.8,5,5.6,5.65,5.7,5.75,5.8,5.85,5.9,5.95,6,6.45,6.5,6.58,6.65,6.7,6.75},{0,10,20,30,40,50,60,62,64,66,68,70,72,74,76,78,80,85,90,95,100})</f>
        <v>76</v>
      </c>
      <c r="T397" s="12"/>
      <c r="U397" s="12"/>
      <c r="V397" s="12">
        <f t="shared" ref="V397:V399" si="244">S397+U397</f>
        <v>76</v>
      </c>
      <c r="W397" s="12"/>
      <c r="X397" s="20">
        <f t="shared" si="227"/>
        <v>46.2</v>
      </c>
      <c r="Y397" s="20">
        <f t="shared" ref="Y397:Y399" si="245">X397/0.7+L397+U397</f>
        <v>66</v>
      </c>
    </row>
    <row r="398" ht="15.6" hidden="1" outlineLevel="2" spans="1:25">
      <c r="A398" s="12">
        <v>212</v>
      </c>
      <c r="B398" s="12">
        <v>22</v>
      </c>
      <c r="C398" s="6" t="s">
        <v>631</v>
      </c>
      <c r="D398" s="6" t="s">
        <v>11</v>
      </c>
      <c r="E398" s="12">
        <v>13.5</v>
      </c>
      <c r="F398" s="11">
        <f>LOOKUP(E398,{0,-2.9,-1.9,-0.9,0.1,1.1,2.1,3.5,4.9,6.3,7.7,9.1,10.5,11.9,13.3,14.7,16.1,18.3,20.5,22.4,24.3},{0,10,20,30,40,50,60,62,64,66,68,70,72,74,76,78,80,85,90,95,100})</f>
        <v>76</v>
      </c>
      <c r="G398" s="12">
        <v>270</v>
      </c>
      <c r="H398" s="11">
        <f>LOOKUP(G398,{0,175,180,185,190,195,200,204,208,212,216,220,224,228,232,236,240,248,255,260,265},{0,10,20,30,40,50,60,62,64,66,68,70,72,74,76,78,80,85,90,95,100})</f>
        <v>100</v>
      </c>
      <c r="I398" s="12">
        <v>18</v>
      </c>
      <c r="J398" s="11">
        <f>LOOKUP(I398,{0,3,4,5,6,7,8,9,10,11,12,13,14,15,16,17},{0,10,20,30,40,50,60,64,68,72,76,80,85,90,95,100})</f>
        <v>100</v>
      </c>
      <c r="K398" s="12">
        <f>I398-17</f>
        <v>1</v>
      </c>
      <c r="L398" s="11">
        <f>LOOKUP(K398,{0,1,2,3,4,5,6,7,8,9,10},{0,1,2,3,4,5,6,7,8,9,10})</f>
        <v>1</v>
      </c>
      <c r="M398" s="12">
        <f t="shared" si="241"/>
        <v>101</v>
      </c>
      <c r="N398" s="12">
        <v>7.2</v>
      </c>
      <c r="O398" s="12">
        <f t="shared" si="242"/>
        <v>4.8</v>
      </c>
      <c r="P398" s="11">
        <f>LOOKUP(O398,{0,1.6,1.8,2,2.2,2.4,2.6,2.8,3,3.2,3.4,3.6,3.8,4,4.2,4.4,4.6,4.7,4.8,4.9,5},{0,10,20,30,40,50,60,62,64,66,68,70,72,74,76,78,80,85,90,95,100})</f>
        <v>90</v>
      </c>
      <c r="Q398" s="12">
        <v>3.3</v>
      </c>
      <c r="R398" s="12">
        <f t="shared" si="243"/>
        <v>6.7</v>
      </c>
      <c r="S398" s="11">
        <f>LOOKUP(R398,{0,3.8,4,4.6,4.8,5,5.6,5.65,5.7,5.75,5.8,5.85,5.9,5.95,6,6.45,6.5,6.58,6.65,6.7,6.75},{0,10,20,30,40,50,60,62,64,66,68,70,72,74,76,78,80,85,90,95,100})</f>
        <v>95</v>
      </c>
      <c r="T398" s="12"/>
      <c r="U398" s="15"/>
      <c r="V398" s="12">
        <f t="shared" si="244"/>
        <v>95</v>
      </c>
      <c r="W398" s="12"/>
      <c r="X398" s="20">
        <f t="shared" si="227"/>
        <v>64.6</v>
      </c>
      <c r="Y398" s="20">
        <f t="shared" si="245"/>
        <v>93.2857142857143</v>
      </c>
    </row>
    <row r="399" ht="15.6" hidden="1" outlineLevel="2" spans="1:25">
      <c r="A399" s="12">
        <v>212</v>
      </c>
      <c r="B399" s="12">
        <v>23</v>
      </c>
      <c r="C399" s="6" t="s">
        <v>632</v>
      </c>
      <c r="D399" s="6" t="s">
        <v>11</v>
      </c>
      <c r="E399" s="12">
        <v>23.5</v>
      </c>
      <c r="F399" s="11">
        <f>LOOKUP(E399,{0,-2.9,-1.9,-0.9,0.1,1.1,2.1,3.5,4.9,6.3,7.7,9.1,10.5,11.9,13.3,14.7,16.1,18.3,20.5,22.4,24.3},{0,10,20,30,40,50,60,62,64,66,68,70,72,74,76,78,80,85,90,95,100})</f>
        <v>95</v>
      </c>
      <c r="G399" s="12">
        <v>260</v>
      </c>
      <c r="H399" s="11">
        <f>LOOKUP(G399,{0,175,180,185,190,195,200,204,208,212,216,220,224,228,232,236,240,248,255,260,265},{0,10,20,30,40,50,60,62,64,66,68,70,72,74,76,78,80,85,90,95,100})</f>
        <v>95</v>
      </c>
      <c r="I399" s="12">
        <v>17</v>
      </c>
      <c r="J399" s="11">
        <f>LOOKUP(I399,{0,3,4,5,6,7,8,9,10,11,12,13,14,15,16,17},{0,10,20,30,40,50,60,64,68,72,76,80,85,90,95,100})</f>
        <v>100</v>
      </c>
      <c r="K399" s="12">
        <f>I399-17</f>
        <v>0</v>
      </c>
      <c r="L399" s="11">
        <f>LOOKUP(K399,{0,1,2,3,4,5,6,7,8,9,10},{0,1,2,3,4,5,6,7,8,9,10})</f>
        <v>0</v>
      </c>
      <c r="M399" s="12">
        <f t="shared" si="241"/>
        <v>100</v>
      </c>
      <c r="N399" s="12">
        <v>7.6</v>
      </c>
      <c r="O399" s="12">
        <f t="shared" si="242"/>
        <v>4.4</v>
      </c>
      <c r="P399" s="11">
        <f>LOOKUP(O399,{0,1.6,1.8,2,2.2,2.4,2.6,2.8,3,3.2,3.4,3.6,3.8,4,4.2,4.4,4.6,4.7,4.8,4.9,5},{0,10,20,30,40,50,60,62,64,66,68,70,72,74,76,78,80,85,90,95,100})</f>
        <v>78</v>
      </c>
      <c r="Q399" s="12">
        <v>4.14</v>
      </c>
      <c r="R399" s="12">
        <f t="shared" si="243"/>
        <v>5.86</v>
      </c>
      <c r="S399" s="11">
        <f>LOOKUP(R399,{0,3.8,4,4.6,4.8,5,5.6,5.65,5.7,5.75,5.8,5.85,5.9,5.95,6,6.45,6.5,6.58,6.65,6.7,6.75},{0,10,20,30,40,50,60,62,64,66,68,70,72,74,76,78,80,85,90,95,100})</f>
        <v>70</v>
      </c>
      <c r="T399" s="12"/>
      <c r="U399" s="12"/>
      <c r="V399" s="12">
        <f t="shared" si="244"/>
        <v>70</v>
      </c>
      <c r="W399" s="12"/>
      <c r="X399" s="20">
        <f t="shared" si="227"/>
        <v>58.6</v>
      </c>
      <c r="Y399" s="20">
        <f t="shared" si="245"/>
        <v>83.7142857142857</v>
      </c>
    </row>
    <row r="400" ht="15.6" hidden="1" outlineLevel="2" spans="1:25">
      <c r="A400" s="12">
        <v>212</v>
      </c>
      <c r="B400" s="12">
        <v>24</v>
      </c>
      <c r="C400" s="6" t="s">
        <v>633</v>
      </c>
      <c r="D400" s="6" t="s">
        <v>11</v>
      </c>
      <c r="E400" s="12"/>
      <c r="F400" s="11"/>
      <c r="G400" s="12"/>
      <c r="H400" s="11"/>
      <c r="I400" s="12"/>
      <c r="J400" s="11"/>
      <c r="K400" s="12"/>
      <c r="L400" s="12"/>
      <c r="M400" s="12"/>
      <c r="N400" s="12"/>
      <c r="O400" s="12"/>
      <c r="P400" s="11"/>
      <c r="Q400" s="12"/>
      <c r="R400" s="12"/>
      <c r="S400" s="11"/>
      <c r="T400" s="12"/>
      <c r="U400" s="16"/>
      <c r="V400" s="12"/>
      <c r="W400" s="12" t="s">
        <v>617</v>
      </c>
      <c r="X400" s="20">
        <f t="shared" si="227"/>
        <v>0</v>
      </c>
      <c r="Y400" s="20">
        <v>50</v>
      </c>
    </row>
    <row r="401" s="1" customFormat="1" ht="15.6" hidden="1" outlineLevel="2" spans="1:25">
      <c r="A401" s="12">
        <v>212</v>
      </c>
      <c r="B401" s="12">
        <v>25</v>
      </c>
      <c r="C401" s="6" t="s">
        <v>634</v>
      </c>
      <c r="D401" s="6" t="s">
        <v>11</v>
      </c>
      <c r="E401" s="12">
        <v>24.6</v>
      </c>
      <c r="F401" s="11">
        <f>LOOKUP(E401,{0,-2.9,-1.9,-0.9,0.1,1.1,2.1,3.5,4.9,6.3,7.7,9.1,10.5,11.9,13.3,14.7,16.1,18.3,20.5,22.4,24.3},{0,10,20,30,40,50,60,62,64,66,68,70,72,74,76,78,80,85,90,95,100})</f>
        <v>100</v>
      </c>
      <c r="G401" s="12">
        <v>231</v>
      </c>
      <c r="H401" s="11">
        <f>LOOKUP(G401,{0,175,180,185,190,195,200,204,208,212,216,220,224,228,232,236,240,248,255,260,265},{0,10,20,30,40,50,60,62,64,66,68,70,72,74,76,78,80,85,90,95,100})</f>
        <v>74</v>
      </c>
      <c r="I401" s="12">
        <v>5</v>
      </c>
      <c r="J401" s="11">
        <f>LOOKUP(I401,{0,3,4,5,6,7,8,9,10,11,12,13,14,15,16,17},{0,10,20,30,40,50,60,64,68,72,76,80,85,90,95,100})</f>
        <v>30</v>
      </c>
      <c r="K401" s="12"/>
      <c r="L401" s="12"/>
      <c r="M401" s="12">
        <f t="shared" ref="M401:M406" si="246">J401+L401</f>
        <v>30</v>
      </c>
      <c r="N401" s="12">
        <v>7.2</v>
      </c>
      <c r="O401" s="12">
        <f t="shared" ref="O401:O406" si="247">12-N401</f>
        <v>4.8</v>
      </c>
      <c r="P401" s="11">
        <f>LOOKUP(O401,{0,1.6,1.8,2,2.2,2.4,2.6,2.8,3,3.2,3.4,3.6,3.8,4,4.2,4.4,4.6,4.7,4.8,4.9,5},{0,10,20,30,40,50,60,62,64,66,68,70,72,74,76,78,80,85,90,95,100})</f>
        <v>90</v>
      </c>
      <c r="Q401" s="12">
        <v>3.32</v>
      </c>
      <c r="R401" s="12">
        <f t="shared" ref="R401:R406" si="248">10-Q401</f>
        <v>6.68</v>
      </c>
      <c r="S401" s="11">
        <f>LOOKUP(R401,{0,3.8,4,4.6,4.8,5,5.6,5.65,5.7,5.75,5.8,5.85,5.9,5.95,6,6.45,6.5,6.58,6.65,6.7,6.75},{0,10,20,30,40,50,60,62,64,66,68,70,72,74,76,78,80,85,90,95,100})</f>
        <v>90</v>
      </c>
      <c r="T401" s="12"/>
      <c r="U401" s="12"/>
      <c r="V401" s="12">
        <f t="shared" ref="V401:V406" si="249">S401+U401</f>
        <v>90</v>
      </c>
      <c r="W401" s="12"/>
      <c r="X401" s="20">
        <f t="shared" si="227"/>
        <v>56.4</v>
      </c>
      <c r="Y401" s="20">
        <f t="shared" ref="Y401:Y406" si="250">X401/0.7+L401+U401</f>
        <v>80.5714285714286</v>
      </c>
    </row>
    <row r="402" ht="15.6" hidden="1" outlineLevel="2" spans="1:25">
      <c r="A402" s="12">
        <v>212</v>
      </c>
      <c r="B402" s="12">
        <v>26</v>
      </c>
      <c r="C402" s="6" t="s">
        <v>635</v>
      </c>
      <c r="D402" s="6" t="s">
        <v>11</v>
      </c>
      <c r="E402" s="12">
        <v>17.4</v>
      </c>
      <c r="F402" s="11">
        <f>LOOKUP(E402,{0,-2.9,-1.9,-0.9,0.1,1.1,2.1,3.5,4.9,6.3,7.7,9.1,10.5,11.9,13.3,14.7,16.1,18.3,20.5,22.4,24.3},{0,10,20,30,40,50,60,62,64,66,68,70,72,74,76,78,80,85,90,95,100})</f>
        <v>80</v>
      </c>
      <c r="G402" s="12"/>
      <c r="H402" s="11"/>
      <c r="I402" s="12">
        <v>0</v>
      </c>
      <c r="J402" s="11">
        <f>LOOKUP(I402,{0,3,4,5,6,7,8,9,10,11,12,13,14,15,16,17},{0,10,20,30,40,50,60,64,68,72,76,80,85,90,95,100})</f>
        <v>0</v>
      </c>
      <c r="K402" s="12"/>
      <c r="L402" s="12"/>
      <c r="M402" s="12">
        <f t="shared" si="246"/>
        <v>0</v>
      </c>
      <c r="N402" s="12">
        <v>8.9</v>
      </c>
      <c r="O402" s="12">
        <f t="shared" si="247"/>
        <v>3.1</v>
      </c>
      <c r="P402" s="11">
        <f>LOOKUP(O402,{0,1.6,1.8,2,2.2,2.4,2.6,2.8,3,3.2,3.4,3.6,3.8,4,4.2,4.4,4.6,4.7,4.8,4.9,5},{0,10,20,30,40,50,60,62,64,66,68,70,72,74,76,78,80,85,90,95,100})</f>
        <v>64</v>
      </c>
      <c r="Q402" s="12">
        <v>5.15</v>
      </c>
      <c r="R402" s="12">
        <f t="shared" si="248"/>
        <v>4.85</v>
      </c>
      <c r="S402" s="11">
        <f>LOOKUP(R402,{0,3.8,4,4.6,4.8,5,5.6,5.65,5.7,5.75,5.8,5.85,5.9,5.95,6,6.45,6.5,6.58,6.65,6.7,6.75},{0,10,20,30,40,50,60,62,64,66,68,70,72,74,76,78,80,85,90,95,100})</f>
        <v>40</v>
      </c>
      <c r="T402" s="12"/>
      <c r="U402" s="15"/>
      <c r="V402" s="12">
        <f t="shared" si="249"/>
        <v>40</v>
      </c>
      <c r="W402" s="12"/>
      <c r="X402" s="20">
        <f t="shared" si="227"/>
        <v>28.8</v>
      </c>
      <c r="Y402" s="23">
        <v>50</v>
      </c>
    </row>
    <row r="403" ht="15.6" hidden="1" outlineLevel="2" spans="1:25">
      <c r="A403" s="12">
        <v>212</v>
      </c>
      <c r="B403" s="12">
        <v>27</v>
      </c>
      <c r="C403" s="6" t="s">
        <v>636</v>
      </c>
      <c r="D403" s="6" t="s">
        <v>11</v>
      </c>
      <c r="E403" s="12">
        <v>4.6</v>
      </c>
      <c r="F403" s="11">
        <f>LOOKUP(E403,{0,-2.9,-1.9,-0.9,0.1,1.1,2.1,3.5,4.9,6.3,7.7,9.1,10.5,11.9,13.3,14.7,16.1,18.3,20.5,22.4,24.3},{0,10,20,30,40,50,60,62,64,66,68,70,72,74,76,78,80,85,90,95,100})</f>
        <v>62</v>
      </c>
      <c r="G403" s="12">
        <v>235</v>
      </c>
      <c r="H403" s="11">
        <f>LOOKUP(G403,{0,175,180,185,190,195,200,204,208,212,216,220,224,228,232,236,240,248,255,260,265},{0,10,20,30,40,50,60,62,64,66,68,70,72,74,76,78,80,85,90,95,100})</f>
        <v>76</v>
      </c>
      <c r="I403" s="12">
        <v>0</v>
      </c>
      <c r="J403" s="11">
        <f>LOOKUP(I403,{0,3,4,5,6,7,8,9,10,11,12,13,14,15,16,17},{0,10,20,30,40,50,60,64,68,72,76,80,85,90,95,100})</f>
        <v>0</v>
      </c>
      <c r="K403" s="12"/>
      <c r="L403" s="12"/>
      <c r="M403" s="12">
        <f t="shared" si="246"/>
        <v>0</v>
      </c>
      <c r="N403" s="12">
        <v>7.5</v>
      </c>
      <c r="O403" s="12">
        <f t="shared" si="247"/>
        <v>4.5</v>
      </c>
      <c r="P403" s="11">
        <f>LOOKUP(O403,{0,1.6,1.8,2,2.2,2.4,2.6,2.8,3,3.2,3.4,3.6,3.8,4,4.2,4.4,4.6,4.7,4.8,4.9,5},{0,10,20,30,40,50,60,62,64,66,68,70,72,74,76,78,80,85,90,95,100})</f>
        <v>78</v>
      </c>
      <c r="Q403" s="12">
        <v>3.5</v>
      </c>
      <c r="R403" s="12">
        <f t="shared" si="248"/>
        <v>6.5</v>
      </c>
      <c r="S403" s="11">
        <f>LOOKUP(R403,{0,3.8,4,4.6,4.8,5,5.6,5.65,5.7,5.75,5.8,5.85,5.9,5.95,6,6.45,6.5,6.58,6.65,6.7,6.75},{0,10,20,30,40,50,60,62,64,66,68,70,72,74,76,78,80,85,90,95,100})</f>
        <v>80</v>
      </c>
      <c r="T403" s="12"/>
      <c r="U403" s="12"/>
      <c r="V403" s="12">
        <f t="shared" si="249"/>
        <v>80</v>
      </c>
      <c r="W403" s="12"/>
      <c r="X403" s="20">
        <f t="shared" si="227"/>
        <v>45.4</v>
      </c>
      <c r="Y403" s="20">
        <f t="shared" si="250"/>
        <v>64.8571428571429</v>
      </c>
    </row>
    <row r="404" ht="15.6" hidden="1" outlineLevel="2" spans="1:25">
      <c r="A404" s="12">
        <v>212</v>
      </c>
      <c r="B404" s="12">
        <v>28</v>
      </c>
      <c r="C404" s="6" t="s">
        <v>637</v>
      </c>
      <c r="D404" s="6" t="s">
        <v>11</v>
      </c>
      <c r="E404" s="12">
        <v>6.8</v>
      </c>
      <c r="F404" s="11">
        <f>LOOKUP(E404,{0,-2.9,-1.9,-0.9,0.1,1.1,2.1,3.5,4.9,6.3,7.7,9.1,10.5,11.9,13.3,14.7,16.1,18.3,20.5,22.4,24.3},{0,10,20,30,40,50,60,62,64,66,68,70,72,74,76,78,80,85,90,95,100})</f>
        <v>66</v>
      </c>
      <c r="G404" s="12">
        <v>243</v>
      </c>
      <c r="H404" s="11">
        <f>LOOKUP(G404,{0,175,180,185,190,195,200,204,208,212,216,220,224,228,232,236,240,248,255,260,265},{0,10,20,30,40,50,60,62,64,66,68,70,72,74,76,78,80,85,90,95,100})</f>
        <v>80</v>
      </c>
      <c r="I404" s="12">
        <v>20</v>
      </c>
      <c r="J404" s="11">
        <f>LOOKUP(I404,{0,3,4,5,6,7,8,9,10,11,12,13,14,15,16,17},{0,10,20,30,40,50,60,64,68,72,76,80,85,90,95,100})</f>
        <v>100</v>
      </c>
      <c r="K404" s="12">
        <f>I404-17</f>
        <v>3</v>
      </c>
      <c r="L404" s="11">
        <f>LOOKUP(K404,{0,1,2,3,4,5,6,7,8,9,10},{0,1,2,3,4,5,6,7,8,9,10})</f>
        <v>3</v>
      </c>
      <c r="M404" s="12">
        <f t="shared" si="246"/>
        <v>103</v>
      </c>
      <c r="N404" s="12">
        <v>7.5</v>
      </c>
      <c r="O404" s="12">
        <f t="shared" si="247"/>
        <v>4.5</v>
      </c>
      <c r="P404" s="11">
        <f>LOOKUP(O404,{0,1.6,1.8,2,2.2,2.4,2.6,2.8,3,3.2,3.4,3.6,3.8,4,4.2,4.4,4.6,4.7,4.8,4.9,5},{0,10,20,30,40,50,60,62,64,66,68,70,72,74,76,78,80,85,90,95,100})</f>
        <v>78</v>
      </c>
      <c r="Q404" s="12">
        <v>4.24</v>
      </c>
      <c r="R404" s="12">
        <f t="shared" si="248"/>
        <v>5.76</v>
      </c>
      <c r="S404" s="11">
        <f>LOOKUP(R404,{0,3.8,4,4.6,4.8,5,5.6,5.65,5.7,5.75,5.8,5.85,5.9,5.95,6,6.45,6.5,6.58,6.65,6.7,6.75},{0,10,20,30,40,50,60,62,64,66,68,70,72,74,76,78,80,85,90,95,100})</f>
        <v>66</v>
      </c>
      <c r="T404" s="12"/>
      <c r="U404" s="15"/>
      <c r="V404" s="12">
        <f t="shared" si="249"/>
        <v>66</v>
      </c>
      <c r="W404" s="12"/>
      <c r="X404" s="20">
        <f t="shared" si="227"/>
        <v>53.4</v>
      </c>
      <c r="Y404" s="20">
        <f t="shared" si="250"/>
        <v>79.2857142857143</v>
      </c>
    </row>
    <row r="405" ht="15.6" hidden="1" outlineLevel="2" spans="1:25">
      <c r="A405" s="12">
        <v>212</v>
      </c>
      <c r="B405" s="12">
        <v>29</v>
      </c>
      <c r="C405" s="6" t="s">
        <v>638</v>
      </c>
      <c r="D405" s="6" t="s">
        <v>11</v>
      </c>
      <c r="E405" s="12">
        <v>12.1</v>
      </c>
      <c r="F405" s="11">
        <f>LOOKUP(E405,{0,-2.9,-1.9,-0.9,0.1,1.1,2.1,3.5,4.9,6.3,7.7,9.1,10.5,11.9,13.3,14.7,16.1,18.3,20.5,22.4,24.3},{0,10,20,30,40,50,60,62,64,66,68,70,72,74,76,78,80,85,90,95,100})</f>
        <v>74</v>
      </c>
      <c r="G405" s="12">
        <v>240</v>
      </c>
      <c r="H405" s="11">
        <f>LOOKUP(G405,{0,175,180,185,190,195,200,204,208,212,216,220,224,228,232,236,240,248,255,260,265},{0,10,20,30,40,50,60,62,64,66,68,70,72,74,76,78,80,85,90,95,100})</f>
        <v>80</v>
      </c>
      <c r="I405" s="12">
        <v>1</v>
      </c>
      <c r="J405" s="11">
        <f>LOOKUP(I405,{0,3,4,5,6,7,8,9,10,11,12,13,14,15,16,17},{0,10,20,30,40,50,60,64,68,72,76,80,85,90,95,100})</f>
        <v>0</v>
      </c>
      <c r="K405" s="12"/>
      <c r="L405" s="12"/>
      <c r="M405" s="12">
        <f t="shared" si="246"/>
        <v>0</v>
      </c>
      <c r="N405" s="12">
        <v>8</v>
      </c>
      <c r="O405" s="12">
        <f t="shared" si="247"/>
        <v>4</v>
      </c>
      <c r="P405" s="11">
        <f>LOOKUP(O405,{0,1.6,1.8,2,2.2,2.4,2.6,2.8,3,3.2,3.4,3.6,3.8,4,4.2,4.4,4.6,4.7,4.8,4.9,5},{0,10,20,30,40,50,60,62,64,66,68,70,72,74,76,78,80,85,90,95,100})</f>
        <v>74</v>
      </c>
      <c r="Q405" s="12">
        <v>4.1</v>
      </c>
      <c r="R405" s="12">
        <f t="shared" si="248"/>
        <v>5.9</v>
      </c>
      <c r="S405" s="11">
        <f>LOOKUP(R405,{0,3.8,4,4.6,4.8,5,5.6,5.65,5.7,5.75,5.8,5.85,5.9,5.95,6,6.45,6.5,6.58,6.65,6.7,6.75},{0,10,20,30,40,50,60,62,64,66,68,70,72,74,76,78,80,85,90,95,100})</f>
        <v>72</v>
      </c>
      <c r="T405" s="12"/>
      <c r="U405" s="15"/>
      <c r="V405" s="12">
        <f t="shared" si="249"/>
        <v>72</v>
      </c>
      <c r="W405" s="12"/>
      <c r="X405" s="20">
        <f t="shared" si="227"/>
        <v>44.6</v>
      </c>
      <c r="Y405" s="20">
        <f t="shared" si="250"/>
        <v>63.7142857142857</v>
      </c>
    </row>
    <row r="406" ht="15.6" hidden="1" outlineLevel="2" spans="1:25">
      <c r="A406" s="12">
        <v>212</v>
      </c>
      <c r="B406" s="12">
        <v>30</v>
      </c>
      <c r="C406" s="6" t="s">
        <v>639</v>
      </c>
      <c r="D406" s="6" t="s">
        <v>11</v>
      </c>
      <c r="E406" s="12">
        <v>15</v>
      </c>
      <c r="F406" s="11">
        <f>LOOKUP(E406,{0,-2.9,-1.9,-0.9,0.1,1.1,2.1,3.5,4.9,6.3,7.7,9.1,10.5,11.9,13.3,14.7,16.1,18.3,20.5,22.4,24.3},{0,10,20,30,40,50,60,62,64,66,68,70,72,74,76,78,80,85,90,95,100})</f>
        <v>78</v>
      </c>
      <c r="G406" s="12"/>
      <c r="H406" s="11"/>
      <c r="I406" s="12">
        <v>3</v>
      </c>
      <c r="J406" s="11">
        <f>LOOKUP(I406,{0,3,4,5,6,7,8,9,10,11,12,13,14,15,16,17},{0,10,20,30,40,50,60,64,68,72,76,80,85,90,95,100})</f>
        <v>10</v>
      </c>
      <c r="K406" s="12"/>
      <c r="L406" s="12"/>
      <c r="M406" s="12">
        <f t="shared" si="246"/>
        <v>10</v>
      </c>
      <c r="N406" s="12">
        <v>7.6</v>
      </c>
      <c r="O406" s="12">
        <f t="shared" si="247"/>
        <v>4.4</v>
      </c>
      <c r="P406" s="11">
        <f>LOOKUP(O406,{0,1.6,1.8,2,2.2,2.4,2.6,2.8,3,3.2,3.4,3.6,3.8,4,4.2,4.4,4.6,4.7,4.8,4.9,5},{0,10,20,30,40,50,60,62,64,66,68,70,72,74,76,78,80,85,90,95,100})</f>
        <v>78</v>
      </c>
      <c r="Q406" s="12">
        <v>4.25</v>
      </c>
      <c r="R406" s="12">
        <f t="shared" si="248"/>
        <v>5.75</v>
      </c>
      <c r="S406" s="11">
        <f>LOOKUP(R406,{0,3.8,4,4.6,4.8,5,5.6,5.65,5.7,5.75,5.8,5.85,5.9,5.95,6,6.45,6.5,6.58,6.65,6.7,6.75},{0,10,20,30,40,50,60,62,64,66,68,70,72,74,76,78,80,85,90,95,100})</f>
        <v>66</v>
      </c>
      <c r="T406" s="12"/>
      <c r="U406" s="12"/>
      <c r="V406" s="12">
        <f t="shared" si="249"/>
        <v>66</v>
      </c>
      <c r="W406" s="12"/>
      <c r="X406" s="20">
        <f t="shared" si="227"/>
        <v>37.6</v>
      </c>
      <c r="Y406" s="20">
        <f t="shared" si="250"/>
        <v>53.7142857142857</v>
      </c>
    </row>
    <row r="407" ht="15.6" outlineLevel="1" collapsed="1" spans="1:25">
      <c r="A407" s="14" t="s">
        <v>866</v>
      </c>
      <c r="B407" s="12"/>
      <c r="C407" s="6"/>
      <c r="D407" s="6"/>
      <c r="E407" s="12"/>
      <c r="F407" s="11">
        <f>SUBTOTAL(1,F377:F406)</f>
        <v>77</v>
      </c>
      <c r="G407" s="12"/>
      <c r="H407" s="11">
        <f>SUBTOTAL(1,H377:H406)</f>
        <v>75.75</v>
      </c>
      <c r="I407" s="12"/>
      <c r="J407" s="11">
        <f>SUBTOTAL(1,J377:J406)</f>
        <v>43.1923076923077</v>
      </c>
      <c r="K407" s="12"/>
      <c r="L407" s="12"/>
      <c r="M407" s="12">
        <f>SUBTOTAL(1,M377:M406)</f>
        <v>44.1538461538462</v>
      </c>
      <c r="N407" s="12"/>
      <c r="O407" s="12"/>
      <c r="P407" s="11">
        <f>SUBTOTAL(1,P377:P406)</f>
        <v>83.48</v>
      </c>
      <c r="Q407" s="12"/>
      <c r="R407" s="12"/>
      <c r="S407" s="11">
        <f>SUBTOTAL(1,S377:S406)</f>
        <v>75.3076923076923</v>
      </c>
      <c r="T407" s="12"/>
      <c r="U407" s="12"/>
      <c r="V407" s="12">
        <f>SUBTOTAL(1,V377:V406)</f>
        <v>75.3846153846154</v>
      </c>
      <c r="W407" s="12"/>
      <c r="X407" s="20">
        <f>SUBTOTAL(1,X377:X406)</f>
        <v>43.4433333333333</v>
      </c>
      <c r="Y407" s="20">
        <f>SUBTOTAL(1,Y377:Y406)</f>
        <v>70.2952380952381</v>
      </c>
    </row>
    <row r="408" ht="15.6" hidden="1" outlineLevel="2" spans="1:25">
      <c r="A408" s="12">
        <v>213</v>
      </c>
      <c r="B408" s="12">
        <v>1</v>
      </c>
      <c r="C408" s="13" t="s">
        <v>666</v>
      </c>
      <c r="D408" s="6" t="s">
        <v>11</v>
      </c>
      <c r="E408" s="12">
        <v>9.2</v>
      </c>
      <c r="F408" s="11">
        <f>LOOKUP(E408,{0,-2.9,-1.9,-0.9,0.1,1.1,2.1,3.5,4.9,6.3,7.7,9.1,10.5,11.9,13.3,14.7,16.1,18.3,20.5,22.4,24.3},{0,10,20,30,40,50,60,62,64,66,68,70,72,74,76,78,80,85,90,95,100})</f>
        <v>70</v>
      </c>
      <c r="G408" s="12">
        <v>255</v>
      </c>
      <c r="H408" s="11">
        <f>LOOKUP(G408,{0,175,180,185,190,195,200,204,208,212,216,220,224,228,232,236,240,248,255,260,265},{0,10,20,30,40,50,60,62,64,66,68,70,72,74,76,78,80,85,90,95,100})</f>
        <v>90</v>
      </c>
      <c r="I408" s="12">
        <v>5</v>
      </c>
      <c r="J408" s="11">
        <f>LOOKUP(I408,{0,3,4,5,6,7,8,9,10,11,12,13,14,15,16,17},{0,10,20,30,40,50,60,64,68,72,76,80,85,90,95,100})</f>
        <v>30</v>
      </c>
      <c r="K408" s="12"/>
      <c r="L408" s="12"/>
      <c r="M408" s="12">
        <f t="shared" ref="M408:M416" si="251">J408+L408</f>
        <v>30</v>
      </c>
      <c r="N408" s="12">
        <v>6.9</v>
      </c>
      <c r="O408" s="12">
        <f t="shared" ref="O408:O416" si="252">12-N408</f>
        <v>5.1</v>
      </c>
      <c r="P408" s="11">
        <f>LOOKUP(O408,{0,1.6,1.8,2,2.2,2.4,2.6,2.8,3,3.2,3.4,3.6,3.8,4,4.2,4.4,4.6,4.7,4.8,4.9,5},{0,10,20,30,40,50,60,62,64,66,68,70,72,74,76,78,80,85,90,95,100})</f>
        <v>100</v>
      </c>
      <c r="Q408" s="12">
        <v>3.36</v>
      </c>
      <c r="R408" s="12">
        <f t="shared" ref="R408:R416" si="253">10-Q408</f>
        <v>6.64</v>
      </c>
      <c r="S408" s="11">
        <f>LOOKUP(R408,{0,3.8,4,4.6,4.8,5,5.6,5.65,5.7,5.75,5.8,5.85,5.9,5.95,6,6.45,6.5,6.58,6.65,6.7,6.75},{0,10,20,30,40,50,60,62,64,66,68,70,72,74,76,78,80,85,90,95,100})</f>
        <v>85</v>
      </c>
      <c r="T408" s="12"/>
      <c r="U408" s="12"/>
      <c r="V408" s="12">
        <f t="shared" ref="V408:V416" si="254">S408+U408</f>
        <v>85</v>
      </c>
      <c r="W408" s="12"/>
      <c r="X408" s="20">
        <f t="shared" ref="X408:X416" si="255">F408*0.1+H408*0.1+J408*0.1+P408*0.2+S408*0.2</f>
        <v>56</v>
      </c>
      <c r="Y408" s="20">
        <f t="shared" ref="Y408:Y416" si="256">X408/0.7+L408+U408</f>
        <v>80</v>
      </c>
    </row>
    <row r="409" ht="15.6" hidden="1" outlineLevel="2" spans="1:25">
      <c r="A409" s="12">
        <v>213</v>
      </c>
      <c r="B409" s="12">
        <v>2</v>
      </c>
      <c r="C409" s="6" t="s">
        <v>667</v>
      </c>
      <c r="D409" s="6" t="s">
        <v>11</v>
      </c>
      <c r="E409" s="12">
        <v>13.5</v>
      </c>
      <c r="F409" s="11">
        <f>LOOKUP(E409,{0,-2.9,-1.9,-0.9,0.1,1.1,2.1,3.5,4.9,6.3,7.7,9.1,10.5,11.9,13.3,14.7,16.1,18.3,20.5,22.4,24.3},{0,10,20,30,40,50,60,62,64,66,68,70,72,74,76,78,80,85,90,95,100})</f>
        <v>76</v>
      </c>
      <c r="G409" s="12">
        <v>241</v>
      </c>
      <c r="H409" s="11">
        <f>LOOKUP(G409,{0,175,180,185,190,195,200,204,208,212,216,220,224,228,232,236,240,248,255,260,265},{0,10,20,30,40,50,60,62,64,66,68,70,72,74,76,78,80,85,90,95,100})</f>
        <v>80</v>
      </c>
      <c r="I409" s="12">
        <v>28</v>
      </c>
      <c r="J409" s="11">
        <f>LOOKUP(I409,{0,3,4,5,6,7,8,9,10,11,12,13,14,15,16,17},{0,10,20,30,40,50,60,64,68,72,76,80,85,90,95,100})</f>
        <v>100</v>
      </c>
      <c r="K409" s="12">
        <f>I409-17</f>
        <v>11</v>
      </c>
      <c r="L409" s="11">
        <f>LOOKUP(K409,{0,1,2,3,4,5,6,7,8,9,10},{0,1,2,3,4,5,6,7,8,9,10})</f>
        <v>10</v>
      </c>
      <c r="M409" s="12">
        <f t="shared" si="251"/>
        <v>110</v>
      </c>
      <c r="N409" s="12">
        <v>7</v>
      </c>
      <c r="O409" s="12">
        <f t="shared" si="252"/>
        <v>5</v>
      </c>
      <c r="P409" s="11">
        <f>LOOKUP(O409,{0,1.6,1.8,2,2.2,2.4,2.6,2.8,3,3.2,3.4,3.6,3.8,4,4.2,4.4,4.6,4.7,4.8,4.9,5},{0,10,20,30,40,50,60,62,64,66,68,70,72,74,76,78,80,85,90,95,100})</f>
        <v>100</v>
      </c>
      <c r="Q409" s="12">
        <v>3.06</v>
      </c>
      <c r="R409" s="12">
        <f t="shared" si="253"/>
        <v>6.94</v>
      </c>
      <c r="S409" s="11">
        <f>LOOKUP(R409,{0,3.8,4,4.6,4.8,5,5.6,5.65,5.7,5.75,5.8,5.85,5.9,5.95,6,6.45,6.5,6.58,6.65,6.7,6.75},{0,10,20,30,40,50,60,62,64,66,68,70,72,74,76,78,80,85,90,95,100})</f>
        <v>100</v>
      </c>
      <c r="T409" s="12">
        <f>3.25-Q409</f>
        <v>0.19</v>
      </c>
      <c r="U409" s="11">
        <f>LOOKUP(T409,{0,0.04,0.08,0.12,0.16,0.2,0.23,0.26,0.29,0.32,0.35},{0,1,2,3,4,5,6,7,8,9,10})</f>
        <v>4</v>
      </c>
      <c r="V409" s="12">
        <f t="shared" si="254"/>
        <v>104</v>
      </c>
      <c r="W409" s="12"/>
      <c r="X409" s="20">
        <f t="shared" si="255"/>
        <v>65.6</v>
      </c>
      <c r="Y409" s="20">
        <f t="shared" si="256"/>
        <v>107.714285714286</v>
      </c>
    </row>
    <row r="410" ht="15.6" hidden="1" outlineLevel="2" spans="1:25">
      <c r="A410" s="12">
        <v>213</v>
      </c>
      <c r="B410" s="12">
        <v>3</v>
      </c>
      <c r="C410" s="6" t="s">
        <v>668</v>
      </c>
      <c r="D410" s="6" t="s">
        <v>11</v>
      </c>
      <c r="E410" s="12">
        <v>14.5</v>
      </c>
      <c r="F410" s="11">
        <f>LOOKUP(E410,{0,-2.9,-1.9,-0.9,0.1,1.1,2.1,3.5,4.9,6.3,7.7,9.1,10.5,11.9,13.3,14.7,16.1,18.3,20.5,22.4,24.3},{0,10,20,30,40,50,60,62,64,66,68,70,72,74,76,78,80,85,90,95,100})</f>
        <v>76</v>
      </c>
      <c r="G410" s="12">
        <v>224</v>
      </c>
      <c r="H410" s="11">
        <f>LOOKUP(G410,{0,175,180,185,190,195,200,204,208,212,216,220,224,228,232,236,240,248,255,260,265},{0,10,20,30,40,50,60,62,64,66,68,70,72,74,76,78,80,85,90,95,100})</f>
        <v>72</v>
      </c>
      <c r="I410" s="12">
        <v>0</v>
      </c>
      <c r="J410" s="11">
        <f>LOOKUP(I410,{0,3,4,5,6,7,8,9,10,11,12,13,14,15,16,17},{0,10,20,30,40,50,60,64,68,72,76,80,85,90,95,100})</f>
        <v>0</v>
      </c>
      <c r="K410" s="12"/>
      <c r="L410" s="12"/>
      <c r="M410" s="12">
        <f t="shared" si="251"/>
        <v>0</v>
      </c>
      <c r="N410" s="12">
        <v>7.5</v>
      </c>
      <c r="O410" s="12">
        <f t="shared" si="252"/>
        <v>4.5</v>
      </c>
      <c r="P410" s="11">
        <f>LOOKUP(O410,{0,1.6,1.8,2,2.2,2.4,2.6,2.8,3,3.2,3.4,3.6,3.8,4,4.2,4.4,4.6,4.7,4.8,4.9,5},{0,10,20,30,40,50,60,62,64,66,68,70,72,74,76,78,80,85,90,95,100})</f>
        <v>78</v>
      </c>
      <c r="Q410" s="12">
        <v>4.1</v>
      </c>
      <c r="R410" s="12">
        <f t="shared" si="253"/>
        <v>5.9</v>
      </c>
      <c r="S410" s="11">
        <f>LOOKUP(R410,{0,3.8,4,4.6,4.8,5,5.6,5.65,5.7,5.75,5.8,5.85,5.9,5.95,6,6.45,6.5,6.58,6.65,6.7,6.75},{0,10,20,30,40,50,60,62,64,66,68,70,72,74,76,78,80,85,90,95,100})</f>
        <v>72</v>
      </c>
      <c r="T410" s="12"/>
      <c r="U410" s="12"/>
      <c r="V410" s="12">
        <f t="shared" si="254"/>
        <v>72</v>
      </c>
      <c r="W410" s="12"/>
      <c r="X410" s="20">
        <f t="shared" si="255"/>
        <v>44.8</v>
      </c>
      <c r="Y410" s="20">
        <f t="shared" si="256"/>
        <v>64</v>
      </c>
    </row>
    <row r="411" ht="15.6" hidden="1" outlineLevel="2" spans="1:25">
      <c r="A411" s="12">
        <v>213</v>
      </c>
      <c r="B411" s="12">
        <v>4</v>
      </c>
      <c r="C411" s="6" t="s">
        <v>669</v>
      </c>
      <c r="D411" s="6" t="s">
        <v>11</v>
      </c>
      <c r="E411" s="12">
        <v>16.6</v>
      </c>
      <c r="F411" s="11">
        <f>LOOKUP(E411,{0,-2.9,-1.9,-0.9,0.1,1.1,2.1,3.5,4.9,6.3,7.7,9.1,10.5,11.9,13.3,14.7,16.1,18.3,20.5,22.4,24.3},{0,10,20,30,40,50,60,62,64,66,68,70,72,74,76,78,80,85,90,95,100})</f>
        <v>80</v>
      </c>
      <c r="G411" s="12">
        <v>221</v>
      </c>
      <c r="H411" s="11">
        <f>LOOKUP(G411,{0,175,180,185,190,195,200,204,208,212,216,220,224,228,232,236,240,248,255,260,265},{0,10,20,30,40,50,60,62,64,66,68,70,72,74,76,78,80,85,90,95,100})</f>
        <v>70</v>
      </c>
      <c r="I411" s="12">
        <v>0</v>
      </c>
      <c r="J411" s="11">
        <f>LOOKUP(I411,{0,3,4,5,6,7,8,9,10,11,12,13,14,15,16,17},{0,10,20,30,40,50,60,64,68,72,76,80,85,90,95,100})</f>
        <v>0</v>
      </c>
      <c r="K411" s="12"/>
      <c r="L411" s="12"/>
      <c r="M411" s="12">
        <f t="shared" si="251"/>
        <v>0</v>
      </c>
      <c r="N411" s="12">
        <v>7.7</v>
      </c>
      <c r="O411" s="12">
        <f t="shared" si="252"/>
        <v>4.3</v>
      </c>
      <c r="P411" s="11">
        <f>LOOKUP(O411,{0,1.6,1.8,2,2.2,2.4,2.6,2.8,3,3.2,3.4,3.6,3.8,4,4.2,4.4,4.6,4.7,4.8,4.9,5},{0,10,20,30,40,50,60,62,64,66,68,70,72,74,76,78,80,85,90,95,100})</f>
        <v>76</v>
      </c>
      <c r="Q411" s="12">
        <v>3.57</v>
      </c>
      <c r="R411" s="12">
        <f t="shared" si="253"/>
        <v>6.43</v>
      </c>
      <c r="S411" s="11">
        <f>LOOKUP(R411,{0,3.8,4,4.6,4.8,5,5.6,5.65,5.7,5.75,5.8,5.85,5.9,5.95,6,6.45,6.5,6.58,6.65,6.7,6.75},{0,10,20,30,40,50,60,62,64,66,68,70,72,74,76,78,80,85,90,95,100})</f>
        <v>76</v>
      </c>
      <c r="T411" s="12"/>
      <c r="U411" s="12"/>
      <c r="V411" s="12">
        <f t="shared" si="254"/>
        <v>76</v>
      </c>
      <c r="W411" s="12"/>
      <c r="X411" s="20">
        <f t="shared" si="255"/>
        <v>45.4</v>
      </c>
      <c r="Y411" s="20">
        <f t="shared" si="256"/>
        <v>64.8571428571429</v>
      </c>
    </row>
    <row r="412" ht="15.6" hidden="1" outlineLevel="2" spans="1:25">
      <c r="A412" s="12">
        <v>213</v>
      </c>
      <c r="B412" s="12">
        <v>5</v>
      </c>
      <c r="C412" s="6" t="s">
        <v>670</v>
      </c>
      <c r="D412" s="6" t="s">
        <v>11</v>
      </c>
      <c r="E412" s="12">
        <v>16.9</v>
      </c>
      <c r="F412" s="11">
        <f>LOOKUP(E412,{0,-2.9,-1.9,-0.9,0.1,1.1,2.1,3.5,4.9,6.3,7.7,9.1,10.5,11.9,13.3,14.7,16.1,18.3,20.5,22.4,24.3},{0,10,20,30,40,50,60,62,64,66,68,70,72,74,76,78,80,85,90,95,100})</f>
        <v>80</v>
      </c>
      <c r="G412" s="12">
        <v>226</v>
      </c>
      <c r="H412" s="11">
        <f>LOOKUP(G412,{0,175,180,185,190,195,200,204,208,212,216,220,224,228,232,236,240,248,255,260,265},{0,10,20,30,40,50,60,62,64,66,68,70,72,74,76,78,80,85,90,95,100})</f>
        <v>72</v>
      </c>
      <c r="I412" s="12">
        <v>0</v>
      </c>
      <c r="J412" s="11">
        <f>LOOKUP(I412,{0,3,4,5,6,7,8,9,10,11,12,13,14,15,16,17},{0,10,20,30,40,50,60,64,68,72,76,80,85,90,95,100})</f>
        <v>0</v>
      </c>
      <c r="K412" s="12"/>
      <c r="L412" s="12"/>
      <c r="M412" s="12">
        <f t="shared" si="251"/>
        <v>0</v>
      </c>
      <c r="N412" s="12">
        <v>7.2</v>
      </c>
      <c r="O412" s="12">
        <f t="shared" si="252"/>
        <v>4.8</v>
      </c>
      <c r="P412" s="11">
        <f>LOOKUP(O412,{0,1.6,1.8,2,2.2,2.4,2.6,2.8,3,3.2,3.4,3.6,3.8,4,4.2,4.4,4.6,4.7,4.8,4.9,5},{0,10,20,30,40,50,60,62,64,66,68,70,72,74,76,78,80,85,90,95,100})</f>
        <v>90</v>
      </c>
      <c r="Q412" s="12">
        <v>4.15</v>
      </c>
      <c r="R412" s="12">
        <f t="shared" si="253"/>
        <v>5.85</v>
      </c>
      <c r="S412" s="11">
        <f>LOOKUP(R412,{0,3.8,4,4.6,4.8,5,5.6,5.65,5.7,5.75,5.8,5.85,5.9,5.95,6,6.45,6.5,6.58,6.65,6.7,6.75},{0,10,20,30,40,50,60,62,64,66,68,70,72,74,76,78,80,85,90,95,100})</f>
        <v>70</v>
      </c>
      <c r="T412" s="12"/>
      <c r="U412" s="12"/>
      <c r="V412" s="12">
        <f t="shared" si="254"/>
        <v>70</v>
      </c>
      <c r="W412" s="12"/>
      <c r="X412" s="20">
        <f t="shared" si="255"/>
        <v>47.2</v>
      </c>
      <c r="Y412" s="20">
        <f t="shared" si="256"/>
        <v>67.4285714285714</v>
      </c>
    </row>
    <row r="413" ht="15.6" hidden="1" outlineLevel="2" spans="1:25">
      <c r="A413" s="12">
        <v>213</v>
      </c>
      <c r="B413" s="12">
        <v>6</v>
      </c>
      <c r="C413" s="6" t="s">
        <v>671</v>
      </c>
      <c r="D413" s="6" t="s">
        <v>11</v>
      </c>
      <c r="E413" s="12">
        <v>3</v>
      </c>
      <c r="F413" s="11">
        <f>LOOKUP(E413,{0,-2.9,-1.9,-0.9,0.1,1.1,2.1,3.5,4.9,6.3,7.7,9.1,10.5,11.9,13.3,14.7,16.1,18.3,20.5,22.4,24.3},{0,10,20,30,40,50,60,62,64,66,68,70,72,74,76,78,80,85,90,95,100})</f>
        <v>60</v>
      </c>
      <c r="G413" s="12">
        <v>272</v>
      </c>
      <c r="H413" s="11">
        <f>LOOKUP(G413,{0,175,180,185,190,195,200,204,208,212,216,220,224,228,232,236,240,248,255,260,265},{0,10,20,30,40,50,60,62,64,66,68,70,72,74,76,78,80,85,90,95,100})</f>
        <v>100</v>
      </c>
      <c r="I413" s="12">
        <v>10</v>
      </c>
      <c r="J413" s="11">
        <f>LOOKUP(I413,{0,3,4,5,6,7,8,9,10,11,12,13,14,15,16,17},{0,10,20,30,40,50,60,64,68,72,76,80,85,90,95,100})</f>
        <v>68</v>
      </c>
      <c r="K413" s="12"/>
      <c r="L413" s="12"/>
      <c r="M413" s="12">
        <f t="shared" si="251"/>
        <v>68</v>
      </c>
      <c r="N413" s="12">
        <v>7.2</v>
      </c>
      <c r="O413" s="12">
        <f t="shared" si="252"/>
        <v>4.8</v>
      </c>
      <c r="P413" s="11">
        <f>LOOKUP(O413,{0,1.6,1.8,2,2.2,2.4,2.6,2.8,3,3.2,3.4,3.6,3.8,4,4.2,4.4,4.6,4.7,4.8,4.9,5},{0,10,20,30,40,50,60,62,64,66,68,70,72,74,76,78,80,85,90,95,100})</f>
        <v>90</v>
      </c>
      <c r="Q413" s="12">
        <v>3.23</v>
      </c>
      <c r="R413" s="12">
        <f t="shared" si="253"/>
        <v>6.77</v>
      </c>
      <c r="S413" s="11">
        <f>LOOKUP(R413,{0,3.8,4,4.6,4.8,5,5.6,5.65,5.7,5.75,5.8,5.85,5.9,5.95,6,6.45,6.5,6.58,6.65,6.7,6.75},{0,10,20,30,40,50,60,62,64,66,68,70,72,74,76,78,80,85,90,95,100})</f>
        <v>100</v>
      </c>
      <c r="T413" s="12">
        <f>3.25-Q413</f>
        <v>0.02</v>
      </c>
      <c r="U413" s="11">
        <f>LOOKUP(T413,{0,0.04,0.08,0.12,0.16,0.2,0.23,0.26,0.29,0.32,0.35},{0,1,2,3,4,5,6,7,8,9,10})</f>
        <v>0</v>
      </c>
      <c r="V413" s="12">
        <f t="shared" si="254"/>
        <v>100</v>
      </c>
      <c r="W413" s="12"/>
      <c r="X413" s="20">
        <f t="shared" si="255"/>
        <v>60.8</v>
      </c>
      <c r="Y413" s="20">
        <f t="shared" si="256"/>
        <v>86.8571428571429</v>
      </c>
    </row>
    <row r="414" ht="15.6" hidden="1" outlineLevel="2" spans="1:25">
      <c r="A414" s="12">
        <v>213</v>
      </c>
      <c r="B414" s="12">
        <v>7</v>
      </c>
      <c r="C414" s="6" t="s">
        <v>672</v>
      </c>
      <c r="D414" s="6" t="s">
        <v>11</v>
      </c>
      <c r="E414" s="12">
        <v>10.3</v>
      </c>
      <c r="F414" s="11">
        <f>LOOKUP(E414,{0,-2.9,-1.9,-0.9,0.1,1.1,2.1,3.5,4.9,6.3,7.7,9.1,10.5,11.9,13.3,14.7,16.1,18.3,20.5,22.4,24.3},{0,10,20,30,40,50,60,62,64,66,68,70,72,74,76,78,80,85,90,95,100})</f>
        <v>70</v>
      </c>
      <c r="G414" s="12">
        <v>243</v>
      </c>
      <c r="H414" s="11">
        <f>LOOKUP(G414,{0,175,180,185,190,195,200,204,208,212,216,220,224,228,232,236,240,248,255,260,265},{0,10,20,30,40,50,60,62,64,66,68,70,72,74,76,78,80,85,90,95,100})</f>
        <v>80</v>
      </c>
      <c r="I414" s="12">
        <v>0</v>
      </c>
      <c r="J414" s="11">
        <f>LOOKUP(I414,{0,3,4,5,6,7,8,9,10,11,12,13,14,15,16,17},{0,10,20,30,40,50,60,64,68,72,76,80,85,90,95,100})</f>
        <v>0</v>
      </c>
      <c r="K414" s="12"/>
      <c r="L414" s="12"/>
      <c r="M414" s="12">
        <f t="shared" si="251"/>
        <v>0</v>
      </c>
      <c r="N414" s="12">
        <v>7.4</v>
      </c>
      <c r="O414" s="12">
        <f t="shared" si="252"/>
        <v>4.6</v>
      </c>
      <c r="P414" s="11">
        <f>LOOKUP(O414,{0,1.6,1.8,2,2.2,2.4,2.6,2.8,3,3.2,3.4,3.6,3.8,4,4.2,4.4,4.6,4.7,4.8,4.9,5},{0,10,20,30,40,50,60,62,64,66,68,70,72,74,76,78,80,85,90,95,100})</f>
        <v>80</v>
      </c>
      <c r="Q414" s="12">
        <v>4.27</v>
      </c>
      <c r="R414" s="12">
        <f t="shared" si="253"/>
        <v>5.73</v>
      </c>
      <c r="S414" s="11">
        <f>LOOKUP(R414,{0,3.8,4,4.6,4.8,5,5.6,5.65,5.7,5.75,5.8,5.85,5.9,5.95,6,6.45,6.5,6.58,6.65,6.7,6.75},{0,10,20,30,40,50,60,62,64,66,68,70,72,74,76,78,80,85,90,95,100})</f>
        <v>64</v>
      </c>
      <c r="T414" s="12"/>
      <c r="U414" s="12"/>
      <c r="V414" s="12">
        <f t="shared" si="254"/>
        <v>64</v>
      </c>
      <c r="W414" s="12"/>
      <c r="X414" s="20">
        <f t="shared" si="255"/>
        <v>43.8</v>
      </c>
      <c r="Y414" s="20">
        <f t="shared" si="256"/>
        <v>62.5714285714286</v>
      </c>
    </row>
    <row r="415" ht="15.6" hidden="1" outlineLevel="2" spans="1:25">
      <c r="A415" s="12">
        <v>213</v>
      </c>
      <c r="B415" s="12">
        <v>8</v>
      </c>
      <c r="C415" s="6" t="s">
        <v>673</v>
      </c>
      <c r="D415" s="6" t="s">
        <v>11</v>
      </c>
      <c r="E415" s="12">
        <v>11.4</v>
      </c>
      <c r="F415" s="11">
        <f>LOOKUP(E415,{0,-2.9,-1.9,-0.9,0.1,1.1,2.1,3.5,4.9,6.3,7.7,9.1,10.5,11.9,13.3,14.7,16.1,18.3,20.5,22.4,24.3},{0,10,20,30,40,50,60,62,64,66,68,70,72,74,76,78,80,85,90,95,100})</f>
        <v>72</v>
      </c>
      <c r="G415" s="12">
        <v>157</v>
      </c>
      <c r="H415" s="11">
        <f>LOOKUP(G415,{0,175,180,185,190,195,200,204,208,212,216,220,224,228,232,236,240,248,255,260,265},{0,10,20,30,40,50,60,62,64,66,68,70,72,74,76,78,80,85,90,95,100})</f>
        <v>0</v>
      </c>
      <c r="I415" s="12">
        <v>0</v>
      </c>
      <c r="J415" s="11">
        <f>LOOKUP(I415,{0,3,4,5,6,7,8,9,10,11,12,13,14,15,16,17},{0,10,20,30,40,50,60,64,68,72,76,80,85,90,95,100})</f>
        <v>0</v>
      </c>
      <c r="K415" s="12"/>
      <c r="L415" s="12"/>
      <c r="M415" s="12">
        <f t="shared" si="251"/>
        <v>0</v>
      </c>
      <c r="N415" s="12">
        <v>8.8</v>
      </c>
      <c r="O415" s="12">
        <f t="shared" si="252"/>
        <v>3.2</v>
      </c>
      <c r="P415" s="11">
        <f>LOOKUP(O415,{0,1.6,1.8,2,2.2,2.4,2.6,2.8,3,3.2,3.4,3.6,3.8,4,4.2,4.4,4.6,4.7,4.8,4.9,5},{0,10,20,30,40,50,60,62,64,66,68,70,72,74,76,78,80,85,90,95,100})</f>
        <v>66</v>
      </c>
      <c r="Q415" s="12">
        <v>6.03</v>
      </c>
      <c r="R415" s="12">
        <f t="shared" si="253"/>
        <v>3.97</v>
      </c>
      <c r="S415" s="11">
        <f>LOOKUP(R415,{0,3.8,4,4.6,4.8,5,5.6,5.65,5.7,5.75,5.8,5.85,5.9,5.95,6,6.45,6.5,6.58,6.65,6.7,6.75},{0,10,20,30,40,50,60,62,64,66,68,70,72,74,76,78,80,85,90,95,100})</f>
        <v>10</v>
      </c>
      <c r="T415" s="12"/>
      <c r="U415" s="12"/>
      <c r="V415" s="12">
        <f t="shared" si="254"/>
        <v>10</v>
      </c>
      <c r="W415" s="12"/>
      <c r="X415" s="20">
        <f t="shared" si="255"/>
        <v>22.4</v>
      </c>
      <c r="Y415" s="20">
        <f t="shared" si="256"/>
        <v>32</v>
      </c>
    </row>
    <row r="416" s="1" customFormat="1" ht="15.6" hidden="1" outlineLevel="2" spans="1:25">
      <c r="A416" s="12">
        <v>213</v>
      </c>
      <c r="B416" s="12">
        <v>9</v>
      </c>
      <c r="C416" s="6" t="s">
        <v>674</v>
      </c>
      <c r="D416" s="6" t="s">
        <v>11</v>
      </c>
      <c r="E416" s="12">
        <v>9.7</v>
      </c>
      <c r="F416" s="11">
        <f>LOOKUP(E416,{0,-2.9,-1.9,-0.9,0.1,1.1,2.1,3.5,4.9,6.3,7.7,9.1,10.5,11.9,13.3,14.7,16.1,18.3,20.5,22.4,24.3},{0,10,20,30,40,50,60,62,64,66,68,70,72,74,76,78,80,85,90,95,100})</f>
        <v>70</v>
      </c>
      <c r="G416" s="12">
        <v>258</v>
      </c>
      <c r="H416" s="11">
        <f>LOOKUP(G416,{0,175,180,185,190,195,200,204,208,212,216,220,224,228,232,236,240,248,255,260,265},{0,10,20,30,40,50,60,62,64,66,68,70,72,74,76,78,80,85,90,95,100})</f>
        <v>90</v>
      </c>
      <c r="I416" s="12">
        <v>29</v>
      </c>
      <c r="J416" s="11">
        <f>LOOKUP(I416,{0,3,4,5,6,7,8,9,10,11,12,13,14,15,16,17},{0,10,20,30,40,50,60,64,68,72,76,80,85,90,95,100})</f>
        <v>100</v>
      </c>
      <c r="K416" s="12">
        <f>I416-17</f>
        <v>12</v>
      </c>
      <c r="L416" s="11">
        <f>LOOKUP(K416,{0,1,2,3,4,5,6,7,8,9,10},{0,1,2,3,4,5,6,7,8,9,10})</f>
        <v>10</v>
      </c>
      <c r="M416" s="12">
        <f t="shared" si="251"/>
        <v>110</v>
      </c>
      <c r="N416" s="12">
        <v>7</v>
      </c>
      <c r="O416" s="12">
        <f t="shared" si="252"/>
        <v>5</v>
      </c>
      <c r="P416" s="11">
        <f>LOOKUP(O416,{0,1.6,1.8,2,2.2,2.4,2.6,2.8,3,3.2,3.4,3.6,3.8,4,4.2,4.4,4.6,4.7,4.8,4.9,5},{0,10,20,30,40,50,60,62,64,66,68,70,72,74,76,78,80,85,90,95,100})</f>
        <v>100</v>
      </c>
      <c r="Q416" s="12">
        <v>3.46</v>
      </c>
      <c r="R416" s="12">
        <f t="shared" si="253"/>
        <v>6.54</v>
      </c>
      <c r="S416" s="11">
        <f>LOOKUP(R416,{0,3.8,4,4.6,4.8,5,5.6,5.65,5.7,5.75,5.8,5.85,5.9,5.95,6,6.45,6.5,6.58,6.65,6.7,6.75},{0,10,20,30,40,50,60,62,64,66,68,70,72,74,76,78,80,85,90,95,100})</f>
        <v>80</v>
      </c>
      <c r="T416" s="12"/>
      <c r="U416" s="12"/>
      <c r="V416" s="12">
        <f t="shared" si="254"/>
        <v>80</v>
      </c>
      <c r="W416" s="12"/>
      <c r="X416" s="20">
        <f t="shared" si="255"/>
        <v>62</v>
      </c>
      <c r="Y416" s="20">
        <f t="shared" si="256"/>
        <v>98.5714285714286</v>
      </c>
    </row>
    <row r="417" s="1" customFormat="1" ht="15.6" outlineLevel="1" collapsed="1" spans="1:25">
      <c r="A417" s="14" t="s">
        <v>867</v>
      </c>
      <c r="B417" s="12"/>
      <c r="C417" s="6"/>
      <c r="D417" s="6"/>
      <c r="E417" s="12"/>
      <c r="F417" s="11">
        <f>SUBTOTAL(1,F408:F416)</f>
        <v>72.6666666666667</v>
      </c>
      <c r="G417" s="12"/>
      <c r="H417" s="11">
        <f>SUBTOTAL(1,H408:H416)</f>
        <v>72.6666666666667</v>
      </c>
      <c r="I417" s="12"/>
      <c r="J417" s="11">
        <f>SUBTOTAL(1,J408:J416)</f>
        <v>33.1111111111111</v>
      </c>
      <c r="K417" s="12"/>
      <c r="L417" s="11"/>
      <c r="M417" s="12">
        <f>SUBTOTAL(1,M408:M416)</f>
        <v>35.3333333333333</v>
      </c>
      <c r="N417" s="12"/>
      <c r="O417" s="12"/>
      <c r="P417" s="11">
        <f>SUBTOTAL(1,P408:P416)</f>
        <v>86.6666666666667</v>
      </c>
      <c r="Q417" s="12"/>
      <c r="R417" s="12"/>
      <c r="S417" s="11">
        <f>SUBTOTAL(1,S408:S416)</f>
        <v>73</v>
      </c>
      <c r="T417" s="12"/>
      <c r="U417" s="12"/>
      <c r="V417" s="12">
        <f>SUBTOTAL(1,V408:V416)</f>
        <v>73.4444444444444</v>
      </c>
      <c r="W417" s="12"/>
      <c r="X417" s="20">
        <f>SUBTOTAL(1,X408:X416)</f>
        <v>49.7777777777778</v>
      </c>
      <c r="Y417" s="20">
        <f>SUBTOTAL(1,Y408:Y416)</f>
        <v>73.7777777777778</v>
      </c>
    </row>
    <row r="418" ht="15.6" hidden="1" outlineLevel="2" spans="1:25">
      <c r="A418" s="12">
        <v>214</v>
      </c>
      <c r="B418" s="12">
        <v>1</v>
      </c>
      <c r="C418" s="13" t="s">
        <v>727</v>
      </c>
      <c r="D418" s="6" t="s">
        <v>11</v>
      </c>
      <c r="E418" s="12">
        <v>9.7</v>
      </c>
      <c r="F418" s="11">
        <f>LOOKUP(E418,{0,-2.9,-1.9,-0.9,0.1,1.1,2.1,3.5,4.9,6.3,7.7,9.1,10.5,11.9,13.3,14.7,16.1,18.3,20.5,22.4,24.3},{0,10,20,30,40,50,60,62,64,66,68,70,72,74,76,78,80,85,90,95,100})</f>
        <v>70</v>
      </c>
      <c r="G418" s="12">
        <v>226</v>
      </c>
      <c r="H418" s="11">
        <f>LOOKUP(G418,{0,175,180,185,190,195,200,204,208,212,216,220,224,228,232,236,240,248,255,260,265},{0,10,20,30,40,50,60,62,64,66,68,70,72,74,76,78,80,85,90,95,100})</f>
        <v>72</v>
      </c>
      <c r="I418" s="12">
        <v>4</v>
      </c>
      <c r="J418" s="11">
        <f>LOOKUP(I418,{0,3,4,5,6,7,8,9,10,11,12,13,14,15,16,17},{0,10,20,30,40,50,60,64,68,72,76,80,85,90,95,100})</f>
        <v>20</v>
      </c>
      <c r="K418" s="12"/>
      <c r="L418" s="12"/>
      <c r="M418" s="12">
        <f t="shared" ref="M418:M426" si="257">J418+L418</f>
        <v>20</v>
      </c>
      <c r="N418" s="12">
        <v>7</v>
      </c>
      <c r="O418" s="12">
        <f t="shared" ref="O418:O426" si="258">12-N418</f>
        <v>5</v>
      </c>
      <c r="P418" s="11">
        <f>LOOKUP(O418,{0,1.6,1.8,2,2.2,2.4,2.6,2.8,3,3.2,3.4,3.6,3.8,4,4.2,4.4,4.6,4.7,4.8,4.9,5},{0,10,20,30,40,50,60,62,64,66,68,70,72,74,76,78,80,85,90,95,100})</f>
        <v>100</v>
      </c>
      <c r="Q418" s="12">
        <v>3.28</v>
      </c>
      <c r="R418" s="12">
        <f t="shared" ref="R418:R426" si="259">10-Q418</f>
        <v>6.72</v>
      </c>
      <c r="S418" s="11">
        <f>LOOKUP(R418,{0,3.8,4,4.6,4.8,5,5.6,5.65,5.7,5.75,5.8,5.85,5.9,5.95,6,6.45,6.5,6.58,6.65,6.7,6.75},{0,10,20,30,40,50,60,62,64,66,68,70,72,74,76,78,80,85,90,95,100})</f>
        <v>95</v>
      </c>
      <c r="T418" s="12"/>
      <c r="U418" s="15"/>
      <c r="V418" s="12">
        <f t="shared" ref="V418:V426" si="260">S418+U418</f>
        <v>95</v>
      </c>
      <c r="W418" s="12"/>
      <c r="X418" s="20">
        <f t="shared" ref="X418:X430" si="261">F418*0.1+H418*0.1+J418*0.1+P418*0.2+S418*0.2</f>
        <v>55.2</v>
      </c>
      <c r="Y418" s="20">
        <f t="shared" ref="Y418:Y426" si="262">X418/0.7+L418+U418</f>
        <v>78.8571428571429</v>
      </c>
    </row>
    <row r="419" ht="15.6" hidden="1" outlineLevel="2" spans="1:25">
      <c r="A419" s="12">
        <v>214</v>
      </c>
      <c r="B419" s="12">
        <v>2</v>
      </c>
      <c r="C419" s="6" t="s">
        <v>728</v>
      </c>
      <c r="D419" s="6" t="s">
        <v>11</v>
      </c>
      <c r="E419" s="12">
        <v>15.5</v>
      </c>
      <c r="F419" s="11">
        <f>LOOKUP(E419,{0,-2.9,-1.9,-0.9,0.1,1.1,2.1,3.5,4.9,6.3,7.7,9.1,10.5,11.9,13.3,14.7,16.1,18.3,20.5,22.4,24.3},{0,10,20,30,40,50,60,62,64,66,68,70,72,74,76,78,80,85,90,95,100})</f>
        <v>78</v>
      </c>
      <c r="G419" s="12">
        <v>230</v>
      </c>
      <c r="H419" s="11">
        <f>LOOKUP(G419,{0,175,180,185,190,195,200,204,208,212,216,220,224,228,232,236,240,248,255,260,265},{0,10,20,30,40,50,60,62,64,66,68,70,72,74,76,78,80,85,90,95,100})</f>
        <v>74</v>
      </c>
      <c r="I419" s="12">
        <v>14</v>
      </c>
      <c r="J419" s="11">
        <f>LOOKUP(I419,{0,3,4,5,6,7,8,9,10,11,12,13,14,15,16,17},{0,10,20,30,40,50,60,64,68,72,76,80,85,90,95,100})</f>
        <v>85</v>
      </c>
      <c r="K419" s="12"/>
      <c r="L419" s="12"/>
      <c r="M419" s="12">
        <f t="shared" si="257"/>
        <v>85</v>
      </c>
      <c r="N419" s="12">
        <v>7.5</v>
      </c>
      <c r="O419" s="12">
        <f t="shared" si="258"/>
        <v>4.5</v>
      </c>
      <c r="P419" s="11">
        <f>LOOKUP(O419,{0,1.6,1.8,2,2.2,2.4,2.6,2.8,3,3.2,3.4,3.6,3.8,4,4.2,4.4,4.6,4.7,4.8,4.9,5},{0,10,20,30,40,50,60,62,64,66,68,70,72,74,76,78,80,85,90,95,100})</f>
        <v>78</v>
      </c>
      <c r="Q419" s="12">
        <v>3.32</v>
      </c>
      <c r="R419" s="12">
        <f t="shared" si="259"/>
        <v>6.68</v>
      </c>
      <c r="S419" s="11">
        <f>LOOKUP(R419,{0,3.8,4,4.6,4.8,5,5.6,5.65,5.7,5.75,5.8,5.85,5.9,5.95,6,6.45,6.5,6.58,6.65,6.7,6.75},{0,10,20,30,40,50,60,62,64,66,68,70,72,74,76,78,80,85,90,95,100})</f>
        <v>90</v>
      </c>
      <c r="T419" s="12"/>
      <c r="U419" s="12"/>
      <c r="V419" s="12">
        <f t="shared" si="260"/>
        <v>90</v>
      </c>
      <c r="W419" s="12"/>
      <c r="X419" s="20">
        <f t="shared" si="261"/>
        <v>57.3</v>
      </c>
      <c r="Y419" s="20">
        <f t="shared" si="262"/>
        <v>81.8571428571429</v>
      </c>
    </row>
    <row r="420" ht="15.6" hidden="1" outlineLevel="2" spans="1:25">
      <c r="A420" s="12">
        <v>214</v>
      </c>
      <c r="B420" s="12">
        <v>3</v>
      </c>
      <c r="C420" s="6" t="s">
        <v>729</v>
      </c>
      <c r="D420" s="6" t="s">
        <v>11</v>
      </c>
      <c r="E420" s="12"/>
      <c r="F420" s="11"/>
      <c r="G420" s="12"/>
      <c r="H420" s="11"/>
      <c r="I420" s="12"/>
      <c r="J420" s="11"/>
      <c r="K420" s="12"/>
      <c r="L420" s="12"/>
      <c r="M420" s="12"/>
      <c r="N420" s="12"/>
      <c r="O420" s="12"/>
      <c r="P420" s="11"/>
      <c r="Q420" s="12"/>
      <c r="R420" s="12"/>
      <c r="S420" s="11"/>
      <c r="T420" s="12"/>
      <c r="U420" s="16"/>
      <c r="V420" s="12"/>
      <c r="W420" s="12"/>
      <c r="X420" s="20">
        <f t="shared" si="261"/>
        <v>0</v>
      </c>
      <c r="Y420" s="23">
        <v>50</v>
      </c>
    </row>
    <row r="421" ht="15.6" hidden="1" outlineLevel="2" spans="1:25">
      <c r="A421" s="12">
        <v>214</v>
      </c>
      <c r="B421" s="12">
        <v>4</v>
      </c>
      <c r="C421" s="6" t="s">
        <v>730</v>
      </c>
      <c r="D421" s="6" t="s">
        <v>11</v>
      </c>
      <c r="E421" s="12">
        <v>6.1</v>
      </c>
      <c r="F421" s="11">
        <f>LOOKUP(E421,{0,-2.9,-1.9,-0.9,0.1,1.1,2.1,3.5,4.9,6.3,7.7,9.1,10.5,11.9,13.3,14.7,16.1,18.3,20.5,22.4,24.3},{0,10,20,30,40,50,60,62,64,66,68,70,72,74,76,78,80,85,90,95,100})</f>
        <v>64</v>
      </c>
      <c r="G421" s="12">
        <v>185</v>
      </c>
      <c r="H421" s="11">
        <f>LOOKUP(G421,{0,175,180,185,190,195,200,204,208,212,216,220,224,228,232,236,240,248,255,260,265},{0,10,20,30,40,50,60,62,64,66,68,70,72,74,76,78,80,85,90,95,100})</f>
        <v>30</v>
      </c>
      <c r="I421" s="12">
        <v>13</v>
      </c>
      <c r="J421" s="11">
        <f>LOOKUP(I421,{0,3,4,5,6,7,8,9,10,11,12,13,14,15,16,17},{0,10,20,30,40,50,60,64,68,72,76,80,85,90,95,100})</f>
        <v>80</v>
      </c>
      <c r="K421" s="12"/>
      <c r="L421" s="12"/>
      <c r="M421" s="12">
        <f t="shared" si="257"/>
        <v>80</v>
      </c>
      <c r="N421" s="12">
        <v>7.8</v>
      </c>
      <c r="O421" s="12">
        <f t="shared" si="258"/>
        <v>4.2</v>
      </c>
      <c r="P421" s="11">
        <f>LOOKUP(O421,{0,1.6,1.8,2,2.2,2.4,2.6,2.8,3,3.2,3.4,3.6,3.8,4,4.2,4.4,4.6,4.7,4.8,4.9,5},{0,10,20,30,40,50,60,62,64,66,68,70,72,74,76,78,80,85,90,95,100})</f>
        <v>76</v>
      </c>
      <c r="Q421" s="12">
        <v>3.5</v>
      </c>
      <c r="R421" s="12">
        <f t="shared" si="259"/>
        <v>6.5</v>
      </c>
      <c r="S421" s="11">
        <f>LOOKUP(R421,{0,3.8,4,4.6,4.8,5,5.6,5.65,5.7,5.75,5.8,5.85,5.9,5.95,6,6.45,6.5,6.58,6.65,6.7,6.75},{0,10,20,30,40,50,60,62,64,66,68,70,72,74,76,78,80,85,90,95,100})</f>
        <v>80</v>
      </c>
      <c r="T421" s="12"/>
      <c r="U421" s="12"/>
      <c r="V421" s="12">
        <f t="shared" si="260"/>
        <v>80</v>
      </c>
      <c r="W421" s="12"/>
      <c r="X421" s="20">
        <f t="shared" si="261"/>
        <v>48.6</v>
      </c>
      <c r="Y421" s="20">
        <f t="shared" si="262"/>
        <v>69.4285714285714</v>
      </c>
    </row>
    <row r="422" ht="15.6" hidden="1" outlineLevel="2" spans="1:25">
      <c r="A422" s="12">
        <v>214</v>
      </c>
      <c r="B422" s="12">
        <v>5</v>
      </c>
      <c r="C422" s="6" t="s">
        <v>731</v>
      </c>
      <c r="D422" s="6" t="s">
        <v>11</v>
      </c>
      <c r="E422" s="12">
        <v>18.3</v>
      </c>
      <c r="F422" s="11">
        <f>LOOKUP(E422,{0,-2.9,-1.9,-0.9,0.1,1.1,2.1,3.5,4.9,6.3,7.7,9.1,10.5,11.9,13.3,14.7,16.1,18.3,20.5,22.4,24.3},{0,10,20,30,40,50,60,62,64,66,68,70,72,74,76,78,80,85,90,95,100})</f>
        <v>85</v>
      </c>
      <c r="G422" s="12">
        <v>205</v>
      </c>
      <c r="H422" s="11">
        <f>LOOKUP(G422,{0,175,180,185,190,195,200,204,208,212,216,220,224,228,232,236,240,248,255,260,265},{0,10,20,30,40,50,60,62,64,66,68,70,72,74,76,78,80,85,90,95,100})</f>
        <v>62</v>
      </c>
      <c r="I422" s="12">
        <v>1</v>
      </c>
      <c r="J422" s="11">
        <f>LOOKUP(I422,{0,3,4,5,6,7,8,9,10,11,12,13,14,15,16,17},{0,10,20,30,40,50,60,64,68,72,76,80,85,90,95,100})</f>
        <v>0</v>
      </c>
      <c r="K422" s="12"/>
      <c r="L422" s="12"/>
      <c r="M422" s="12">
        <f t="shared" si="257"/>
        <v>0</v>
      </c>
      <c r="N422" s="12">
        <v>6.8</v>
      </c>
      <c r="O422" s="12">
        <f t="shared" si="258"/>
        <v>5.2</v>
      </c>
      <c r="P422" s="11">
        <f>LOOKUP(O422,{0,1.6,1.8,2,2.2,2.4,2.6,2.8,3,3.2,3.4,3.6,3.8,4,4.2,4.4,4.6,4.7,4.8,4.9,5},{0,10,20,30,40,50,60,62,64,66,68,70,72,74,76,78,80,85,90,95,100})</f>
        <v>100</v>
      </c>
      <c r="Q422" s="12">
        <v>3.44</v>
      </c>
      <c r="R422" s="12">
        <f t="shared" si="259"/>
        <v>6.56</v>
      </c>
      <c r="S422" s="11">
        <f>LOOKUP(R422,{0,3.8,4,4.6,4.8,5,5.6,5.65,5.7,5.75,5.8,5.85,5.9,5.95,6,6.45,6.5,6.58,6.65,6.7,6.75},{0,10,20,30,40,50,60,62,64,66,68,70,72,74,76,78,80,85,90,95,100})</f>
        <v>80</v>
      </c>
      <c r="T422" s="12"/>
      <c r="U422" s="15"/>
      <c r="V422" s="12">
        <f t="shared" si="260"/>
        <v>80</v>
      </c>
      <c r="W422" s="12"/>
      <c r="X422" s="20">
        <f t="shared" si="261"/>
        <v>50.7</v>
      </c>
      <c r="Y422" s="20">
        <f t="shared" si="262"/>
        <v>72.4285714285714</v>
      </c>
    </row>
    <row r="423" ht="15.6" hidden="1" outlineLevel="2" spans="1:25">
      <c r="A423" s="12">
        <v>214</v>
      </c>
      <c r="B423" s="12">
        <v>6</v>
      </c>
      <c r="C423" s="6" t="s">
        <v>732</v>
      </c>
      <c r="D423" s="6" t="s">
        <v>11</v>
      </c>
      <c r="E423" s="12">
        <v>3.7</v>
      </c>
      <c r="F423" s="11">
        <f>LOOKUP(E423,{0,-2.9,-1.9,-0.9,0.1,1.1,2.1,3.5,4.9,6.3,7.7,9.1,10.5,11.9,13.3,14.7,16.1,18.3,20.5,22.4,24.3},{0,10,20,30,40,50,60,62,64,66,68,70,72,74,76,78,80,85,90,95,100})</f>
        <v>62</v>
      </c>
      <c r="G423" s="12">
        <v>211</v>
      </c>
      <c r="H423" s="11">
        <f>LOOKUP(G423,{0,175,180,185,190,195,200,204,208,212,216,220,224,228,232,236,240,248,255,260,265},{0,10,20,30,40,50,60,62,64,66,68,70,72,74,76,78,80,85,90,95,100})</f>
        <v>64</v>
      </c>
      <c r="I423" s="12">
        <v>10</v>
      </c>
      <c r="J423" s="11">
        <f>LOOKUP(I423,{0,3,4,5,6,7,8,9,10,11,12,13,14,15,16,17},{0,10,20,30,40,50,60,64,68,72,76,80,85,90,95,100})</f>
        <v>68</v>
      </c>
      <c r="K423" s="12"/>
      <c r="L423" s="12"/>
      <c r="M423" s="12">
        <f t="shared" si="257"/>
        <v>68</v>
      </c>
      <c r="N423" s="12">
        <v>8</v>
      </c>
      <c r="O423" s="12">
        <f t="shared" si="258"/>
        <v>4</v>
      </c>
      <c r="P423" s="11">
        <f>LOOKUP(O423,{0,1.6,1.8,2,2.2,2.4,2.6,2.8,3,3.2,3.4,3.6,3.8,4,4.2,4.4,4.6,4.7,4.8,4.9,5},{0,10,20,30,40,50,60,62,64,66,68,70,72,74,76,78,80,85,90,95,100})</f>
        <v>74</v>
      </c>
      <c r="Q423" s="12">
        <v>4.26</v>
      </c>
      <c r="R423" s="12">
        <f t="shared" si="259"/>
        <v>5.74</v>
      </c>
      <c r="S423" s="11">
        <f>LOOKUP(R423,{0,3.8,4,4.6,4.8,5,5.6,5.65,5.7,5.75,5.8,5.85,5.9,5.95,6,6.45,6.5,6.58,6.65,6.7,6.75},{0,10,20,30,40,50,60,62,64,66,68,70,72,74,76,78,80,85,90,95,100})</f>
        <v>64</v>
      </c>
      <c r="T423" s="12"/>
      <c r="U423" s="15"/>
      <c r="V423" s="12">
        <f t="shared" si="260"/>
        <v>64</v>
      </c>
      <c r="W423" s="12"/>
      <c r="X423" s="20">
        <f t="shared" si="261"/>
        <v>47</v>
      </c>
      <c r="Y423" s="20">
        <f t="shared" si="262"/>
        <v>67.1428571428572</v>
      </c>
    </row>
    <row r="424" ht="15.6" hidden="1" outlineLevel="2" spans="1:25">
      <c r="A424" s="12">
        <v>214</v>
      </c>
      <c r="B424" s="12">
        <v>7</v>
      </c>
      <c r="C424" s="6" t="s">
        <v>733</v>
      </c>
      <c r="D424" s="6" t="s">
        <v>11</v>
      </c>
      <c r="E424" s="12">
        <v>12.7</v>
      </c>
      <c r="F424" s="11">
        <f>LOOKUP(E424,{0,-2.9,-1.9,-0.9,0.1,1.1,2.1,3.5,4.9,6.3,7.7,9.1,10.5,11.9,13.3,14.7,16.1,18.3,20.5,22.4,24.3},{0,10,20,30,40,50,60,62,64,66,68,70,72,74,76,78,80,85,90,95,100})</f>
        <v>74</v>
      </c>
      <c r="G424" s="12">
        <v>202</v>
      </c>
      <c r="H424" s="11">
        <f>LOOKUP(G424,{0,175,180,185,190,195,200,204,208,212,216,220,224,228,232,236,240,248,255,260,265},{0,10,20,30,40,50,60,62,64,66,68,70,72,74,76,78,80,85,90,95,100})</f>
        <v>60</v>
      </c>
      <c r="I424" s="12">
        <v>16</v>
      </c>
      <c r="J424" s="11">
        <f>LOOKUP(I424,{0,3,4,5,6,7,8,9,10,11,12,13,14,15,16,17},{0,10,20,30,40,50,60,64,68,72,76,80,85,90,95,100})</f>
        <v>95</v>
      </c>
      <c r="K424" s="12"/>
      <c r="L424" s="12"/>
      <c r="M424" s="12">
        <f t="shared" si="257"/>
        <v>95</v>
      </c>
      <c r="N424" s="12">
        <v>7.5</v>
      </c>
      <c r="O424" s="12">
        <f t="shared" si="258"/>
        <v>4.5</v>
      </c>
      <c r="P424" s="11">
        <f>LOOKUP(O424,{0,1.6,1.8,2,2.2,2.4,2.6,2.8,3,3.2,3.4,3.6,3.8,4,4.2,4.4,4.6,4.7,4.8,4.9,5},{0,10,20,30,40,50,60,62,64,66,68,70,72,74,76,78,80,85,90,95,100})</f>
        <v>78</v>
      </c>
      <c r="Q424" s="12">
        <v>3.54</v>
      </c>
      <c r="R424" s="12">
        <f t="shared" si="259"/>
        <v>6.46</v>
      </c>
      <c r="S424" s="11">
        <f>LOOKUP(R424,{0,3.8,4,4.6,4.8,5,5.6,5.65,5.7,5.75,5.8,5.85,5.9,5.95,6,6.45,6.5,6.58,6.65,6.7,6.75},{0,10,20,30,40,50,60,62,64,66,68,70,72,74,76,78,80,85,90,95,100})</f>
        <v>78</v>
      </c>
      <c r="T424" s="12"/>
      <c r="U424" s="12"/>
      <c r="V424" s="12">
        <f t="shared" si="260"/>
        <v>78</v>
      </c>
      <c r="W424" s="12"/>
      <c r="X424" s="20">
        <f t="shared" si="261"/>
        <v>54.1</v>
      </c>
      <c r="Y424" s="20">
        <f t="shared" si="262"/>
        <v>77.2857142857143</v>
      </c>
    </row>
    <row r="425" ht="15.6" hidden="1" outlineLevel="2" spans="1:25">
      <c r="A425" s="12">
        <v>214</v>
      </c>
      <c r="B425" s="12">
        <v>8</v>
      </c>
      <c r="C425" s="6" t="s">
        <v>734</v>
      </c>
      <c r="D425" s="6" t="s">
        <v>11</v>
      </c>
      <c r="E425" s="12">
        <v>15</v>
      </c>
      <c r="F425" s="11">
        <f>LOOKUP(E425,{0,-2.9,-1.9,-0.9,0.1,1.1,2.1,3.5,4.9,6.3,7.7,9.1,10.5,11.9,13.3,14.7,16.1,18.3,20.5,22.4,24.3},{0,10,20,30,40,50,60,62,64,66,68,70,72,74,76,78,80,85,90,95,100})</f>
        <v>78</v>
      </c>
      <c r="G425" s="12">
        <v>210</v>
      </c>
      <c r="H425" s="11">
        <f>LOOKUP(G425,{0,175,180,185,190,195,200,204,208,212,216,220,224,228,232,236,240,248,255,260,265},{0,10,20,30,40,50,60,62,64,66,68,70,72,74,76,78,80,85,90,95,100})</f>
        <v>64</v>
      </c>
      <c r="I425" s="12">
        <v>4</v>
      </c>
      <c r="J425" s="11">
        <f>LOOKUP(I425,{0,3,4,5,6,7,8,9,10,11,12,13,14,15,16,17},{0,10,20,30,40,50,60,64,68,72,76,80,85,90,95,100})</f>
        <v>20</v>
      </c>
      <c r="K425" s="12"/>
      <c r="L425" s="12"/>
      <c r="M425" s="12">
        <f t="shared" si="257"/>
        <v>20</v>
      </c>
      <c r="N425" s="12">
        <v>7.2</v>
      </c>
      <c r="O425" s="12">
        <f t="shared" si="258"/>
        <v>4.8</v>
      </c>
      <c r="P425" s="11">
        <f>LOOKUP(O425,{0,1.6,1.8,2,2.2,2.4,2.6,2.8,3,3.2,3.4,3.6,3.8,4,4.2,4.4,4.6,4.7,4.8,4.9,5},{0,10,20,30,40,50,60,62,64,66,68,70,72,74,76,78,80,85,90,95,100})</f>
        <v>90</v>
      </c>
      <c r="Q425" s="12">
        <v>3.31</v>
      </c>
      <c r="R425" s="12">
        <f t="shared" si="259"/>
        <v>6.69</v>
      </c>
      <c r="S425" s="11">
        <f>LOOKUP(R425,{0,3.8,4,4.6,4.8,5,5.6,5.65,5.7,5.75,5.8,5.85,5.9,5.95,6,6.45,6.5,6.58,6.65,6.7,6.75},{0,10,20,30,40,50,60,62,64,66,68,70,72,74,76,78,80,85,90,95,100})</f>
        <v>90</v>
      </c>
      <c r="T425" s="12"/>
      <c r="U425" s="15"/>
      <c r="V425" s="12">
        <f t="shared" si="260"/>
        <v>90</v>
      </c>
      <c r="W425" s="12"/>
      <c r="X425" s="20">
        <f t="shared" si="261"/>
        <v>52.2</v>
      </c>
      <c r="Y425" s="20">
        <f t="shared" si="262"/>
        <v>74.5714285714286</v>
      </c>
    </row>
    <row r="426" ht="15.6" hidden="1" outlineLevel="2" spans="1:25">
      <c r="A426" s="12">
        <v>214</v>
      </c>
      <c r="B426" s="12">
        <v>9</v>
      </c>
      <c r="C426" s="6" t="s">
        <v>735</v>
      </c>
      <c r="D426" s="6" t="s">
        <v>11</v>
      </c>
      <c r="E426" s="12">
        <v>17.4</v>
      </c>
      <c r="F426" s="11">
        <f>LOOKUP(E426,{0,-2.9,-1.9,-0.9,0.1,1.1,2.1,3.5,4.9,6.3,7.7,9.1,10.5,11.9,13.3,14.7,16.1,18.3,20.5,22.4,24.3},{0,10,20,30,40,50,60,62,64,66,68,70,72,74,76,78,80,85,90,95,100})</f>
        <v>80</v>
      </c>
      <c r="G426" s="12">
        <v>254</v>
      </c>
      <c r="H426" s="11">
        <f>LOOKUP(G426,{0,175,180,185,190,195,200,204,208,212,216,220,224,228,232,236,240,248,255,260,265},{0,10,20,30,40,50,60,62,64,66,68,70,72,74,76,78,80,85,90,95,100})</f>
        <v>85</v>
      </c>
      <c r="I426" s="12">
        <v>8</v>
      </c>
      <c r="J426" s="11">
        <f>LOOKUP(I426,{0,3,4,5,6,7,8,9,10,11,12,13,14,15,16,17},{0,10,20,30,40,50,60,64,68,72,76,80,85,90,95,100})</f>
        <v>60</v>
      </c>
      <c r="K426" s="12"/>
      <c r="L426" s="12"/>
      <c r="M426" s="12">
        <f t="shared" si="257"/>
        <v>60</v>
      </c>
      <c r="N426" s="12">
        <v>6.3</v>
      </c>
      <c r="O426" s="12">
        <f t="shared" si="258"/>
        <v>5.7</v>
      </c>
      <c r="P426" s="11">
        <f>LOOKUP(O426,{0,1.6,1.8,2,2.2,2.4,2.6,2.8,3,3.2,3.4,3.6,3.8,4,4.2,4.4,4.6,4.7,4.8,4.9,5},{0,10,20,30,40,50,60,62,64,66,68,70,72,74,76,78,80,85,90,95,100})</f>
        <v>100</v>
      </c>
      <c r="Q426" s="12">
        <v>3.4</v>
      </c>
      <c r="R426" s="12">
        <f t="shared" si="259"/>
        <v>6.6</v>
      </c>
      <c r="S426" s="11">
        <f>LOOKUP(R426,{0,3.8,4,4.6,4.8,5,5.6,5.65,5.7,5.75,5.8,5.85,5.9,5.95,6,6.45,6.5,6.58,6.65,6.7,6.75},{0,10,20,30,40,50,60,62,64,66,68,70,72,74,76,78,80,85,90,95,100})</f>
        <v>85</v>
      </c>
      <c r="T426" s="12"/>
      <c r="U426" s="15"/>
      <c r="V426" s="12">
        <f t="shared" si="260"/>
        <v>85</v>
      </c>
      <c r="W426" s="12"/>
      <c r="X426" s="20">
        <f t="shared" si="261"/>
        <v>59.5</v>
      </c>
      <c r="Y426" s="20">
        <f t="shared" si="262"/>
        <v>85</v>
      </c>
    </row>
    <row r="427" s="1" customFormat="1" ht="15.6" hidden="1" outlineLevel="2" spans="1:25">
      <c r="A427" s="12">
        <v>214</v>
      </c>
      <c r="B427" s="12">
        <v>10</v>
      </c>
      <c r="C427" s="6" t="s">
        <v>736</v>
      </c>
      <c r="D427" s="6" t="s">
        <v>11</v>
      </c>
      <c r="E427" s="12"/>
      <c r="F427" s="11"/>
      <c r="G427" s="12"/>
      <c r="H427" s="11"/>
      <c r="I427" s="12"/>
      <c r="J427" s="11"/>
      <c r="K427" s="12"/>
      <c r="L427" s="12"/>
      <c r="M427" s="12"/>
      <c r="N427" s="12"/>
      <c r="O427" s="12"/>
      <c r="P427" s="11"/>
      <c r="Q427" s="12"/>
      <c r="R427" s="12"/>
      <c r="S427" s="11"/>
      <c r="T427" s="12"/>
      <c r="U427" s="11"/>
      <c r="V427" s="12"/>
      <c r="W427" s="12"/>
      <c r="X427" s="20">
        <f t="shared" si="261"/>
        <v>0</v>
      </c>
      <c r="Y427" s="23">
        <v>50</v>
      </c>
    </row>
    <row r="428" ht="15.6" hidden="1" outlineLevel="2" spans="1:25">
      <c r="A428" s="12">
        <v>214</v>
      </c>
      <c r="B428" s="12">
        <v>11</v>
      </c>
      <c r="C428" s="6" t="s">
        <v>737</v>
      </c>
      <c r="D428" s="6" t="s">
        <v>11</v>
      </c>
      <c r="E428" s="12">
        <v>18.4</v>
      </c>
      <c r="F428" s="11">
        <f>LOOKUP(E428,{0,-2.9,-1.9,-0.9,0.1,1.1,2.1,3.5,4.9,6.3,7.7,9.1,10.5,11.9,13.3,14.7,16.1,18.3,20.5,22.4,24.3},{0,10,20,30,40,50,60,62,64,66,68,70,72,74,76,78,80,85,90,95,100})</f>
        <v>85</v>
      </c>
      <c r="G428" s="12">
        <v>236</v>
      </c>
      <c r="H428" s="11">
        <f>LOOKUP(G428,{0,175,180,185,190,195,200,204,208,212,216,220,224,228,232,236,240,248,255,260,265},{0,10,20,30,40,50,60,62,64,66,68,70,72,74,76,78,80,85,90,95,100})</f>
        <v>78</v>
      </c>
      <c r="I428" s="12">
        <v>2</v>
      </c>
      <c r="J428" s="11">
        <f>LOOKUP(I428,{0,3,4,5,6,7,8,9,10,11,12,13,14,15,16,17},{0,10,20,30,40,50,60,64,68,72,76,80,85,90,95,100})</f>
        <v>0</v>
      </c>
      <c r="K428" s="12"/>
      <c r="L428" s="12"/>
      <c r="M428" s="12">
        <f t="shared" ref="M428:M430" si="263">J428+L428</f>
        <v>0</v>
      </c>
      <c r="N428" s="12">
        <v>6.8</v>
      </c>
      <c r="O428" s="12">
        <f t="shared" ref="O428:O430" si="264">12-N428</f>
        <v>5.2</v>
      </c>
      <c r="P428" s="11">
        <f>LOOKUP(O428,{0,1.6,1.8,2,2.2,2.4,2.6,2.8,3,3.2,3.4,3.6,3.8,4,4.2,4.4,4.6,4.7,4.8,4.9,5},{0,10,20,30,40,50,60,62,64,66,68,70,72,74,76,78,80,85,90,95,100})</f>
        <v>100</v>
      </c>
      <c r="Q428" s="12">
        <v>4.01</v>
      </c>
      <c r="R428" s="12">
        <f t="shared" ref="R428:R430" si="265">10-Q428</f>
        <v>5.99</v>
      </c>
      <c r="S428" s="11">
        <f>LOOKUP(R428,{0,3.8,4,4.6,4.8,5,5.6,5.65,5.7,5.75,5.8,5.85,5.9,5.95,6,6.45,6.5,6.58,6.65,6.7,6.75},{0,10,20,30,40,50,60,62,64,66,68,70,72,74,76,78,80,85,90,95,100})</f>
        <v>74</v>
      </c>
      <c r="T428" s="12"/>
      <c r="U428" s="15"/>
      <c r="V428" s="12">
        <f>S428+U428</f>
        <v>74</v>
      </c>
      <c r="W428" s="12"/>
      <c r="X428" s="20">
        <f t="shared" si="261"/>
        <v>51.1</v>
      </c>
      <c r="Y428" s="20">
        <f>X428/0.7+L428+U428</f>
        <v>73</v>
      </c>
    </row>
    <row r="429" ht="15.6" hidden="1" outlineLevel="2" spans="1:25">
      <c r="A429" s="12">
        <v>214</v>
      </c>
      <c r="B429" s="12">
        <v>12</v>
      </c>
      <c r="C429" s="6" t="s">
        <v>738</v>
      </c>
      <c r="D429" s="6" t="s">
        <v>11</v>
      </c>
      <c r="E429" s="12">
        <v>-0.4</v>
      </c>
      <c r="F429" s="11">
        <f>LOOKUP(E429,{0,-2.9,-1.9,-0.9,0.1,1.1,2.1,3.5,4.9,6.3,7.7,9.1,10.5,11.9,13.3,14.7,16.1,18.3,20.5,22.4,24.3},{0,10,20,30,40,50,60,62,64,66,68,70,72,74,76,78,80,85,90,95,100})</f>
        <v>30</v>
      </c>
      <c r="G429" s="12">
        <v>141</v>
      </c>
      <c r="H429" s="11">
        <f>LOOKUP(G429,{0,175,180,185,190,195,200,204,208,212,216,220,224,228,232,236,240,248,255,260,265},{0,10,20,30,40,50,60,62,64,66,68,70,72,74,76,78,80,85,90,95,100})</f>
        <v>0</v>
      </c>
      <c r="I429" s="12">
        <v>0</v>
      </c>
      <c r="J429" s="11">
        <f>LOOKUP(I429,{0,3,4,5,6,7,8,9,10,11,12,13,14,15,16,17},{0,10,20,30,40,50,60,64,68,72,76,80,85,90,95,100})</f>
        <v>0</v>
      </c>
      <c r="K429" s="12"/>
      <c r="L429" s="12"/>
      <c r="M429" s="12">
        <f t="shared" si="263"/>
        <v>0</v>
      </c>
      <c r="N429" s="12">
        <v>10.7</v>
      </c>
      <c r="O429" s="12">
        <f t="shared" si="264"/>
        <v>1.3</v>
      </c>
      <c r="P429" s="11">
        <f>LOOKUP(O429,{0,1.6,1.8,2,2.2,2.4,2.6,2.8,3,3.2,3.4,3.6,3.8,4,4.2,4.4,4.6,4.7,4.8,4.9,5},{0,10,20,30,40,50,60,62,64,66,68,70,72,74,76,78,80,85,90,95,100})</f>
        <v>0</v>
      </c>
      <c r="Q429" s="12" t="s">
        <v>739</v>
      </c>
      <c r="R429" s="12" t="e">
        <f t="shared" si="265"/>
        <v>#VALUE!</v>
      </c>
      <c r="S429" s="11"/>
      <c r="T429" s="12"/>
      <c r="U429" s="12"/>
      <c r="V429" s="12"/>
      <c r="W429" s="12"/>
      <c r="X429" s="20">
        <f t="shared" si="261"/>
        <v>3</v>
      </c>
      <c r="Y429" s="23">
        <v>50</v>
      </c>
    </row>
    <row r="430" ht="15.6" hidden="1" outlineLevel="2" spans="1:25">
      <c r="A430" s="12">
        <v>214</v>
      </c>
      <c r="B430" s="12">
        <v>13</v>
      </c>
      <c r="C430" s="6" t="s">
        <v>740</v>
      </c>
      <c r="D430" s="6" t="s">
        <v>11</v>
      </c>
      <c r="E430" s="12">
        <v>11</v>
      </c>
      <c r="F430" s="11">
        <f>LOOKUP(E430,{0,-2.9,-1.9,-0.9,0.1,1.1,2.1,3.5,4.9,6.3,7.7,9.1,10.5,11.9,13.3,14.7,16.1,18.3,20.5,22.4,24.3},{0,10,20,30,40,50,60,62,64,66,68,70,72,74,76,78,80,85,90,95,100})</f>
        <v>72</v>
      </c>
      <c r="G430" s="12">
        <v>237</v>
      </c>
      <c r="H430" s="11">
        <f>LOOKUP(G430,{0,175,180,185,190,195,200,204,208,212,216,220,224,228,232,236,240,248,255,260,265},{0,10,20,30,40,50,60,62,64,66,68,70,72,74,76,78,80,85,90,95,100})</f>
        <v>78</v>
      </c>
      <c r="I430" s="12">
        <v>8</v>
      </c>
      <c r="J430" s="11">
        <f>LOOKUP(I430,{0,3,4,5,6,7,8,9,10,11,12,13,14,15,16,17},{0,10,20,30,40,50,60,64,68,72,76,80,85,90,95,100})</f>
        <v>60</v>
      </c>
      <c r="K430" s="12"/>
      <c r="L430" s="12"/>
      <c r="M430" s="12">
        <f t="shared" si="263"/>
        <v>60</v>
      </c>
      <c r="N430" s="12">
        <v>7.2</v>
      </c>
      <c r="O430" s="12">
        <f t="shared" si="264"/>
        <v>4.8</v>
      </c>
      <c r="P430" s="11">
        <f>LOOKUP(O430,{0,1.6,1.8,2,2.2,2.4,2.6,2.8,3,3.2,3.4,3.6,3.8,4,4.2,4.4,4.6,4.7,4.8,4.9,5},{0,10,20,30,40,50,60,62,64,66,68,70,72,74,76,78,80,85,90,95,100})</f>
        <v>90</v>
      </c>
      <c r="Q430" s="12">
        <v>4.22</v>
      </c>
      <c r="R430" s="12">
        <f t="shared" si="265"/>
        <v>5.78</v>
      </c>
      <c r="S430" s="11">
        <f>LOOKUP(R430,{0,3.8,4,4.6,4.8,5,5.6,5.65,5.7,5.75,5.8,5.85,5.9,5.95,6,6.45,6.5,6.58,6.65,6.7,6.75},{0,10,20,30,40,50,60,62,64,66,68,70,72,74,76,78,80,85,90,95,100})</f>
        <v>66</v>
      </c>
      <c r="T430" s="12"/>
      <c r="U430" s="15"/>
      <c r="V430" s="12">
        <f>S430+U430</f>
        <v>66</v>
      </c>
      <c r="W430" s="12"/>
      <c r="X430" s="20">
        <f t="shared" si="261"/>
        <v>52.2</v>
      </c>
      <c r="Y430" s="20">
        <f>X430/0.7+L430+U430</f>
        <v>74.5714285714286</v>
      </c>
    </row>
    <row r="431" ht="15.6" outlineLevel="1" collapsed="1" spans="1:25">
      <c r="A431" s="14" t="s">
        <v>868</v>
      </c>
      <c r="B431" s="12"/>
      <c r="C431" s="6"/>
      <c r="D431" s="6"/>
      <c r="E431" s="12"/>
      <c r="F431" s="11">
        <f>SUBTOTAL(1,F418:F430)</f>
        <v>70.7272727272727</v>
      </c>
      <c r="G431" s="12"/>
      <c r="H431" s="11">
        <f>SUBTOTAL(1,H418:H430)</f>
        <v>60.6363636363636</v>
      </c>
      <c r="I431" s="12"/>
      <c r="J431" s="11">
        <f>SUBTOTAL(1,J418:J430)</f>
        <v>44.3636363636364</v>
      </c>
      <c r="K431" s="12"/>
      <c r="L431" s="12"/>
      <c r="M431" s="12">
        <f>SUBTOTAL(1,M418:M430)</f>
        <v>44.3636363636364</v>
      </c>
      <c r="N431" s="12"/>
      <c r="O431" s="12"/>
      <c r="P431" s="11">
        <f>SUBTOTAL(1,P418:P430)</f>
        <v>80.5454545454545</v>
      </c>
      <c r="Q431" s="12"/>
      <c r="R431" s="12"/>
      <c r="S431" s="11">
        <f>SUBTOTAL(1,S418:S430)</f>
        <v>80.2</v>
      </c>
      <c r="T431" s="12"/>
      <c r="U431" s="15"/>
      <c r="V431" s="12">
        <f>SUBTOTAL(1,V418:V430)</f>
        <v>80.2</v>
      </c>
      <c r="W431" s="12"/>
      <c r="X431" s="20">
        <f>SUBTOTAL(1,X418:X430)</f>
        <v>40.8384615384615</v>
      </c>
      <c r="Y431" s="20">
        <f>SUBTOTAL(1,Y418:Y430)</f>
        <v>69.5494505494506</v>
      </c>
    </row>
    <row r="432" ht="15.6" hidden="1" outlineLevel="2" spans="1:25">
      <c r="A432" s="12">
        <v>215</v>
      </c>
      <c r="B432" s="12">
        <v>1</v>
      </c>
      <c r="C432" s="13" t="s">
        <v>789</v>
      </c>
      <c r="D432" s="6" t="s">
        <v>11</v>
      </c>
      <c r="E432" s="12">
        <v>14.2</v>
      </c>
      <c r="F432" s="11">
        <f>LOOKUP(E432,{0,-2.9,-1.9,-0.9,0.1,1.1,2.1,3.5,4.9,6.3,7.7,9.1,10.5,11.9,13.3,14.7,16.1,18.3,20.5,22.4,24.3},{0,10,20,30,40,50,60,62,64,66,68,70,72,74,76,78,80,85,90,95,100})</f>
        <v>76</v>
      </c>
      <c r="G432" s="12">
        <v>240</v>
      </c>
      <c r="H432" s="11">
        <f>LOOKUP(G432,{0,175,180,185,190,195,200,204,208,212,216,220,224,228,232,236,240,248,255,260,265},{0,10,20,30,40,50,60,62,64,66,68,70,72,74,76,78,80,85,90,95,100})</f>
        <v>80</v>
      </c>
      <c r="I432" s="12">
        <v>8</v>
      </c>
      <c r="J432" s="11">
        <f>LOOKUP(I432,{0,3,4,5,6,7,8,9,10,11,12,13,14,15,16,17},{0,10,20,30,40,50,60,64,68,72,76,80,85,90,95,100})</f>
        <v>60</v>
      </c>
      <c r="K432" s="12"/>
      <c r="L432" s="12"/>
      <c r="M432" s="12">
        <f t="shared" ref="M432:M444" si="266">J432+L432</f>
        <v>60</v>
      </c>
      <c r="N432" s="12">
        <v>7</v>
      </c>
      <c r="O432" s="12">
        <f t="shared" ref="O432:O444" si="267">12-N432</f>
        <v>5</v>
      </c>
      <c r="P432" s="11">
        <f>LOOKUP(O432,{0,1.6,1.8,2,2.2,2.4,2.6,2.8,3,3.2,3.4,3.6,3.8,4,4.2,4.4,4.6,4.7,4.8,4.9,5},{0,10,20,30,40,50,60,62,64,66,68,70,72,74,76,78,80,85,90,95,100})</f>
        <v>100</v>
      </c>
      <c r="Q432" s="12">
        <v>4.02</v>
      </c>
      <c r="R432" s="12">
        <f t="shared" ref="R432:R444" si="268">10-Q432</f>
        <v>5.98</v>
      </c>
      <c r="S432" s="11">
        <f>LOOKUP(R432,{0,3.8,4,4.6,4.8,5,5.6,5.65,5.7,5.75,5.8,5.85,5.9,5.95,6,6.45,6.5,6.58,6.65,6.7,6.75},{0,10,20,30,40,50,60,62,64,66,68,70,72,74,76,78,80,85,90,95,100})</f>
        <v>74</v>
      </c>
      <c r="T432" s="12"/>
      <c r="U432" s="12"/>
      <c r="V432" s="12">
        <f t="shared" ref="V432:V444" si="269">S432+U432</f>
        <v>74</v>
      </c>
      <c r="W432" s="12"/>
      <c r="X432" s="20">
        <f t="shared" ref="X432:X444" si="270">F432*0.1+H432*0.1+J432*0.1+P432*0.2+S432*0.2</f>
        <v>56.4</v>
      </c>
      <c r="Y432" s="20">
        <f t="shared" ref="Y432:Y444" si="271">X432/0.7+L432+U432</f>
        <v>80.5714285714286</v>
      </c>
    </row>
    <row r="433" ht="15.6" hidden="1" outlineLevel="2" spans="1:25">
      <c r="A433" s="12">
        <v>215</v>
      </c>
      <c r="B433" s="12">
        <v>2</v>
      </c>
      <c r="C433" s="6" t="s">
        <v>790</v>
      </c>
      <c r="D433" s="6" t="s">
        <v>11</v>
      </c>
      <c r="E433" s="12">
        <v>-11</v>
      </c>
      <c r="F433" s="11">
        <v>0</v>
      </c>
      <c r="G433" s="12">
        <v>242</v>
      </c>
      <c r="H433" s="11">
        <f>LOOKUP(G433,{0,175,180,185,190,195,200,204,208,212,216,220,224,228,232,236,240,248,255,260,265},{0,10,20,30,40,50,60,62,64,66,68,70,72,74,76,78,80,85,90,95,100})</f>
        <v>80</v>
      </c>
      <c r="I433" s="12">
        <v>15</v>
      </c>
      <c r="J433" s="11">
        <f>LOOKUP(I433,{0,3,4,5,6,7,8,9,10,11,12,13,14,15,16,17},{0,10,20,30,40,50,60,64,68,72,76,80,85,90,95,100})</f>
        <v>90</v>
      </c>
      <c r="K433" s="12"/>
      <c r="L433" s="12"/>
      <c r="M433" s="12">
        <f t="shared" si="266"/>
        <v>90</v>
      </c>
      <c r="N433" s="12">
        <v>7.2</v>
      </c>
      <c r="O433" s="12">
        <f t="shared" si="267"/>
        <v>4.8</v>
      </c>
      <c r="P433" s="11">
        <f>LOOKUP(O433,{0,1.6,1.8,2,2.2,2.4,2.6,2.8,3,3.2,3.4,3.6,3.8,4,4.2,4.4,4.6,4.7,4.8,4.9,5},{0,10,20,30,40,50,60,62,64,66,68,70,72,74,76,78,80,85,90,95,100})</f>
        <v>90</v>
      </c>
      <c r="Q433" s="12">
        <v>4.05</v>
      </c>
      <c r="R433" s="12">
        <f t="shared" si="268"/>
        <v>5.95</v>
      </c>
      <c r="S433" s="11">
        <f>LOOKUP(R433,{0,3.8,4,4.6,4.8,5,5.6,5.65,5.7,5.75,5.8,5.85,5.9,5.95,6,6.45,6.5,6.58,6.65,6.7,6.75},{0,10,20,30,40,50,60,62,64,66,68,70,72,74,76,78,80,85,90,95,100})</f>
        <v>74</v>
      </c>
      <c r="T433" s="12"/>
      <c r="U433" s="15"/>
      <c r="V433" s="12">
        <f t="shared" si="269"/>
        <v>74</v>
      </c>
      <c r="W433" s="12"/>
      <c r="X433" s="20">
        <f t="shared" si="270"/>
        <v>49.8</v>
      </c>
      <c r="Y433" s="20">
        <f t="shared" si="271"/>
        <v>71.1428571428571</v>
      </c>
    </row>
    <row r="434" s="1" customFormat="1" ht="15.6" hidden="1" outlineLevel="2" spans="1:25">
      <c r="A434" s="12">
        <v>215</v>
      </c>
      <c r="B434" s="12">
        <v>3</v>
      </c>
      <c r="C434" s="6" t="s">
        <v>791</v>
      </c>
      <c r="D434" s="6" t="s">
        <v>11</v>
      </c>
      <c r="E434" s="12">
        <v>18.3</v>
      </c>
      <c r="F434" s="11">
        <f>LOOKUP(E434,{0,-2.9,-1.9,-0.9,0.1,1.1,2.1,3.5,4.9,6.3,7.7,9.1,10.5,11.9,13.3,14.7,16.1,18.3,20.5,22.4,24.3},{0,10,20,30,40,50,60,62,64,66,68,70,72,74,76,78,80,85,90,95,100})</f>
        <v>85</v>
      </c>
      <c r="G434" s="12">
        <v>241</v>
      </c>
      <c r="H434" s="11">
        <f>LOOKUP(G434,{0,175,180,185,190,195,200,204,208,212,216,220,224,228,232,236,240,248,255,260,265},{0,10,20,30,40,50,60,62,64,66,68,70,72,74,76,78,80,85,90,95,100})</f>
        <v>80</v>
      </c>
      <c r="I434" s="12">
        <v>0</v>
      </c>
      <c r="J434" s="11">
        <f>LOOKUP(I434,{0,3,4,5,6,7,8,9,10,11,12,13,14,15,16,17},{0,10,20,30,40,50,60,64,68,72,76,80,85,90,95,100})</f>
        <v>0</v>
      </c>
      <c r="K434" s="12"/>
      <c r="L434" s="12"/>
      <c r="M434" s="12">
        <f t="shared" si="266"/>
        <v>0</v>
      </c>
      <c r="N434" s="12">
        <v>7.1</v>
      </c>
      <c r="O434" s="12">
        <f t="shared" si="267"/>
        <v>4.9</v>
      </c>
      <c r="P434" s="11">
        <f>LOOKUP(O434,{0,1.6,1.8,2,2.2,2.4,2.6,2.8,3,3.2,3.4,3.6,3.8,4,4.2,4.4,4.6,4.7,4.8,4.9,5},{0,10,20,30,40,50,60,62,64,66,68,70,72,74,76,78,80,85,90,95,100})</f>
        <v>95</v>
      </c>
      <c r="Q434" s="12">
        <v>4.11</v>
      </c>
      <c r="R434" s="12">
        <f t="shared" si="268"/>
        <v>5.89</v>
      </c>
      <c r="S434" s="11">
        <f>LOOKUP(R434,{0,3.8,4,4.6,4.8,5,5.6,5.65,5.7,5.75,5.8,5.85,5.9,5.95,6,6.45,6.5,6.58,6.65,6.7,6.75},{0,10,20,30,40,50,60,62,64,66,68,70,72,74,76,78,80,85,90,95,100})</f>
        <v>70</v>
      </c>
      <c r="T434" s="12"/>
      <c r="U434" s="12"/>
      <c r="V434" s="12">
        <f t="shared" si="269"/>
        <v>70</v>
      </c>
      <c r="W434" s="12"/>
      <c r="X434" s="20">
        <f t="shared" si="270"/>
        <v>49.5</v>
      </c>
      <c r="Y434" s="20">
        <f t="shared" si="271"/>
        <v>70.7142857142857</v>
      </c>
    </row>
    <row r="435" ht="15.6" hidden="1" outlineLevel="2" spans="1:25">
      <c r="A435" s="12">
        <v>215</v>
      </c>
      <c r="B435" s="12">
        <v>4</v>
      </c>
      <c r="C435" s="6" t="s">
        <v>792</v>
      </c>
      <c r="D435" s="6" t="s">
        <v>11</v>
      </c>
      <c r="E435" s="12">
        <v>4.3</v>
      </c>
      <c r="F435" s="11">
        <f>LOOKUP(E435,{0,-2.9,-1.9,-0.9,0.1,1.1,2.1,3.5,4.9,6.3,7.7,9.1,10.5,11.9,13.3,14.7,16.1,18.3,20.5,22.4,24.3},{0,10,20,30,40,50,60,62,64,66,68,70,72,74,76,78,80,85,90,95,100})</f>
        <v>62</v>
      </c>
      <c r="G435" s="12">
        <v>225</v>
      </c>
      <c r="H435" s="11">
        <f>LOOKUP(G435,{0,175,180,185,190,195,200,204,208,212,216,220,224,228,232,236,240,248,255,260,265},{0,10,20,30,40,50,60,62,64,66,68,70,72,74,76,78,80,85,90,95,100})</f>
        <v>72</v>
      </c>
      <c r="I435" s="12">
        <v>5</v>
      </c>
      <c r="J435" s="11">
        <f>LOOKUP(I435,{0,3,4,5,6,7,8,9,10,11,12,13,14,15,16,17},{0,10,20,30,40,50,60,64,68,72,76,80,85,90,95,100})</f>
        <v>30</v>
      </c>
      <c r="K435" s="12"/>
      <c r="L435" s="12"/>
      <c r="M435" s="12">
        <f t="shared" si="266"/>
        <v>30</v>
      </c>
      <c r="N435" s="12">
        <v>7.2</v>
      </c>
      <c r="O435" s="12">
        <f t="shared" si="267"/>
        <v>4.8</v>
      </c>
      <c r="P435" s="11">
        <f>LOOKUP(O435,{0,1.6,1.8,2,2.2,2.4,2.6,2.8,3,3.2,3.4,3.6,3.8,4,4.2,4.4,4.6,4.7,4.8,4.9,5},{0,10,20,30,40,50,60,62,64,66,68,70,72,74,76,78,80,85,90,95,100})</f>
        <v>90</v>
      </c>
      <c r="Q435" s="12">
        <v>3.56</v>
      </c>
      <c r="R435" s="12">
        <f t="shared" si="268"/>
        <v>6.44</v>
      </c>
      <c r="S435" s="11">
        <f>LOOKUP(R435,{0,3.8,4,4.6,4.8,5,5.6,5.65,5.7,5.75,5.8,5.85,5.9,5.95,6,6.45,6.5,6.58,6.65,6.7,6.75},{0,10,20,30,40,50,60,62,64,66,68,70,72,74,76,78,80,85,90,95,100})</f>
        <v>76</v>
      </c>
      <c r="T435" s="12"/>
      <c r="U435" s="12"/>
      <c r="V435" s="12">
        <f t="shared" si="269"/>
        <v>76</v>
      </c>
      <c r="W435" s="12"/>
      <c r="X435" s="20">
        <f t="shared" si="270"/>
        <v>49.6</v>
      </c>
      <c r="Y435" s="20">
        <f t="shared" si="271"/>
        <v>70.8571428571429</v>
      </c>
    </row>
    <row r="436" ht="15.6" hidden="1" outlineLevel="2" spans="1:25">
      <c r="A436" s="12">
        <v>215</v>
      </c>
      <c r="B436" s="12">
        <v>5</v>
      </c>
      <c r="C436" s="6" t="s">
        <v>793</v>
      </c>
      <c r="D436" s="6" t="s">
        <v>11</v>
      </c>
      <c r="E436" s="12">
        <v>8.4</v>
      </c>
      <c r="F436" s="11">
        <f>LOOKUP(E436,{0,-2.9,-1.9,-0.9,0.1,1.1,2.1,3.5,4.9,6.3,7.7,9.1,10.5,11.9,13.3,14.7,16.1,18.3,20.5,22.4,24.3},{0,10,20,30,40,50,60,62,64,66,68,70,72,74,76,78,80,85,90,95,100})</f>
        <v>68</v>
      </c>
      <c r="G436" s="12">
        <v>218</v>
      </c>
      <c r="H436" s="11">
        <f>LOOKUP(G436,{0,175,180,185,190,195,200,204,208,212,216,220,224,228,232,236,240,248,255,260,265},{0,10,20,30,40,50,60,62,64,66,68,70,72,74,76,78,80,85,90,95,100})</f>
        <v>68</v>
      </c>
      <c r="I436" s="12">
        <v>8</v>
      </c>
      <c r="J436" s="11">
        <f>LOOKUP(I436,{0,3,4,5,6,7,8,9,10,11,12,13,14,15,16,17},{0,10,20,30,40,50,60,64,68,72,76,80,85,90,95,100})</f>
        <v>60</v>
      </c>
      <c r="K436" s="12"/>
      <c r="L436" s="12"/>
      <c r="M436" s="12">
        <f t="shared" si="266"/>
        <v>60</v>
      </c>
      <c r="N436" s="12">
        <v>7.7</v>
      </c>
      <c r="O436" s="12">
        <f t="shared" si="267"/>
        <v>4.3</v>
      </c>
      <c r="P436" s="11">
        <f>LOOKUP(O436,{0,1.6,1.8,2,2.2,2.4,2.6,2.8,3,3.2,3.4,3.6,3.8,4,4.2,4.4,4.6,4.7,4.8,4.9,5},{0,10,20,30,40,50,60,62,64,66,68,70,72,74,76,78,80,85,90,95,100})</f>
        <v>76</v>
      </c>
      <c r="Q436" s="12">
        <v>4.2</v>
      </c>
      <c r="R436" s="12">
        <f t="shared" si="268"/>
        <v>5.8</v>
      </c>
      <c r="S436" s="11">
        <f>LOOKUP(R436,{0,3.8,4,4.6,4.8,5,5.6,5.65,5.7,5.75,5.8,5.85,5.9,5.95,6,6.45,6.5,6.58,6.65,6.7,6.75},{0,10,20,30,40,50,60,62,64,66,68,70,72,74,76,78,80,85,90,95,100})</f>
        <v>68</v>
      </c>
      <c r="T436" s="12"/>
      <c r="U436" s="12"/>
      <c r="V436" s="12">
        <f t="shared" si="269"/>
        <v>68</v>
      </c>
      <c r="W436" s="12"/>
      <c r="X436" s="20">
        <f t="shared" si="270"/>
        <v>48.4</v>
      </c>
      <c r="Y436" s="20">
        <f t="shared" si="271"/>
        <v>69.1428571428572</v>
      </c>
    </row>
    <row r="437" ht="15.6" hidden="1" outlineLevel="2" spans="1:25">
      <c r="A437" s="12">
        <v>215</v>
      </c>
      <c r="B437" s="12">
        <v>6</v>
      </c>
      <c r="C437" s="6" t="s">
        <v>794</v>
      </c>
      <c r="D437" s="6" t="s">
        <v>11</v>
      </c>
      <c r="E437" s="12">
        <v>7</v>
      </c>
      <c r="F437" s="11">
        <f>LOOKUP(E437,{0,-2.9,-1.9,-0.9,0.1,1.1,2.1,3.5,4.9,6.3,7.7,9.1,10.5,11.9,13.3,14.7,16.1,18.3,20.5,22.4,24.3},{0,10,20,30,40,50,60,62,64,66,68,70,72,74,76,78,80,85,90,95,100})</f>
        <v>66</v>
      </c>
      <c r="G437" s="12">
        <v>197</v>
      </c>
      <c r="H437" s="11">
        <f>LOOKUP(G437,{0,175,180,185,190,195,200,204,208,212,216,220,224,228,232,236,240,248,255,260,265},{0,10,20,30,40,50,60,62,64,66,68,70,72,74,76,78,80,85,90,95,100})</f>
        <v>50</v>
      </c>
      <c r="I437" s="12">
        <v>6</v>
      </c>
      <c r="J437" s="11">
        <f>LOOKUP(I437,{0,3,4,5,6,7,8,9,10,11,12,13,14,15,16,17},{0,10,20,30,40,50,60,64,68,72,76,80,85,90,95,100})</f>
        <v>40</v>
      </c>
      <c r="K437" s="12"/>
      <c r="L437" s="12"/>
      <c r="M437" s="12">
        <f t="shared" si="266"/>
        <v>40</v>
      </c>
      <c r="N437" s="12">
        <v>7.3</v>
      </c>
      <c r="O437" s="12">
        <f t="shared" si="267"/>
        <v>4.7</v>
      </c>
      <c r="P437" s="11">
        <f>LOOKUP(O437,{0,1.6,1.8,2,2.2,2.4,2.6,2.8,3,3.2,3.4,3.6,3.8,4,4.2,4.4,4.6,4.7,4.8,4.9,5},{0,10,20,30,40,50,60,62,64,66,68,70,72,74,76,78,80,85,90,95,100})</f>
        <v>85</v>
      </c>
      <c r="Q437" s="12">
        <v>3.38</v>
      </c>
      <c r="R437" s="12">
        <f t="shared" si="268"/>
        <v>6.62</v>
      </c>
      <c r="S437" s="11">
        <f>LOOKUP(R437,{0,3.8,4,4.6,4.8,5,5.6,5.65,5.7,5.75,5.8,5.85,5.9,5.95,6,6.45,6.5,6.58,6.65,6.7,6.75},{0,10,20,30,40,50,60,62,64,66,68,70,72,74,76,78,80,85,90,95,100})</f>
        <v>85</v>
      </c>
      <c r="T437" s="12"/>
      <c r="U437" s="12"/>
      <c r="V437" s="12">
        <f t="shared" si="269"/>
        <v>85</v>
      </c>
      <c r="W437" s="12"/>
      <c r="X437" s="20">
        <f t="shared" si="270"/>
        <v>49.6</v>
      </c>
      <c r="Y437" s="20">
        <f t="shared" si="271"/>
        <v>70.8571428571429</v>
      </c>
    </row>
    <row r="438" ht="15.6" hidden="1" outlineLevel="2" spans="1:25">
      <c r="A438" s="12">
        <v>215</v>
      </c>
      <c r="B438" s="12">
        <v>7</v>
      </c>
      <c r="C438" s="6" t="s">
        <v>795</v>
      </c>
      <c r="D438" s="6" t="s">
        <v>11</v>
      </c>
      <c r="E438" s="12">
        <v>17.4</v>
      </c>
      <c r="F438" s="11">
        <f>LOOKUP(E438,{0,-2.9,-1.9,-0.9,0.1,1.1,2.1,3.5,4.9,6.3,7.7,9.1,10.5,11.9,13.3,14.7,16.1,18.3,20.5,22.4,24.3},{0,10,20,30,40,50,60,62,64,66,68,70,72,74,76,78,80,85,90,95,100})</f>
        <v>80</v>
      </c>
      <c r="G438" s="12">
        <v>210</v>
      </c>
      <c r="H438" s="11">
        <f>LOOKUP(G438,{0,175,180,185,190,195,200,204,208,212,216,220,224,228,232,236,240,248,255,260,265},{0,10,20,30,40,50,60,62,64,66,68,70,72,74,76,78,80,85,90,95,100})</f>
        <v>64</v>
      </c>
      <c r="I438" s="12">
        <v>1</v>
      </c>
      <c r="J438" s="11">
        <f>LOOKUP(I438,{0,3,4,5,6,7,8,9,10,11,12,13,14,15,16,17},{0,10,20,30,40,50,60,64,68,72,76,80,85,90,95,100})</f>
        <v>0</v>
      </c>
      <c r="K438" s="12"/>
      <c r="L438" s="12"/>
      <c r="M438" s="12">
        <f t="shared" si="266"/>
        <v>0</v>
      </c>
      <c r="N438" s="12">
        <v>7.7</v>
      </c>
      <c r="O438" s="12">
        <f t="shared" si="267"/>
        <v>4.3</v>
      </c>
      <c r="P438" s="11">
        <f>LOOKUP(O438,{0,1.6,1.8,2,2.2,2.4,2.6,2.8,3,3.2,3.4,3.6,3.8,4,4.2,4.4,4.6,4.7,4.8,4.9,5},{0,10,20,30,40,50,60,62,64,66,68,70,72,74,76,78,80,85,90,95,100})</f>
        <v>76</v>
      </c>
      <c r="Q438" s="12">
        <v>3.34</v>
      </c>
      <c r="R438" s="12">
        <f t="shared" si="268"/>
        <v>6.66</v>
      </c>
      <c r="S438" s="11">
        <f>LOOKUP(R438,{0,3.8,4,4.6,4.8,5,5.6,5.65,5.7,5.75,5.8,5.85,5.9,5.95,6,6.45,6.5,6.58,6.65,6.7,6.75},{0,10,20,30,40,50,60,62,64,66,68,70,72,74,76,78,80,85,90,95,100})</f>
        <v>90</v>
      </c>
      <c r="T438" s="12"/>
      <c r="U438" s="15"/>
      <c r="V438" s="12">
        <f t="shared" si="269"/>
        <v>90</v>
      </c>
      <c r="W438" s="12"/>
      <c r="X438" s="20">
        <f t="shared" si="270"/>
        <v>47.6</v>
      </c>
      <c r="Y438" s="20">
        <f t="shared" si="271"/>
        <v>68</v>
      </c>
    </row>
    <row r="439" ht="15.6" hidden="1" outlineLevel="2" spans="1:25">
      <c r="A439" s="12">
        <v>215</v>
      </c>
      <c r="B439" s="12">
        <v>8</v>
      </c>
      <c r="C439" s="6" t="s">
        <v>796</v>
      </c>
      <c r="D439" s="6" t="s">
        <v>11</v>
      </c>
      <c r="E439" s="12">
        <v>6.1</v>
      </c>
      <c r="F439" s="11">
        <f>LOOKUP(E439,{0,-2.9,-1.9,-0.9,0.1,1.1,2.1,3.5,4.9,6.3,7.7,9.1,10.5,11.9,13.3,14.7,16.1,18.3,20.5,22.4,24.3},{0,10,20,30,40,50,60,62,64,66,68,70,72,74,76,78,80,85,90,95,100})</f>
        <v>64</v>
      </c>
      <c r="G439" s="12">
        <v>251</v>
      </c>
      <c r="H439" s="11">
        <f>LOOKUP(G439,{0,175,180,185,190,195,200,204,208,212,216,220,224,228,232,236,240,248,255,260,265},{0,10,20,30,40,50,60,62,64,66,68,70,72,74,76,78,80,85,90,95,100})</f>
        <v>85</v>
      </c>
      <c r="I439" s="12">
        <v>11</v>
      </c>
      <c r="J439" s="11">
        <f>LOOKUP(I439,{0,3,4,5,6,7,8,9,10,11,12,13,14,15,16,17},{0,10,20,30,40,50,60,64,68,72,76,80,85,90,95,100})</f>
        <v>72</v>
      </c>
      <c r="K439" s="12"/>
      <c r="L439" s="12"/>
      <c r="M439" s="12">
        <f t="shared" si="266"/>
        <v>72</v>
      </c>
      <c r="N439" s="12">
        <v>7.9</v>
      </c>
      <c r="O439" s="12">
        <f t="shared" si="267"/>
        <v>4.1</v>
      </c>
      <c r="P439" s="11">
        <f>LOOKUP(O439,{0,1.6,1.8,2,2.2,2.4,2.6,2.8,3,3.2,3.4,3.6,3.8,4,4.2,4.4,4.6,4.7,4.8,4.9,5},{0,10,20,30,40,50,60,62,64,66,68,70,72,74,76,78,80,85,90,95,100})</f>
        <v>74</v>
      </c>
      <c r="Q439" s="12">
        <v>3.49</v>
      </c>
      <c r="R439" s="12">
        <f t="shared" si="268"/>
        <v>6.51</v>
      </c>
      <c r="S439" s="11">
        <f>LOOKUP(R439,{0,3.8,4,4.6,4.8,5,5.6,5.65,5.7,5.75,5.8,5.85,5.9,5.95,6,6.45,6.5,6.58,6.65,6.7,6.75},{0,10,20,30,40,50,60,62,64,66,68,70,72,74,76,78,80,85,90,95,100})</f>
        <v>80</v>
      </c>
      <c r="T439" s="12"/>
      <c r="U439" s="12"/>
      <c r="V439" s="12">
        <f t="shared" si="269"/>
        <v>80</v>
      </c>
      <c r="W439" s="12"/>
      <c r="X439" s="20">
        <f t="shared" si="270"/>
        <v>52.9</v>
      </c>
      <c r="Y439" s="20">
        <f t="shared" si="271"/>
        <v>75.5714285714286</v>
      </c>
    </row>
    <row r="440" ht="15.6" hidden="1" outlineLevel="2" spans="1:25">
      <c r="A440" s="12">
        <v>215</v>
      </c>
      <c r="B440" s="12">
        <v>9</v>
      </c>
      <c r="C440" s="6" t="s">
        <v>797</v>
      </c>
      <c r="D440" s="6" t="s">
        <v>11</v>
      </c>
      <c r="E440" s="12">
        <v>7.3</v>
      </c>
      <c r="F440" s="11">
        <f>LOOKUP(E440,{0,-2.9,-1.9,-0.9,0.1,1.1,2.1,3.5,4.9,6.3,7.7,9.1,10.5,11.9,13.3,14.7,16.1,18.3,20.5,22.4,24.3},{0,10,20,30,40,50,60,62,64,66,68,70,72,74,76,78,80,85,90,95,100})</f>
        <v>66</v>
      </c>
      <c r="G440" s="12">
        <v>201</v>
      </c>
      <c r="H440" s="11">
        <f>LOOKUP(G440,{0,175,180,185,190,195,200,204,208,212,216,220,224,228,232,236,240,248,255,260,265},{0,10,20,30,40,50,60,62,64,66,68,70,72,74,76,78,80,85,90,95,100})</f>
        <v>60</v>
      </c>
      <c r="I440" s="12">
        <v>6</v>
      </c>
      <c r="J440" s="11">
        <f>LOOKUP(I440,{0,3,4,5,6,7,8,9,10,11,12,13,14,15,16,17},{0,10,20,30,40,50,60,64,68,72,76,80,85,90,95,100})</f>
        <v>40</v>
      </c>
      <c r="K440" s="12"/>
      <c r="L440" s="12"/>
      <c r="M440" s="12">
        <f t="shared" si="266"/>
        <v>40</v>
      </c>
      <c r="N440" s="12">
        <v>7.1</v>
      </c>
      <c r="O440" s="12">
        <f t="shared" si="267"/>
        <v>4.9</v>
      </c>
      <c r="P440" s="11">
        <f>LOOKUP(O440,{0,1.6,1.8,2,2.2,2.4,2.6,2.8,3,3.2,3.4,3.6,3.8,4,4.2,4.4,4.6,4.7,4.8,4.9,5},{0,10,20,30,40,50,60,62,64,66,68,70,72,74,76,78,80,85,90,95,100})</f>
        <v>95</v>
      </c>
      <c r="Q440" s="12">
        <v>3.59</v>
      </c>
      <c r="R440" s="12">
        <f t="shared" si="268"/>
        <v>6.41</v>
      </c>
      <c r="S440" s="11">
        <f>LOOKUP(R440,{0,3.8,4,4.6,4.8,5,5.6,5.65,5.7,5.75,5.8,5.85,5.9,5.95,6,6.45,6.5,6.58,6.65,6.7,6.75},{0,10,20,30,40,50,60,62,64,66,68,70,72,74,76,78,80,85,90,95,100})</f>
        <v>76</v>
      </c>
      <c r="T440" s="12"/>
      <c r="U440" s="12"/>
      <c r="V440" s="12">
        <f t="shared" si="269"/>
        <v>76</v>
      </c>
      <c r="W440" s="12"/>
      <c r="X440" s="20">
        <f t="shared" si="270"/>
        <v>50.8</v>
      </c>
      <c r="Y440" s="20">
        <f t="shared" si="271"/>
        <v>72.5714285714286</v>
      </c>
    </row>
    <row r="441" ht="15.6" hidden="1" outlineLevel="2" spans="1:25">
      <c r="A441" s="12">
        <v>215</v>
      </c>
      <c r="B441" s="12">
        <v>10</v>
      </c>
      <c r="C441" s="6" t="s">
        <v>798</v>
      </c>
      <c r="D441" s="6" t="s">
        <v>11</v>
      </c>
      <c r="E441" s="12">
        <v>12</v>
      </c>
      <c r="F441" s="11">
        <f>LOOKUP(E441,{0,-2.9,-1.9,-0.9,0.1,1.1,2.1,3.5,4.9,6.3,7.7,9.1,10.5,11.9,13.3,14.7,16.1,18.3,20.5,22.4,24.3},{0,10,20,30,40,50,60,62,64,66,68,70,72,74,76,78,80,85,90,95,100})</f>
        <v>74</v>
      </c>
      <c r="G441" s="12">
        <v>225</v>
      </c>
      <c r="H441" s="11">
        <f>LOOKUP(G441,{0,175,180,185,190,195,200,204,208,212,216,220,224,228,232,236,240,248,255,260,265},{0,10,20,30,40,50,60,62,64,66,68,70,72,74,76,78,80,85,90,95,100})</f>
        <v>72</v>
      </c>
      <c r="I441" s="12">
        <v>1</v>
      </c>
      <c r="J441" s="11">
        <f>LOOKUP(I441,{0,3,4,5,6,7,8,9,10,11,12,13,14,15,16,17},{0,10,20,30,40,50,60,64,68,72,76,80,85,90,95,100})</f>
        <v>0</v>
      </c>
      <c r="K441" s="12"/>
      <c r="L441" s="12"/>
      <c r="M441" s="12">
        <f t="shared" si="266"/>
        <v>0</v>
      </c>
      <c r="N441" s="12">
        <v>7.5</v>
      </c>
      <c r="O441" s="12">
        <f t="shared" si="267"/>
        <v>4.5</v>
      </c>
      <c r="P441" s="11">
        <f>LOOKUP(O441,{0,1.6,1.8,2,2.2,2.4,2.6,2.8,3,3.2,3.4,3.6,3.8,4,4.2,4.4,4.6,4.7,4.8,4.9,5},{0,10,20,30,40,50,60,62,64,66,68,70,72,74,76,78,80,85,90,95,100})</f>
        <v>78</v>
      </c>
      <c r="Q441" s="12">
        <v>4.24</v>
      </c>
      <c r="R441" s="12">
        <f t="shared" si="268"/>
        <v>5.76</v>
      </c>
      <c r="S441" s="11">
        <f>LOOKUP(R441,{0,3.8,4,4.6,4.8,5,5.6,5.65,5.7,5.75,5.8,5.85,5.9,5.95,6,6.45,6.5,6.58,6.65,6.7,6.75},{0,10,20,30,40,50,60,62,64,66,68,70,72,74,76,78,80,85,90,95,100})</f>
        <v>66</v>
      </c>
      <c r="T441" s="12"/>
      <c r="U441" s="15"/>
      <c r="V441" s="12">
        <f t="shared" si="269"/>
        <v>66</v>
      </c>
      <c r="W441" s="12"/>
      <c r="X441" s="20">
        <f t="shared" si="270"/>
        <v>43.4</v>
      </c>
      <c r="Y441" s="20">
        <f t="shared" si="271"/>
        <v>62</v>
      </c>
    </row>
    <row r="442" ht="15.6" hidden="1" outlineLevel="2" spans="1:25">
      <c r="A442" s="12">
        <v>215</v>
      </c>
      <c r="B442" s="12">
        <v>11</v>
      </c>
      <c r="C442" s="6" t="s">
        <v>799</v>
      </c>
      <c r="D442" s="6" t="s">
        <v>11</v>
      </c>
      <c r="E442" s="12">
        <v>8.3</v>
      </c>
      <c r="F442" s="11">
        <f>LOOKUP(E442,{0,-2.9,-1.9,-0.9,0.1,1.1,2.1,3.5,4.9,6.3,7.7,9.1,10.5,11.9,13.3,14.7,16.1,18.3,20.5,22.4,24.3},{0,10,20,30,40,50,60,62,64,66,68,70,72,74,76,78,80,85,90,95,100})</f>
        <v>68</v>
      </c>
      <c r="G442" s="12">
        <v>249</v>
      </c>
      <c r="H442" s="11">
        <f>LOOKUP(G442,{0,175,180,185,190,195,200,204,208,212,216,220,224,228,232,236,240,248,255,260,265},{0,10,20,30,40,50,60,62,64,66,68,70,72,74,76,78,80,85,90,95,100})</f>
        <v>85</v>
      </c>
      <c r="I442" s="12">
        <v>17</v>
      </c>
      <c r="J442" s="11">
        <f>LOOKUP(I442,{0,3,4,5,6,7,8,9,10,11,12,13,14,15,16,17},{0,10,20,30,40,50,60,64,68,72,76,80,85,90,95,100})</f>
        <v>100</v>
      </c>
      <c r="K442" s="12">
        <f>I442-17</f>
        <v>0</v>
      </c>
      <c r="L442" s="11">
        <f>LOOKUP(K442,{0,1,2,3,4,5,6,7,8,9,10},{0,1,2,3,4,5,6,7,8,9,10})</f>
        <v>0</v>
      </c>
      <c r="M442" s="12">
        <f t="shared" si="266"/>
        <v>100</v>
      </c>
      <c r="N442" s="12">
        <v>6.6</v>
      </c>
      <c r="O442" s="12">
        <f t="shared" si="267"/>
        <v>5.4</v>
      </c>
      <c r="P442" s="11">
        <f>LOOKUP(O442,{0,1.6,1.8,2,2.2,2.4,2.6,2.8,3,3.2,3.4,3.6,3.8,4,4.2,4.4,4.6,4.7,4.8,4.9,5},{0,10,20,30,40,50,60,62,64,66,68,70,72,74,76,78,80,85,90,95,100})</f>
        <v>100</v>
      </c>
      <c r="Q442" s="12">
        <v>3.04</v>
      </c>
      <c r="R442" s="12">
        <f t="shared" si="268"/>
        <v>6.96</v>
      </c>
      <c r="S442" s="11">
        <f>LOOKUP(R442,{0,3.8,4,4.6,4.8,5,5.6,5.65,5.7,5.75,5.8,5.85,5.9,5.95,6,6.45,6.5,6.58,6.65,6.7,6.75},{0,10,20,30,40,50,60,62,64,66,68,70,72,74,76,78,80,85,90,95,100})</f>
        <v>100</v>
      </c>
      <c r="T442" s="12">
        <f>3.25-Q442</f>
        <v>0.21</v>
      </c>
      <c r="U442" s="16">
        <f>LOOKUP(T442,{0,0.04,0.08,0.12,0.16,0.2,0.23,0.26,0.29,0.32,0.35},{0,1,2,3,4,5,6,7,8,9,10})</f>
        <v>5</v>
      </c>
      <c r="V442" s="12">
        <f t="shared" si="269"/>
        <v>105</v>
      </c>
      <c r="W442" s="12"/>
      <c r="X442" s="20">
        <f t="shared" si="270"/>
        <v>65.3</v>
      </c>
      <c r="Y442" s="20">
        <f t="shared" si="271"/>
        <v>98.2857142857143</v>
      </c>
    </row>
    <row r="443" ht="15.6" hidden="1" outlineLevel="2" spans="1:25">
      <c r="A443" s="12">
        <v>215</v>
      </c>
      <c r="B443" s="12">
        <v>12</v>
      </c>
      <c r="C443" s="6" t="s">
        <v>800</v>
      </c>
      <c r="D443" s="6" t="s">
        <v>11</v>
      </c>
      <c r="E443" s="12">
        <v>3.4</v>
      </c>
      <c r="F443" s="11">
        <f>LOOKUP(E443,{0,-2.9,-1.9,-0.9,0.1,1.1,2.1,3.5,4.9,6.3,7.7,9.1,10.5,11.9,13.3,14.7,16.1,18.3,20.5,22.4,24.3},{0,10,20,30,40,50,60,62,64,66,68,70,72,74,76,78,80,85,90,95,100})</f>
        <v>60</v>
      </c>
      <c r="G443" s="12">
        <v>192</v>
      </c>
      <c r="H443" s="11">
        <f>LOOKUP(G443,{0,175,180,185,190,195,200,204,208,212,216,220,224,228,232,236,240,248,255,260,265},{0,10,20,30,40,50,60,62,64,66,68,70,72,74,76,78,80,85,90,95,100})</f>
        <v>40</v>
      </c>
      <c r="I443" s="12">
        <v>7</v>
      </c>
      <c r="J443" s="11">
        <f>LOOKUP(I443,{0,3,4,5,6,7,8,9,10,11,12,13,14,15,16,17},{0,10,20,30,40,50,60,64,68,72,76,80,85,90,95,100})</f>
        <v>50</v>
      </c>
      <c r="K443" s="12"/>
      <c r="L443" s="12"/>
      <c r="M443" s="12">
        <f t="shared" si="266"/>
        <v>50</v>
      </c>
      <c r="N443" s="12">
        <v>7.2</v>
      </c>
      <c r="O443" s="12">
        <f t="shared" si="267"/>
        <v>4.8</v>
      </c>
      <c r="P443" s="11">
        <f>LOOKUP(O443,{0,1.6,1.8,2,2.2,2.4,2.6,2.8,3,3.2,3.4,3.6,3.8,4,4.2,4.4,4.6,4.7,4.8,4.9,5},{0,10,20,30,40,50,60,62,64,66,68,70,72,74,76,78,80,85,90,95,100})</f>
        <v>90</v>
      </c>
      <c r="Q443" s="12">
        <v>3.29</v>
      </c>
      <c r="R443" s="12">
        <f t="shared" si="268"/>
        <v>6.71</v>
      </c>
      <c r="S443" s="11">
        <f>LOOKUP(R443,{0,3.8,4,4.6,4.8,5,5.6,5.65,5.7,5.75,5.8,5.85,5.9,5.95,6,6.45,6.5,6.58,6.65,6.7,6.75},{0,10,20,30,40,50,60,62,64,66,68,70,72,74,76,78,80,85,90,95,100})</f>
        <v>95</v>
      </c>
      <c r="T443" s="12"/>
      <c r="U443" s="12"/>
      <c r="V443" s="12">
        <f t="shared" si="269"/>
        <v>95</v>
      </c>
      <c r="W443" s="12"/>
      <c r="X443" s="20">
        <f t="shared" si="270"/>
        <v>52</v>
      </c>
      <c r="Y443" s="20">
        <f t="shared" si="271"/>
        <v>74.2857142857143</v>
      </c>
    </row>
    <row r="444" ht="15.6" hidden="1" outlineLevel="2" spans="1:25">
      <c r="A444" s="12">
        <v>215</v>
      </c>
      <c r="B444" s="12">
        <v>13</v>
      </c>
      <c r="C444" s="6" t="s">
        <v>801</v>
      </c>
      <c r="D444" s="6" t="s">
        <v>11</v>
      </c>
      <c r="E444" s="12">
        <v>23.6</v>
      </c>
      <c r="F444" s="11">
        <f>LOOKUP(E444,{0,-2.9,-1.9,-0.9,0.1,1.1,2.1,3.5,4.9,6.3,7.7,9.1,10.5,11.9,13.3,14.7,16.1,18.3,20.5,22.4,24.3},{0,10,20,30,40,50,60,62,64,66,68,70,72,74,76,78,80,85,90,95,100})</f>
        <v>95</v>
      </c>
      <c r="G444" s="12">
        <v>211</v>
      </c>
      <c r="H444" s="11">
        <f>LOOKUP(G444,{0,175,180,185,190,195,200,204,208,212,216,220,224,228,232,236,240,248,255,260,265},{0,10,20,30,40,50,60,62,64,66,68,70,72,74,76,78,80,85,90,95,100})</f>
        <v>64</v>
      </c>
      <c r="I444" s="12">
        <v>18</v>
      </c>
      <c r="J444" s="11">
        <f>LOOKUP(I444,{0,3,4,5,6,7,8,9,10,11,12,13,14,15,16,17},{0,10,20,30,40,50,60,64,68,72,76,80,85,90,95,100})</f>
        <v>100</v>
      </c>
      <c r="K444" s="12">
        <f>I444-17</f>
        <v>1</v>
      </c>
      <c r="L444" s="11">
        <f>LOOKUP(K444,{0,1,2,3,4,5,6,7,8,9,10},{0,1,2,3,4,5,6,7,8,9,10})</f>
        <v>1</v>
      </c>
      <c r="M444" s="12">
        <f t="shared" si="266"/>
        <v>101</v>
      </c>
      <c r="N444" s="12">
        <v>7.2</v>
      </c>
      <c r="O444" s="12">
        <f t="shared" si="267"/>
        <v>4.8</v>
      </c>
      <c r="P444" s="11">
        <f>LOOKUP(O444,{0,1.6,1.8,2,2.2,2.4,2.6,2.8,3,3.2,3.4,3.6,3.8,4,4.2,4.4,4.6,4.7,4.8,4.9,5},{0,10,20,30,40,50,60,62,64,66,68,70,72,74,76,78,80,85,90,95,100})</f>
        <v>90</v>
      </c>
      <c r="Q444" s="12">
        <v>3.33</v>
      </c>
      <c r="R444" s="12">
        <f t="shared" si="268"/>
        <v>6.67</v>
      </c>
      <c r="S444" s="11">
        <f>LOOKUP(R444,{0,3.8,4,4.6,4.8,5,5.6,5.65,5.7,5.75,5.8,5.85,5.9,5.95,6,6.45,6.5,6.58,6.65,6.7,6.75},{0,10,20,30,40,50,60,62,64,66,68,70,72,74,76,78,80,85,90,95,100})</f>
        <v>90</v>
      </c>
      <c r="T444" s="12"/>
      <c r="U444" s="15"/>
      <c r="V444" s="12">
        <f t="shared" si="269"/>
        <v>90</v>
      </c>
      <c r="W444" s="12"/>
      <c r="X444" s="20">
        <f t="shared" si="270"/>
        <v>61.9</v>
      </c>
      <c r="Y444" s="20">
        <f t="shared" si="271"/>
        <v>89.4285714285714</v>
      </c>
    </row>
    <row r="445" ht="15.6" outlineLevel="1" collapsed="1" spans="1:25">
      <c r="A445" s="14" t="s">
        <v>869</v>
      </c>
      <c r="B445" s="12"/>
      <c r="C445" s="6"/>
      <c r="D445" s="6"/>
      <c r="E445" s="12"/>
      <c r="F445" s="11">
        <f>SUBTOTAL(1,F432:F444)</f>
        <v>66.4615384615385</v>
      </c>
      <c r="G445" s="12"/>
      <c r="H445" s="11">
        <f>SUBTOTAL(1,H432:H444)</f>
        <v>69.2307692307692</v>
      </c>
      <c r="I445" s="12"/>
      <c r="J445" s="11">
        <f>SUBTOTAL(1,J432:J444)</f>
        <v>49.3846153846154</v>
      </c>
      <c r="K445" s="12"/>
      <c r="L445" s="11"/>
      <c r="M445" s="12">
        <f>SUBTOTAL(1,M432:M444)</f>
        <v>49.4615384615385</v>
      </c>
      <c r="N445" s="12"/>
      <c r="O445" s="12"/>
      <c r="P445" s="11">
        <f>SUBTOTAL(1,P432:P444)</f>
        <v>87.6153846153846</v>
      </c>
      <c r="Q445" s="12"/>
      <c r="R445" s="12"/>
      <c r="S445" s="11">
        <f>SUBTOTAL(1,S432:S444)</f>
        <v>80.3076923076923</v>
      </c>
      <c r="T445" s="12"/>
      <c r="U445" s="15"/>
      <c r="V445" s="12">
        <f>SUBTOTAL(1,V432:V444)</f>
        <v>80.6923076923077</v>
      </c>
      <c r="W445" s="12"/>
      <c r="X445" s="20">
        <f>SUBTOTAL(1,X432:X444)</f>
        <v>52.0923076923077</v>
      </c>
      <c r="Y445" s="20">
        <f>SUBTOTAL(1,Y432:Y444)</f>
        <v>74.8791208791209</v>
      </c>
    </row>
    <row r="446" ht="15.6" spans="1:25">
      <c r="A446" s="14" t="s">
        <v>870</v>
      </c>
      <c r="B446" s="12"/>
      <c r="C446" s="6"/>
      <c r="D446" s="6"/>
      <c r="E446" s="12"/>
      <c r="F446" s="11">
        <f>SUBTOTAL(1,F2:F444)</f>
        <v>75.7662337662338</v>
      </c>
      <c r="G446" s="12"/>
      <c r="H446" s="11">
        <f>SUBTOTAL(1,H2:H444)</f>
        <v>76.96875</v>
      </c>
      <c r="I446" s="12"/>
      <c r="J446" s="11">
        <f>SUBTOTAL(1,J2:J444)</f>
        <v>53.479381443299</v>
      </c>
      <c r="K446" s="12"/>
      <c r="L446" s="11"/>
      <c r="M446" s="12">
        <f>SUBTOTAL(1,M2:M444)</f>
        <v>54.6159793814433</v>
      </c>
      <c r="N446" s="12"/>
      <c r="O446" s="12"/>
      <c r="P446" s="11">
        <f>SUBTOTAL(1,P2:P444)</f>
        <v>86.9100817438692</v>
      </c>
      <c r="Q446" s="12"/>
      <c r="R446" s="12"/>
      <c r="S446" s="11">
        <f>SUBTOTAL(1,S2:S444)</f>
        <v>80.0026595744681</v>
      </c>
      <c r="T446" s="12"/>
      <c r="U446" s="15"/>
      <c r="V446" s="12">
        <f>SUBTOTAL(1,V2:V444)</f>
        <v>80.1994680851064</v>
      </c>
      <c r="W446" s="12"/>
      <c r="X446" s="20">
        <f>SUBTOTAL(1,X2:X444)</f>
        <v>47.4195804195804</v>
      </c>
      <c r="Y446" s="20">
        <f>SUBTOTAL(1,Y2:Y444)</f>
        <v>74.2337662337662</v>
      </c>
    </row>
    <row r="447" spans="3:4">
      <c r="C447" s="24"/>
      <c r="D447" s="25"/>
    </row>
    <row r="448" s="1" customFormat="1" spans="1:24">
      <c r="A448" s="4"/>
      <c r="B448" s="4"/>
      <c r="C448" s="24"/>
      <c r="D448" s="2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5"/>
    </row>
    <row r="449" spans="3:4">
      <c r="C449" s="24"/>
      <c r="D449" s="25"/>
    </row>
    <row r="450" spans="3:4">
      <c r="C450" s="24"/>
      <c r="D450" s="25"/>
    </row>
    <row r="451" spans="3:4">
      <c r="C451" s="24"/>
      <c r="D451" s="25"/>
    </row>
    <row r="452" spans="3:4">
      <c r="C452" s="24"/>
      <c r="D452" s="25"/>
    </row>
    <row r="453" spans="3:4">
      <c r="C453" s="24"/>
      <c r="D453" s="25"/>
    </row>
    <row r="454" spans="3:4">
      <c r="C454" s="24"/>
      <c r="D454" s="25"/>
    </row>
    <row r="455" spans="3:4">
      <c r="C455" s="24"/>
      <c r="D455" s="25"/>
    </row>
    <row r="456" spans="3:4">
      <c r="C456" s="24"/>
      <c r="D456" s="25"/>
    </row>
    <row r="457" spans="3:4">
      <c r="C457" s="24"/>
      <c r="D457" s="25"/>
    </row>
    <row r="458" spans="3:4">
      <c r="C458" s="24"/>
      <c r="D458" s="25"/>
    </row>
    <row r="459" spans="3:4">
      <c r="C459" s="24"/>
      <c r="D459" s="25"/>
    </row>
    <row r="460" spans="3:4">
      <c r="C460" s="24"/>
      <c r="D460" s="25"/>
    </row>
    <row r="461" spans="3:4">
      <c r="C461" s="24"/>
      <c r="D461" s="25"/>
    </row>
    <row r="462" s="1" customFormat="1" spans="1:23">
      <c r="A462" s="4"/>
      <c r="B462" s="4"/>
      <c r="C462" s="24"/>
      <c r="D462" s="2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3:4">
      <c r="C463" s="24"/>
      <c r="D463" s="25"/>
    </row>
    <row r="464" spans="3:4">
      <c r="C464" s="24"/>
      <c r="D464" s="25"/>
    </row>
    <row r="465" spans="3:4">
      <c r="C465" s="24"/>
      <c r="D465" s="25"/>
    </row>
    <row r="467" spans="3:4">
      <c r="C467" s="24"/>
      <c r="D467" s="25"/>
    </row>
    <row r="468" spans="3:4">
      <c r="C468" s="24"/>
      <c r="D468" s="25"/>
    </row>
    <row r="469" spans="3:4">
      <c r="C469" s="24"/>
      <c r="D469" s="25"/>
    </row>
    <row r="470" spans="3:4">
      <c r="C470" s="24"/>
      <c r="D470" s="25"/>
    </row>
    <row r="471" spans="3:4">
      <c r="C471" s="24"/>
      <c r="D471" s="25"/>
    </row>
    <row r="472" spans="3:4">
      <c r="C472" s="24"/>
      <c r="D472" s="25"/>
    </row>
    <row r="473" spans="3:4">
      <c r="C473" s="24"/>
      <c r="D473" s="25"/>
    </row>
    <row r="474" spans="3:4">
      <c r="C474" s="24"/>
      <c r="D474" s="25"/>
    </row>
    <row r="475" spans="3:4">
      <c r="C475" s="24"/>
      <c r="D475" s="25"/>
    </row>
    <row r="476" spans="3:4">
      <c r="C476" s="24"/>
      <c r="D476" s="25"/>
    </row>
    <row r="477" spans="3:4">
      <c r="C477" s="24"/>
      <c r="D477" s="25"/>
    </row>
    <row r="478" spans="3:4">
      <c r="C478" s="24"/>
      <c r="D478" s="25"/>
    </row>
    <row r="479" spans="3:4">
      <c r="C479" s="24"/>
      <c r="D479" s="25"/>
    </row>
    <row r="480" spans="3:4">
      <c r="C480" s="24"/>
      <c r="D480" s="25"/>
    </row>
    <row r="481" spans="3:4">
      <c r="C481" s="24"/>
      <c r="D481" s="25"/>
    </row>
    <row r="482" spans="3:4">
      <c r="C482" s="24"/>
      <c r="D482" s="25"/>
    </row>
    <row r="483" s="1" customFormat="1" spans="1:23">
      <c r="A483" s="4"/>
      <c r="B483" s="4"/>
      <c r="C483" s="24"/>
      <c r="D483" s="2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3:4">
      <c r="C484" s="24"/>
      <c r="D484" s="25"/>
    </row>
    <row r="485" spans="3:4">
      <c r="C485" s="24"/>
      <c r="D485" s="25"/>
    </row>
    <row r="486" spans="3:4">
      <c r="C486" s="24"/>
      <c r="D486" s="25"/>
    </row>
    <row r="487" spans="3:4">
      <c r="C487" s="24"/>
      <c r="D487" s="25"/>
    </row>
    <row r="488" spans="3:4">
      <c r="C488" s="24"/>
      <c r="D488" s="25"/>
    </row>
    <row r="490" spans="3:4">
      <c r="C490" s="24"/>
      <c r="D490" s="25"/>
    </row>
    <row r="491" spans="3:4">
      <c r="C491" s="24"/>
      <c r="D491" s="25"/>
    </row>
    <row r="492" spans="3:4">
      <c r="C492" s="24"/>
      <c r="D492" s="25"/>
    </row>
    <row r="493" spans="3:4">
      <c r="C493" s="24"/>
      <c r="D493" s="25"/>
    </row>
    <row r="494" spans="3:4">
      <c r="C494" s="24"/>
      <c r="D494" s="25"/>
    </row>
    <row r="495" spans="3:4">
      <c r="C495" s="24"/>
      <c r="D495" s="25"/>
    </row>
    <row r="496" spans="3:4">
      <c r="C496" s="24"/>
      <c r="D496" s="25"/>
    </row>
    <row r="497" s="1" customFormat="1" spans="1:23">
      <c r="A497" s="4"/>
      <c r="B497" s="4"/>
      <c r="C497" s="24"/>
      <c r="D497" s="2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3:4">
      <c r="C498" s="24"/>
      <c r="D498" s="25"/>
    </row>
    <row r="500" spans="3:4">
      <c r="C500" s="24"/>
      <c r="D500" s="25"/>
    </row>
    <row r="501" spans="3:4">
      <c r="C501" s="24"/>
      <c r="D501" s="25"/>
    </row>
    <row r="504" spans="3:4">
      <c r="C504" s="24"/>
      <c r="D504" s="25"/>
    </row>
    <row r="507" spans="1:23">
      <c r="A507" s="24"/>
      <c r="B507" s="26"/>
      <c r="C507" s="27"/>
      <c r="D507" s="27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6"/>
      <c r="S507" s="26"/>
      <c r="T507" s="26"/>
      <c r="U507" s="26"/>
      <c r="V507" s="26"/>
      <c r="W507" s="26"/>
    </row>
    <row r="509" spans="3:4">
      <c r="C509" s="24"/>
      <c r="D509" s="25"/>
    </row>
    <row r="510" spans="3:4">
      <c r="C510" s="24"/>
      <c r="D510" s="25"/>
    </row>
    <row r="511" spans="3:4">
      <c r="C511" s="24"/>
      <c r="D511" s="25"/>
    </row>
    <row r="512" spans="3:4">
      <c r="C512" s="24"/>
      <c r="D512" s="25"/>
    </row>
    <row r="513" spans="3:4">
      <c r="C513" s="24"/>
      <c r="D513" s="25"/>
    </row>
    <row r="514" spans="3:4">
      <c r="C514" s="24"/>
      <c r="D514" s="25"/>
    </row>
    <row r="515" spans="3:4">
      <c r="C515" s="24"/>
      <c r="D515" s="25"/>
    </row>
    <row r="516" spans="3:4">
      <c r="C516" s="24"/>
      <c r="D516" s="25"/>
    </row>
    <row r="517" spans="3:4">
      <c r="C517" s="24"/>
      <c r="D517" s="25"/>
    </row>
    <row r="518" s="1" customFormat="1" spans="1:23">
      <c r="A518" s="4"/>
      <c r="B518" s="4"/>
      <c r="C518" s="24"/>
      <c r="D518" s="2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3:4">
      <c r="C519" s="24"/>
      <c r="D519" s="25"/>
    </row>
    <row r="520" spans="3:4">
      <c r="C520" s="24"/>
      <c r="D520" s="25"/>
    </row>
    <row r="521" spans="3:4">
      <c r="C521" s="24"/>
      <c r="D521" s="25"/>
    </row>
    <row r="523" spans="3:4">
      <c r="C523" s="24"/>
      <c r="D523" s="25"/>
    </row>
    <row r="524" spans="3:4">
      <c r="C524" s="24"/>
      <c r="D524" s="25"/>
    </row>
    <row r="525" spans="3:4">
      <c r="C525" s="24"/>
      <c r="D525" s="25"/>
    </row>
    <row r="526" spans="3:4">
      <c r="C526" s="24"/>
      <c r="D526" s="25"/>
    </row>
    <row r="527" spans="3:4">
      <c r="C527" s="24"/>
      <c r="D527" s="25"/>
    </row>
    <row r="528" spans="3:4">
      <c r="C528" s="24"/>
      <c r="D528" s="25"/>
    </row>
    <row r="529" spans="3:4">
      <c r="C529" s="24"/>
      <c r="D529" s="25"/>
    </row>
    <row r="530" spans="3:4">
      <c r="C530" s="24"/>
      <c r="D530" s="25"/>
    </row>
    <row r="531" spans="3:4">
      <c r="C531" s="24"/>
      <c r="D531" s="25"/>
    </row>
    <row r="532" s="1" customFormat="1" spans="1:23">
      <c r="A532" s="4"/>
      <c r="B532" s="4"/>
      <c r="C532" s="24"/>
      <c r="D532" s="2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3:4">
      <c r="C533" s="24"/>
      <c r="D533" s="25"/>
    </row>
    <row r="534" spans="3:4">
      <c r="C534" s="24"/>
      <c r="D534" s="25"/>
    </row>
    <row r="536" spans="3:4">
      <c r="C536" s="24"/>
      <c r="D536" s="25"/>
    </row>
    <row r="538" spans="3:4">
      <c r="C538" s="26"/>
      <c r="D538" s="26"/>
    </row>
    <row r="546" spans="3:4">
      <c r="C546" s="24"/>
      <c r="D546" s="25"/>
    </row>
    <row r="547" spans="3:4">
      <c r="C547" s="24"/>
      <c r="D547" s="25"/>
    </row>
    <row r="548" spans="3:4">
      <c r="C548" s="24"/>
      <c r="D548" s="25"/>
    </row>
    <row r="549" spans="3:4">
      <c r="C549" s="24"/>
      <c r="D549" s="25"/>
    </row>
    <row r="550" spans="3:4">
      <c r="C550" s="24"/>
      <c r="D550" s="25"/>
    </row>
    <row r="551" spans="3:4">
      <c r="C551" s="24"/>
      <c r="D551" s="25"/>
    </row>
    <row r="552" s="1" customFormat="1" spans="1:23">
      <c r="A552" s="4"/>
      <c r="B552" s="4"/>
      <c r="C552" s="24"/>
      <c r="D552" s="2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62" spans="3:4">
      <c r="C562" s="24"/>
      <c r="D562" s="25"/>
    </row>
    <row r="563" spans="3:4">
      <c r="C563" s="24"/>
      <c r="D563" s="25"/>
    </row>
    <row r="564" spans="3:4">
      <c r="C564" s="24"/>
      <c r="D564" s="25"/>
    </row>
    <row r="565" spans="3:4">
      <c r="C565" s="24"/>
      <c r="D565" s="25"/>
    </row>
    <row r="566" spans="3:4">
      <c r="C566" s="24"/>
      <c r="D566" s="25"/>
    </row>
    <row r="567" s="1" customFormat="1" spans="1:23">
      <c r="A567" s="4"/>
      <c r="B567" s="4"/>
      <c r="C567" s="24"/>
      <c r="D567" s="2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3:4">
      <c r="C568" s="24"/>
      <c r="D568" s="25"/>
    </row>
    <row r="571" spans="3:4">
      <c r="C571" s="24"/>
      <c r="D571" s="25"/>
    </row>
    <row r="572" spans="3:4">
      <c r="C572" s="24"/>
      <c r="D572" s="25"/>
    </row>
    <row r="580" spans="3:4">
      <c r="C580" s="24"/>
      <c r="D580" s="25"/>
    </row>
    <row r="590" s="1" customFormat="1" spans="1:23">
      <c r="A590" s="4"/>
      <c r="B590" s="4"/>
      <c r="C590" s="24"/>
      <c r="D590" s="2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3:4">
      <c r="C591" s="24"/>
      <c r="D591" s="25"/>
    </row>
    <row r="592" spans="3:4">
      <c r="C592" s="24"/>
      <c r="D592" s="25"/>
    </row>
    <row r="593" spans="3:4">
      <c r="C593" s="24"/>
      <c r="D593" s="25"/>
    </row>
    <row r="594" spans="3:4">
      <c r="C594" s="24"/>
      <c r="D594" s="25"/>
    </row>
    <row r="595" spans="3:4">
      <c r="C595" s="24"/>
      <c r="D595" s="25"/>
    </row>
    <row r="596" spans="3:4">
      <c r="C596" s="24"/>
      <c r="D596" s="25"/>
    </row>
    <row r="597" spans="3:4">
      <c r="C597" s="24"/>
      <c r="D597" s="25"/>
    </row>
    <row r="598" spans="3:4">
      <c r="C598" s="24"/>
      <c r="D598" s="25"/>
    </row>
    <row r="600" spans="3:4">
      <c r="C600" s="24"/>
      <c r="D600" s="25"/>
    </row>
    <row r="601" spans="3:4">
      <c r="C601" s="24"/>
      <c r="D601" s="25"/>
    </row>
    <row r="602" s="1" customFormat="1" spans="1:2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5" spans="3:4">
      <c r="C605" s="24"/>
      <c r="D605" s="25"/>
    </row>
    <row r="606" spans="3:4">
      <c r="C606" s="24"/>
      <c r="D606" s="25"/>
    </row>
    <row r="607" spans="3:4">
      <c r="C607" s="24"/>
      <c r="D607" s="25"/>
    </row>
    <row r="608" spans="3:4">
      <c r="C608" s="24"/>
      <c r="D608" s="25"/>
    </row>
    <row r="609" spans="3:4">
      <c r="C609" s="24"/>
      <c r="D609" s="25"/>
    </row>
    <row r="610" spans="3:4">
      <c r="C610" s="24"/>
      <c r="D610" s="25"/>
    </row>
    <row r="611" spans="3:4">
      <c r="C611" s="24"/>
      <c r="D611" s="25"/>
    </row>
    <row r="612" spans="3:4">
      <c r="C612" s="24"/>
      <c r="D612" s="25"/>
    </row>
    <row r="613" spans="3:4">
      <c r="C613" s="24"/>
      <c r="D613" s="25"/>
    </row>
    <row r="614" spans="3:4">
      <c r="C614" s="24"/>
      <c r="D614" s="25"/>
    </row>
    <row r="620" spans="3:4">
      <c r="C620" s="24"/>
      <c r="D620" s="25"/>
    </row>
    <row r="621" spans="3:4">
      <c r="C621" s="24"/>
      <c r="D621" s="25"/>
    </row>
    <row r="622" s="1" customFormat="1" spans="1:23">
      <c r="A622" s="4"/>
      <c r="B622" s="4"/>
      <c r="C622" s="24"/>
      <c r="D622" s="2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3:4">
      <c r="C623" s="24"/>
      <c r="D623" s="25"/>
    </row>
    <row r="624" spans="3:4">
      <c r="C624" s="24"/>
      <c r="D624" s="25"/>
    </row>
    <row r="625" spans="3:4">
      <c r="C625" s="24"/>
      <c r="D625" s="25"/>
    </row>
    <row r="626" spans="3:4">
      <c r="C626" s="24"/>
      <c r="D626" s="25"/>
    </row>
    <row r="627" spans="3:4">
      <c r="C627" s="24"/>
      <c r="D627" s="25"/>
    </row>
    <row r="628" spans="3:4">
      <c r="C628" s="24"/>
      <c r="D628" s="25"/>
    </row>
    <row r="629" spans="3:4">
      <c r="C629" s="24"/>
      <c r="D629" s="25"/>
    </row>
    <row r="630" spans="3:4">
      <c r="C630" s="24"/>
      <c r="D630" s="25"/>
    </row>
    <row r="631" spans="3:4">
      <c r="C631" s="24"/>
      <c r="D631" s="25"/>
    </row>
    <row r="633" spans="3:4">
      <c r="C633" s="24"/>
      <c r="D633" s="25"/>
    </row>
    <row r="634" spans="3:4">
      <c r="C634" s="24"/>
      <c r="D634" s="25"/>
    </row>
    <row r="635" spans="3:4">
      <c r="C635" s="24"/>
      <c r="D635" s="25"/>
    </row>
    <row r="636" spans="3:4">
      <c r="C636" s="24"/>
      <c r="D636" s="25"/>
    </row>
    <row r="637" s="1" customFormat="1" spans="1:23">
      <c r="A637" s="4"/>
      <c r="B637" s="4"/>
      <c r="C637" s="24"/>
      <c r="D637" s="2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3:4">
      <c r="C638" s="24"/>
      <c r="D638" s="25"/>
    </row>
    <row r="639" spans="3:4">
      <c r="C639" s="24"/>
      <c r="D639" s="25"/>
    </row>
    <row r="640" spans="3:4">
      <c r="C640" s="24"/>
      <c r="D640" s="25"/>
    </row>
    <row r="644" spans="3:4">
      <c r="C644" s="24"/>
      <c r="D644" s="25"/>
    </row>
    <row r="645" spans="3:4">
      <c r="C645" s="24"/>
      <c r="D645" s="25"/>
    </row>
    <row r="646" spans="3:4">
      <c r="C646" s="24"/>
      <c r="D646" s="25"/>
    </row>
    <row r="647" spans="3:4">
      <c r="C647" s="24"/>
      <c r="D647" s="25"/>
    </row>
    <row r="648" spans="3:4">
      <c r="C648" s="24"/>
      <c r="D648" s="25"/>
    </row>
    <row r="649" spans="3:4">
      <c r="C649" s="24"/>
      <c r="D649" s="25"/>
    </row>
    <row r="650" spans="3:4">
      <c r="C650" s="24"/>
      <c r="D650" s="25"/>
    </row>
    <row r="651" spans="3:4">
      <c r="C651" s="24"/>
      <c r="D651" s="25"/>
    </row>
    <row r="652" spans="3:4">
      <c r="C652" s="24"/>
      <c r="D652" s="25"/>
    </row>
    <row r="653" spans="3:4">
      <c r="C653" s="24"/>
      <c r="D653" s="25"/>
    </row>
    <row r="656" spans="3:4">
      <c r="C656" s="24"/>
      <c r="D656" s="25"/>
    </row>
    <row r="657" spans="3:4">
      <c r="C657" s="24"/>
      <c r="D657" s="25"/>
    </row>
    <row r="658" spans="3:4">
      <c r="C658" s="24"/>
      <c r="D658" s="25"/>
    </row>
    <row r="659" s="1" customFormat="1" spans="1:23">
      <c r="A659" s="4"/>
      <c r="B659" s="4"/>
      <c r="C659" s="24"/>
      <c r="D659" s="2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3:4">
      <c r="C660" s="24"/>
      <c r="D660" s="25"/>
    </row>
    <row r="661" spans="3:4">
      <c r="C661" s="24"/>
      <c r="D661" s="25"/>
    </row>
    <row r="662" spans="3:4">
      <c r="C662" s="24"/>
      <c r="D662" s="25"/>
    </row>
    <row r="670" customFormat="1" spans="1:2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customFormat="1" spans="1:2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="1" customFormat="1" spans="1:2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4" spans="3:4">
      <c r="C674" s="24"/>
      <c r="D674" s="25"/>
    </row>
    <row r="675" spans="3:4">
      <c r="C675" s="24"/>
      <c r="D675" s="25"/>
    </row>
    <row r="676" spans="3:4">
      <c r="C676" s="24"/>
      <c r="D676" s="25"/>
    </row>
    <row r="677" spans="3:4">
      <c r="C677" s="24"/>
      <c r="D677" s="25"/>
    </row>
    <row r="678" spans="3:4">
      <c r="C678" s="24"/>
      <c r="D678" s="25"/>
    </row>
    <row r="679" spans="3:4">
      <c r="C679" s="24"/>
      <c r="D679" s="25"/>
    </row>
    <row r="680" spans="3:4">
      <c r="C680" s="24"/>
      <c r="D680" s="25"/>
    </row>
    <row r="681" spans="3:4">
      <c r="C681" s="24"/>
      <c r="D681" s="25"/>
    </row>
    <row r="682" spans="3:4">
      <c r="C682" s="24"/>
      <c r="D682" s="25"/>
    </row>
    <row r="683" spans="3:4">
      <c r="C683" s="24"/>
      <c r="D683" s="25"/>
    </row>
    <row r="684" spans="3:4">
      <c r="C684" s="24"/>
      <c r="D684" s="25"/>
    </row>
    <row r="687" spans="3:4">
      <c r="C687" s="24"/>
      <c r="D687" s="25"/>
    </row>
    <row r="688" spans="3:4">
      <c r="C688" s="24"/>
      <c r="D688" s="25"/>
    </row>
    <row r="689" spans="3:4">
      <c r="C689" s="24"/>
      <c r="D689" s="25"/>
    </row>
    <row r="690" spans="3:4">
      <c r="C690" s="24"/>
      <c r="D690" s="25"/>
    </row>
    <row r="691" spans="3:4">
      <c r="C691" s="24"/>
      <c r="D691" s="25"/>
    </row>
    <row r="692" spans="3:4">
      <c r="C692" s="24"/>
      <c r="D692" s="25"/>
    </row>
    <row r="693" spans="3:4">
      <c r="C693" s="24"/>
      <c r="D693" s="25"/>
    </row>
    <row r="694" s="1" customFormat="1" spans="1:2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8" spans="3:4">
      <c r="C698" s="24"/>
      <c r="D698" s="25"/>
    </row>
    <row r="699" spans="3:4">
      <c r="C699" s="24"/>
      <c r="D699" s="25"/>
    </row>
    <row r="700" spans="3:4">
      <c r="C700" s="24"/>
      <c r="D700" s="25"/>
    </row>
    <row r="701" spans="3:4">
      <c r="C701" s="24"/>
      <c r="D701" s="25"/>
    </row>
    <row r="702" spans="3:4">
      <c r="C702" s="24"/>
      <c r="D702" s="25"/>
    </row>
    <row r="703" spans="3:4">
      <c r="C703" s="24"/>
      <c r="D703" s="25"/>
    </row>
    <row r="704" spans="3:4">
      <c r="C704" s="24"/>
      <c r="D704" s="25"/>
    </row>
    <row r="706" spans="3:4">
      <c r="C706" s="24"/>
      <c r="D706" s="25"/>
    </row>
    <row r="707" s="1" customFormat="1" spans="1:23">
      <c r="A707" s="4"/>
      <c r="B707" s="4"/>
      <c r="C707" s="24"/>
      <c r="D707" s="2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3:4">
      <c r="C708" s="24"/>
      <c r="D708" s="25"/>
    </row>
    <row r="709" spans="3:4">
      <c r="C709" s="24"/>
      <c r="D709" s="25"/>
    </row>
    <row r="710" spans="3:4">
      <c r="C710" s="24"/>
      <c r="D710" s="25"/>
    </row>
    <row r="711" spans="3:4">
      <c r="C711" s="24"/>
      <c r="D711" s="25"/>
    </row>
    <row r="712" spans="3:4">
      <c r="C712" s="24"/>
      <c r="D712" s="25"/>
    </row>
    <row r="713" spans="3:4">
      <c r="C713" s="24"/>
      <c r="D713" s="25"/>
    </row>
    <row r="714" spans="3:4">
      <c r="C714" s="24"/>
      <c r="D714" s="25"/>
    </row>
    <row r="715" spans="3:4">
      <c r="C715" s="24"/>
      <c r="D715" s="25"/>
    </row>
    <row r="716" spans="3:4">
      <c r="C716" s="24"/>
      <c r="D716" s="25"/>
    </row>
  </sheetData>
  <autoFilter ref="A1:Y445">
    <extLst/>
  </autoFilter>
  <pageMargins left="0.7" right="0.7" top="0.75" bottom="0.75" header="0.3" footer="0.3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10"/>
  <sheetViews>
    <sheetView workbookViewId="0">
      <selection activeCell="A1" sqref="A1:Y340"/>
    </sheetView>
  </sheetViews>
  <sheetFormatPr defaultColWidth="9" defaultRowHeight="14.4"/>
  <cols>
    <col min="1" max="4" width="9" style="4"/>
    <col min="5" max="23" width="12.3796296296296" style="4" customWidth="1"/>
    <col min="24" max="24" width="12.6296296296296" style="5"/>
    <col min="25" max="25" width="12.8888888888889" style="5"/>
    <col min="26" max="16384" width="9" style="5"/>
  </cols>
  <sheetData>
    <row r="1" s="1" customFormat="1" spans="1:25">
      <c r="A1" s="6" t="s">
        <v>1</v>
      </c>
      <c r="B1" s="6" t="s">
        <v>2</v>
      </c>
      <c r="C1" s="7" t="s">
        <v>3</v>
      </c>
      <c r="D1" s="7" t="s">
        <v>4</v>
      </c>
      <c r="E1" s="8" t="s">
        <v>5</v>
      </c>
      <c r="F1" s="9" t="s">
        <v>847</v>
      </c>
      <c r="G1" s="8" t="s">
        <v>6</v>
      </c>
      <c r="H1" s="9" t="s">
        <v>847</v>
      </c>
      <c r="I1" s="8" t="s">
        <v>7</v>
      </c>
      <c r="J1" s="9" t="s">
        <v>847</v>
      </c>
      <c r="K1" s="8" t="s">
        <v>848</v>
      </c>
      <c r="L1" s="9" t="s">
        <v>849</v>
      </c>
      <c r="M1" s="9" t="s">
        <v>850</v>
      </c>
      <c r="N1" s="8">
        <v>50</v>
      </c>
      <c r="O1" s="8" t="s">
        <v>851</v>
      </c>
      <c r="P1" s="9" t="s">
        <v>847</v>
      </c>
      <c r="Q1" s="8" t="s">
        <v>8</v>
      </c>
      <c r="R1" s="6" t="s">
        <v>851</v>
      </c>
      <c r="S1" s="17" t="s">
        <v>847</v>
      </c>
      <c r="T1" s="6" t="s">
        <v>852</v>
      </c>
      <c r="U1" s="6" t="s">
        <v>849</v>
      </c>
      <c r="V1" s="17" t="s">
        <v>850</v>
      </c>
      <c r="W1" s="6" t="s">
        <v>9</v>
      </c>
      <c r="X1" s="18" t="s">
        <v>853</v>
      </c>
      <c r="Y1" s="22" t="s">
        <v>854</v>
      </c>
    </row>
    <row r="2" s="2" customFormat="1" ht="15.6" hidden="1" outlineLevel="2" spans="1:25">
      <c r="A2" s="10">
        <v>201</v>
      </c>
      <c r="B2" s="10">
        <v>37</v>
      </c>
      <c r="C2" s="6" t="s">
        <v>52</v>
      </c>
      <c r="D2" s="6" t="s">
        <v>53</v>
      </c>
      <c r="E2" s="10"/>
      <c r="F2" s="11"/>
      <c r="G2" s="10"/>
      <c r="H2" s="11"/>
      <c r="I2" s="10"/>
      <c r="J2" s="11"/>
      <c r="K2" s="10"/>
      <c r="L2" s="10"/>
      <c r="M2" s="10"/>
      <c r="N2" s="10"/>
      <c r="O2" s="10"/>
      <c r="P2" s="11"/>
      <c r="Q2" s="10"/>
      <c r="R2" s="10"/>
      <c r="S2" s="10"/>
      <c r="T2" s="10"/>
      <c r="U2" s="10"/>
      <c r="V2" s="10"/>
      <c r="W2" s="10" t="s">
        <v>14</v>
      </c>
      <c r="X2" s="19">
        <f t="shared" ref="X2:X11" si="0">F2*0.1+H2*0.1+J2*0.1+P2*0.2+S2*0.2</f>
        <v>0</v>
      </c>
      <c r="Y2" s="19">
        <v>50</v>
      </c>
    </row>
    <row r="3" ht="15.6" hidden="1" outlineLevel="2" spans="1:25">
      <c r="A3" s="12">
        <v>201</v>
      </c>
      <c r="B3" s="12">
        <v>38</v>
      </c>
      <c r="C3" s="13" t="s">
        <v>54</v>
      </c>
      <c r="D3" s="6" t="s">
        <v>53</v>
      </c>
      <c r="E3" s="12"/>
      <c r="F3" s="11"/>
      <c r="G3" s="12"/>
      <c r="H3" s="11"/>
      <c r="I3" s="12"/>
      <c r="J3" s="11"/>
      <c r="K3" s="12"/>
      <c r="L3" s="15"/>
      <c r="M3" s="12"/>
      <c r="N3" s="12"/>
      <c r="O3" s="12"/>
      <c r="P3" s="11"/>
      <c r="Q3" s="12"/>
      <c r="R3" s="12"/>
      <c r="S3" s="12"/>
      <c r="T3" s="12"/>
      <c r="U3" s="12"/>
      <c r="V3" s="12"/>
      <c r="W3" s="12" t="s">
        <v>55</v>
      </c>
      <c r="X3" s="20">
        <f t="shared" si="0"/>
        <v>0</v>
      </c>
      <c r="Y3" s="20">
        <v>50</v>
      </c>
    </row>
    <row r="4" ht="15.6" hidden="1" outlineLevel="2" spans="1:25">
      <c r="A4" s="12">
        <v>201</v>
      </c>
      <c r="B4" s="12">
        <v>39</v>
      </c>
      <c r="C4" s="6" t="s">
        <v>56</v>
      </c>
      <c r="D4" s="6" t="s">
        <v>53</v>
      </c>
      <c r="E4" s="12">
        <v>28.5</v>
      </c>
      <c r="F4" s="11">
        <f>LOOKUP(E4,{0,1,1.8,2.6,3.4,4.2,5,6.3,7.6,8.9,10.2,11.5,12.8,14.1,15.4,16.7,18,19.7,21.4,23.1,24.8},{0,10,20,30,40,50,60,62,64,66,68,70,72,74,76,78,80,85,90,95,100})</f>
        <v>100</v>
      </c>
      <c r="G4" s="12">
        <v>192</v>
      </c>
      <c r="H4" s="11">
        <f>LOOKUP(G4,{0,124,129,134,139,144,149,152,155,158,161,164,167,170,173,176,179,186,193,199,205},{0,10,20,30,40,50,60,62,64,66,68,70,72,74,76,78,80,85,90,95,100})</f>
        <v>85</v>
      </c>
      <c r="I4" s="12">
        <v>47</v>
      </c>
      <c r="J4" s="11">
        <f>LOOKUP(I4,{0,14,16,18,20,22,24,26,28,30,32,34,36,38,40,42,44,47,50,52,54},{0,10,20,30,40,50,60,62,64,66,68,70,72,74,76,78,80,85,90,95,100})</f>
        <v>85</v>
      </c>
      <c r="K4" s="12"/>
      <c r="L4" s="12"/>
      <c r="M4" s="12">
        <f t="shared" ref="M4:M7" si="1">J4+L4</f>
        <v>85</v>
      </c>
      <c r="N4" s="12">
        <v>7.8</v>
      </c>
      <c r="O4" s="12">
        <f t="shared" ref="O4:O7" si="2">12-N4</f>
        <v>4.2</v>
      </c>
      <c r="P4" s="11">
        <f>LOOKUP(O4,{0,0.5,0.7,0.9,1.1,1.3,1.5,1.7,1.9,2.1,2.3,2.5,2.7,2.9,3.1,3.3,3.5,3.8,4.1,4.2,4.3},{0,10,20,30,40,50,60,62,64,66,68,70,72,74,76,78,80,85,90,95,100})</f>
        <v>95</v>
      </c>
      <c r="Q4" s="12">
        <v>3.34</v>
      </c>
      <c r="R4" s="12">
        <f t="shared" ref="R4:R7" si="3">10-Q4</f>
        <v>6.66</v>
      </c>
      <c r="S4" s="11">
        <f>LOOKUP(R4,{0,4.72,4.82,4.92,5.42,5.52,5.62,5.67,5.72,5.77,5.82,5.87,5.92,5.97,6.42,6.47,6.52,6.59,6.66,6.72,6.78},{0,10,20,30,40,50,60,62,64,66,68,70,72,74,76,78,80,85,90,95,100})</f>
        <v>90</v>
      </c>
      <c r="T4" s="12"/>
      <c r="U4" s="12"/>
      <c r="V4" s="12">
        <f t="shared" ref="V4:V7" si="4">S4+U4</f>
        <v>90</v>
      </c>
      <c r="W4" s="12"/>
      <c r="X4" s="20">
        <f t="shared" si="0"/>
        <v>64</v>
      </c>
      <c r="Y4" s="20">
        <f t="shared" ref="Y4:Y7" si="5">X4/0.7+L4+U4</f>
        <v>91.4285714285714</v>
      </c>
    </row>
    <row r="5" ht="15.6" hidden="1" outlineLevel="2" spans="1:25">
      <c r="A5" s="12">
        <v>201</v>
      </c>
      <c r="B5" s="12">
        <v>40</v>
      </c>
      <c r="C5" s="6" t="s">
        <v>57</v>
      </c>
      <c r="D5" s="6" t="s">
        <v>53</v>
      </c>
      <c r="E5" s="12">
        <v>14.7</v>
      </c>
      <c r="F5" s="11">
        <f>LOOKUP(E5,{0,1,1.8,2.6,3.4,4.2,5,6.3,7.6,8.9,10.2,11.5,12.8,14.1,15.4,16.7,18,19.7,21.4,23.1,24.8},{0,10,20,30,40,50,60,62,64,66,68,70,72,74,76,78,80,85,90,95,100})</f>
        <v>74</v>
      </c>
      <c r="G5" s="12">
        <v>191</v>
      </c>
      <c r="H5" s="11">
        <f>LOOKUP(G5,{0,124,129,134,139,144,149,152,155,158,161,164,167,170,173,176,179,186,193,199,205},{0,10,20,30,40,50,60,62,64,66,68,70,72,74,76,78,80,85,90,95,100})</f>
        <v>85</v>
      </c>
      <c r="I5" s="12">
        <v>54</v>
      </c>
      <c r="J5" s="11">
        <f>LOOKUP(I5,{0,14,16,18,20,22,24,26,28,30,32,34,36,38,40,42,44,47,50,52,54},{0,10,20,30,40,50,60,62,64,66,68,70,72,74,76,78,80,85,90,95,100})</f>
        <v>100</v>
      </c>
      <c r="K5" s="12">
        <f>I5-54</f>
        <v>0</v>
      </c>
      <c r="L5" s="16">
        <f>LOOKUP(K5,{0,2,4,6,7,8,9,10,11,12,13},{0,1,2,3,4,5,6,7,8,9,10})</f>
        <v>0</v>
      </c>
      <c r="M5" s="12">
        <f t="shared" si="1"/>
        <v>100</v>
      </c>
      <c r="N5" s="12">
        <v>8.2</v>
      </c>
      <c r="O5" s="12">
        <f t="shared" si="2"/>
        <v>3.8</v>
      </c>
      <c r="P5" s="11">
        <f>LOOKUP(O5,{0,0.5,0.7,0.9,1.1,1.3,1.5,1.7,1.9,2.1,2.3,2.5,2.7,2.9,3.1,3.3,3.5,3.8,4.1,4.2,4.3},{0,10,20,30,40,50,60,62,64,66,68,70,72,74,76,78,80,85,90,95,100})</f>
        <v>85</v>
      </c>
      <c r="Q5" s="12">
        <v>3.39</v>
      </c>
      <c r="R5" s="12">
        <f t="shared" si="3"/>
        <v>6.61</v>
      </c>
      <c r="S5" s="11">
        <f>LOOKUP(R5,{0,4.72,4.82,4.92,5.42,5.52,5.62,5.67,5.72,5.77,5.82,5.87,5.92,5.97,6.42,6.47,6.52,6.59,6.66,6.72,6.78},{0,10,20,30,40,50,60,62,64,66,68,70,72,74,76,78,80,85,90,95,100})</f>
        <v>85</v>
      </c>
      <c r="T5" s="12"/>
      <c r="U5" s="12"/>
      <c r="V5" s="12">
        <f t="shared" si="4"/>
        <v>85</v>
      </c>
      <c r="W5" s="12"/>
      <c r="X5" s="20">
        <f t="shared" si="0"/>
        <v>59.9</v>
      </c>
      <c r="Y5" s="20">
        <f t="shared" si="5"/>
        <v>85.5714285714286</v>
      </c>
    </row>
    <row r="6" ht="15.6" hidden="1" outlineLevel="2" spans="1:25">
      <c r="A6" s="12">
        <v>201</v>
      </c>
      <c r="B6" s="12">
        <v>41</v>
      </c>
      <c r="C6" s="6" t="s">
        <v>58</v>
      </c>
      <c r="D6" s="6" t="s">
        <v>53</v>
      </c>
      <c r="E6" s="12">
        <v>17.7</v>
      </c>
      <c r="F6" s="11">
        <f>LOOKUP(E6,{0,1,1.8,2.6,3.4,4.2,5,6.3,7.6,8.9,10.2,11.5,12.8,14.1,15.4,16.7,18,19.7,21.4,23.1,24.8},{0,10,20,30,40,50,60,62,64,66,68,70,72,74,76,78,80,85,90,95,100})</f>
        <v>78</v>
      </c>
      <c r="G6" s="12">
        <v>208</v>
      </c>
      <c r="H6" s="11">
        <f>LOOKUP(G6,{0,124,129,134,139,144,149,152,155,158,161,164,167,170,173,176,179,186,193,199,205},{0,10,20,30,40,50,60,62,64,66,68,70,72,74,76,78,80,85,90,95,100})</f>
        <v>100</v>
      </c>
      <c r="I6" s="12">
        <v>53</v>
      </c>
      <c r="J6" s="11">
        <f>LOOKUP(I6,{0,14,16,18,20,22,24,26,28,30,32,34,36,38,40,42,44,47,50,52,54},{0,10,20,30,40,50,60,62,64,66,68,70,72,74,76,78,80,85,90,95,100})</f>
        <v>95</v>
      </c>
      <c r="K6" s="12"/>
      <c r="L6" s="12"/>
      <c r="M6" s="12">
        <f t="shared" si="1"/>
        <v>95</v>
      </c>
      <c r="N6" s="12">
        <v>8.2</v>
      </c>
      <c r="O6" s="12">
        <f t="shared" si="2"/>
        <v>3.8</v>
      </c>
      <c r="P6" s="11">
        <f>LOOKUP(O6,{0,0.5,0.7,0.9,1.1,1.3,1.5,1.7,1.9,2.1,2.3,2.5,2.7,2.9,3.1,3.3,3.5,3.8,4.1,4.2,4.3},{0,10,20,30,40,50,60,62,64,66,68,70,72,74,76,78,80,85,90,95,100})</f>
        <v>85</v>
      </c>
      <c r="Q6" s="12">
        <v>3.45</v>
      </c>
      <c r="R6" s="12">
        <f t="shared" si="3"/>
        <v>6.55</v>
      </c>
      <c r="S6" s="11">
        <f>LOOKUP(R6,{0,4.72,4.82,4.92,5.42,5.52,5.62,5.67,5.72,5.77,5.82,5.87,5.92,5.97,6.42,6.47,6.52,6.59,6.66,6.72,6.78},{0,10,20,30,40,50,60,62,64,66,68,70,72,74,76,78,80,85,90,95,100})</f>
        <v>80</v>
      </c>
      <c r="T6" s="12"/>
      <c r="U6" s="12"/>
      <c r="V6" s="12">
        <f t="shared" si="4"/>
        <v>80</v>
      </c>
      <c r="W6" s="12"/>
      <c r="X6" s="20">
        <f t="shared" si="0"/>
        <v>60.3</v>
      </c>
      <c r="Y6" s="20">
        <f t="shared" si="5"/>
        <v>86.1428571428571</v>
      </c>
    </row>
    <row r="7" ht="15.6" hidden="1" outlineLevel="2" spans="1:25">
      <c r="A7" s="12">
        <v>201</v>
      </c>
      <c r="B7" s="12">
        <v>42</v>
      </c>
      <c r="C7" s="6" t="s">
        <v>59</v>
      </c>
      <c r="D7" s="6" t="s">
        <v>53</v>
      </c>
      <c r="E7" s="12">
        <v>18.5</v>
      </c>
      <c r="F7" s="11">
        <f>LOOKUP(E7,{0,1,1.8,2.6,3.4,4.2,5,6.3,7.6,8.9,10.2,11.5,12.8,14.1,15.4,16.7,18,19.7,21.4,23.1,24.8},{0,10,20,30,40,50,60,62,64,66,68,70,72,74,76,78,80,85,90,95,100})</f>
        <v>80</v>
      </c>
      <c r="G7" s="12">
        <v>182</v>
      </c>
      <c r="H7" s="11">
        <f>LOOKUP(G7,{0,124,129,134,139,144,149,152,155,158,161,164,167,170,173,176,179,186,193,199,205},{0,10,20,30,40,50,60,62,64,66,68,70,72,74,76,78,80,85,90,95,100})</f>
        <v>80</v>
      </c>
      <c r="I7" s="12">
        <v>52</v>
      </c>
      <c r="J7" s="11">
        <f>LOOKUP(I7,{0,14,16,18,20,22,24,26,28,30,32,34,36,38,40,42,44,47,50,52,54},{0,10,20,30,40,50,60,62,64,66,68,70,72,74,76,78,80,85,90,95,100})</f>
        <v>95</v>
      </c>
      <c r="K7" s="12"/>
      <c r="L7" s="15"/>
      <c r="M7" s="12">
        <f t="shared" si="1"/>
        <v>95</v>
      </c>
      <c r="N7" s="12">
        <v>8.7</v>
      </c>
      <c r="O7" s="12">
        <f t="shared" si="2"/>
        <v>3.3</v>
      </c>
      <c r="P7" s="11">
        <f>LOOKUP(O7,{0,0.5,0.7,0.9,1.1,1.3,1.5,1.7,1.9,2.1,2.3,2.5,2.7,2.9,3.1,3.3,3.5,3.8,4.1,4.2,4.3},{0,10,20,30,40,50,60,62,64,66,68,70,72,74,76,78,80,85,90,95,100})</f>
        <v>78</v>
      </c>
      <c r="Q7" s="12">
        <v>3.58</v>
      </c>
      <c r="R7" s="12">
        <f t="shared" si="3"/>
        <v>6.42</v>
      </c>
      <c r="S7" s="11">
        <f>LOOKUP(R7,{0,4.72,4.82,4.92,5.42,5.52,5.62,5.67,5.72,5.77,5.82,5.87,5.92,5.97,6.42,6.47,6.52,6.59,6.66,6.72,6.78},{0,10,20,30,40,50,60,62,64,66,68,70,72,74,76,78,80,85,90,95,100})</f>
        <v>76</v>
      </c>
      <c r="T7" s="12"/>
      <c r="U7" s="12"/>
      <c r="V7" s="12">
        <f t="shared" si="4"/>
        <v>76</v>
      </c>
      <c r="W7" s="12"/>
      <c r="X7" s="20">
        <f t="shared" si="0"/>
        <v>56.3</v>
      </c>
      <c r="Y7" s="20">
        <f t="shared" si="5"/>
        <v>80.4285714285714</v>
      </c>
    </row>
    <row r="8" s="2" customFormat="1" ht="15.6" hidden="1" outlineLevel="2" spans="1:25">
      <c r="A8" s="10">
        <v>201</v>
      </c>
      <c r="B8" s="10">
        <v>43</v>
      </c>
      <c r="C8" s="6" t="s">
        <v>60</v>
      </c>
      <c r="D8" s="6" t="s">
        <v>53</v>
      </c>
      <c r="E8" s="10"/>
      <c r="F8" s="11"/>
      <c r="G8" s="10"/>
      <c r="H8" s="11"/>
      <c r="I8" s="10"/>
      <c r="J8" s="11"/>
      <c r="K8" s="10"/>
      <c r="L8" s="10"/>
      <c r="M8" s="10"/>
      <c r="N8" s="10"/>
      <c r="O8" s="10"/>
      <c r="P8" s="11"/>
      <c r="Q8" s="10"/>
      <c r="R8" s="10"/>
      <c r="S8" s="11"/>
      <c r="T8" s="10"/>
      <c r="U8" s="11"/>
      <c r="V8" s="10"/>
      <c r="W8" s="10" t="s">
        <v>14</v>
      </c>
      <c r="X8" s="19">
        <f t="shared" si="0"/>
        <v>0</v>
      </c>
      <c r="Y8" s="19">
        <v>50</v>
      </c>
    </row>
    <row r="9" ht="15.6" hidden="1" outlineLevel="2" spans="1:25">
      <c r="A9" s="12">
        <v>201</v>
      </c>
      <c r="B9" s="12">
        <v>44</v>
      </c>
      <c r="C9" s="6" t="s">
        <v>61</v>
      </c>
      <c r="D9" s="6" t="s">
        <v>53</v>
      </c>
      <c r="E9" s="12">
        <v>17</v>
      </c>
      <c r="F9" s="11">
        <f>LOOKUP(E9,{0,1,1.8,2.6,3.4,4.2,5,6.3,7.6,8.9,10.2,11.5,12.8,14.1,15.4,16.7,18,19.7,21.4,23.1,24.8},{0,10,20,30,40,50,60,62,64,66,68,70,72,74,76,78,80,85,90,95,100})</f>
        <v>78</v>
      </c>
      <c r="G9" s="12">
        <v>161</v>
      </c>
      <c r="H9" s="11">
        <f>LOOKUP(G9,{0,124,129,134,139,144,149,152,155,158,161,164,167,170,173,176,179,186,193,199,205},{0,10,20,30,40,50,60,62,64,66,68,70,72,74,76,78,80,85,90,95,100})</f>
        <v>68</v>
      </c>
      <c r="I9" s="12">
        <v>45</v>
      </c>
      <c r="J9" s="11">
        <f>LOOKUP(I9,{0,14,16,18,20,22,24,26,28,30,32,34,36,38,40,42,44,47,50,52,54},{0,10,20,30,40,50,60,62,64,66,68,70,72,74,76,78,80,85,90,95,100})</f>
        <v>80</v>
      </c>
      <c r="K9" s="12"/>
      <c r="L9" s="12"/>
      <c r="M9" s="12">
        <f>J9+L9</f>
        <v>80</v>
      </c>
      <c r="N9" s="12">
        <v>8.6</v>
      </c>
      <c r="O9" s="12">
        <f>12-N9</f>
        <v>3.4</v>
      </c>
      <c r="P9" s="11">
        <f>LOOKUP(O9,{0,0.5,0.7,0.9,1.1,1.3,1.5,1.7,1.9,2.1,2.3,2.5,2.7,2.9,3.1,3.3,3.5,3.8,4.1,4.2,4.3},{0,10,20,30,40,50,60,62,64,66,68,70,72,74,76,78,80,85,90,95,100})</f>
        <v>78</v>
      </c>
      <c r="Q9" s="12">
        <v>3.29</v>
      </c>
      <c r="R9" s="12">
        <f>10-Q9</f>
        <v>6.71</v>
      </c>
      <c r="S9" s="11">
        <f>LOOKUP(R9,{0,4.72,4.82,4.92,5.42,5.52,5.62,5.67,5.72,5.77,5.82,5.87,5.92,5.97,6.42,6.47,6.52,6.59,6.66,6.72,6.78},{0,10,20,30,40,50,60,62,64,66,68,70,72,74,76,78,80,85,90,95,100})</f>
        <v>90</v>
      </c>
      <c r="T9" s="12"/>
      <c r="U9" s="12"/>
      <c r="V9" s="12">
        <f>S9+U9</f>
        <v>90</v>
      </c>
      <c r="W9" s="12"/>
      <c r="X9" s="20">
        <f t="shared" si="0"/>
        <v>56.2</v>
      </c>
      <c r="Y9" s="20">
        <f>X9/0.7+L9+U9</f>
        <v>80.2857142857143</v>
      </c>
    </row>
    <row r="10" ht="15.6" hidden="1" outlineLevel="2" spans="1:25">
      <c r="A10" s="12">
        <v>201</v>
      </c>
      <c r="B10" s="12">
        <v>45</v>
      </c>
      <c r="C10" s="6" t="s">
        <v>62</v>
      </c>
      <c r="D10" s="6" t="s">
        <v>53</v>
      </c>
      <c r="E10" s="12"/>
      <c r="F10" s="11"/>
      <c r="G10" s="12"/>
      <c r="H10" s="11"/>
      <c r="I10" s="12"/>
      <c r="J10" s="11"/>
      <c r="K10" s="12"/>
      <c r="L10" s="12"/>
      <c r="M10" s="12"/>
      <c r="N10" s="12"/>
      <c r="O10" s="12"/>
      <c r="P10" s="11"/>
      <c r="Q10" s="12"/>
      <c r="R10" s="12"/>
      <c r="S10" s="11"/>
      <c r="T10" s="21"/>
      <c r="U10" s="11"/>
      <c r="V10" s="12"/>
      <c r="W10" s="12" t="s">
        <v>14</v>
      </c>
      <c r="X10" s="20">
        <f t="shared" si="0"/>
        <v>0</v>
      </c>
      <c r="Y10" s="20">
        <v>50</v>
      </c>
    </row>
    <row r="11" ht="15.6" hidden="1" outlineLevel="2" spans="1:25">
      <c r="A11" s="12">
        <v>201</v>
      </c>
      <c r="B11" s="12">
        <v>46</v>
      </c>
      <c r="C11" s="6" t="s">
        <v>63</v>
      </c>
      <c r="D11" s="6" t="s">
        <v>53</v>
      </c>
      <c r="E11" s="12">
        <v>32.2</v>
      </c>
      <c r="F11" s="11">
        <f>LOOKUP(E11,{0,1,1.8,2.6,3.4,4.2,5,6.3,7.6,8.9,10.2,11.5,12.8,14.1,15.4,16.7,18,19.7,21.4,23.1,24.8},{0,10,20,30,40,50,60,62,64,66,68,70,72,74,76,78,80,85,90,95,100})</f>
        <v>100</v>
      </c>
      <c r="G11" s="12">
        <v>205</v>
      </c>
      <c r="H11" s="11">
        <f>LOOKUP(G11,{0,124,129,134,139,144,149,152,155,158,161,164,167,170,173,176,179,186,193,199,205},{0,10,20,30,40,50,60,62,64,66,68,70,72,74,76,78,80,85,90,95,100})</f>
        <v>100</v>
      </c>
      <c r="I11" s="12">
        <v>37</v>
      </c>
      <c r="J11" s="11">
        <f>LOOKUP(I11,{0,14,16,18,20,22,24,26,28,30,32,34,36,38,40,42,44,47,50,52,54},{0,10,20,30,40,50,60,62,64,66,68,70,72,74,76,78,80,85,90,95,100})</f>
        <v>72</v>
      </c>
      <c r="K11" s="12"/>
      <c r="L11" s="12"/>
      <c r="M11" s="12">
        <f>J11+L11</f>
        <v>72</v>
      </c>
      <c r="N11" s="12">
        <v>8.3</v>
      </c>
      <c r="O11" s="12">
        <f>12-N11</f>
        <v>3.7</v>
      </c>
      <c r="P11" s="11">
        <f>LOOKUP(O11,{0,0.5,0.7,0.9,1.1,1.3,1.5,1.7,1.9,2.1,2.3,2.5,2.7,2.9,3.1,3.3,3.5,3.8,4.1,4.2,4.3},{0,10,20,30,40,50,60,62,64,66,68,70,72,74,76,78,80,85,90,95,100})</f>
        <v>80</v>
      </c>
      <c r="Q11" s="12">
        <v>3.39</v>
      </c>
      <c r="R11" s="12">
        <f>10-Q11</f>
        <v>6.61</v>
      </c>
      <c r="S11" s="11">
        <f>LOOKUP(R11,{0,4.72,4.82,4.92,5.42,5.52,5.62,5.67,5.72,5.77,5.82,5.87,5.92,5.97,6.42,6.47,6.52,6.59,6.66,6.72,6.78},{0,10,20,30,40,50,60,62,64,66,68,70,72,74,76,78,80,85,90,95,100})</f>
        <v>85</v>
      </c>
      <c r="T11" s="12"/>
      <c r="U11" s="12"/>
      <c r="V11" s="12">
        <f>S11+U11</f>
        <v>85</v>
      </c>
      <c r="W11" s="12"/>
      <c r="X11" s="20">
        <f t="shared" si="0"/>
        <v>60.2</v>
      </c>
      <c r="Y11" s="20">
        <f>X11/0.7+L11+U11</f>
        <v>86</v>
      </c>
    </row>
    <row r="12" ht="15.6" outlineLevel="1" collapsed="1" spans="1:25">
      <c r="A12" s="14" t="s">
        <v>855</v>
      </c>
      <c r="B12" s="12"/>
      <c r="C12" s="6"/>
      <c r="D12" s="6"/>
      <c r="E12" s="12"/>
      <c r="F12" s="11">
        <f>SUBTOTAL(1,F2:F11)</f>
        <v>85</v>
      </c>
      <c r="G12" s="12"/>
      <c r="H12" s="11">
        <f>SUBTOTAL(1,H2:H11)</f>
        <v>86.3333333333333</v>
      </c>
      <c r="I12" s="12"/>
      <c r="J12" s="11">
        <f>SUBTOTAL(1,J2:J11)</f>
        <v>87.8333333333333</v>
      </c>
      <c r="K12" s="12"/>
      <c r="L12" s="12"/>
      <c r="M12" s="12">
        <f>SUBTOTAL(1,M2:M11)</f>
        <v>87.8333333333333</v>
      </c>
      <c r="N12" s="12"/>
      <c r="O12" s="12"/>
      <c r="P12" s="11">
        <f>SUBTOTAL(1,P2:P11)</f>
        <v>83.5</v>
      </c>
      <c r="Q12" s="12"/>
      <c r="R12" s="12"/>
      <c r="S12" s="11">
        <f>SUBTOTAL(1,S2:S11)</f>
        <v>84.3333333333333</v>
      </c>
      <c r="T12" s="12"/>
      <c r="U12" s="12"/>
      <c r="V12" s="12">
        <f>SUBTOTAL(1,V2:V11)</f>
        <v>84.3333333333333</v>
      </c>
      <c r="W12" s="12"/>
      <c r="X12" s="20">
        <f>SUBTOTAL(1,X2:X11)</f>
        <v>35.69</v>
      </c>
      <c r="Y12" s="20">
        <f>SUBTOTAL(1,Y2:Y11)</f>
        <v>70.9857142857143</v>
      </c>
    </row>
    <row r="13" ht="15.6" hidden="1" outlineLevel="2" spans="1:25">
      <c r="A13" s="12">
        <v>202</v>
      </c>
      <c r="B13" s="12">
        <v>33</v>
      </c>
      <c r="C13" s="13" t="s">
        <v>101</v>
      </c>
      <c r="D13" s="6" t="s">
        <v>53</v>
      </c>
      <c r="E13" s="12">
        <v>26</v>
      </c>
      <c r="F13" s="11">
        <f>LOOKUP(E13,{0,1,1.8,2.6,3.4,4.2,5,6.3,7.6,8.9,10.2,11.5,12.8,14.1,15.4,16.7,18,19.7,21.4,23.1,24.8},{0,10,20,30,40,50,60,62,64,66,68,70,72,74,76,78,80,85,90,95,100})</f>
        <v>100</v>
      </c>
      <c r="G13" s="12">
        <v>191</v>
      </c>
      <c r="H13" s="11">
        <f>LOOKUP(G13,{0,124,129,134,139,144,149,152,155,158,161,164,167,170,173,176,179,186,193,199,205},{0,10,20,30,40,50,60,62,64,66,68,70,72,74,76,78,80,85,90,95,100})</f>
        <v>85</v>
      </c>
      <c r="I13" s="12">
        <v>45</v>
      </c>
      <c r="J13" s="11">
        <f>LOOKUP(I13,{0,14,16,18,20,22,24,26,28,30,32,34,36,38,40,42,44,47,50,52,54},{0,10,20,30,40,50,60,62,64,66,68,70,72,74,76,78,80,85,90,95,100})</f>
        <v>80</v>
      </c>
      <c r="K13" s="12"/>
      <c r="L13" s="15"/>
      <c r="M13" s="12">
        <f t="shared" ref="M13:M23" si="6">J13+L13</f>
        <v>80</v>
      </c>
      <c r="N13" s="12">
        <v>8.4</v>
      </c>
      <c r="O13" s="12">
        <f t="shared" ref="O13:O23" si="7">12-N13</f>
        <v>3.6</v>
      </c>
      <c r="P13" s="11">
        <f>LOOKUP(O13,{0,0.5,0.7,0.9,1.1,1.3,1.5,1.7,1.9,2.1,2.3,2.5,2.7,2.9,3.1,3.3,3.5,3.8,4.1,4.2,4.3},{0,10,20,30,40,50,60,62,64,66,68,70,72,74,76,78,80,85,90,95,100})</f>
        <v>80</v>
      </c>
      <c r="Q13" s="12">
        <v>3.24</v>
      </c>
      <c r="R13" s="12">
        <f t="shared" ref="R13:R23" si="8">10-Q13</f>
        <v>6.76</v>
      </c>
      <c r="S13" s="11">
        <f>LOOKUP(R13,{0,4.72,4.82,4.92,5.42,5.52,5.62,5.67,5.72,5.77,5.82,5.87,5.92,5.97,6.42,6.47,6.52,6.59,6.66,6.72,6.78},{0,10,20,30,40,50,60,62,64,66,68,70,72,74,76,78,80,85,90,95,100})</f>
        <v>95</v>
      </c>
      <c r="T13" s="12"/>
      <c r="U13" s="12"/>
      <c r="V13" s="12">
        <f t="shared" ref="V13:V23" si="9">S13+U13</f>
        <v>95</v>
      </c>
      <c r="W13" s="12"/>
      <c r="X13" s="20">
        <f t="shared" ref="X13:X23" si="10">F13*0.1+H13*0.1+J13*0.1+P13*0.2+S13*0.2</f>
        <v>61.5</v>
      </c>
      <c r="Y13" s="20">
        <f t="shared" ref="Y13:Y23" si="11">X13/0.7+L13+U13</f>
        <v>87.8571428571429</v>
      </c>
    </row>
    <row r="14" ht="15.6" hidden="1" outlineLevel="2" spans="1:25">
      <c r="A14" s="12">
        <v>202</v>
      </c>
      <c r="B14" s="12">
        <v>34</v>
      </c>
      <c r="C14" s="6" t="s">
        <v>102</v>
      </c>
      <c r="D14" s="6" t="s">
        <v>53</v>
      </c>
      <c r="E14" s="12">
        <v>27</v>
      </c>
      <c r="F14" s="11">
        <f>LOOKUP(E14,{0,1,1.8,2.6,3.4,4.2,5,6.3,7.6,8.9,10.2,11.5,12.8,14.1,15.4,16.7,18,19.7,21.4,23.1,24.8},{0,10,20,30,40,50,60,62,64,66,68,70,72,74,76,78,80,85,90,95,100})</f>
        <v>100</v>
      </c>
      <c r="G14" s="12">
        <v>181</v>
      </c>
      <c r="H14" s="11">
        <f>LOOKUP(G14,{0,124,129,134,139,144,149,152,155,158,161,164,167,170,173,176,179,186,193,199,205},{0,10,20,30,40,50,60,62,64,66,68,70,72,74,76,78,80,85,90,95,100})</f>
        <v>80</v>
      </c>
      <c r="I14" s="12">
        <v>46</v>
      </c>
      <c r="J14" s="11">
        <f>LOOKUP(I14,{0,14,16,18,20,22,24,26,28,30,32,34,36,38,40,42,44,47,50,52,54},{0,10,20,30,40,50,60,62,64,66,68,70,72,74,76,78,80,85,90,95,100})</f>
        <v>80</v>
      </c>
      <c r="K14" s="12"/>
      <c r="L14" s="12"/>
      <c r="M14" s="12">
        <f t="shared" si="6"/>
        <v>80</v>
      </c>
      <c r="N14" s="12">
        <v>8.7</v>
      </c>
      <c r="O14" s="12">
        <f t="shared" si="7"/>
        <v>3.3</v>
      </c>
      <c r="P14" s="11">
        <f>LOOKUP(O14,{0,0.5,0.7,0.9,1.1,1.3,1.5,1.7,1.9,2.1,2.3,2.5,2.7,2.9,3.1,3.3,3.5,3.8,4.1,4.2,4.3},{0,10,20,30,40,50,60,62,64,66,68,70,72,74,76,78,80,85,90,95,100})</f>
        <v>78</v>
      </c>
      <c r="Q14" s="12">
        <v>3.34</v>
      </c>
      <c r="R14" s="12">
        <f t="shared" si="8"/>
        <v>6.66</v>
      </c>
      <c r="S14" s="11">
        <f>LOOKUP(R14,{0,4.72,4.82,4.92,5.42,5.52,5.62,5.67,5.72,5.77,5.82,5.87,5.92,5.97,6.42,6.47,6.52,6.59,6.66,6.72,6.78},{0,10,20,30,40,50,60,62,64,66,68,70,72,74,76,78,80,85,90,95,100})</f>
        <v>90</v>
      </c>
      <c r="T14" s="12"/>
      <c r="U14" s="12"/>
      <c r="V14" s="12">
        <f t="shared" si="9"/>
        <v>90</v>
      </c>
      <c r="W14" s="12"/>
      <c r="X14" s="20">
        <f t="shared" si="10"/>
        <v>59.6</v>
      </c>
      <c r="Y14" s="20">
        <f t="shared" si="11"/>
        <v>85.1428571428572</v>
      </c>
    </row>
    <row r="15" customFormat="1" ht="15.6" hidden="1" outlineLevel="2" spans="1:25">
      <c r="A15" s="12">
        <v>202</v>
      </c>
      <c r="B15" s="12">
        <v>35</v>
      </c>
      <c r="C15" s="6" t="s">
        <v>103</v>
      </c>
      <c r="D15" s="6" t="s">
        <v>53</v>
      </c>
      <c r="E15" s="12">
        <v>26</v>
      </c>
      <c r="F15" s="11">
        <f>LOOKUP(E15,{0,1,1.8,2.6,3.4,4.2,5,6.3,7.6,8.9,10.2,11.5,12.8,14.1,15.4,16.7,18,19.7,21.4,23.1,24.8},{0,10,20,30,40,50,60,62,64,66,68,70,72,74,76,78,80,85,90,95,100})</f>
        <v>100</v>
      </c>
      <c r="G15" s="12">
        <v>172</v>
      </c>
      <c r="H15" s="11">
        <f>LOOKUP(G15,{0,124,129,134,139,144,149,152,155,158,161,164,167,170,173,176,179,186,193,199,205},{0,10,20,30,40,50,60,62,64,66,68,70,72,74,76,78,80,85,90,95,100})</f>
        <v>74</v>
      </c>
      <c r="I15" s="12">
        <v>51</v>
      </c>
      <c r="J15" s="11">
        <f>LOOKUP(I15,{0,14,16,18,20,22,24,26,28,30,32,34,36,38,40,42,44,47,50,52,54},{0,10,20,30,40,50,60,62,64,66,68,70,72,74,76,78,80,85,90,95,100})</f>
        <v>90</v>
      </c>
      <c r="K15" s="12"/>
      <c r="L15" s="12"/>
      <c r="M15" s="12">
        <f t="shared" si="6"/>
        <v>90</v>
      </c>
      <c r="N15" s="12">
        <v>8.7</v>
      </c>
      <c r="O15" s="12">
        <f t="shared" si="7"/>
        <v>3.3</v>
      </c>
      <c r="P15" s="11">
        <f>LOOKUP(O15,{0,0.5,0.7,0.9,1.1,1.3,1.5,1.7,1.9,2.1,2.3,2.5,2.7,2.9,3.1,3.3,3.5,3.8,4.1,4.2,4.3},{0,10,20,30,40,50,60,62,64,66,68,70,72,74,76,78,80,85,90,95,100})</f>
        <v>78</v>
      </c>
      <c r="Q15" s="12">
        <v>3.42</v>
      </c>
      <c r="R15" s="12">
        <f t="shared" si="8"/>
        <v>6.58</v>
      </c>
      <c r="S15" s="11">
        <f>LOOKUP(R15,{0,4.72,4.82,4.92,5.42,5.52,5.62,5.67,5.72,5.77,5.82,5.87,5.92,5.97,6.42,6.47,6.52,6.59,6.66,6.72,6.78},{0,10,20,30,40,50,60,62,64,66,68,70,72,74,76,78,80,85,90,95,100})</f>
        <v>80</v>
      </c>
      <c r="T15" s="12"/>
      <c r="U15" s="12"/>
      <c r="V15" s="12">
        <f t="shared" si="9"/>
        <v>80</v>
      </c>
      <c r="W15" s="12"/>
      <c r="X15" s="20">
        <f t="shared" si="10"/>
        <v>58</v>
      </c>
      <c r="Y15" s="20">
        <f t="shared" si="11"/>
        <v>82.8571428571429</v>
      </c>
    </row>
    <row r="16" customFormat="1" ht="15.6" hidden="1" outlineLevel="2" spans="1:25">
      <c r="A16" s="12">
        <v>202</v>
      </c>
      <c r="B16" s="12">
        <v>36</v>
      </c>
      <c r="C16" s="6" t="s">
        <v>104</v>
      </c>
      <c r="D16" s="6" t="s">
        <v>53</v>
      </c>
      <c r="E16" s="12">
        <v>25</v>
      </c>
      <c r="F16" s="11">
        <f>LOOKUP(E16,{0,1,1.8,2.6,3.4,4.2,5,6.3,7.6,8.9,10.2,11.5,12.8,14.1,15.4,16.7,18,19.7,21.4,23.1,24.8},{0,10,20,30,40,50,60,62,64,66,68,70,72,74,76,78,80,85,90,95,100})</f>
        <v>100</v>
      </c>
      <c r="G16" s="12">
        <v>212</v>
      </c>
      <c r="H16" s="11">
        <f>LOOKUP(G16,{0,124,129,134,139,144,149,152,155,158,161,164,167,170,173,176,179,186,193,199,205},{0,10,20,30,40,50,60,62,64,66,68,70,72,74,76,78,80,85,90,95,100})</f>
        <v>100</v>
      </c>
      <c r="I16" s="12">
        <v>55</v>
      </c>
      <c r="J16" s="11">
        <f>LOOKUP(I16,{0,14,16,18,20,22,24,26,28,30,32,34,36,38,40,42,44,47,50,52,54},{0,10,20,30,40,50,60,62,64,66,68,70,72,74,76,78,80,85,90,95,100})</f>
        <v>100</v>
      </c>
      <c r="K16" s="12">
        <f>I16-54</f>
        <v>1</v>
      </c>
      <c r="L16" s="11">
        <f>LOOKUP(K16,{0,2,4,6,7,8,9,10,11,12,13},{0,1,2,3,4,5,6,7,8,9,10})</f>
        <v>0</v>
      </c>
      <c r="M16" s="12">
        <f t="shared" si="6"/>
        <v>100</v>
      </c>
      <c r="N16" s="12">
        <v>7.9</v>
      </c>
      <c r="O16" s="12">
        <f t="shared" si="7"/>
        <v>4.1</v>
      </c>
      <c r="P16" s="11">
        <f>LOOKUP(O16,{0,0.5,0.7,0.9,1.1,1.3,1.5,1.7,1.9,2.1,2.3,2.5,2.7,2.9,3.1,3.3,3.5,3.8,4.1,4.2,4.3},{0,10,20,30,40,50,60,62,64,66,68,70,72,74,76,78,80,85,90,95,100})</f>
        <v>90</v>
      </c>
      <c r="Q16" s="12">
        <v>3.16</v>
      </c>
      <c r="R16" s="12">
        <f t="shared" si="8"/>
        <v>6.84</v>
      </c>
      <c r="S16" s="11">
        <f>LOOKUP(R16,{0,4.72,4.82,4.92,5.42,5.52,5.62,5.67,5.72,5.77,5.82,5.87,5.92,5.97,6.42,6.47,6.52,6.59,6.66,6.72,6.78},{0,10,20,30,40,50,60,62,64,66,68,70,72,74,76,78,80,85,90,95,100})</f>
        <v>100</v>
      </c>
      <c r="T16" s="21">
        <f>3.22-Q16</f>
        <v>0.0600000000000001</v>
      </c>
      <c r="U16" s="11">
        <f>LOOKUP(T16,{0,0.05,0.1,0.15,0.2,0.25,0.3,0.35,0.4,0.45,0.5},{0,1,2,3,4,5,6,7,8,9,10})</f>
        <v>1</v>
      </c>
      <c r="V16" s="12">
        <f t="shared" si="9"/>
        <v>101</v>
      </c>
      <c r="W16" s="12"/>
      <c r="X16" s="20">
        <f t="shared" si="10"/>
        <v>68</v>
      </c>
      <c r="Y16" s="20">
        <f t="shared" si="11"/>
        <v>98.1428571428572</v>
      </c>
    </row>
    <row r="17" customFormat="1" ht="15.6" hidden="1" outlineLevel="2" spans="1:25">
      <c r="A17" s="12">
        <v>202</v>
      </c>
      <c r="B17" s="12">
        <v>37</v>
      </c>
      <c r="C17" s="6" t="s">
        <v>105</v>
      </c>
      <c r="D17" s="6" t="s">
        <v>53</v>
      </c>
      <c r="E17" s="12">
        <v>25</v>
      </c>
      <c r="F17" s="11">
        <f>LOOKUP(E17,{0,1,1.8,2.6,3.4,4.2,5,6.3,7.6,8.9,10.2,11.5,12.8,14.1,15.4,16.7,18,19.7,21.4,23.1,24.8},{0,10,20,30,40,50,60,62,64,66,68,70,72,74,76,78,80,85,90,95,100})</f>
        <v>100</v>
      </c>
      <c r="G17" s="12">
        <v>223</v>
      </c>
      <c r="H17" s="11">
        <f>LOOKUP(G17,{0,124,129,134,139,144,149,152,155,158,161,164,167,170,173,176,179,186,193,199,205},{0,10,20,30,40,50,60,62,64,66,68,70,72,74,76,78,80,85,90,95,100})</f>
        <v>100</v>
      </c>
      <c r="I17" s="12">
        <v>50</v>
      </c>
      <c r="J17" s="11">
        <f>LOOKUP(I17,{0,14,16,18,20,22,24,26,28,30,32,34,36,38,40,42,44,47,50,52,54},{0,10,20,30,40,50,60,62,64,66,68,70,72,74,76,78,80,85,90,95,100})</f>
        <v>90</v>
      </c>
      <c r="K17" s="12"/>
      <c r="L17" s="12"/>
      <c r="M17" s="12">
        <f t="shared" si="6"/>
        <v>90</v>
      </c>
      <c r="N17" s="12">
        <v>7.4</v>
      </c>
      <c r="O17" s="12">
        <f t="shared" si="7"/>
        <v>4.6</v>
      </c>
      <c r="P17" s="11">
        <f>LOOKUP(O17,{0,0.5,0.7,0.9,1.1,1.3,1.5,1.7,1.9,2.1,2.3,2.5,2.7,2.9,3.1,3.3,3.5,3.8,4.1,4.2,4.3},{0,10,20,30,40,50,60,62,64,66,68,70,72,74,76,78,80,85,90,95,100})</f>
        <v>100</v>
      </c>
      <c r="Q17" s="12">
        <v>3.11</v>
      </c>
      <c r="R17" s="12">
        <f t="shared" si="8"/>
        <v>6.89</v>
      </c>
      <c r="S17" s="11">
        <f>LOOKUP(R17,{0,4.72,4.82,4.92,5.42,5.52,5.62,5.67,5.72,5.77,5.82,5.87,5.92,5.97,6.42,6.47,6.52,6.59,6.66,6.72,6.78},{0,10,20,30,40,50,60,62,64,66,68,70,72,74,76,78,80,85,90,95,100})</f>
        <v>100</v>
      </c>
      <c r="T17" s="21">
        <f>3.22-Q17</f>
        <v>0.11</v>
      </c>
      <c r="U17" s="11">
        <f>LOOKUP(T17,{0,0.05,0.1,0.15,0.2,0.25,0.3,0.35,0.4,0.45,0.5},{0,1,2,3,4,5,6,7,8,9,10})</f>
        <v>2</v>
      </c>
      <c r="V17" s="12">
        <f t="shared" si="9"/>
        <v>102</v>
      </c>
      <c r="W17" s="12"/>
      <c r="X17" s="20">
        <f t="shared" si="10"/>
        <v>69</v>
      </c>
      <c r="Y17" s="20">
        <f t="shared" si="11"/>
        <v>100.571428571429</v>
      </c>
    </row>
    <row r="18" customFormat="1" ht="15.6" hidden="1" outlineLevel="2" spans="1:25">
      <c r="A18" s="12">
        <v>202</v>
      </c>
      <c r="B18" s="12">
        <v>38</v>
      </c>
      <c r="C18" s="6" t="s">
        <v>106</v>
      </c>
      <c r="D18" s="6" t="s">
        <v>53</v>
      </c>
      <c r="E18" s="12">
        <v>12</v>
      </c>
      <c r="F18" s="11">
        <f>LOOKUP(E18,{0,1,1.8,2.6,3.4,4.2,5,6.3,7.6,8.9,10.2,11.5,12.8,14.1,15.4,16.7,18,19.7,21.4,23.1,24.8},{0,10,20,30,40,50,60,62,64,66,68,70,72,74,76,78,80,85,90,95,100})</f>
        <v>70</v>
      </c>
      <c r="G18" s="12">
        <v>169</v>
      </c>
      <c r="H18" s="11">
        <f>LOOKUP(G18,{0,124,129,134,139,144,149,152,155,158,161,164,167,170,173,176,179,186,193,199,205},{0,10,20,30,40,50,60,62,64,66,68,70,72,74,76,78,80,85,90,95,100})</f>
        <v>72</v>
      </c>
      <c r="I18" s="12">
        <v>45</v>
      </c>
      <c r="J18" s="11">
        <f>LOOKUP(I18,{0,14,16,18,20,22,24,26,28,30,32,34,36,38,40,42,44,47,50,52,54},{0,10,20,30,40,50,60,62,64,66,68,70,72,74,76,78,80,85,90,95,100})</f>
        <v>80</v>
      </c>
      <c r="K18" s="12"/>
      <c r="L18" s="12"/>
      <c r="M18" s="12">
        <f t="shared" si="6"/>
        <v>80</v>
      </c>
      <c r="N18" s="12">
        <v>8.3</v>
      </c>
      <c r="O18" s="12">
        <f t="shared" si="7"/>
        <v>3.7</v>
      </c>
      <c r="P18" s="11">
        <f>LOOKUP(O18,{0,0.5,0.7,0.9,1.1,1.3,1.5,1.7,1.9,2.1,2.3,2.5,2.7,2.9,3.1,3.3,3.5,3.8,4.1,4.2,4.3},{0,10,20,30,40,50,60,62,64,66,68,70,72,74,76,78,80,85,90,95,100})</f>
        <v>80</v>
      </c>
      <c r="Q18" s="12">
        <v>3.27</v>
      </c>
      <c r="R18" s="12">
        <f t="shared" si="8"/>
        <v>6.73</v>
      </c>
      <c r="S18" s="11">
        <f>LOOKUP(R18,{0,4.72,4.82,4.92,5.42,5.52,5.62,5.67,5.72,5.77,5.82,5.87,5.92,5.97,6.42,6.47,6.52,6.59,6.66,6.72,6.78},{0,10,20,30,40,50,60,62,64,66,68,70,72,74,76,78,80,85,90,95,100})</f>
        <v>95</v>
      </c>
      <c r="T18" s="12"/>
      <c r="U18" s="12"/>
      <c r="V18" s="12">
        <f t="shared" si="9"/>
        <v>95</v>
      </c>
      <c r="W18" s="12"/>
      <c r="X18" s="20">
        <f t="shared" si="10"/>
        <v>57.2</v>
      </c>
      <c r="Y18" s="20">
        <f t="shared" si="11"/>
        <v>81.7142857142857</v>
      </c>
    </row>
    <row r="19" customFormat="1" ht="15.6" hidden="1" outlineLevel="2" spans="1:25">
      <c r="A19" s="12">
        <v>202</v>
      </c>
      <c r="B19" s="12">
        <v>39</v>
      </c>
      <c r="C19" s="6" t="s">
        <v>107</v>
      </c>
      <c r="D19" s="6" t="s">
        <v>53</v>
      </c>
      <c r="E19" s="12">
        <v>9.5</v>
      </c>
      <c r="F19" s="11">
        <f>LOOKUP(E19,{0,1,1.8,2.6,3.4,4.2,5,6.3,7.6,8.9,10.2,11.5,12.8,14.1,15.4,16.7,18,19.7,21.4,23.1,24.8},{0,10,20,30,40,50,60,62,64,66,68,70,72,74,76,78,80,85,90,95,100})</f>
        <v>66</v>
      </c>
      <c r="G19" s="12">
        <v>180</v>
      </c>
      <c r="H19" s="11">
        <f>LOOKUP(G19,{0,124,129,134,139,144,149,152,155,158,161,164,167,170,173,176,179,186,193,199,205},{0,10,20,30,40,50,60,62,64,66,68,70,72,74,76,78,80,85,90,95,100})</f>
        <v>80</v>
      </c>
      <c r="I19" s="12">
        <v>46</v>
      </c>
      <c r="J19" s="11">
        <f>LOOKUP(I19,{0,14,16,18,20,22,24,26,28,30,32,34,36,38,40,42,44,47,50,52,54},{0,10,20,30,40,50,60,62,64,66,68,70,72,74,76,78,80,85,90,95,100})</f>
        <v>80</v>
      </c>
      <c r="K19" s="12"/>
      <c r="L19" s="12"/>
      <c r="M19" s="12">
        <f t="shared" si="6"/>
        <v>80</v>
      </c>
      <c r="N19" s="12">
        <v>8.7</v>
      </c>
      <c r="O19" s="12">
        <f t="shared" si="7"/>
        <v>3.3</v>
      </c>
      <c r="P19" s="11">
        <f>LOOKUP(O19,{0,0.5,0.7,0.9,1.1,1.3,1.5,1.7,1.9,2.1,2.3,2.5,2.7,2.9,3.1,3.3,3.5,3.8,4.1,4.2,4.3},{0,10,20,30,40,50,60,62,64,66,68,70,72,74,76,78,80,85,90,95,100})</f>
        <v>78</v>
      </c>
      <c r="Q19" s="12">
        <v>3.41</v>
      </c>
      <c r="R19" s="12">
        <f t="shared" si="8"/>
        <v>6.59</v>
      </c>
      <c r="S19" s="11">
        <f>LOOKUP(R19,{0,4.72,4.82,4.92,5.42,5.52,5.62,5.67,5.72,5.77,5.82,5.87,5.92,5.97,6.42,6.47,6.52,6.59,6.66,6.72,6.78},{0,10,20,30,40,50,60,62,64,66,68,70,72,74,76,78,80,85,90,95,100})</f>
        <v>85</v>
      </c>
      <c r="T19" s="12"/>
      <c r="U19" s="12"/>
      <c r="V19" s="12">
        <f t="shared" si="9"/>
        <v>85</v>
      </c>
      <c r="W19" s="12"/>
      <c r="X19" s="20">
        <f t="shared" si="10"/>
        <v>55.2</v>
      </c>
      <c r="Y19" s="20">
        <f t="shared" si="11"/>
        <v>78.8571428571429</v>
      </c>
    </row>
    <row r="20" customFormat="1" ht="15.6" hidden="1" outlineLevel="2" spans="1:25">
      <c r="A20" s="12">
        <v>202</v>
      </c>
      <c r="B20" s="12">
        <v>40</v>
      </c>
      <c r="C20" s="6" t="s">
        <v>108</v>
      </c>
      <c r="D20" s="6" t="s">
        <v>53</v>
      </c>
      <c r="E20" s="12">
        <v>25</v>
      </c>
      <c r="F20" s="11">
        <f>LOOKUP(E20,{0,1,1.8,2.6,3.4,4.2,5,6.3,7.6,8.9,10.2,11.5,12.8,14.1,15.4,16.7,18,19.7,21.4,23.1,24.8},{0,10,20,30,40,50,60,62,64,66,68,70,72,74,76,78,80,85,90,95,100})</f>
        <v>100</v>
      </c>
      <c r="G20" s="12">
        <v>180</v>
      </c>
      <c r="H20" s="11">
        <f>LOOKUP(G20,{0,124,129,134,139,144,149,152,155,158,161,164,167,170,173,176,179,186,193,199,205},{0,10,20,30,40,50,60,62,64,66,68,70,72,74,76,78,80,85,90,95,100})</f>
        <v>80</v>
      </c>
      <c r="I20" s="12">
        <v>40</v>
      </c>
      <c r="J20" s="11">
        <f>LOOKUP(I20,{0,14,16,18,20,22,24,26,28,30,32,34,36,38,40,42,44,47,50,52,54},{0,10,20,30,40,50,60,62,64,66,68,70,72,74,76,78,80,85,90,95,100})</f>
        <v>76</v>
      </c>
      <c r="K20" s="12"/>
      <c r="L20" s="12"/>
      <c r="M20" s="12">
        <f t="shared" si="6"/>
        <v>76</v>
      </c>
      <c r="N20" s="12">
        <v>8.4</v>
      </c>
      <c r="O20" s="12">
        <f t="shared" si="7"/>
        <v>3.6</v>
      </c>
      <c r="P20" s="11">
        <f>LOOKUP(O20,{0,0.5,0.7,0.9,1.1,1.3,1.5,1.7,1.9,2.1,2.3,2.5,2.7,2.9,3.1,3.3,3.5,3.8,4.1,4.2,4.3},{0,10,20,30,40,50,60,62,64,66,68,70,72,74,76,78,80,85,90,95,100})</f>
        <v>80</v>
      </c>
      <c r="Q20" s="12">
        <v>3.4</v>
      </c>
      <c r="R20" s="12">
        <f t="shared" si="8"/>
        <v>6.6</v>
      </c>
      <c r="S20" s="11">
        <f>LOOKUP(R20,{0,4.72,4.82,4.92,5.42,5.52,5.62,5.67,5.72,5.77,5.82,5.87,5.92,5.97,6.42,6.47,6.52,6.59,6.66,6.72,6.78},{0,10,20,30,40,50,60,62,64,66,68,70,72,74,76,78,80,85,90,95,100})</f>
        <v>85</v>
      </c>
      <c r="T20" s="12"/>
      <c r="U20" s="12"/>
      <c r="V20" s="12">
        <f t="shared" si="9"/>
        <v>85</v>
      </c>
      <c r="W20" s="12"/>
      <c r="X20" s="20">
        <f t="shared" si="10"/>
        <v>58.6</v>
      </c>
      <c r="Y20" s="20">
        <f t="shared" si="11"/>
        <v>83.7142857142857</v>
      </c>
    </row>
    <row r="21" customFormat="1" ht="15.6" hidden="1" outlineLevel="2" spans="1:25">
      <c r="A21" s="12">
        <v>202</v>
      </c>
      <c r="B21" s="12">
        <v>41</v>
      </c>
      <c r="C21" s="6" t="s">
        <v>109</v>
      </c>
      <c r="D21" s="6" t="s">
        <v>53</v>
      </c>
      <c r="E21" s="12">
        <v>25</v>
      </c>
      <c r="F21" s="11">
        <f>LOOKUP(E21,{0,1,1.8,2.6,3.4,4.2,5,6.3,7.6,8.9,10.2,11.5,12.8,14.1,15.4,16.7,18,19.7,21.4,23.1,24.8},{0,10,20,30,40,50,60,62,64,66,68,70,72,74,76,78,80,85,90,95,100})</f>
        <v>100</v>
      </c>
      <c r="G21" s="12">
        <v>195</v>
      </c>
      <c r="H21" s="11">
        <f>LOOKUP(G21,{0,124,129,134,139,144,149,152,155,158,161,164,167,170,173,176,179,186,193,199,205},{0,10,20,30,40,50,60,62,64,66,68,70,72,74,76,78,80,85,90,95,100})</f>
        <v>90</v>
      </c>
      <c r="I21" s="12">
        <v>45</v>
      </c>
      <c r="J21" s="11">
        <f>LOOKUP(I21,{0,14,16,18,20,22,24,26,28,30,32,34,36,38,40,42,44,47,50,52,54},{0,10,20,30,40,50,60,62,64,66,68,70,72,74,76,78,80,85,90,95,100})</f>
        <v>80</v>
      </c>
      <c r="K21" s="12"/>
      <c r="L21" s="12"/>
      <c r="M21" s="12">
        <f t="shared" si="6"/>
        <v>80</v>
      </c>
      <c r="N21" s="12">
        <v>8.2</v>
      </c>
      <c r="O21" s="12">
        <f t="shared" si="7"/>
        <v>3.8</v>
      </c>
      <c r="P21" s="11">
        <f>LOOKUP(O21,{0,0.5,0.7,0.9,1.1,1.3,1.5,1.7,1.9,2.1,2.3,2.5,2.7,2.9,3.1,3.3,3.5,3.8,4.1,4.2,4.3},{0,10,20,30,40,50,60,62,64,66,68,70,72,74,76,78,80,85,90,95,100})</f>
        <v>85</v>
      </c>
      <c r="Q21" s="12">
        <v>3.49</v>
      </c>
      <c r="R21" s="12">
        <f t="shared" si="8"/>
        <v>6.51</v>
      </c>
      <c r="S21" s="11">
        <f>LOOKUP(R21,{0,4.72,4.82,4.92,5.42,5.52,5.62,5.67,5.72,5.77,5.82,5.87,5.92,5.97,6.42,6.47,6.52,6.59,6.66,6.72,6.78},{0,10,20,30,40,50,60,62,64,66,68,70,72,74,76,78,80,85,90,95,100})</f>
        <v>78</v>
      </c>
      <c r="T21" s="12"/>
      <c r="U21" s="12"/>
      <c r="V21" s="12">
        <f t="shared" si="9"/>
        <v>78</v>
      </c>
      <c r="W21" s="12"/>
      <c r="X21" s="20">
        <f t="shared" si="10"/>
        <v>59.6</v>
      </c>
      <c r="Y21" s="20">
        <f t="shared" si="11"/>
        <v>85.1428571428572</v>
      </c>
    </row>
    <row r="22" customFormat="1" ht="15.6" hidden="1" outlineLevel="2" spans="1:25">
      <c r="A22" s="12">
        <v>202</v>
      </c>
      <c r="B22" s="12">
        <v>42</v>
      </c>
      <c r="C22" s="6" t="s">
        <v>110</v>
      </c>
      <c r="D22" s="6" t="s">
        <v>53</v>
      </c>
      <c r="E22" s="12">
        <v>10</v>
      </c>
      <c r="F22" s="11">
        <f>LOOKUP(E22,{0,1,1.8,2.6,3.4,4.2,5,6.3,7.6,8.9,10.2,11.5,12.8,14.1,15.4,16.7,18,19.7,21.4,23.1,24.8},{0,10,20,30,40,50,60,62,64,66,68,70,72,74,76,78,80,85,90,95,100})</f>
        <v>66</v>
      </c>
      <c r="G22" s="12">
        <v>161</v>
      </c>
      <c r="H22" s="11">
        <f>LOOKUP(G22,{0,124,129,134,139,144,149,152,155,158,161,164,167,170,173,176,179,186,193,199,205},{0,10,20,30,40,50,60,62,64,66,68,70,72,74,76,78,80,85,90,95,100})</f>
        <v>68</v>
      </c>
      <c r="I22" s="12">
        <v>40</v>
      </c>
      <c r="J22" s="11">
        <f>LOOKUP(I22,{0,14,16,18,20,22,24,26,28,30,32,34,36,38,40,42,44,47,50,52,54},{0,10,20,30,40,50,60,62,64,66,68,70,72,74,76,78,80,85,90,95,100})</f>
        <v>76</v>
      </c>
      <c r="K22" s="12"/>
      <c r="L22" s="12"/>
      <c r="M22" s="12">
        <f t="shared" si="6"/>
        <v>76</v>
      </c>
      <c r="N22" s="12">
        <v>9.2</v>
      </c>
      <c r="O22" s="12">
        <f t="shared" si="7"/>
        <v>2.8</v>
      </c>
      <c r="P22" s="11">
        <f>LOOKUP(O22,{0,0.5,0.7,0.9,1.1,1.3,1.5,1.7,1.9,2.1,2.3,2.5,2.7,2.9,3.1,3.3,3.5,3.8,4.1,4.2,4.3},{0,10,20,30,40,50,60,62,64,66,68,70,72,74,76,78,80,85,90,95,100})</f>
        <v>72</v>
      </c>
      <c r="Q22" s="12">
        <v>4.08</v>
      </c>
      <c r="R22" s="12">
        <f t="shared" si="8"/>
        <v>5.92</v>
      </c>
      <c r="S22" s="11">
        <f>LOOKUP(R22,{0,4.72,4.82,4.92,5.42,5.52,5.62,5.67,5.72,5.77,5.82,5.87,5.92,5.97,6.42,6.47,6.52,6.59,6.66,6.72,6.78},{0,10,20,30,40,50,60,62,64,66,68,70,72,74,76,78,80,85,90,95,100})</f>
        <v>72</v>
      </c>
      <c r="T22" s="12"/>
      <c r="U22" s="12"/>
      <c r="V22" s="12">
        <f t="shared" si="9"/>
        <v>72</v>
      </c>
      <c r="W22" s="12"/>
      <c r="X22" s="20">
        <f t="shared" si="10"/>
        <v>49.8</v>
      </c>
      <c r="Y22" s="20">
        <f t="shared" si="11"/>
        <v>71.1428571428572</v>
      </c>
    </row>
    <row r="23" customFormat="1" ht="15.6" hidden="1" outlineLevel="2" spans="1:25">
      <c r="A23" s="12">
        <v>202</v>
      </c>
      <c r="B23" s="12">
        <v>43</v>
      </c>
      <c r="C23" s="6" t="s">
        <v>111</v>
      </c>
      <c r="D23" s="6" t="s">
        <v>53</v>
      </c>
      <c r="E23" s="12">
        <v>25.5</v>
      </c>
      <c r="F23" s="11">
        <f>LOOKUP(E23,{0,1,1.8,2.6,3.4,4.2,5,6.3,7.6,8.9,10.2,11.5,12.8,14.1,15.4,16.7,18,19.7,21.4,23.1,24.8},{0,10,20,30,40,50,60,62,64,66,68,70,72,74,76,78,80,85,90,95,100})</f>
        <v>100</v>
      </c>
      <c r="G23" s="12">
        <v>180</v>
      </c>
      <c r="H23" s="11">
        <f>LOOKUP(G23,{0,124,129,134,139,144,149,152,155,158,161,164,167,170,173,176,179,186,193,199,205},{0,10,20,30,40,50,60,62,64,66,68,70,72,74,76,78,80,85,90,95,100})</f>
        <v>80</v>
      </c>
      <c r="I23" s="12">
        <v>50</v>
      </c>
      <c r="J23" s="11">
        <f>LOOKUP(I23,{0,14,16,18,20,22,24,26,28,30,32,34,36,38,40,42,44,47,50,52,54},{0,10,20,30,40,50,60,62,64,66,68,70,72,74,76,78,80,85,90,95,100})</f>
        <v>90</v>
      </c>
      <c r="K23" s="12"/>
      <c r="L23" s="12"/>
      <c r="M23" s="12">
        <f t="shared" si="6"/>
        <v>90</v>
      </c>
      <c r="N23" s="12">
        <v>8.4</v>
      </c>
      <c r="O23" s="12">
        <f t="shared" si="7"/>
        <v>3.6</v>
      </c>
      <c r="P23" s="11">
        <f>LOOKUP(O23,{0,0.5,0.7,0.9,1.1,1.3,1.5,1.7,1.9,2.1,2.3,2.5,2.7,2.9,3.1,3.3,3.5,3.8,4.1,4.2,4.3},{0,10,20,30,40,50,60,62,64,66,68,70,72,74,76,78,80,85,90,95,100})</f>
        <v>80</v>
      </c>
      <c r="Q23" s="12">
        <v>4.19</v>
      </c>
      <c r="R23" s="12">
        <f t="shared" si="8"/>
        <v>5.81</v>
      </c>
      <c r="S23" s="11">
        <f>LOOKUP(R23,{0,4.72,4.82,4.92,5.42,5.52,5.62,5.67,5.72,5.77,5.82,5.87,5.92,5.97,6.42,6.47,6.52,6.59,6.66,6.72,6.78},{0,10,20,30,40,50,60,62,64,66,68,70,72,74,76,78,80,85,90,95,100})</f>
        <v>66</v>
      </c>
      <c r="T23" s="12"/>
      <c r="U23" s="12"/>
      <c r="V23" s="12">
        <f t="shared" si="9"/>
        <v>66</v>
      </c>
      <c r="W23" s="12"/>
      <c r="X23" s="20">
        <f t="shared" si="10"/>
        <v>56.2</v>
      </c>
      <c r="Y23" s="20">
        <f t="shared" si="11"/>
        <v>80.2857142857143</v>
      </c>
    </row>
    <row r="24" ht="15.6" outlineLevel="1" collapsed="1" spans="1:25">
      <c r="A24" s="14" t="s">
        <v>856</v>
      </c>
      <c r="B24" s="12"/>
      <c r="C24" s="6"/>
      <c r="D24" s="6"/>
      <c r="E24" s="12"/>
      <c r="F24" s="11">
        <f>SUBTOTAL(1,F13:F23)</f>
        <v>91.0909090909091</v>
      </c>
      <c r="G24" s="12"/>
      <c r="H24" s="11">
        <f>SUBTOTAL(1,H13:H23)</f>
        <v>82.6363636363636</v>
      </c>
      <c r="I24" s="12"/>
      <c r="J24" s="11">
        <f>SUBTOTAL(1,J13:J23)</f>
        <v>83.8181818181818</v>
      </c>
      <c r="K24" s="12"/>
      <c r="L24" s="12"/>
      <c r="M24" s="12">
        <f>SUBTOTAL(1,M13:M23)</f>
        <v>83.8181818181818</v>
      </c>
      <c r="N24" s="12"/>
      <c r="O24" s="12"/>
      <c r="P24" s="11">
        <f>SUBTOTAL(1,P13:P23)</f>
        <v>81.9090909090909</v>
      </c>
      <c r="Q24" s="12"/>
      <c r="R24" s="12"/>
      <c r="S24" s="11">
        <f>SUBTOTAL(1,S13:S23)</f>
        <v>86</v>
      </c>
      <c r="T24" s="12"/>
      <c r="U24" s="12"/>
      <c r="V24" s="12">
        <f>SUBTOTAL(1,V13:V23)</f>
        <v>86.2727272727273</v>
      </c>
      <c r="W24" s="12"/>
      <c r="X24" s="20">
        <f>SUBTOTAL(1,X13:X23)</f>
        <v>59.3363636363636</v>
      </c>
      <c r="Y24" s="20">
        <f>SUBTOTAL(1,Y13:Y23)</f>
        <v>85.038961038961</v>
      </c>
    </row>
    <row r="25" customFormat="1" ht="15.6" hidden="1" outlineLevel="2" spans="1:25">
      <c r="A25" s="12">
        <v>203</v>
      </c>
      <c r="B25" s="12">
        <v>34</v>
      </c>
      <c r="C25" s="13" t="s">
        <v>150</v>
      </c>
      <c r="D25" s="6" t="s">
        <v>53</v>
      </c>
      <c r="E25" s="12">
        <v>25</v>
      </c>
      <c r="F25" s="11">
        <f>LOOKUP(E25,{0,1,1.8,2.6,3.4,4.2,5,6.3,7.6,8.9,10.2,11.5,12.8,14.1,15.4,16.7,18,19.7,21.4,23.1,24.8},{0,10,20,30,40,50,60,62,64,66,68,70,72,74,76,78,80,85,90,95,100})</f>
        <v>100</v>
      </c>
      <c r="G25" s="12">
        <v>205</v>
      </c>
      <c r="H25" s="11">
        <f>LOOKUP(G25,{0,124,129,134,139,144,149,152,155,158,161,164,167,170,173,176,179,186,193,199,205},{0,10,20,30,40,50,60,62,64,66,68,70,72,74,76,78,80,85,90,95,100})</f>
        <v>100</v>
      </c>
      <c r="I25" s="12">
        <v>58</v>
      </c>
      <c r="J25" s="11">
        <f>LOOKUP(I25,{0,14,16,18,20,22,24,26,28,30,32,34,36,38,40,42,44,47,50,52,54},{0,10,20,30,40,50,60,62,64,66,68,70,72,74,76,78,80,85,90,95,100})</f>
        <v>100</v>
      </c>
      <c r="K25" s="12">
        <f>I25-54</f>
        <v>4</v>
      </c>
      <c r="L25" s="11">
        <f>LOOKUP(K25,{0,2,4,6,7,8,9,10,11,12,13},{0,1,2,3,4,5,6,7,8,9,10})</f>
        <v>2</v>
      </c>
      <c r="M25" s="12">
        <f t="shared" ref="M25:M31" si="12">J25+L25</f>
        <v>102</v>
      </c>
      <c r="N25" s="12">
        <v>8.3</v>
      </c>
      <c r="O25" s="12">
        <f t="shared" ref="O25:O31" si="13">12-N25</f>
        <v>3.7</v>
      </c>
      <c r="P25" s="11">
        <f>LOOKUP(O25,{0,0.5,0.7,0.9,1.1,1.3,1.5,1.7,1.9,2.1,2.3,2.5,2.7,2.9,3.1,3.3,3.5,3.8,4.1,4.2,4.3},{0,10,20,30,40,50,60,62,64,66,68,70,72,74,76,78,80,85,90,95,100})</f>
        <v>80</v>
      </c>
      <c r="Q25" s="12">
        <v>3.14</v>
      </c>
      <c r="R25" s="12">
        <f t="shared" ref="R25:R28" si="14">10-Q25</f>
        <v>6.86</v>
      </c>
      <c r="S25" s="11">
        <f>LOOKUP(R25,{0,4.72,4.82,4.92,5.42,5.52,5.62,5.67,5.72,5.77,5.82,5.87,5.92,5.97,6.42,6.47,6.52,6.59,6.66,6.72,6.78},{0,10,20,30,40,50,60,62,64,66,68,70,72,74,76,78,80,85,90,95,100})</f>
        <v>100</v>
      </c>
      <c r="T25" s="21">
        <f>3.22-Q25</f>
        <v>0.0800000000000001</v>
      </c>
      <c r="U25" s="11">
        <f>LOOKUP(T25,{0,0.05,0.1,0.15,0.2,0.25,0.3,0.35,0.4,0.45,0.5},{0,1,2,3,4,5,6,7,8,9,10})</f>
        <v>1</v>
      </c>
      <c r="V25" s="12">
        <f t="shared" ref="V25:V28" si="15">S25+U25</f>
        <v>101</v>
      </c>
      <c r="W25" s="12"/>
      <c r="X25" s="20">
        <f t="shared" ref="X25:X34" si="16">F25*0.1+H25*0.1+J25*0.1+P25*0.2+S25*0.2</f>
        <v>66</v>
      </c>
      <c r="Y25" s="20">
        <f t="shared" ref="Y25:Y31" si="17">X25/0.7+L25+U25</f>
        <v>97.2857142857143</v>
      </c>
    </row>
    <row r="26" customFormat="1" ht="15.6" hidden="1" outlineLevel="2" spans="1:25">
      <c r="A26" s="12">
        <v>203</v>
      </c>
      <c r="B26" s="12">
        <v>35</v>
      </c>
      <c r="C26" s="6" t="s">
        <v>151</v>
      </c>
      <c r="D26" s="6" t="s">
        <v>53</v>
      </c>
      <c r="E26" s="12"/>
      <c r="F26" s="11"/>
      <c r="G26" s="12"/>
      <c r="H26" s="11"/>
      <c r="I26" s="12"/>
      <c r="J26" s="11"/>
      <c r="K26" s="12"/>
      <c r="L26" s="12"/>
      <c r="M26" s="12"/>
      <c r="N26" s="12"/>
      <c r="O26" s="12"/>
      <c r="P26" s="11"/>
      <c r="Q26" s="12"/>
      <c r="R26" s="12"/>
      <c r="S26" s="11"/>
      <c r="T26" s="21"/>
      <c r="U26" s="11"/>
      <c r="V26" s="12"/>
      <c r="W26" s="12" t="s">
        <v>14</v>
      </c>
      <c r="X26" s="20">
        <f t="shared" si="16"/>
        <v>0</v>
      </c>
      <c r="Y26" s="20">
        <v>50</v>
      </c>
    </row>
    <row r="27" customFormat="1" ht="15.6" hidden="1" outlineLevel="2" spans="1:25">
      <c r="A27" s="12">
        <v>203</v>
      </c>
      <c r="B27" s="12">
        <v>36</v>
      </c>
      <c r="C27" s="6" t="s">
        <v>152</v>
      </c>
      <c r="D27" s="6" t="s">
        <v>53</v>
      </c>
      <c r="E27" s="12">
        <v>21</v>
      </c>
      <c r="F27" s="11">
        <f>LOOKUP(E27,{0,1,1.8,2.6,3.4,4.2,5,6.3,7.6,8.9,10.2,11.5,12.8,14.1,15.4,16.7,18,19.7,21.4,23.1,24.8},{0,10,20,30,40,50,60,62,64,66,68,70,72,74,76,78,80,85,90,95,100})</f>
        <v>85</v>
      </c>
      <c r="G27" s="12">
        <v>311</v>
      </c>
      <c r="H27" s="11">
        <f>LOOKUP(G27,{0,124,129,134,139,144,149,152,155,158,161,164,167,170,173,176,179,186,193,199,205},{0,10,20,30,40,50,60,62,64,66,68,70,72,74,76,78,80,85,90,95,100})</f>
        <v>100</v>
      </c>
      <c r="I27" s="12">
        <v>50</v>
      </c>
      <c r="J27" s="11">
        <f>LOOKUP(I27,{0,14,16,18,20,22,24,26,28,30,32,34,36,38,40,42,44,47,50,52,54},{0,10,20,30,40,50,60,62,64,66,68,70,72,74,76,78,80,85,90,95,100})</f>
        <v>90</v>
      </c>
      <c r="K27" s="12"/>
      <c r="L27" s="12"/>
      <c r="M27" s="12">
        <f t="shared" si="12"/>
        <v>90</v>
      </c>
      <c r="N27" s="12">
        <v>9</v>
      </c>
      <c r="O27" s="12">
        <f t="shared" si="13"/>
        <v>3</v>
      </c>
      <c r="P27" s="11">
        <f>LOOKUP(O27,{0,0.5,0.7,0.9,1.1,1.3,1.5,1.7,1.9,2.1,2.3,2.5,2.7,2.9,3.1,3.3,3.5,3.8,4.1,4.2,4.3},{0,10,20,30,40,50,60,62,64,66,68,70,72,74,76,78,80,85,90,95,100})</f>
        <v>74</v>
      </c>
      <c r="Q27" s="12">
        <v>4.1</v>
      </c>
      <c r="R27" s="12">
        <f t="shared" si="14"/>
        <v>5.9</v>
      </c>
      <c r="S27" s="11">
        <f>LOOKUP(R27,{0,4.72,4.82,4.92,5.42,5.52,5.62,5.67,5.72,5.77,5.82,5.87,5.92,5.97,6.42,6.47,6.52,6.59,6.66,6.72,6.78},{0,10,20,30,40,50,60,62,64,66,68,70,72,74,76,78,80,85,90,95,100})</f>
        <v>70</v>
      </c>
      <c r="T27" s="12"/>
      <c r="U27" s="12"/>
      <c r="V27" s="12">
        <f t="shared" si="15"/>
        <v>70</v>
      </c>
      <c r="W27" s="12"/>
      <c r="X27" s="20">
        <f t="shared" si="16"/>
        <v>56.3</v>
      </c>
      <c r="Y27" s="20">
        <f t="shared" si="17"/>
        <v>80.4285714285714</v>
      </c>
    </row>
    <row r="28" customFormat="1" ht="15.6" hidden="1" outlineLevel="2" spans="1:25">
      <c r="A28" s="12">
        <v>203</v>
      </c>
      <c r="B28" s="12">
        <v>37</v>
      </c>
      <c r="C28" s="6" t="s">
        <v>153</v>
      </c>
      <c r="D28" s="6" t="s">
        <v>53</v>
      </c>
      <c r="E28" s="12">
        <v>28</v>
      </c>
      <c r="F28" s="11">
        <f>LOOKUP(E28,{0,1,1.8,2.6,3.4,4.2,5,6.3,7.6,8.9,10.2,11.5,12.8,14.1,15.4,16.7,18,19.7,21.4,23.1,24.8},{0,10,20,30,40,50,60,62,64,66,68,70,72,74,76,78,80,85,90,95,100})</f>
        <v>100</v>
      </c>
      <c r="G28" s="12">
        <v>207</v>
      </c>
      <c r="H28" s="11">
        <f>LOOKUP(G28,{0,124,129,134,139,144,149,152,155,158,161,164,167,170,173,176,179,186,193,199,205},{0,10,20,30,40,50,60,62,64,66,68,70,72,74,76,78,80,85,90,95,100})</f>
        <v>100</v>
      </c>
      <c r="I28" s="12">
        <v>42</v>
      </c>
      <c r="J28" s="11">
        <f>LOOKUP(I28,{0,14,16,18,20,22,24,26,28,30,32,34,36,38,40,42,44,47,50,52,54},{0,10,20,30,40,50,60,62,64,66,68,70,72,74,76,78,80,85,90,95,100})</f>
        <v>78</v>
      </c>
      <c r="K28" s="12"/>
      <c r="L28" s="12"/>
      <c r="M28" s="12">
        <f t="shared" si="12"/>
        <v>78</v>
      </c>
      <c r="N28" s="12">
        <v>7.9</v>
      </c>
      <c r="O28" s="12">
        <f t="shared" si="13"/>
        <v>4.1</v>
      </c>
      <c r="P28" s="11">
        <f>LOOKUP(O28,{0,0.5,0.7,0.9,1.1,1.3,1.5,1.7,1.9,2.1,2.3,2.5,2.7,2.9,3.1,3.3,3.5,3.8,4.1,4.2,4.3},{0,10,20,30,40,50,60,62,64,66,68,70,72,74,76,78,80,85,90,95,100})</f>
        <v>90</v>
      </c>
      <c r="Q28" s="12">
        <v>3.13</v>
      </c>
      <c r="R28" s="12">
        <f t="shared" si="14"/>
        <v>6.87</v>
      </c>
      <c r="S28" s="11">
        <f>LOOKUP(R28,{0,4.72,4.82,4.92,5.42,5.52,5.62,5.67,5.72,5.77,5.82,5.87,5.92,5.97,6.42,6.47,6.52,6.59,6.66,6.72,6.78},{0,10,20,30,40,50,60,62,64,66,68,70,72,74,76,78,80,85,90,95,100})</f>
        <v>100</v>
      </c>
      <c r="T28" s="21">
        <f>3.22-Q28</f>
        <v>0.0900000000000003</v>
      </c>
      <c r="U28" s="11">
        <f>LOOKUP(T28,{0,0.05,0.1,0.15,0.2,0.25,0.3,0.35,0.4,0.45,0.5},{0,1,2,3,4,5,6,7,8,9,10})</f>
        <v>1</v>
      </c>
      <c r="V28" s="12">
        <f t="shared" si="15"/>
        <v>101</v>
      </c>
      <c r="W28" s="12"/>
      <c r="X28" s="20">
        <f t="shared" si="16"/>
        <v>65.8</v>
      </c>
      <c r="Y28" s="20">
        <f t="shared" si="17"/>
        <v>95</v>
      </c>
    </row>
    <row r="29" s="1" customFormat="1" ht="15.6" hidden="1" outlineLevel="2" spans="1:25">
      <c r="A29" s="12">
        <v>203</v>
      </c>
      <c r="B29" s="12">
        <v>38</v>
      </c>
      <c r="C29" s="6" t="s">
        <v>154</v>
      </c>
      <c r="D29" s="6" t="s">
        <v>53</v>
      </c>
      <c r="E29" s="12">
        <v>12</v>
      </c>
      <c r="F29" s="11">
        <f>LOOKUP(E29,{0,1,1.8,2.6,3.4,4.2,5,6.3,7.6,8.9,10.2,11.5,12.8,14.1,15.4,16.7,18,19.7,21.4,23.1,24.8},{0,10,20,30,40,50,60,62,64,66,68,70,72,74,76,78,80,85,90,95,100})</f>
        <v>70</v>
      </c>
      <c r="G29" s="12">
        <v>182</v>
      </c>
      <c r="H29" s="11">
        <f>LOOKUP(G29,{0,124,129,134,139,144,149,152,155,158,161,164,167,170,173,176,179,186,193,199,205},{0,10,20,30,40,50,60,62,64,66,68,70,72,74,76,78,80,85,90,95,100})</f>
        <v>80</v>
      </c>
      <c r="I29" s="12">
        <v>43</v>
      </c>
      <c r="J29" s="11">
        <f>LOOKUP(I29,{0,14,16,18,20,22,24,26,28,30,32,34,36,38,40,42,44,47,50,52,54},{0,10,20,30,40,50,60,62,64,66,68,70,72,74,76,78,80,85,90,95,100})</f>
        <v>78</v>
      </c>
      <c r="K29" s="12"/>
      <c r="L29" s="15"/>
      <c r="M29" s="12">
        <f t="shared" si="12"/>
        <v>78</v>
      </c>
      <c r="N29" s="12">
        <v>8.3</v>
      </c>
      <c r="O29" s="12">
        <f t="shared" si="13"/>
        <v>3.7</v>
      </c>
      <c r="P29" s="11">
        <f>LOOKUP(O29,{0,0.5,0.7,0.9,1.1,1.3,1.5,1.7,1.9,2.1,2.3,2.5,2.7,2.9,3.1,3.3,3.5,3.8,4.1,4.2,4.3},{0,10,20,30,40,50,60,62,64,66,68,70,72,74,76,78,80,85,90,95,100})</f>
        <v>80</v>
      </c>
      <c r="Q29" s="12"/>
      <c r="R29" s="12"/>
      <c r="S29" s="11"/>
      <c r="T29" s="21"/>
      <c r="U29" s="11"/>
      <c r="V29" s="12"/>
      <c r="W29" s="12"/>
      <c r="X29" s="20">
        <f t="shared" si="16"/>
        <v>38.8</v>
      </c>
      <c r="Y29" s="20">
        <f t="shared" si="17"/>
        <v>55.4285714285714</v>
      </c>
    </row>
    <row r="30" ht="15.6" hidden="1" outlineLevel="2" spans="1:25">
      <c r="A30" s="12">
        <v>203</v>
      </c>
      <c r="B30" s="12">
        <v>39</v>
      </c>
      <c r="C30" s="6" t="s">
        <v>155</v>
      </c>
      <c r="D30" s="6" t="s">
        <v>53</v>
      </c>
      <c r="E30" s="12">
        <v>31</v>
      </c>
      <c r="F30" s="11">
        <f>LOOKUP(E30,{0,1,1.8,2.6,3.4,4.2,5,6.3,7.6,8.9,10.2,11.5,12.8,14.1,15.4,16.7,18,19.7,21.4,23.1,24.8},{0,10,20,30,40,50,60,62,64,66,68,70,72,74,76,78,80,85,90,95,100})</f>
        <v>100</v>
      </c>
      <c r="G30" s="12">
        <v>188</v>
      </c>
      <c r="H30" s="11">
        <f>LOOKUP(G30,{0,124,129,134,139,144,149,152,155,158,161,164,167,170,173,176,179,186,193,199,205},{0,10,20,30,40,50,60,62,64,66,68,70,72,74,76,78,80,85,90,95,100})</f>
        <v>85</v>
      </c>
      <c r="I30" s="12">
        <v>45</v>
      </c>
      <c r="J30" s="11">
        <f>LOOKUP(I30,{0,14,16,18,20,22,24,26,28,30,32,34,36,38,40,42,44,47,50,52,54},{0,10,20,30,40,50,60,62,64,66,68,70,72,74,76,78,80,85,90,95,100})</f>
        <v>80</v>
      </c>
      <c r="K30" s="12"/>
      <c r="L30" s="12"/>
      <c r="M30" s="12">
        <f t="shared" si="12"/>
        <v>80</v>
      </c>
      <c r="N30" s="12">
        <v>8.4</v>
      </c>
      <c r="O30" s="12">
        <f t="shared" si="13"/>
        <v>3.6</v>
      </c>
      <c r="P30" s="11">
        <f>LOOKUP(O30,{0,0.5,0.7,0.9,1.1,1.3,1.5,1.7,1.9,2.1,2.3,2.5,2.7,2.9,3.1,3.3,3.5,3.8,4.1,4.2,4.3},{0,10,20,30,40,50,60,62,64,66,68,70,72,74,76,78,80,85,90,95,100})</f>
        <v>80</v>
      </c>
      <c r="Q30" s="12">
        <v>3.41</v>
      </c>
      <c r="R30" s="12">
        <f t="shared" ref="R30:R34" si="18">10-Q30</f>
        <v>6.59</v>
      </c>
      <c r="S30" s="11">
        <f>LOOKUP(R30,{0,4.72,4.82,4.92,5.42,5.52,5.62,5.67,5.72,5.77,5.82,5.87,5.92,5.97,6.42,6.47,6.52,6.59,6.66,6.72,6.78},{0,10,20,30,40,50,60,62,64,66,68,70,72,74,76,78,80,85,90,95,100})</f>
        <v>85</v>
      </c>
      <c r="T30" s="12"/>
      <c r="U30" s="12"/>
      <c r="V30" s="12">
        <f t="shared" ref="V30:V34" si="19">S30+U30</f>
        <v>85</v>
      </c>
      <c r="W30" s="12"/>
      <c r="X30" s="20">
        <f t="shared" si="16"/>
        <v>59.5</v>
      </c>
      <c r="Y30" s="20">
        <f t="shared" si="17"/>
        <v>85</v>
      </c>
    </row>
    <row r="31" ht="15.6" hidden="1" outlineLevel="2" spans="1:25">
      <c r="A31" s="12">
        <v>203</v>
      </c>
      <c r="B31" s="12">
        <v>40</v>
      </c>
      <c r="C31" s="6" t="s">
        <v>156</v>
      </c>
      <c r="D31" s="6" t="s">
        <v>53</v>
      </c>
      <c r="E31" s="12">
        <v>15</v>
      </c>
      <c r="F31" s="11">
        <f>LOOKUP(E31,{0,1,1.8,2.6,3.4,4.2,5,6.3,7.6,8.9,10.2,11.5,12.8,14.1,15.4,16.7,18,19.7,21.4,23.1,24.8},{0,10,20,30,40,50,60,62,64,66,68,70,72,74,76,78,80,85,90,95,100})</f>
        <v>74</v>
      </c>
      <c r="G31" s="12">
        <v>162</v>
      </c>
      <c r="H31" s="11">
        <f>LOOKUP(G31,{0,124,129,134,139,144,149,152,155,158,161,164,167,170,173,176,179,186,193,199,205},{0,10,20,30,40,50,60,62,64,66,68,70,72,74,76,78,80,85,90,95,100})</f>
        <v>68</v>
      </c>
      <c r="I31" s="12">
        <v>43</v>
      </c>
      <c r="J31" s="11">
        <f>LOOKUP(I31,{0,14,16,18,20,22,24,26,28,30,32,34,36,38,40,42,44,47,50,52,54},{0,10,20,30,40,50,60,62,64,66,68,70,72,74,76,78,80,85,90,95,100})</f>
        <v>78</v>
      </c>
      <c r="K31" s="12"/>
      <c r="L31" s="12"/>
      <c r="M31" s="12">
        <f t="shared" si="12"/>
        <v>78</v>
      </c>
      <c r="N31" s="12">
        <v>10</v>
      </c>
      <c r="O31" s="12">
        <f t="shared" si="13"/>
        <v>2</v>
      </c>
      <c r="P31" s="11">
        <f>LOOKUP(O31,{0,0.5,0.7,0.9,1.1,1.3,1.5,1.7,1.9,2.1,2.3,2.5,2.7,2.9,3.1,3.3,3.5,3.8,4.1,4.2,4.3},{0,10,20,30,40,50,60,62,64,66,68,70,72,74,76,78,80,85,90,95,100})</f>
        <v>64</v>
      </c>
      <c r="Q31" s="12">
        <v>5.1</v>
      </c>
      <c r="R31" s="12">
        <f t="shared" si="18"/>
        <v>4.9</v>
      </c>
      <c r="S31" s="11">
        <f>LOOKUP(R31,{0,4.72,4.82,4.92,5.42,5.52,5.62,5.67,5.72,5.77,5.82,5.87,5.92,5.97,6.42,6.47,6.52,6.59,6.66,6.72,6.78},{0,10,20,30,40,50,60,62,64,66,68,70,72,74,76,78,80,85,90,95,100})</f>
        <v>20</v>
      </c>
      <c r="T31" s="12"/>
      <c r="U31" s="12"/>
      <c r="V31" s="12">
        <f t="shared" si="19"/>
        <v>20</v>
      </c>
      <c r="W31" s="12"/>
      <c r="X31" s="20">
        <f t="shared" si="16"/>
        <v>38.8</v>
      </c>
      <c r="Y31" s="20">
        <f t="shared" si="17"/>
        <v>55.4285714285714</v>
      </c>
    </row>
    <row r="32" ht="15.6" hidden="1" outlineLevel="2" spans="1:25">
      <c r="A32" s="12">
        <v>203</v>
      </c>
      <c r="B32" s="12">
        <v>41</v>
      </c>
      <c r="C32" s="6" t="s">
        <v>157</v>
      </c>
      <c r="D32" s="6" t="s">
        <v>53</v>
      </c>
      <c r="E32" s="12"/>
      <c r="F32" s="11"/>
      <c r="G32" s="12"/>
      <c r="H32" s="11"/>
      <c r="I32" s="12"/>
      <c r="J32" s="11"/>
      <c r="K32" s="12"/>
      <c r="L32" s="12"/>
      <c r="M32" s="12"/>
      <c r="N32" s="12"/>
      <c r="O32" s="12"/>
      <c r="P32" s="11"/>
      <c r="Q32" s="12"/>
      <c r="R32" s="12"/>
      <c r="S32" s="11"/>
      <c r="T32" s="21"/>
      <c r="U32" s="11"/>
      <c r="V32" s="12"/>
      <c r="W32" s="12" t="s">
        <v>14</v>
      </c>
      <c r="X32" s="20">
        <f t="shared" si="16"/>
        <v>0</v>
      </c>
      <c r="Y32" s="20">
        <v>50</v>
      </c>
    </row>
    <row r="33" ht="15.6" hidden="1" outlineLevel="2" spans="1:25">
      <c r="A33" s="12">
        <v>203</v>
      </c>
      <c r="B33" s="12">
        <v>42</v>
      </c>
      <c r="C33" s="6" t="s">
        <v>158</v>
      </c>
      <c r="D33" s="6" t="s">
        <v>53</v>
      </c>
      <c r="E33" s="12">
        <v>26</v>
      </c>
      <c r="F33" s="11">
        <f>LOOKUP(E33,{0,1,1.8,2.6,3.4,4.2,5,6.3,7.6,8.9,10.2,11.5,12.8,14.1,15.4,16.7,18,19.7,21.4,23.1,24.8},{0,10,20,30,40,50,60,62,64,66,68,70,72,74,76,78,80,85,90,95,100})</f>
        <v>100</v>
      </c>
      <c r="G33" s="12">
        <v>196</v>
      </c>
      <c r="H33" s="11">
        <f>LOOKUP(G33,{0,124,129,134,139,144,149,152,155,158,161,164,167,170,173,176,179,186,193,199,205},{0,10,20,30,40,50,60,62,64,66,68,70,72,74,76,78,80,85,90,95,100})</f>
        <v>90</v>
      </c>
      <c r="I33" s="12">
        <v>55</v>
      </c>
      <c r="J33" s="11">
        <f>LOOKUP(I33,{0,14,16,18,20,22,24,26,28,30,32,34,36,38,40,42,44,47,50,52,54},{0,10,20,30,40,50,60,62,64,66,68,70,72,74,76,78,80,85,90,95,100})</f>
        <v>100</v>
      </c>
      <c r="K33" s="12">
        <f>I33-54</f>
        <v>1</v>
      </c>
      <c r="L33" s="11">
        <f>LOOKUP(K33,{0,2,4,6,7,8,9,10,11,12,13},{0,1,2,3,4,5,6,7,8,9,10})</f>
        <v>0</v>
      </c>
      <c r="M33" s="12">
        <f>J33+L33</f>
        <v>100</v>
      </c>
      <c r="N33" s="12">
        <v>8</v>
      </c>
      <c r="O33" s="12">
        <f>12-N33</f>
        <v>4</v>
      </c>
      <c r="P33" s="11">
        <f>LOOKUP(O33,{0,0.5,0.7,0.9,1.1,1.3,1.5,1.7,1.9,2.1,2.3,2.5,2.7,2.9,3.1,3.3,3.5,3.8,4.1,4.2,4.3},{0,10,20,30,40,50,60,62,64,66,68,70,72,74,76,78,80,85,90,95,100})</f>
        <v>85</v>
      </c>
      <c r="Q33" s="12">
        <v>3.17</v>
      </c>
      <c r="R33" s="12">
        <f t="shared" si="18"/>
        <v>6.83</v>
      </c>
      <c r="S33" s="11">
        <f>LOOKUP(R33,{0,4.72,4.82,4.92,5.42,5.52,5.62,5.67,5.72,5.77,5.82,5.87,5.92,5.97,6.42,6.47,6.52,6.59,6.66,6.72,6.78},{0,10,20,30,40,50,60,62,64,66,68,70,72,74,76,78,80,85,90,95,100})</f>
        <v>100</v>
      </c>
      <c r="T33" s="21">
        <f>3.22-Q33</f>
        <v>0.0500000000000003</v>
      </c>
      <c r="U33" s="11">
        <f>LOOKUP(T33,{0,0.05,0.1,0.15,0.2,0.25,0.3,0.35,0.4,0.45,0.5},{0,1,2,3,4,5,6,7,8,9,10})</f>
        <v>1</v>
      </c>
      <c r="V33" s="12">
        <f t="shared" si="19"/>
        <v>101</v>
      </c>
      <c r="W33" s="12"/>
      <c r="X33" s="20">
        <f t="shared" si="16"/>
        <v>66</v>
      </c>
      <c r="Y33" s="20">
        <f>X33/0.7+L33+U33</f>
        <v>95.2857142857143</v>
      </c>
    </row>
    <row r="34" ht="15.6" hidden="1" outlineLevel="2" spans="1:25">
      <c r="A34" s="12">
        <v>203</v>
      </c>
      <c r="B34" s="12">
        <v>43</v>
      </c>
      <c r="C34" s="6" t="s">
        <v>159</v>
      </c>
      <c r="D34" s="6" t="s">
        <v>53</v>
      </c>
      <c r="E34" s="12">
        <v>29</v>
      </c>
      <c r="F34" s="11">
        <f>LOOKUP(E34,{0,1,1.8,2.6,3.4,4.2,5,6.3,7.6,8.9,10.2,11.5,12.8,14.1,15.4,16.7,18,19.7,21.4,23.1,24.8},{0,10,20,30,40,50,60,62,64,66,68,70,72,74,76,78,80,85,90,95,100})</f>
        <v>100</v>
      </c>
      <c r="G34" s="12">
        <v>175</v>
      </c>
      <c r="H34" s="11">
        <f>LOOKUP(G34,{0,124,129,134,139,144,149,152,155,158,161,164,167,170,173,176,179,186,193,199,205},{0,10,20,30,40,50,60,62,64,66,68,70,72,74,76,78,80,85,90,95,100})</f>
        <v>76</v>
      </c>
      <c r="I34" s="12">
        <v>39</v>
      </c>
      <c r="J34" s="11">
        <f>LOOKUP(I34,{0,14,16,18,20,22,24,26,28,30,32,34,36,38,40,42,44,47,50,52,54},{0,10,20,30,40,50,60,62,64,66,68,70,72,74,76,78,80,85,90,95,100})</f>
        <v>74</v>
      </c>
      <c r="K34" s="12"/>
      <c r="L34" s="12"/>
      <c r="M34" s="12">
        <f>J34+L34</f>
        <v>74</v>
      </c>
      <c r="N34" s="12">
        <v>9.1</v>
      </c>
      <c r="O34" s="12">
        <f>12-N34</f>
        <v>2.9</v>
      </c>
      <c r="P34" s="11">
        <f>LOOKUP(O34,{0,0.5,0.7,0.9,1.1,1.3,1.5,1.7,1.9,2.1,2.3,2.5,2.7,2.9,3.1,3.3,3.5,3.8,4.1,4.2,4.3},{0,10,20,30,40,50,60,62,64,66,68,70,72,74,76,78,80,85,90,95,100})</f>
        <v>74</v>
      </c>
      <c r="Q34" s="12">
        <v>3.57</v>
      </c>
      <c r="R34" s="12">
        <f t="shared" si="18"/>
        <v>6.43</v>
      </c>
      <c r="S34" s="11">
        <f>LOOKUP(R34,{0,4.72,4.82,4.92,5.42,5.52,5.62,5.67,5.72,5.77,5.82,5.87,5.92,5.97,6.42,6.47,6.52,6.59,6.66,6.72,6.78},{0,10,20,30,40,50,60,62,64,66,68,70,72,74,76,78,80,85,90,95,100})</f>
        <v>76</v>
      </c>
      <c r="T34" s="12"/>
      <c r="U34" s="12"/>
      <c r="V34" s="12">
        <f t="shared" si="19"/>
        <v>76</v>
      </c>
      <c r="W34" s="12"/>
      <c r="X34" s="20">
        <f t="shared" si="16"/>
        <v>55</v>
      </c>
      <c r="Y34" s="20">
        <f>X34/0.7+L34+U34</f>
        <v>78.5714285714286</v>
      </c>
    </row>
    <row r="35" ht="15.6" outlineLevel="1" collapsed="1" spans="1:25">
      <c r="A35" s="14" t="s">
        <v>857</v>
      </c>
      <c r="B35" s="12"/>
      <c r="C35" s="6"/>
      <c r="D35" s="6"/>
      <c r="E35" s="12"/>
      <c r="F35" s="11">
        <f>SUBTOTAL(1,F25:F34)</f>
        <v>91.125</v>
      </c>
      <c r="G35" s="12"/>
      <c r="H35" s="11">
        <f>SUBTOTAL(1,H25:H34)</f>
        <v>87.375</v>
      </c>
      <c r="I35" s="12"/>
      <c r="J35" s="11">
        <f>SUBTOTAL(1,J25:J34)</f>
        <v>84.75</v>
      </c>
      <c r="K35" s="12"/>
      <c r="L35" s="12"/>
      <c r="M35" s="12">
        <f>SUBTOTAL(1,M25:M34)</f>
        <v>85</v>
      </c>
      <c r="N35" s="12"/>
      <c r="O35" s="12"/>
      <c r="P35" s="11">
        <f>SUBTOTAL(1,P25:P34)</f>
        <v>78.375</v>
      </c>
      <c r="Q35" s="12"/>
      <c r="R35" s="12"/>
      <c r="S35" s="11">
        <f>SUBTOTAL(1,S25:S34)</f>
        <v>78.7142857142857</v>
      </c>
      <c r="T35" s="12"/>
      <c r="U35" s="12"/>
      <c r="V35" s="12">
        <f>SUBTOTAL(1,V25:V34)</f>
        <v>79.1428571428571</v>
      </c>
      <c r="W35" s="12"/>
      <c r="X35" s="20">
        <f>SUBTOTAL(1,X25:X34)</f>
        <v>44.62</v>
      </c>
      <c r="Y35" s="20">
        <f>SUBTOTAL(1,Y25:Y34)</f>
        <v>74.2428571428571</v>
      </c>
    </row>
    <row r="36" s="1" customFormat="1" ht="15.6" hidden="1" outlineLevel="2" spans="1:25">
      <c r="A36" s="12">
        <v>204</v>
      </c>
      <c r="B36" s="12">
        <v>8</v>
      </c>
      <c r="C36" s="13" t="s">
        <v>169</v>
      </c>
      <c r="D36" s="6" t="s">
        <v>53</v>
      </c>
      <c r="E36" s="12">
        <v>17</v>
      </c>
      <c r="F36" s="11">
        <f>LOOKUP(E36,{0,1,1.8,2.6,3.4,4.2,5,6.3,7.6,8.9,10.2,11.5,12.8,14.1,15.4,16.7,18,19.7,21.4,23.1,24.8},{0,10,20,30,40,50,60,62,64,66,68,70,72,74,76,78,80,85,90,95,100})</f>
        <v>78</v>
      </c>
      <c r="G36" s="12">
        <v>192</v>
      </c>
      <c r="H36" s="11">
        <f>LOOKUP(G36,{0,124,129,134,139,144,149,152,155,158,161,164,167,170,173,176,179,186,193,199,205},{0,10,20,30,40,50,60,62,64,66,68,70,72,74,76,78,80,85,90,95,100})</f>
        <v>85</v>
      </c>
      <c r="I36" s="12">
        <v>42</v>
      </c>
      <c r="J36" s="11">
        <f>LOOKUP(I36,{0,14,16,18,20,22,24,26,28,30,32,34,36,38,40,42,44,47,50,52,54},{0,10,20,30,40,50,60,62,64,66,68,70,72,74,76,78,80,85,90,95,100})</f>
        <v>78</v>
      </c>
      <c r="K36" s="12"/>
      <c r="L36" s="12"/>
      <c r="M36" s="12">
        <f t="shared" ref="M36:M41" si="20">J36+L36</f>
        <v>78</v>
      </c>
      <c r="N36" s="12">
        <v>9</v>
      </c>
      <c r="O36" s="12">
        <f t="shared" ref="O36:O41" si="21">12-N36</f>
        <v>3</v>
      </c>
      <c r="P36" s="11">
        <f>LOOKUP(O36,{0,0.5,0.7,0.9,1.1,1.3,1.5,1.7,1.9,2.1,2.3,2.5,2.7,2.9,3.1,3.3,3.5,3.8,4.1,4.2,4.3},{0,10,20,30,40,50,60,62,64,66,68,70,72,74,76,78,80,85,90,95,100})</f>
        <v>74</v>
      </c>
      <c r="Q36" s="12">
        <v>3.56</v>
      </c>
      <c r="R36" s="12">
        <f t="shared" ref="R36:R41" si="22">10-Q36</f>
        <v>6.44</v>
      </c>
      <c r="S36" s="11">
        <f>LOOKUP(R36,{0,4.72,4.82,4.92,5.42,5.52,5.62,5.67,5.72,5.77,5.82,5.87,5.92,5.97,6.42,6.47,6.52,6.59,6.66,6.72,6.78},{0,10,20,30,40,50,60,62,64,66,68,70,72,74,76,78,80,85,90,95,100})</f>
        <v>76</v>
      </c>
      <c r="T36" s="12"/>
      <c r="U36" s="12"/>
      <c r="V36" s="12">
        <f t="shared" ref="V36:V41" si="23">S36+U36</f>
        <v>76</v>
      </c>
      <c r="W36" s="12"/>
      <c r="X36" s="20">
        <f t="shared" ref="X36:X75" si="24">F36*0.1+H36*0.1+J36*0.1+P36*0.2+S36*0.2</f>
        <v>54.1</v>
      </c>
      <c r="Y36" s="20">
        <f t="shared" ref="Y36:Y41" si="25">X36/0.7+L36+U36</f>
        <v>77.2857142857143</v>
      </c>
    </row>
    <row r="37" ht="15.6" hidden="1" outlineLevel="2" spans="1:25">
      <c r="A37" s="12">
        <v>204</v>
      </c>
      <c r="B37" s="12">
        <v>9</v>
      </c>
      <c r="C37" s="6" t="s">
        <v>170</v>
      </c>
      <c r="D37" s="6" t="s">
        <v>53</v>
      </c>
      <c r="E37" s="12">
        <v>21</v>
      </c>
      <c r="F37" s="11">
        <f>LOOKUP(E37,{0,1,1.8,2.6,3.4,4.2,5,6.3,7.6,8.9,10.2,11.5,12.8,14.1,15.4,16.7,18,19.7,21.4,23.1,24.8},{0,10,20,30,40,50,60,62,64,66,68,70,72,74,76,78,80,85,90,95,100})</f>
        <v>85</v>
      </c>
      <c r="G37" s="12">
        <v>196</v>
      </c>
      <c r="H37" s="11">
        <f>LOOKUP(G37,{0,124,129,134,139,144,149,152,155,158,161,164,167,170,173,176,179,186,193,199,205},{0,10,20,30,40,50,60,62,64,66,68,70,72,74,76,78,80,85,90,95,100})</f>
        <v>90</v>
      </c>
      <c r="I37" s="12">
        <v>51</v>
      </c>
      <c r="J37" s="11">
        <f>LOOKUP(I37,{0,14,16,18,20,22,24,26,28,30,32,34,36,38,40,42,44,47,50,52,54},{0,10,20,30,40,50,60,62,64,66,68,70,72,74,76,78,80,85,90,95,100})</f>
        <v>90</v>
      </c>
      <c r="K37" s="12"/>
      <c r="L37" s="12"/>
      <c r="M37" s="12">
        <f t="shared" si="20"/>
        <v>90</v>
      </c>
      <c r="N37" s="12">
        <v>7.7</v>
      </c>
      <c r="O37" s="12">
        <f t="shared" si="21"/>
        <v>4.3</v>
      </c>
      <c r="P37" s="11">
        <f>LOOKUP(O37,{0,0.5,0.7,0.9,1.1,1.3,1.5,1.7,1.9,2.1,2.3,2.5,2.7,2.9,3.1,3.3,3.5,3.8,4.1,4.2,4.3},{0,10,20,30,40,50,60,62,64,66,68,70,72,74,76,78,80,85,90,95,100})</f>
        <v>100</v>
      </c>
      <c r="Q37" s="12">
        <v>3.11</v>
      </c>
      <c r="R37" s="12">
        <f t="shared" si="22"/>
        <v>6.89</v>
      </c>
      <c r="S37" s="11">
        <f>LOOKUP(R37,{0,4.72,4.82,4.92,5.42,5.52,5.62,5.67,5.72,5.77,5.82,5.87,5.92,5.97,6.42,6.47,6.52,6.59,6.66,6.72,6.78},{0,10,20,30,40,50,60,62,64,66,68,70,72,74,76,78,80,85,90,95,100})</f>
        <v>100</v>
      </c>
      <c r="T37" s="21">
        <f>3.22-Q37</f>
        <v>0.11</v>
      </c>
      <c r="U37" s="11">
        <f>LOOKUP(T37,{0,0.05,0.1,0.15,0.2,0.25,0.3,0.35,0.4,0.45,0.5},{0,1,2,3,4,5,6,7,8,9,10})</f>
        <v>2</v>
      </c>
      <c r="V37" s="12">
        <f t="shared" si="23"/>
        <v>102</v>
      </c>
      <c r="W37" s="12"/>
      <c r="X37" s="20">
        <f t="shared" si="24"/>
        <v>66.5</v>
      </c>
      <c r="Y37" s="20">
        <f t="shared" si="25"/>
        <v>97</v>
      </c>
    </row>
    <row r="38" ht="15.6" hidden="1" outlineLevel="2" spans="1:25">
      <c r="A38" s="12">
        <v>204</v>
      </c>
      <c r="B38" s="12">
        <v>10</v>
      </c>
      <c r="C38" s="6" t="s">
        <v>171</v>
      </c>
      <c r="D38" s="6" t="s">
        <v>53</v>
      </c>
      <c r="E38" s="12">
        <v>321</v>
      </c>
      <c r="F38" s="11">
        <f>LOOKUP(E38,{0,1,1.8,2.6,3.4,4.2,5,6.3,7.6,8.9,10.2,11.5,12.8,14.1,15.4,16.7,18,19.7,21.4,23.1,24.8},{0,10,20,30,40,50,60,62,64,66,68,70,72,74,76,78,80,85,90,95,100})</f>
        <v>100</v>
      </c>
      <c r="G38" s="12">
        <v>184</v>
      </c>
      <c r="H38" s="11">
        <f>LOOKUP(G38,{0,124,129,134,139,144,149,152,155,158,161,164,167,170,173,176,179,186,193,199,205},{0,10,20,30,40,50,60,62,64,66,68,70,72,74,76,78,80,85,90,95,100})</f>
        <v>80</v>
      </c>
      <c r="I38" s="12">
        <v>55</v>
      </c>
      <c r="J38" s="11">
        <f>LOOKUP(I38,{0,14,16,18,20,22,24,26,28,30,32,34,36,38,40,42,44,47,50,52,54},{0,10,20,30,40,50,60,62,64,66,68,70,72,74,76,78,80,85,90,95,100})</f>
        <v>100</v>
      </c>
      <c r="K38" s="12">
        <f>I38-54</f>
        <v>1</v>
      </c>
      <c r="L38" s="16">
        <f>LOOKUP(K38,{0,2,4,6,7,8,9,10,11,12,13},{0,1,2,3,4,5,6,7,8,9,10})</f>
        <v>0</v>
      </c>
      <c r="M38" s="12">
        <f t="shared" si="20"/>
        <v>100</v>
      </c>
      <c r="N38" s="12">
        <v>8.9</v>
      </c>
      <c r="O38" s="12">
        <f t="shared" si="21"/>
        <v>3.1</v>
      </c>
      <c r="P38" s="11">
        <f>LOOKUP(O38,{0,0.5,0.7,0.9,1.1,1.3,1.5,1.7,1.9,2.1,2.3,2.5,2.7,2.9,3.1,3.3,3.5,3.8,4.1,4.2,4.3},{0,10,20,30,40,50,60,62,64,66,68,70,72,74,76,78,80,85,90,95,100})</f>
        <v>76</v>
      </c>
      <c r="Q38" s="12">
        <v>3.31</v>
      </c>
      <c r="R38" s="12">
        <f t="shared" si="22"/>
        <v>6.69</v>
      </c>
      <c r="S38" s="11">
        <f>LOOKUP(R38,{0,4.72,4.82,4.92,5.42,5.52,5.62,5.67,5.72,5.77,5.82,5.87,5.92,5.97,6.42,6.47,6.52,6.59,6.66,6.72,6.78},{0,10,20,30,40,50,60,62,64,66,68,70,72,74,76,78,80,85,90,95,100})</f>
        <v>90</v>
      </c>
      <c r="T38" s="12"/>
      <c r="U38" s="12"/>
      <c r="V38" s="12">
        <f t="shared" si="23"/>
        <v>90</v>
      </c>
      <c r="W38" s="12"/>
      <c r="X38" s="20">
        <f t="shared" si="24"/>
        <v>61.2</v>
      </c>
      <c r="Y38" s="20">
        <f t="shared" si="25"/>
        <v>87.4285714285714</v>
      </c>
    </row>
    <row r="39" ht="15.6" hidden="1" outlineLevel="2" spans="1:25">
      <c r="A39" s="12">
        <v>204</v>
      </c>
      <c r="B39" s="12">
        <v>11</v>
      </c>
      <c r="C39" s="6" t="s">
        <v>172</v>
      </c>
      <c r="D39" s="6" t="s">
        <v>53</v>
      </c>
      <c r="E39" s="12">
        <v>12</v>
      </c>
      <c r="F39" s="11">
        <f>LOOKUP(E39,{0,1,1.8,2.6,3.4,4.2,5,6.3,7.6,8.9,10.2,11.5,12.8,14.1,15.4,16.7,18,19.7,21.4,23.1,24.8},{0,10,20,30,40,50,60,62,64,66,68,70,72,74,76,78,80,85,90,95,100})</f>
        <v>70</v>
      </c>
      <c r="G39" s="12">
        <v>171</v>
      </c>
      <c r="H39" s="11">
        <f>LOOKUP(G39,{0,124,129,134,139,144,149,152,155,158,161,164,167,170,173,176,179,186,193,199,205},{0,10,20,30,40,50,60,62,64,66,68,70,72,74,76,78,80,85,90,95,100})</f>
        <v>74</v>
      </c>
      <c r="I39" s="12">
        <v>40</v>
      </c>
      <c r="J39" s="11">
        <f>LOOKUP(I39,{0,14,16,18,20,22,24,26,28,30,32,34,36,38,40,42,44,47,50,52,54},{0,10,20,30,40,50,60,62,64,66,68,70,72,74,76,78,80,85,90,95,100})</f>
        <v>76</v>
      </c>
      <c r="K39" s="12"/>
      <c r="L39" s="12"/>
      <c r="M39" s="12">
        <f t="shared" si="20"/>
        <v>76</v>
      </c>
      <c r="N39" s="12">
        <v>9.1</v>
      </c>
      <c r="O39" s="12">
        <f t="shared" si="21"/>
        <v>2.9</v>
      </c>
      <c r="P39" s="11">
        <f>LOOKUP(O39,{0,0.5,0.7,0.9,1.1,1.3,1.5,1.7,1.9,2.1,2.3,2.5,2.7,2.9,3.1,3.3,3.5,3.8,4.1,4.2,4.3},{0,10,20,30,40,50,60,62,64,66,68,70,72,74,76,78,80,85,90,95,100})</f>
        <v>74</v>
      </c>
      <c r="Q39" s="12">
        <v>3.52</v>
      </c>
      <c r="R39" s="12">
        <f t="shared" si="22"/>
        <v>6.48</v>
      </c>
      <c r="S39" s="11">
        <f>LOOKUP(R39,{0,4.72,4.82,4.92,5.42,5.52,5.62,5.67,5.72,5.77,5.82,5.87,5.92,5.97,6.42,6.47,6.52,6.59,6.66,6.72,6.78},{0,10,20,30,40,50,60,62,64,66,68,70,72,74,76,78,80,85,90,95,100})</f>
        <v>78</v>
      </c>
      <c r="T39" s="12"/>
      <c r="U39" s="12"/>
      <c r="V39" s="12">
        <f t="shared" si="23"/>
        <v>78</v>
      </c>
      <c r="W39" s="12"/>
      <c r="X39" s="20">
        <f t="shared" si="24"/>
        <v>52.4</v>
      </c>
      <c r="Y39" s="20">
        <f t="shared" si="25"/>
        <v>74.8571428571429</v>
      </c>
    </row>
    <row r="40" ht="15.6" hidden="1" outlineLevel="2" spans="1:25">
      <c r="A40" s="12">
        <v>204</v>
      </c>
      <c r="B40" s="12">
        <v>12</v>
      </c>
      <c r="C40" s="6" t="s">
        <v>173</v>
      </c>
      <c r="D40" s="6" t="s">
        <v>53</v>
      </c>
      <c r="E40" s="12">
        <v>8</v>
      </c>
      <c r="F40" s="11">
        <f>LOOKUP(E40,{0,1,1.8,2.6,3.4,4.2,5,6.3,7.6,8.9,10.2,11.5,12.8,14.1,15.4,16.7,18,19.7,21.4,23.1,24.8},{0,10,20,30,40,50,60,62,64,66,68,70,72,74,76,78,80,85,90,95,100})</f>
        <v>64</v>
      </c>
      <c r="G40" s="12">
        <v>170</v>
      </c>
      <c r="H40" s="11">
        <f>LOOKUP(G40,{0,124,129,134,139,144,149,152,155,158,161,164,167,170,173,176,179,186,193,199,205},{0,10,20,30,40,50,60,62,64,66,68,70,72,74,76,78,80,85,90,95,100})</f>
        <v>74</v>
      </c>
      <c r="I40" s="12">
        <v>51</v>
      </c>
      <c r="J40" s="11">
        <f>LOOKUP(I40,{0,14,16,18,20,22,24,26,28,30,32,34,36,38,40,42,44,47,50,52,54},{0,10,20,30,40,50,60,62,64,66,68,70,72,74,76,78,80,85,90,95,100})</f>
        <v>90</v>
      </c>
      <c r="K40" s="12"/>
      <c r="L40" s="12"/>
      <c r="M40" s="12">
        <f t="shared" si="20"/>
        <v>90</v>
      </c>
      <c r="N40" s="12">
        <v>8.7</v>
      </c>
      <c r="O40" s="12">
        <f t="shared" si="21"/>
        <v>3.3</v>
      </c>
      <c r="P40" s="11">
        <f>LOOKUP(O40,{0,0.5,0.7,0.9,1.1,1.3,1.5,1.7,1.9,2.1,2.3,2.5,2.7,2.9,3.1,3.3,3.5,3.8,4.1,4.2,4.3},{0,10,20,30,40,50,60,62,64,66,68,70,72,74,76,78,80,85,90,95,100})</f>
        <v>78</v>
      </c>
      <c r="Q40" s="12">
        <v>3.53</v>
      </c>
      <c r="R40" s="12">
        <f t="shared" si="22"/>
        <v>6.47</v>
      </c>
      <c r="S40" s="11">
        <f>LOOKUP(R40,{0,4.72,4.82,4.92,5.42,5.52,5.62,5.67,5.72,5.77,5.82,5.87,5.92,5.97,6.42,6.47,6.52,6.59,6.66,6.72,6.78},{0,10,20,30,40,50,60,62,64,66,68,70,72,74,76,78,80,85,90,95,100})</f>
        <v>78</v>
      </c>
      <c r="T40" s="12"/>
      <c r="U40" s="12"/>
      <c r="V40" s="12">
        <f t="shared" si="23"/>
        <v>78</v>
      </c>
      <c r="W40" s="12"/>
      <c r="X40" s="20">
        <f t="shared" si="24"/>
        <v>54</v>
      </c>
      <c r="Y40" s="20">
        <f t="shared" si="25"/>
        <v>77.1428571428572</v>
      </c>
    </row>
    <row r="41" ht="15.6" hidden="1" outlineLevel="2" spans="1:25">
      <c r="A41" s="12">
        <v>204</v>
      </c>
      <c r="B41" s="12">
        <v>13</v>
      </c>
      <c r="C41" s="6" t="s">
        <v>174</v>
      </c>
      <c r="D41" s="6" t="s">
        <v>53</v>
      </c>
      <c r="E41" s="12">
        <v>21</v>
      </c>
      <c r="F41" s="11">
        <f>LOOKUP(E41,{0,1,1.8,2.6,3.4,4.2,5,6.3,7.6,8.9,10.2,11.5,12.8,14.1,15.4,16.7,18,19.7,21.4,23.1,24.8},{0,10,20,30,40,50,60,62,64,66,68,70,72,74,76,78,80,85,90,95,100})</f>
        <v>85</v>
      </c>
      <c r="G41" s="12">
        <v>206</v>
      </c>
      <c r="H41" s="11">
        <f>LOOKUP(G41,{0,124,129,134,139,144,149,152,155,158,161,164,167,170,173,176,179,186,193,199,205},{0,10,20,30,40,50,60,62,64,66,68,70,72,74,76,78,80,85,90,95,100})</f>
        <v>100</v>
      </c>
      <c r="I41" s="12">
        <v>38</v>
      </c>
      <c r="J41" s="11">
        <f>LOOKUP(I41,{0,14,16,18,20,22,24,26,28,30,32,34,36,38,40,42,44,47,50,52,54},{0,10,20,30,40,50,60,62,64,66,68,70,72,74,76,78,80,85,90,95,100})</f>
        <v>74</v>
      </c>
      <c r="K41" s="12"/>
      <c r="L41" s="12"/>
      <c r="M41" s="12">
        <f t="shared" si="20"/>
        <v>74</v>
      </c>
      <c r="N41" s="12">
        <v>7.7</v>
      </c>
      <c r="O41" s="12">
        <f t="shared" si="21"/>
        <v>4.3</v>
      </c>
      <c r="P41" s="11">
        <f>LOOKUP(O41,{0,0.5,0.7,0.9,1.1,1.3,1.5,1.7,1.9,2.1,2.3,2.5,2.7,2.9,3.1,3.3,3.5,3.8,4.1,4.2,4.3},{0,10,20,30,40,50,60,62,64,66,68,70,72,74,76,78,80,85,90,95,100})</f>
        <v>100</v>
      </c>
      <c r="Q41" s="12">
        <v>3.28</v>
      </c>
      <c r="R41" s="12">
        <f t="shared" si="22"/>
        <v>6.72</v>
      </c>
      <c r="S41" s="11">
        <f>LOOKUP(R41,{0,4.72,4.82,4.92,5.42,5.52,5.62,5.67,5.72,5.77,5.82,5.87,5.92,5.97,6.42,6.47,6.52,6.59,6.66,6.72,6.78},{0,10,20,30,40,50,60,62,64,66,68,70,72,74,76,78,80,85,90,95,100})</f>
        <v>95</v>
      </c>
      <c r="T41" s="12"/>
      <c r="U41" s="12"/>
      <c r="V41" s="12">
        <f t="shared" si="23"/>
        <v>95</v>
      </c>
      <c r="W41" s="12"/>
      <c r="X41" s="20">
        <f t="shared" si="24"/>
        <v>64.9</v>
      </c>
      <c r="Y41" s="20">
        <f t="shared" si="25"/>
        <v>92.7142857142857</v>
      </c>
    </row>
    <row r="42" ht="15.6" hidden="1" outlineLevel="2" spans="1:25">
      <c r="A42" s="12">
        <v>204</v>
      </c>
      <c r="B42" s="12">
        <v>14</v>
      </c>
      <c r="C42" s="6" t="s">
        <v>175</v>
      </c>
      <c r="D42" s="6" t="s">
        <v>53</v>
      </c>
      <c r="E42" s="12"/>
      <c r="F42" s="11"/>
      <c r="G42" s="12"/>
      <c r="H42" s="11"/>
      <c r="I42" s="12"/>
      <c r="J42" s="11"/>
      <c r="K42" s="12"/>
      <c r="L42" s="12"/>
      <c r="M42" s="12"/>
      <c r="N42" s="12"/>
      <c r="O42" s="12"/>
      <c r="P42" s="11"/>
      <c r="Q42" s="12"/>
      <c r="R42" s="12"/>
      <c r="S42" s="11"/>
      <c r="T42" s="21"/>
      <c r="U42" s="11"/>
      <c r="V42" s="12"/>
      <c r="W42" s="12" t="s">
        <v>14</v>
      </c>
      <c r="X42" s="20">
        <f t="shared" si="24"/>
        <v>0</v>
      </c>
      <c r="Y42" s="20">
        <v>50</v>
      </c>
    </row>
    <row r="43" ht="15.6" hidden="1" outlineLevel="2" spans="1:25">
      <c r="A43" s="12">
        <v>204</v>
      </c>
      <c r="B43" s="12">
        <v>15</v>
      </c>
      <c r="C43" s="6" t="s">
        <v>176</v>
      </c>
      <c r="D43" s="6" t="s">
        <v>53</v>
      </c>
      <c r="E43" s="12">
        <v>15.5</v>
      </c>
      <c r="F43" s="11">
        <f>LOOKUP(E43,{0,1,1.8,2.6,3.4,4.2,5,6.3,7.6,8.9,10.2,11.5,12.8,14.1,15.4,16.7,18,19.7,21.4,23.1,24.8},{0,10,20,30,40,50,60,62,64,66,68,70,72,74,76,78,80,85,90,95,100})</f>
        <v>76</v>
      </c>
      <c r="G43" s="12">
        <v>207</v>
      </c>
      <c r="H43" s="11">
        <f>LOOKUP(G43,{0,124,129,134,139,144,149,152,155,158,161,164,167,170,173,176,179,186,193,199,205},{0,10,20,30,40,50,60,62,64,66,68,70,72,74,76,78,80,85,90,95,100})</f>
        <v>100</v>
      </c>
      <c r="I43" s="12">
        <v>35</v>
      </c>
      <c r="J43" s="11">
        <f>LOOKUP(I43,{0,14,16,18,20,22,24,26,28,30,32,34,36,38,40,42,44,47,50,52,54},{0,10,20,30,40,50,60,62,64,66,68,70,72,74,76,78,80,85,90,95,100})</f>
        <v>70</v>
      </c>
      <c r="K43" s="12"/>
      <c r="L43" s="12"/>
      <c r="M43" s="12">
        <f t="shared" ref="M43:M60" si="26">J43+L43</f>
        <v>70</v>
      </c>
      <c r="N43" s="12">
        <v>7.7</v>
      </c>
      <c r="O43" s="12">
        <f t="shared" ref="O43:O60" si="27">12-N43</f>
        <v>4.3</v>
      </c>
      <c r="P43" s="11">
        <f>LOOKUP(O43,{0,0.5,0.7,0.9,1.1,1.3,1.5,1.7,1.9,2.1,2.3,2.5,2.7,2.9,3.1,3.3,3.5,3.8,4.1,4.2,4.3},{0,10,20,30,40,50,60,62,64,66,68,70,72,74,76,78,80,85,90,95,100})</f>
        <v>100</v>
      </c>
      <c r="Q43" s="12">
        <v>3.17</v>
      </c>
      <c r="R43" s="12">
        <f t="shared" ref="R43:R50" si="28">10-Q43</f>
        <v>6.83</v>
      </c>
      <c r="S43" s="11">
        <f>LOOKUP(R43,{0,4.72,4.82,4.92,5.42,5.52,5.62,5.67,5.72,5.77,5.82,5.87,5.92,5.97,6.42,6.47,6.52,6.59,6.66,6.72,6.78},{0,10,20,30,40,50,60,62,64,66,68,70,72,74,76,78,80,85,90,95,100})</f>
        <v>100</v>
      </c>
      <c r="T43" s="21">
        <f>3.22-Q43</f>
        <v>0.0500000000000003</v>
      </c>
      <c r="U43" s="11">
        <f>LOOKUP(T43,{0,0.05,0.1,0.15,0.2,0.25,0.3,0.35,0.4,0.45,0.5},{0,1,2,3,4,5,6,7,8,9,10})</f>
        <v>1</v>
      </c>
      <c r="V43" s="12">
        <f t="shared" ref="V43:V50" si="29">S43+U43</f>
        <v>101</v>
      </c>
      <c r="W43" s="12"/>
      <c r="X43" s="20">
        <f t="shared" si="24"/>
        <v>64.6</v>
      </c>
      <c r="Y43" s="20">
        <f t="shared" ref="Y43:Y60" si="30">X43/0.7+L43+U43</f>
        <v>93.2857142857143</v>
      </c>
    </row>
    <row r="44" ht="15.6" hidden="1" outlineLevel="2" spans="1:25">
      <c r="A44" s="12">
        <v>204</v>
      </c>
      <c r="B44" s="12">
        <v>16</v>
      </c>
      <c r="C44" s="6" t="s">
        <v>177</v>
      </c>
      <c r="D44" s="6" t="s">
        <v>53</v>
      </c>
      <c r="E44" s="12">
        <v>25.5</v>
      </c>
      <c r="F44" s="11">
        <f>LOOKUP(E44,{0,1,1.8,2.6,3.4,4.2,5,6.3,7.6,8.9,10.2,11.5,12.8,14.1,15.4,16.7,18,19.7,21.4,23.1,24.8},{0,10,20,30,40,50,60,62,64,66,68,70,72,74,76,78,80,85,90,95,100})</f>
        <v>100</v>
      </c>
      <c r="G44" s="12">
        <v>210</v>
      </c>
      <c r="H44" s="11">
        <f>LOOKUP(G44,{0,124,129,134,139,144,149,152,155,158,161,164,167,170,173,176,179,186,193,199,205},{0,10,20,30,40,50,60,62,64,66,68,70,72,74,76,78,80,85,90,95,100})</f>
        <v>100</v>
      </c>
      <c r="I44" s="12">
        <v>49</v>
      </c>
      <c r="J44" s="11">
        <f>LOOKUP(I44,{0,14,16,18,20,22,24,26,28,30,32,34,36,38,40,42,44,47,50,52,54},{0,10,20,30,40,50,60,62,64,66,68,70,72,74,76,78,80,85,90,95,100})</f>
        <v>85</v>
      </c>
      <c r="K44" s="12"/>
      <c r="L44" s="15"/>
      <c r="M44" s="12">
        <f t="shared" si="26"/>
        <v>85</v>
      </c>
      <c r="N44" s="12">
        <v>8.1</v>
      </c>
      <c r="O44" s="12">
        <f t="shared" si="27"/>
        <v>3.9</v>
      </c>
      <c r="P44" s="11">
        <f>LOOKUP(O44,{0,0.5,0.7,0.9,1.1,1.3,1.5,1.7,1.9,2.1,2.3,2.5,2.7,2.9,3.1,3.3,3.5,3.8,4.1,4.2,4.3},{0,10,20,30,40,50,60,62,64,66,68,70,72,74,76,78,80,85,90,95,100})</f>
        <v>85</v>
      </c>
      <c r="Q44" s="12">
        <v>3.29</v>
      </c>
      <c r="R44" s="12">
        <f t="shared" si="28"/>
        <v>6.71</v>
      </c>
      <c r="S44" s="11">
        <f>LOOKUP(R44,{0,4.72,4.82,4.92,5.42,5.52,5.62,5.67,5.72,5.77,5.82,5.87,5.92,5.97,6.42,6.47,6.52,6.59,6.66,6.72,6.78},{0,10,20,30,40,50,60,62,64,66,68,70,72,74,76,78,80,85,90,95,100})</f>
        <v>90</v>
      </c>
      <c r="T44" s="12"/>
      <c r="U44" s="12"/>
      <c r="V44" s="12">
        <f t="shared" si="29"/>
        <v>90</v>
      </c>
      <c r="W44" s="12"/>
      <c r="X44" s="20">
        <f t="shared" si="24"/>
        <v>63.5</v>
      </c>
      <c r="Y44" s="20">
        <f t="shared" si="30"/>
        <v>90.7142857142857</v>
      </c>
    </row>
    <row r="45" ht="15.6" hidden="1" outlineLevel="2" spans="1:25">
      <c r="A45" s="12">
        <v>204</v>
      </c>
      <c r="B45" s="12">
        <v>17</v>
      </c>
      <c r="C45" s="6" t="s">
        <v>178</v>
      </c>
      <c r="D45" s="6" t="s">
        <v>53</v>
      </c>
      <c r="E45" s="12">
        <v>25</v>
      </c>
      <c r="F45" s="11">
        <f>LOOKUP(E45,{0,1,1.8,2.6,3.4,4.2,5,6.3,7.6,8.9,10.2,11.5,12.8,14.1,15.4,16.7,18,19.7,21.4,23.1,24.8},{0,10,20,30,40,50,60,62,64,66,68,70,72,74,76,78,80,85,90,95,100})</f>
        <v>100</v>
      </c>
      <c r="G45" s="12">
        <v>201</v>
      </c>
      <c r="H45" s="11">
        <f>LOOKUP(G45,{0,124,129,134,139,144,149,152,155,158,161,164,167,170,173,176,179,186,193,199,205},{0,10,20,30,40,50,60,62,64,66,68,70,72,74,76,78,80,85,90,95,100})</f>
        <v>95</v>
      </c>
      <c r="I45" s="12">
        <v>43</v>
      </c>
      <c r="J45" s="11">
        <f>LOOKUP(I45,{0,14,16,18,20,22,24,26,28,30,32,34,36,38,40,42,44,47,50,52,54},{0,10,20,30,40,50,60,62,64,66,68,70,72,74,76,78,80,85,90,95,100})</f>
        <v>78</v>
      </c>
      <c r="K45" s="12"/>
      <c r="L45" s="12"/>
      <c r="M45" s="12">
        <f t="shared" si="26"/>
        <v>78</v>
      </c>
      <c r="N45" s="12">
        <v>8.1</v>
      </c>
      <c r="O45" s="12">
        <f t="shared" si="27"/>
        <v>3.9</v>
      </c>
      <c r="P45" s="11">
        <f>LOOKUP(O45,{0,0.5,0.7,0.9,1.1,1.3,1.5,1.7,1.9,2.1,2.3,2.5,2.7,2.9,3.1,3.3,3.5,3.8,4.1,4.2,4.3},{0,10,20,30,40,50,60,62,64,66,68,70,72,74,76,78,80,85,90,95,100})</f>
        <v>85</v>
      </c>
      <c r="Q45" s="12">
        <v>3.27</v>
      </c>
      <c r="R45" s="12">
        <f t="shared" si="28"/>
        <v>6.73</v>
      </c>
      <c r="S45" s="11">
        <f>LOOKUP(R45,{0,4.72,4.82,4.92,5.42,5.52,5.62,5.67,5.72,5.77,5.82,5.87,5.92,5.97,6.42,6.47,6.52,6.59,6.66,6.72,6.78},{0,10,20,30,40,50,60,62,64,66,68,70,72,74,76,78,80,85,90,95,100})</f>
        <v>95</v>
      </c>
      <c r="T45" s="12"/>
      <c r="U45" s="12"/>
      <c r="V45" s="12">
        <f t="shared" si="29"/>
        <v>95</v>
      </c>
      <c r="W45" s="12"/>
      <c r="X45" s="20">
        <f t="shared" si="24"/>
        <v>63.3</v>
      </c>
      <c r="Y45" s="20">
        <f t="shared" si="30"/>
        <v>90.4285714285714</v>
      </c>
    </row>
    <row r="46" ht="15.6" hidden="1" outlineLevel="2" spans="1:25">
      <c r="A46" s="12">
        <v>204</v>
      </c>
      <c r="B46" s="12">
        <v>18</v>
      </c>
      <c r="C46" s="13" t="s">
        <v>180</v>
      </c>
      <c r="D46" s="6" t="s">
        <v>53</v>
      </c>
      <c r="E46" s="12">
        <v>21.5</v>
      </c>
      <c r="F46" s="11">
        <f>LOOKUP(E46,{0,1,1.8,2.6,3.4,4.2,5,6.3,7.6,8.9,10.2,11.5,12.8,14.1,15.4,16.7,18,19.7,21.4,23.1,24.8},{0,10,20,30,40,50,60,62,64,66,68,70,72,74,76,78,80,85,90,95,100})</f>
        <v>90</v>
      </c>
      <c r="G46" s="12">
        <v>190</v>
      </c>
      <c r="H46" s="11">
        <f>LOOKUP(G46,{0,124,129,134,139,144,149,152,155,158,161,164,167,170,173,176,179,186,193,199,205},{0,10,20,30,40,50,60,62,64,66,68,70,72,74,76,78,80,85,90,95,100})</f>
        <v>85</v>
      </c>
      <c r="I46" s="12">
        <v>49</v>
      </c>
      <c r="J46" s="11">
        <f>LOOKUP(I46,{0,14,16,18,20,22,24,26,28,30,32,34,36,38,40,42,44,47,50,52,54},{0,10,20,30,40,50,60,62,64,66,68,70,72,74,76,78,80,85,90,95,100})</f>
        <v>85</v>
      </c>
      <c r="K46" s="12"/>
      <c r="L46" s="15"/>
      <c r="M46" s="12">
        <f t="shared" si="26"/>
        <v>85</v>
      </c>
      <c r="N46" s="12">
        <v>8.1</v>
      </c>
      <c r="O46" s="12">
        <f t="shared" si="27"/>
        <v>3.9</v>
      </c>
      <c r="P46" s="11">
        <f>LOOKUP(O46,{0,0.5,0.7,0.9,1.1,1.3,1.5,1.7,1.9,2.1,2.3,2.5,2.7,2.9,3.1,3.3,3.5,3.8,4.1,4.2,4.3},{0,10,20,30,40,50,60,62,64,66,68,70,72,74,76,78,80,85,90,95,100})</f>
        <v>85</v>
      </c>
      <c r="Q46" s="12">
        <v>3.13</v>
      </c>
      <c r="R46" s="12">
        <f t="shared" si="28"/>
        <v>6.87</v>
      </c>
      <c r="S46" s="11">
        <f>LOOKUP(R46,{0,4.72,4.82,4.92,5.42,5.52,5.62,5.67,5.72,5.77,5.82,5.87,5.92,5.97,6.42,6.47,6.52,6.59,6.66,6.72,6.78},{0,10,20,30,40,50,60,62,64,66,68,70,72,74,76,78,80,85,90,95,100})</f>
        <v>100</v>
      </c>
      <c r="T46" s="21">
        <f>3.22-Q46</f>
        <v>0.0900000000000003</v>
      </c>
      <c r="U46" s="11">
        <f>LOOKUP(T46,{0,0.05,0.1,0.15,0.2,0.25,0.3,0.35,0.4,0.45,0.5},{0,1,2,3,4,5,6,7,8,9,10})</f>
        <v>1</v>
      </c>
      <c r="V46" s="12">
        <f t="shared" si="29"/>
        <v>101</v>
      </c>
      <c r="W46" s="12"/>
      <c r="X46" s="20">
        <f t="shared" si="24"/>
        <v>63</v>
      </c>
      <c r="Y46" s="20">
        <f t="shared" si="30"/>
        <v>91</v>
      </c>
    </row>
    <row r="47" ht="15.6" hidden="1" outlineLevel="2" spans="1:25">
      <c r="A47" s="12">
        <v>204</v>
      </c>
      <c r="B47" s="12">
        <v>19</v>
      </c>
      <c r="C47" s="6" t="s">
        <v>181</v>
      </c>
      <c r="D47" s="6" t="s">
        <v>53</v>
      </c>
      <c r="E47" s="12">
        <v>20</v>
      </c>
      <c r="F47" s="11">
        <f>LOOKUP(E47,{0,1,1.8,2.6,3.4,4.2,5,6.3,7.6,8.9,10.2,11.5,12.8,14.1,15.4,16.7,18,19.7,21.4,23.1,24.8},{0,10,20,30,40,50,60,62,64,66,68,70,72,74,76,78,80,85,90,95,100})</f>
        <v>85</v>
      </c>
      <c r="G47" s="12">
        <v>173</v>
      </c>
      <c r="H47" s="11">
        <f>LOOKUP(G47,{0,124,129,134,139,144,149,152,155,158,161,164,167,170,173,176,179,186,193,199,205},{0,10,20,30,40,50,60,62,64,66,68,70,72,74,76,78,80,85,90,95,100})</f>
        <v>76</v>
      </c>
      <c r="I47" s="12">
        <v>42</v>
      </c>
      <c r="J47" s="11">
        <f>LOOKUP(I47,{0,14,16,18,20,22,24,26,28,30,32,34,36,38,40,42,44,47,50,52,54},{0,10,20,30,40,50,60,62,64,66,68,70,72,74,76,78,80,85,90,95,100})</f>
        <v>78</v>
      </c>
      <c r="K47" s="12"/>
      <c r="L47" s="12"/>
      <c r="M47" s="12">
        <f t="shared" si="26"/>
        <v>78</v>
      </c>
      <c r="N47" s="12">
        <v>9.1</v>
      </c>
      <c r="O47" s="12">
        <f t="shared" si="27"/>
        <v>2.9</v>
      </c>
      <c r="P47" s="11">
        <f>LOOKUP(O47,{0,0.5,0.7,0.9,1.1,1.3,1.5,1.7,1.9,2.1,2.3,2.5,2.7,2.9,3.1,3.3,3.5,3.8,4.1,4.2,4.3},{0,10,20,30,40,50,60,62,64,66,68,70,72,74,76,78,80,85,90,95,100})</f>
        <v>74</v>
      </c>
      <c r="Q47" s="12">
        <v>4.52</v>
      </c>
      <c r="R47" s="12">
        <f t="shared" si="28"/>
        <v>5.48</v>
      </c>
      <c r="S47" s="11">
        <f>LOOKUP(R47,{0,4.72,4.82,4.92,5.42,5.52,5.62,5.67,5.72,5.77,5.82,5.87,5.92,5.97,6.42,6.47,6.52,6.59,6.66,6.72,6.78},{0,10,20,30,40,50,60,62,64,66,68,70,72,74,76,78,80,85,90,95,100})</f>
        <v>40</v>
      </c>
      <c r="T47" s="12"/>
      <c r="U47" s="12"/>
      <c r="V47" s="12">
        <f t="shared" si="29"/>
        <v>40</v>
      </c>
      <c r="W47" s="12"/>
      <c r="X47" s="20">
        <f t="shared" si="24"/>
        <v>46.7</v>
      </c>
      <c r="Y47" s="20">
        <f t="shared" si="30"/>
        <v>66.7142857142857</v>
      </c>
    </row>
    <row r="48" ht="15.6" hidden="1" outlineLevel="2" spans="1:25">
      <c r="A48" s="12">
        <v>204</v>
      </c>
      <c r="B48" s="12">
        <v>20</v>
      </c>
      <c r="C48" s="6" t="s">
        <v>182</v>
      </c>
      <c r="D48" s="6" t="s">
        <v>53</v>
      </c>
      <c r="E48" s="12">
        <v>21</v>
      </c>
      <c r="F48" s="11">
        <f>LOOKUP(E48,{0,1,1.8,2.6,3.4,4.2,5,6.3,7.6,8.9,10.2,11.5,12.8,14.1,15.4,16.7,18,19.7,21.4,23.1,24.8},{0,10,20,30,40,50,60,62,64,66,68,70,72,74,76,78,80,85,90,95,100})</f>
        <v>85</v>
      </c>
      <c r="G48" s="12">
        <v>182</v>
      </c>
      <c r="H48" s="11">
        <f>LOOKUP(G48,{0,124,129,134,139,144,149,152,155,158,161,164,167,170,173,176,179,186,193,199,205},{0,10,20,30,40,50,60,62,64,66,68,70,72,74,76,78,80,85,90,95,100})</f>
        <v>80</v>
      </c>
      <c r="I48" s="12">
        <v>39</v>
      </c>
      <c r="J48" s="11">
        <f>LOOKUP(I48,{0,14,16,18,20,22,24,26,28,30,32,34,36,38,40,42,44,47,50,52,54},{0,10,20,30,40,50,60,62,64,66,68,70,72,74,76,78,80,85,90,95,100})</f>
        <v>74</v>
      </c>
      <c r="K48" s="12"/>
      <c r="L48" s="15"/>
      <c r="M48" s="12">
        <f t="shared" si="26"/>
        <v>74</v>
      </c>
      <c r="N48" s="12">
        <v>8.2</v>
      </c>
      <c r="O48" s="12">
        <f t="shared" si="27"/>
        <v>3.8</v>
      </c>
      <c r="P48" s="11">
        <f>LOOKUP(O48,{0,0.5,0.7,0.9,1.1,1.3,1.5,1.7,1.9,2.1,2.3,2.5,2.7,2.9,3.1,3.3,3.5,3.8,4.1,4.2,4.3},{0,10,20,30,40,50,60,62,64,66,68,70,72,74,76,78,80,85,90,95,100})</f>
        <v>85</v>
      </c>
      <c r="Q48" s="12">
        <v>3.25</v>
      </c>
      <c r="R48" s="12">
        <f t="shared" si="28"/>
        <v>6.75</v>
      </c>
      <c r="S48" s="11">
        <f>LOOKUP(R48,{0,4.72,4.82,4.92,5.42,5.52,5.62,5.67,5.72,5.77,5.82,5.87,5.92,5.97,6.42,6.47,6.52,6.59,6.66,6.72,6.78},{0,10,20,30,40,50,60,62,64,66,68,70,72,74,76,78,80,85,90,95,100})</f>
        <v>95</v>
      </c>
      <c r="T48" s="12"/>
      <c r="U48" s="12"/>
      <c r="V48" s="12">
        <f t="shared" si="29"/>
        <v>95</v>
      </c>
      <c r="W48" s="12"/>
      <c r="X48" s="20">
        <f t="shared" si="24"/>
        <v>59.9</v>
      </c>
      <c r="Y48" s="20">
        <f t="shared" si="30"/>
        <v>85.5714285714286</v>
      </c>
    </row>
    <row r="49" ht="15.6" hidden="1" outlineLevel="2" spans="1:25">
      <c r="A49" s="12">
        <v>204</v>
      </c>
      <c r="B49" s="12">
        <v>21</v>
      </c>
      <c r="C49" s="6" t="s">
        <v>183</v>
      </c>
      <c r="D49" s="6" t="s">
        <v>53</v>
      </c>
      <c r="E49" s="12">
        <v>26.3</v>
      </c>
      <c r="F49" s="11">
        <f>LOOKUP(E49,{0,1,1.8,2.6,3.4,4.2,5,6.3,7.6,8.9,10.2,11.5,12.8,14.1,15.4,16.7,18,19.7,21.4,23.1,24.8},{0,10,20,30,40,50,60,62,64,66,68,70,72,74,76,78,80,85,90,95,100})</f>
        <v>100</v>
      </c>
      <c r="G49" s="12">
        <v>178</v>
      </c>
      <c r="H49" s="11">
        <f>LOOKUP(G49,{0,124,129,134,139,144,149,152,155,158,161,164,167,170,173,176,179,186,193,199,205},{0,10,20,30,40,50,60,62,64,66,68,70,72,74,76,78,80,85,90,95,100})</f>
        <v>78</v>
      </c>
      <c r="I49" s="12">
        <v>50</v>
      </c>
      <c r="J49" s="11">
        <f>LOOKUP(I49,{0,14,16,18,20,22,24,26,28,30,32,34,36,38,40,42,44,47,50,52,54},{0,10,20,30,40,50,60,62,64,66,68,70,72,74,76,78,80,85,90,95,100})</f>
        <v>90</v>
      </c>
      <c r="K49" s="12"/>
      <c r="L49" s="12"/>
      <c r="M49" s="12">
        <f t="shared" si="26"/>
        <v>90</v>
      </c>
      <c r="N49" s="12">
        <v>8.2</v>
      </c>
      <c r="O49" s="12">
        <f t="shared" si="27"/>
        <v>3.8</v>
      </c>
      <c r="P49" s="11">
        <f>LOOKUP(O49,{0,0.5,0.7,0.9,1.1,1.3,1.5,1.7,1.9,2.1,2.3,2.5,2.7,2.9,3.1,3.3,3.5,3.8,4.1,4.2,4.3},{0,10,20,30,40,50,60,62,64,66,68,70,72,74,76,78,80,85,90,95,100})</f>
        <v>85</v>
      </c>
      <c r="Q49" s="12">
        <v>3.39</v>
      </c>
      <c r="R49" s="12">
        <f t="shared" si="28"/>
        <v>6.61</v>
      </c>
      <c r="S49" s="11">
        <f>LOOKUP(R49,{0,4.72,4.82,4.92,5.42,5.52,5.62,5.67,5.72,5.77,5.82,5.87,5.92,5.97,6.42,6.47,6.52,6.59,6.66,6.72,6.78},{0,10,20,30,40,50,60,62,64,66,68,70,72,74,76,78,80,85,90,95,100})</f>
        <v>85</v>
      </c>
      <c r="T49" s="12"/>
      <c r="U49" s="12"/>
      <c r="V49" s="12">
        <f t="shared" si="29"/>
        <v>85</v>
      </c>
      <c r="W49" s="12"/>
      <c r="X49" s="20">
        <f t="shared" si="24"/>
        <v>60.8</v>
      </c>
      <c r="Y49" s="20">
        <f t="shared" si="30"/>
        <v>86.8571428571429</v>
      </c>
    </row>
    <row r="50" ht="15.6" hidden="1" outlineLevel="2" spans="1:25">
      <c r="A50" s="12">
        <v>204</v>
      </c>
      <c r="B50" s="12">
        <v>22</v>
      </c>
      <c r="C50" s="6" t="s">
        <v>184</v>
      </c>
      <c r="D50" s="6" t="s">
        <v>53</v>
      </c>
      <c r="E50" s="12">
        <v>14.1</v>
      </c>
      <c r="F50" s="11">
        <f>LOOKUP(E50,{0,1,1.8,2.6,3.4,4.2,5,6.3,7.6,8.9,10.2,11.5,12.8,14.1,15.4,16.7,18,19.7,21.4,23.1,24.8},{0,10,20,30,40,50,60,62,64,66,68,70,72,74,76,78,80,85,90,95,100})</f>
        <v>74</v>
      </c>
      <c r="G50" s="12">
        <v>163</v>
      </c>
      <c r="H50" s="11">
        <f>LOOKUP(G50,{0,124,129,134,139,144,149,152,155,158,161,164,167,170,173,176,179,186,193,199,205},{0,10,20,30,40,50,60,62,64,66,68,70,72,74,76,78,80,85,90,95,100})</f>
        <v>68</v>
      </c>
      <c r="I50" s="12">
        <v>58</v>
      </c>
      <c r="J50" s="11">
        <f>LOOKUP(I50,{0,14,16,18,20,22,24,26,28,30,32,34,36,38,40,42,44,47,50,52,54},{0,10,20,30,40,50,60,62,64,66,68,70,72,74,76,78,80,85,90,95,100})</f>
        <v>100</v>
      </c>
      <c r="K50" s="12">
        <f>I50-54</f>
        <v>4</v>
      </c>
      <c r="L50" s="11">
        <f>LOOKUP(K50,{0,2,4,6,7,8,9,10,11,12,13},{0,1,2,3,4,5,6,7,8,9,10})</f>
        <v>2</v>
      </c>
      <c r="M50" s="12">
        <f t="shared" si="26"/>
        <v>102</v>
      </c>
      <c r="N50" s="12">
        <v>8.4</v>
      </c>
      <c r="O50" s="12">
        <f t="shared" si="27"/>
        <v>3.6</v>
      </c>
      <c r="P50" s="11">
        <f>LOOKUP(O50,{0,0.5,0.7,0.9,1.1,1.3,1.5,1.7,1.9,2.1,2.3,2.5,2.7,2.9,3.1,3.3,3.5,3.8,4.1,4.2,4.3},{0,10,20,30,40,50,60,62,64,66,68,70,72,74,76,78,80,85,90,95,100})</f>
        <v>80</v>
      </c>
      <c r="Q50" s="12">
        <v>3.45</v>
      </c>
      <c r="R50" s="12">
        <f t="shared" si="28"/>
        <v>6.55</v>
      </c>
      <c r="S50" s="11">
        <f>LOOKUP(R50,{0,4.72,4.82,4.92,5.42,5.52,5.62,5.67,5.72,5.77,5.82,5.87,5.92,5.97,6.42,6.47,6.52,6.59,6.66,6.72,6.78},{0,10,20,30,40,50,60,62,64,66,68,70,72,74,76,78,80,85,90,95,100})</f>
        <v>80</v>
      </c>
      <c r="T50" s="12"/>
      <c r="U50" s="12"/>
      <c r="V50" s="12">
        <f t="shared" si="29"/>
        <v>80</v>
      </c>
      <c r="W50" s="12"/>
      <c r="X50" s="20">
        <f t="shared" si="24"/>
        <v>56.2</v>
      </c>
      <c r="Y50" s="20">
        <f t="shared" si="30"/>
        <v>82.2857142857143</v>
      </c>
    </row>
    <row r="51" ht="15.6" hidden="1" outlineLevel="2" spans="1:25">
      <c r="A51" s="12">
        <v>204</v>
      </c>
      <c r="B51" s="12">
        <v>23</v>
      </c>
      <c r="C51" s="6" t="s">
        <v>185</v>
      </c>
      <c r="D51" s="6" t="s">
        <v>53</v>
      </c>
      <c r="E51" s="12">
        <v>27</v>
      </c>
      <c r="F51" s="11">
        <f>LOOKUP(E51,{0,1,1.8,2.6,3.4,4.2,5,6.3,7.6,8.9,10.2,11.5,12.8,14.1,15.4,16.7,18,19.7,21.4,23.1,24.8},{0,10,20,30,40,50,60,62,64,66,68,70,72,74,76,78,80,85,90,95,100})</f>
        <v>100</v>
      </c>
      <c r="G51" s="12">
        <v>185</v>
      </c>
      <c r="H51" s="11">
        <f>LOOKUP(G51,{0,124,129,134,139,144,149,152,155,158,161,164,167,170,173,176,179,186,193,199,205},{0,10,20,30,40,50,60,62,64,66,68,70,72,74,76,78,80,85,90,95,100})</f>
        <v>80</v>
      </c>
      <c r="I51" s="12">
        <v>49</v>
      </c>
      <c r="J51" s="11">
        <f>LOOKUP(I51,{0,14,16,18,20,22,24,26,28,30,32,34,36,38,40,42,44,47,50,52,54},{0,10,20,30,40,50,60,62,64,66,68,70,72,74,76,78,80,85,90,95,100})</f>
        <v>85</v>
      </c>
      <c r="K51" s="12"/>
      <c r="L51" s="12"/>
      <c r="M51" s="12">
        <f t="shared" si="26"/>
        <v>85</v>
      </c>
      <c r="N51" s="12">
        <v>9</v>
      </c>
      <c r="O51" s="12">
        <f t="shared" si="27"/>
        <v>3</v>
      </c>
      <c r="P51" s="11">
        <f>LOOKUP(O51,{0,0.5,0.7,0.9,1.1,1.3,1.5,1.7,1.9,2.1,2.3,2.5,2.7,2.9,3.1,3.3,3.5,3.8,4.1,4.2,4.3},{0,10,20,30,40,50,60,62,64,66,68,70,72,74,76,78,80,85,90,95,100})</f>
        <v>74</v>
      </c>
      <c r="Q51" s="12"/>
      <c r="R51" s="12"/>
      <c r="S51" s="11"/>
      <c r="T51" s="21"/>
      <c r="U51" s="11"/>
      <c r="V51" s="12"/>
      <c r="W51" s="12"/>
      <c r="X51" s="20">
        <f t="shared" si="24"/>
        <v>41.3</v>
      </c>
      <c r="Y51" s="20">
        <f t="shared" si="30"/>
        <v>59</v>
      </c>
    </row>
    <row r="52" ht="15.6" hidden="1" outlineLevel="2" spans="1:25">
      <c r="A52" s="12">
        <v>204</v>
      </c>
      <c r="B52" s="12">
        <v>24</v>
      </c>
      <c r="C52" s="6" t="s">
        <v>186</v>
      </c>
      <c r="D52" s="6" t="s">
        <v>53</v>
      </c>
      <c r="E52" s="12">
        <v>30</v>
      </c>
      <c r="F52" s="11">
        <f>LOOKUP(E52,{0,1,1.8,2.6,3.4,4.2,5,6.3,7.6,8.9,10.2,11.5,12.8,14.1,15.4,16.7,18,19.7,21.4,23.1,24.8},{0,10,20,30,40,50,60,62,64,66,68,70,72,74,76,78,80,85,90,95,100})</f>
        <v>100</v>
      </c>
      <c r="G52" s="12">
        <v>191</v>
      </c>
      <c r="H52" s="11">
        <f>LOOKUP(G52,{0,124,129,134,139,144,149,152,155,158,161,164,167,170,173,176,179,186,193,199,205},{0,10,20,30,40,50,60,62,64,66,68,70,72,74,76,78,80,85,90,95,100})</f>
        <v>85</v>
      </c>
      <c r="I52" s="12">
        <v>51</v>
      </c>
      <c r="J52" s="11">
        <f>LOOKUP(I52,{0,14,16,18,20,22,24,26,28,30,32,34,36,38,40,42,44,47,50,52,54},{0,10,20,30,40,50,60,62,64,66,68,70,72,74,76,78,80,85,90,95,100})</f>
        <v>90</v>
      </c>
      <c r="K52" s="12"/>
      <c r="L52" s="12"/>
      <c r="M52" s="12">
        <f t="shared" si="26"/>
        <v>90</v>
      </c>
      <c r="N52" s="12">
        <v>8.9</v>
      </c>
      <c r="O52" s="12">
        <f t="shared" si="27"/>
        <v>3.1</v>
      </c>
      <c r="P52" s="11">
        <f>LOOKUP(O52,{0,0.5,0.7,0.9,1.1,1.3,1.5,1.7,1.9,2.1,2.3,2.5,2.7,2.9,3.1,3.3,3.5,3.8,4.1,4.2,4.3},{0,10,20,30,40,50,60,62,64,66,68,70,72,74,76,78,80,85,90,95,100})</f>
        <v>76</v>
      </c>
      <c r="Q52" s="12">
        <v>3.22</v>
      </c>
      <c r="R52" s="12">
        <f t="shared" ref="R52:R60" si="31">10-Q52</f>
        <v>6.78</v>
      </c>
      <c r="S52" s="11">
        <f>LOOKUP(R52,{0,4.72,4.82,4.92,5.42,5.52,5.62,5.67,5.72,5.77,5.82,5.87,5.92,5.97,6.42,6.47,6.52,6.59,6.66,6.72,6.78},{0,10,20,30,40,50,60,62,64,66,68,70,72,74,76,78,80,85,90,95,100})</f>
        <v>100</v>
      </c>
      <c r="T52" s="21">
        <f>3.22-Q52</f>
        <v>0</v>
      </c>
      <c r="U52" s="11">
        <f>LOOKUP(T52,{0,0.05,0.1,0.15,0.2,0.25,0.3,0.35,0.4,0.45,0.5},{0,1,2,3,4,5,6,7,8,9,10})</f>
        <v>0</v>
      </c>
      <c r="V52" s="12">
        <f t="shared" ref="V52:V60" si="32">S52+U52</f>
        <v>100</v>
      </c>
      <c r="W52" s="12"/>
      <c r="X52" s="20">
        <f t="shared" si="24"/>
        <v>62.7</v>
      </c>
      <c r="Y52" s="20">
        <f t="shared" si="30"/>
        <v>89.5714285714286</v>
      </c>
    </row>
    <row r="53" ht="15.6" hidden="1" outlineLevel="2" spans="1:25">
      <c r="A53" s="12">
        <v>204</v>
      </c>
      <c r="B53" s="12">
        <v>25</v>
      </c>
      <c r="C53" s="6" t="s">
        <v>187</v>
      </c>
      <c r="D53" s="6" t="s">
        <v>53</v>
      </c>
      <c r="E53" s="12">
        <v>12</v>
      </c>
      <c r="F53" s="11">
        <f>LOOKUP(E53,{0,1,1.8,2.6,3.4,4.2,5,6.3,7.6,8.9,10.2,11.5,12.8,14.1,15.4,16.7,18,19.7,21.4,23.1,24.8},{0,10,20,30,40,50,60,62,64,66,68,70,72,74,76,78,80,85,90,95,100})</f>
        <v>70</v>
      </c>
      <c r="G53" s="12">
        <v>175</v>
      </c>
      <c r="H53" s="11">
        <f>LOOKUP(G53,{0,124,129,134,139,144,149,152,155,158,161,164,167,170,173,176,179,186,193,199,205},{0,10,20,30,40,50,60,62,64,66,68,70,72,74,76,78,80,85,90,95,100})</f>
        <v>76</v>
      </c>
      <c r="I53" s="12">
        <v>48</v>
      </c>
      <c r="J53" s="11">
        <f>LOOKUP(I53,{0,14,16,18,20,22,24,26,28,30,32,34,36,38,40,42,44,47,50,52,54},{0,10,20,30,40,50,60,62,64,66,68,70,72,74,76,78,80,85,90,95,100})</f>
        <v>85</v>
      </c>
      <c r="K53" s="12"/>
      <c r="L53" s="12"/>
      <c r="M53" s="12">
        <f t="shared" si="26"/>
        <v>85</v>
      </c>
      <c r="N53" s="12">
        <v>8.9</v>
      </c>
      <c r="O53" s="12">
        <f t="shared" si="27"/>
        <v>3.1</v>
      </c>
      <c r="P53" s="11">
        <f>LOOKUP(O53,{0,0.5,0.7,0.9,1.1,1.3,1.5,1.7,1.9,2.1,2.3,2.5,2.7,2.9,3.1,3.3,3.5,3.8,4.1,4.2,4.3},{0,10,20,30,40,50,60,62,64,66,68,70,72,74,76,78,80,85,90,95,100})</f>
        <v>76</v>
      </c>
      <c r="Q53" s="12">
        <v>3.39</v>
      </c>
      <c r="R53" s="12">
        <f t="shared" si="31"/>
        <v>6.61</v>
      </c>
      <c r="S53" s="11">
        <f>LOOKUP(R53,{0,4.72,4.82,4.92,5.42,5.52,5.62,5.67,5.72,5.77,5.82,5.87,5.92,5.97,6.42,6.47,6.52,6.59,6.66,6.72,6.78},{0,10,20,30,40,50,60,62,64,66,68,70,72,74,76,78,80,85,90,95,100})</f>
        <v>85</v>
      </c>
      <c r="T53" s="12"/>
      <c r="U53" s="12"/>
      <c r="V53" s="12">
        <f t="shared" si="32"/>
        <v>85</v>
      </c>
      <c r="W53" s="12"/>
      <c r="X53" s="20">
        <f t="shared" si="24"/>
        <v>55.3</v>
      </c>
      <c r="Y53" s="20">
        <f t="shared" si="30"/>
        <v>79</v>
      </c>
    </row>
    <row r="54" ht="15.6" hidden="1" outlineLevel="2" spans="1:25">
      <c r="A54" s="12">
        <v>204</v>
      </c>
      <c r="B54" s="12">
        <v>26</v>
      </c>
      <c r="C54" s="6" t="s">
        <v>188</v>
      </c>
      <c r="D54" s="6" t="s">
        <v>53</v>
      </c>
      <c r="E54" s="12">
        <v>17.9</v>
      </c>
      <c r="F54" s="11">
        <f>LOOKUP(E54,{0,1,1.8,2.6,3.4,4.2,5,6.3,7.6,8.9,10.2,11.5,12.8,14.1,15.4,16.7,18,19.7,21.4,23.1,24.8},{0,10,20,30,40,50,60,62,64,66,68,70,72,74,76,78,80,85,90,95,100})</f>
        <v>78</v>
      </c>
      <c r="G54" s="12">
        <v>215</v>
      </c>
      <c r="H54" s="11">
        <f>LOOKUP(G54,{0,124,129,134,139,144,149,152,155,158,161,164,167,170,173,176,179,186,193,199,205},{0,10,20,30,40,50,60,62,64,66,68,70,72,74,76,78,80,85,90,95,100})</f>
        <v>100</v>
      </c>
      <c r="I54" s="12">
        <v>47</v>
      </c>
      <c r="J54" s="11">
        <f>LOOKUP(I54,{0,14,16,18,20,22,24,26,28,30,32,34,36,38,40,42,44,47,50,52,54},{0,10,20,30,40,50,60,62,64,66,68,70,72,74,76,78,80,85,90,95,100})</f>
        <v>85</v>
      </c>
      <c r="K54" s="12"/>
      <c r="L54" s="12"/>
      <c r="M54" s="12">
        <f t="shared" si="26"/>
        <v>85</v>
      </c>
      <c r="N54" s="12">
        <v>8.3</v>
      </c>
      <c r="O54" s="12">
        <f t="shared" si="27"/>
        <v>3.7</v>
      </c>
      <c r="P54" s="11">
        <f>LOOKUP(O54,{0,0.5,0.7,0.9,1.1,1.3,1.5,1.7,1.9,2.1,2.3,2.5,2.7,2.9,3.1,3.3,3.5,3.8,4.1,4.2,4.3},{0,10,20,30,40,50,60,62,64,66,68,70,72,74,76,78,80,85,90,95,100})</f>
        <v>80</v>
      </c>
      <c r="Q54" s="12">
        <v>3.33</v>
      </c>
      <c r="R54" s="12">
        <f t="shared" si="31"/>
        <v>6.67</v>
      </c>
      <c r="S54" s="11">
        <f>LOOKUP(R54,{0,4.72,4.82,4.92,5.42,5.52,5.62,5.67,5.72,5.77,5.82,5.87,5.92,5.97,6.42,6.47,6.52,6.59,6.66,6.72,6.78},{0,10,20,30,40,50,60,62,64,66,68,70,72,74,76,78,80,85,90,95,100})</f>
        <v>90</v>
      </c>
      <c r="T54" s="12"/>
      <c r="U54" s="12"/>
      <c r="V54" s="12">
        <f t="shared" si="32"/>
        <v>90</v>
      </c>
      <c r="W54" s="12"/>
      <c r="X54" s="20">
        <f t="shared" si="24"/>
        <v>60.3</v>
      </c>
      <c r="Y54" s="20">
        <f t="shared" si="30"/>
        <v>86.1428571428571</v>
      </c>
    </row>
    <row r="55" ht="15.6" hidden="1" outlineLevel="2" spans="1:25">
      <c r="A55" s="12">
        <v>204</v>
      </c>
      <c r="B55" s="12">
        <v>27</v>
      </c>
      <c r="C55" s="6" t="s">
        <v>189</v>
      </c>
      <c r="D55" s="6" t="s">
        <v>53</v>
      </c>
      <c r="E55" s="12">
        <v>18.6</v>
      </c>
      <c r="F55" s="11">
        <f>LOOKUP(E55,{0,1,1.8,2.6,3.4,4.2,5,6.3,7.6,8.9,10.2,11.5,12.8,14.1,15.4,16.7,18,19.7,21.4,23.1,24.8},{0,10,20,30,40,50,60,62,64,66,68,70,72,74,76,78,80,85,90,95,100})</f>
        <v>80</v>
      </c>
      <c r="G55" s="12">
        <v>187</v>
      </c>
      <c r="H55" s="11">
        <f>LOOKUP(G55,{0,124,129,134,139,144,149,152,155,158,161,164,167,170,173,176,179,186,193,199,205},{0,10,20,30,40,50,60,62,64,66,68,70,72,74,76,78,80,85,90,95,100})</f>
        <v>85</v>
      </c>
      <c r="I55" s="12">
        <v>51</v>
      </c>
      <c r="J55" s="11">
        <f>LOOKUP(I55,{0,14,16,18,20,22,24,26,28,30,32,34,36,38,40,42,44,47,50,52,54},{0,10,20,30,40,50,60,62,64,66,68,70,72,74,76,78,80,85,90,95,100})</f>
        <v>90</v>
      </c>
      <c r="K55" s="12"/>
      <c r="L55" s="12"/>
      <c r="M55" s="12">
        <f t="shared" si="26"/>
        <v>90</v>
      </c>
      <c r="N55" s="12">
        <v>8.8</v>
      </c>
      <c r="O55" s="12">
        <f t="shared" si="27"/>
        <v>3.2</v>
      </c>
      <c r="P55" s="11">
        <f>LOOKUP(O55,{0,0.5,0.7,0.9,1.1,1.3,1.5,1.7,1.9,2.1,2.3,2.5,2.7,2.9,3.1,3.3,3.5,3.8,4.1,4.2,4.3},{0,10,20,30,40,50,60,62,64,66,68,70,72,74,76,78,80,85,90,95,100})</f>
        <v>76</v>
      </c>
      <c r="Q55" s="12">
        <v>3.47</v>
      </c>
      <c r="R55" s="12">
        <f t="shared" si="31"/>
        <v>6.53</v>
      </c>
      <c r="S55" s="11">
        <f>LOOKUP(R55,{0,4.72,4.82,4.92,5.42,5.52,5.62,5.67,5.72,5.77,5.82,5.87,5.92,5.97,6.42,6.47,6.52,6.59,6.66,6.72,6.78},{0,10,20,30,40,50,60,62,64,66,68,70,72,74,76,78,80,85,90,95,100})</f>
        <v>80</v>
      </c>
      <c r="T55" s="12"/>
      <c r="U55" s="12"/>
      <c r="V55" s="12">
        <f t="shared" si="32"/>
        <v>80</v>
      </c>
      <c r="W55" s="12"/>
      <c r="X55" s="20">
        <f t="shared" si="24"/>
        <v>56.7</v>
      </c>
      <c r="Y55" s="20">
        <f t="shared" si="30"/>
        <v>81</v>
      </c>
    </row>
    <row r="56" ht="15.6" hidden="1" outlineLevel="2" spans="1:25">
      <c r="A56" s="12">
        <v>204</v>
      </c>
      <c r="B56" s="12">
        <v>28</v>
      </c>
      <c r="C56" s="13" t="s">
        <v>191</v>
      </c>
      <c r="D56" s="6" t="s">
        <v>53</v>
      </c>
      <c r="E56" s="12">
        <v>19.5</v>
      </c>
      <c r="F56" s="11">
        <f>LOOKUP(E56,{0,1,1.8,2.6,3.4,4.2,5,6.3,7.6,8.9,10.2,11.5,12.8,14.1,15.4,16.7,18,19.7,21.4,23.1,24.8},{0,10,20,30,40,50,60,62,64,66,68,70,72,74,76,78,80,85,90,95,100})</f>
        <v>80</v>
      </c>
      <c r="G56" s="12">
        <v>206</v>
      </c>
      <c r="H56" s="11">
        <f>LOOKUP(G56,{0,124,129,134,139,144,149,152,155,158,161,164,167,170,173,176,179,186,193,199,205},{0,10,20,30,40,50,60,62,64,66,68,70,72,74,76,78,80,85,90,95,100})</f>
        <v>100</v>
      </c>
      <c r="I56" s="12">
        <v>54</v>
      </c>
      <c r="J56" s="11">
        <f>LOOKUP(I56,{0,14,16,18,20,22,24,26,28,30,32,34,36,38,40,42,44,47,50,52,54},{0,10,20,30,40,50,60,62,64,66,68,70,72,74,76,78,80,85,90,95,100})</f>
        <v>100</v>
      </c>
      <c r="K56" s="12">
        <f>I56-54</f>
        <v>0</v>
      </c>
      <c r="L56" s="16">
        <f>LOOKUP(K56,{0,2,4,6,7,8,9,10,11,12,13},{0,1,2,3,4,5,6,7,8,9,10})</f>
        <v>0</v>
      </c>
      <c r="M56" s="12">
        <f t="shared" si="26"/>
        <v>100</v>
      </c>
      <c r="N56" s="12">
        <v>8.1</v>
      </c>
      <c r="O56" s="12">
        <f t="shared" si="27"/>
        <v>3.9</v>
      </c>
      <c r="P56" s="11">
        <f>LOOKUP(O56,{0,0.5,0.7,0.9,1.1,1.3,1.5,1.7,1.9,2.1,2.3,2.5,2.7,2.9,3.1,3.3,3.5,3.8,4.1,4.2,4.3},{0,10,20,30,40,50,60,62,64,66,68,70,72,74,76,78,80,85,90,95,100})</f>
        <v>85</v>
      </c>
      <c r="Q56" s="12">
        <v>3.38</v>
      </c>
      <c r="R56" s="12">
        <f t="shared" si="31"/>
        <v>6.62</v>
      </c>
      <c r="S56" s="11">
        <f>LOOKUP(R56,{0,4.72,4.82,4.92,5.42,5.52,5.62,5.67,5.72,5.77,5.82,5.87,5.92,5.97,6.42,6.47,6.52,6.59,6.66,6.72,6.78},{0,10,20,30,40,50,60,62,64,66,68,70,72,74,76,78,80,85,90,95,100})</f>
        <v>85</v>
      </c>
      <c r="T56" s="12"/>
      <c r="U56" s="12"/>
      <c r="V56" s="12">
        <f t="shared" si="32"/>
        <v>85</v>
      </c>
      <c r="W56" s="12"/>
      <c r="X56" s="20">
        <f t="shared" si="24"/>
        <v>62</v>
      </c>
      <c r="Y56" s="20">
        <f t="shared" si="30"/>
        <v>88.5714285714286</v>
      </c>
    </row>
    <row r="57" ht="15.6" hidden="1" outlineLevel="2" spans="1:25">
      <c r="A57" s="12">
        <v>204</v>
      </c>
      <c r="B57" s="12">
        <v>29</v>
      </c>
      <c r="C57" s="6" t="s">
        <v>192</v>
      </c>
      <c r="D57" s="6" t="s">
        <v>53</v>
      </c>
      <c r="E57" s="12">
        <v>23</v>
      </c>
      <c r="F57" s="11">
        <f>LOOKUP(E57,{0,1,1.8,2.6,3.4,4.2,5,6.3,7.6,8.9,10.2,11.5,12.8,14.1,15.4,16.7,18,19.7,21.4,23.1,24.8},{0,10,20,30,40,50,60,62,64,66,68,70,72,74,76,78,80,85,90,95,100})</f>
        <v>90</v>
      </c>
      <c r="G57" s="12">
        <v>190</v>
      </c>
      <c r="H57" s="11">
        <f>LOOKUP(G57,{0,124,129,134,139,144,149,152,155,158,161,164,167,170,173,176,179,186,193,199,205},{0,10,20,30,40,50,60,62,64,66,68,70,72,74,76,78,80,85,90,95,100})</f>
        <v>85</v>
      </c>
      <c r="I57" s="12">
        <v>40</v>
      </c>
      <c r="J57" s="11">
        <f>LOOKUP(I57,{0,14,16,18,20,22,24,26,28,30,32,34,36,38,40,42,44,47,50,52,54},{0,10,20,30,40,50,60,62,64,66,68,70,72,74,76,78,80,85,90,95,100})</f>
        <v>76</v>
      </c>
      <c r="K57" s="12"/>
      <c r="L57" s="12"/>
      <c r="M57" s="12">
        <f t="shared" si="26"/>
        <v>76</v>
      </c>
      <c r="N57" s="12">
        <v>8.7</v>
      </c>
      <c r="O57" s="12">
        <f t="shared" si="27"/>
        <v>3.3</v>
      </c>
      <c r="P57" s="11">
        <f>LOOKUP(O57,{0,0.5,0.7,0.9,1.1,1.3,1.5,1.7,1.9,2.1,2.3,2.5,2.7,2.9,3.1,3.3,3.5,3.8,4.1,4.2,4.3},{0,10,20,30,40,50,60,62,64,66,68,70,72,74,76,78,80,85,90,95,100})</f>
        <v>78</v>
      </c>
      <c r="Q57" s="12">
        <v>4.2</v>
      </c>
      <c r="R57" s="12">
        <f t="shared" si="31"/>
        <v>5.8</v>
      </c>
      <c r="S57" s="11">
        <f>LOOKUP(R57,{0,4.72,4.82,4.92,5.42,5.52,5.62,5.67,5.72,5.77,5.82,5.87,5.92,5.97,6.42,6.47,6.52,6.59,6.66,6.72,6.78},{0,10,20,30,40,50,60,62,64,66,68,70,72,74,76,78,80,85,90,95,100})</f>
        <v>66</v>
      </c>
      <c r="T57" s="12"/>
      <c r="U57" s="12"/>
      <c r="V57" s="12">
        <f t="shared" si="32"/>
        <v>66</v>
      </c>
      <c r="W57" s="12"/>
      <c r="X57" s="20">
        <f t="shared" si="24"/>
        <v>53.9</v>
      </c>
      <c r="Y57" s="20">
        <f t="shared" si="30"/>
        <v>77</v>
      </c>
    </row>
    <row r="58" s="1" customFormat="1" ht="15.6" hidden="1" outlineLevel="2" spans="1:25">
      <c r="A58" s="12">
        <v>204</v>
      </c>
      <c r="B58" s="12">
        <v>30</v>
      </c>
      <c r="C58" s="6" t="s">
        <v>193</v>
      </c>
      <c r="D58" s="6" t="s">
        <v>53</v>
      </c>
      <c r="E58" s="12">
        <v>23.5</v>
      </c>
      <c r="F58" s="11">
        <f>LOOKUP(E58,{0,1,1.8,2.6,3.4,4.2,5,6.3,7.6,8.9,10.2,11.5,12.8,14.1,15.4,16.7,18,19.7,21.4,23.1,24.8},{0,10,20,30,40,50,60,62,64,66,68,70,72,74,76,78,80,85,90,95,100})</f>
        <v>95</v>
      </c>
      <c r="G58" s="12">
        <v>200</v>
      </c>
      <c r="H58" s="11">
        <f>LOOKUP(G58,{0,124,129,134,139,144,149,152,155,158,161,164,167,170,173,176,179,186,193,199,205},{0,10,20,30,40,50,60,62,64,66,68,70,72,74,76,78,80,85,90,95,100})</f>
        <v>95</v>
      </c>
      <c r="I58" s="12">
        <v>51</v>
      </c>
      <c r="J58" s="11">
        <f>LOOKUP(I58,{0,14,16,18,20,22,24,26,28,30,32,34,36,38,40,42,44,47,50,52,54},{0,10,20,30,40,50,60,62,64,66,68,70,72,74,76,78,80,85,90,95,100})</f>
        <v>90</v>
      </c>
      <c r="K58" s="12"/>
      <c r="L58" s="12"/>
      <c r="M58" s="12">
        <f t="shared" si="26"/>
        <v>90</v>
      </c>
      <c r="N58" s="12">
        <v>8.2</v>
      </c>
      <c r="O58" s="12">
        <f t="shared" si="27"/>
        <v>3.8</v>
      </c>
      <c r="P58" s="11">
        <f>LOOKUP(O58,{0,0.5,0.7,0.9,1.1,1.3,1.5,1.7,1.9,2.1,2.3,2.5,2.7,2.9,3.1,3.3,3.5,3.8,4.1,4.2,4.3},{0,10,20,30,40,50,60,62,64,66,68,70,72,74,76,78,80,85,90,95,100})</f>
        <v>85</v>
      </c>
      <c r="Q58" s="12">
        <v>3.3</v>
      </c>
      <c r="R58" s="12">
        <f t="shared" si="31"/>
        <v>6.7</v>
      </c>
      <c r="S58" s="11">
        <f>LOOKUP(R58,{0,4.72,4.82,4.92,5.42,5.52,5.62,5.67,5.72,5.77,5.82,5.87,5.92,5.97,6.42,6.47,6.52,6.59,6.66,6.72,6.78},{0,10,20,30,40,50,60,62,64,66,68,70,72,74,76,78,80,85,90,95,100})</f>
        <v>90</v>
      </c>
      <c r="T58" s="12"/>
      <c r="U58" s="12"/>
      <c r="V58" s="12">
        <f t="shared" si="32"/>
        <v>90</v>
      </c>
      <c r="W58" s="12"/>
      <c r="X58" s="20">
        <f t="shared" si="24"/>
        <v>63</v>
      </c>
      <c r="Y58" s="20">
        <f t="shared" si="30"/>
        <v>90</v>
      </c>
    </row>
    <row r="59" ht="15.6" hidden="1" outlineLevel="2" spans="1:25">
      <c r="A59" s="12">
        <v>204</v>
      </c>
      <c r="B59" s="12">
        <v>31</v>
      </c>
      <c r="C59" s="6" t="s">
        <v>194</v>
      </c>
      <c r="D59" s="6" t="s">
        <v>53</v>
      </c>
      <c r="E59" s="12">
        <v>12.5</v>
      </c>
      <c r="F59" s="11">
        <f>LOOKUP(E59,{0,1,1.8,2.6,3.4,4.2,5,6.3,7.6,8.9,10.2,11.5,12.8,14.1,15.4,16.7,18,19.7,21.4,23.1,24.8},{0,10,20,30,40,50,60,62,64,66,68,70,72,74,76,78,80,85,90,95,100})</f>
        <v>70</v>
      </c>
      <c r="G59" s="12">
        <v>173</v>
      </c>
      <c r="H59" s="11">
        <f>LOOKUP(G59,{0,124,129,134,139,144,149,152,155,158,161,164,167,170,173,176,179,186,193,199,205},{0,10,20,30,40,50,60,62,64,66,68,70,72,74,76,78,80,85,90,95,100})</f>
        <v>76</v>
      </c>
      <c r="I59" s="12">
        <v>37</v>
      </c>
      <c r="J59" s="11">
        <f>LOOKUP(I59,{0,14,16,18,20,22,24,26,28,30,32,34,36,38,40,42,44,47,50,52,54},{0,10,20,30,40,50,60,62,64,66,68,70,72,74,76,78,80,85,90,95,100})</f>
        <v>72</v>
      </c>
      <c r="K59" s="12"/>
      <c r="L59" s="12"/>
      <c r="M59" s="12">
        <f t="shared" si="26"/>
        <v>72</v>
      </c>
      <c r="N59" s="12">
        <v>8.8</v>
      </c>
      <c r="O59" s="12">
        <f t="shared" si="27"/>
        <v>3.2</v>
      </c>
      <c r="P59" s="11">
        <f>LOOKUP(O59,{0,0.5,0.7,0.9,1.1,1.3,1.5,1.7,1.9,2.1,2.3,2.5,2.7,2.9,3.1,3.3,3.5,3.8,4.1,4.2,4.3},{0,10,20,30,40,50,60,62,64,66,68,70,72,74,76,78,80,85,90,95,100})</f>
        <v>76</v>
      </c>
      <c r="Q59" s="12">
        <v>4.03</v>
      </c>
      <c r="R59" s="12">
        <f t="shared" si="31"/>
        <v>5.97</v>
      </c>
      <c r="S59" s="11">
        <f>LOOKUP(R59,{0,4.72,4.82,4.92,5.42,5.52,5.62,5.67,5.72,5.77,5.82,5.87,5.92,5.97,6.42,6.47,6.52,6.59,6.66,6.72,6.78},{0,10,20,30,40,50,60,62,64,66,68,70,72,74,76,78,80,85,90,95,100})</f>
        <v>74</v>
      </c>
      <c r="T59" s="12"/>
      <c r="U59" s="12"/>
      <c r="V59" s="12">
        <f t="shared" si="32"/>
        <v>74</v>
      </c>
      <c r="W59" s="12"/>
      <c r="X59" s="20">
        <f t="shared" si="24"/>
        <v>51.8</v>
      </c>
      <c r="Y59" s="20">
        <f t="shared" si="30"/>
        <v>74</v>
      </c>
    </row>
    <row r="60" ht="15.6" hidden="1" outlineLevel="2" spans="1:25">
      <c r="A60" s="12">
        <v>204</v>
      </c>
      <c r="B60" s="12">
        <v>32</v>
      </c>
      <c r="C60" s="6" t="s">
        <v>195</v>
      </c>
      <c r="D60" s="6" t="s">
        <v>53</v>
      </c>
      <c r="E60" s="12">
        <v>18</v>
      </c>
      <c r="F60" s="11">
        <f>LOOKUP(E60,{0,1,1.8,2.6,3.4,4.2,5,6.3,7.6,8.9,10.2,11.5,12.8,14.1,15.4,16.7,18,19.7,21.4,23.1,24.8},{0,10,20,30,40,50,60,62,64,66,68,70,72,74,76,78,80,85,90,95,100})</f>
        <v>80</v>
      </c>
      <c r="G60" s="12">
        <v>189</v>
      </c>
      <c r="H60" s="11">
        <f>LOOKUP(G60,{0,124,129,134,139,144,149,152,155,158,161,164,167,170,173,176,179,186,193,199,205},{0,10,20,30,40,50,60,62,64,66,68,70,72,74,76,78,80,85,90,95,100})</f>
        <v>85</v>
      </c>
      <c r="I60" s="12">
        <v>45</v>
      </c>
      <c r="J60" s="11">
        <f>LOOKUP(I60,{0,14,16,18,20,22,24,26,28,30,32,34,36,38,40,42,44,47,50,52,54},{0,10,20,30,40,50,60,62,64,66,68,70,72,74,76,78,80,85,90,95,100})</f>
        <v>80</v>
      </c>
      <c r="K60" s="12"/>
      <c r="L60" s="15"/>
      <c r="M60" s="12">
        <f t="shared" si="26"/>
        <v>80</v>
      </c>
      <c r="N60" s="12">
        <v>7.5</v>
      </c>
      <c r="O60" s="12">
        <f t="shared" si="27"/>
        <v>4.5</v>
      </c>
      <c r="P60" s="11">
        <f>LOOKUP(O60,{0,0.5,0.7,0.9,1.1,1.3,1.5,1.7,1.9,2.1,2.3,2.5,2.7,2.9,3.1,3.3,3.5,3.8,4.1,4.2,4.3},{0,10,20,30,40,50,60,62,64,66,68,70,72,74,76,78,80,85,90,95,100})</f>
        <v>100</v>
      </c>
      <c r="Q60" s="12">
        <v>3.25</v>
      </c>
      <c r="R60" s="12">
        <f t="shared" si="31"/>
        <v>6.75</v>
      </c>
      <c r="S60" s="11">
        <f>LOOKUP(R60,{0,4.72,4.82,4.92,5.42,5.52,5.62,5.67,5.72,5.77,5.82,5.87,5.92,5.97,6.42,6.47,6.52,6.59,6.66,6.72,6.78},{0,10,20,30,40,50,60,62,64,66,68,70,72,74,76,78,80,85,90,95,100})</f>
        <v>95</v>
      </c>
      <c r="T60" s="12"/>
      <c r="U60" s="12"/>
      <c r="V60" s="12">
        <f t="shared" si="32"/>
        <v>95</v>
      </c>
      <c r="W60" s="12"/>
      <c r="X60" s="20">
        <f t="shared" si="24"/>
        <v>63.5</v>
      </c>
      <c r="Y60" s="20">
        <f t="shared" si="30"/>
        <v>90.7142857142857</v>
      </c>
    </row>
    <row r="61" ht="15.6" hidden="1" outlineLevel="2" spans="1:25">
      <c r="A61" s="12">
        <v>204</v>
      </c>
      <c r="B61" s="12">
        <v>33</v>
      </c>
      <c r="C61" s="6" t="s">
        <v>196</v>
      </c>
      <c r="D61" s="6" t="s">
        <v>53</v>
      </c>
      <c r="E61" s="12"/>
      <c r="F61" s="11"/>
      <c r="G61" s="12"/>
      <c r="H61" s="11"/>
      <c r="I61" s="12"/>
      <c r="J61" s="11"/>
      <c r="K61" s="12"/>
      <c r="L61" s="15"/>
      <c r="M61" s="12"/>
      <c r="N61" s="12"/>
      <c r="O61" s="12"/>
      <c r="P61" s="11"/>
      <c r="Q61" s="12"/>
      <c r="R61" s="12"/>
      <c r="S61" s="11"/>
      <c r="T61" s="21"/>
      <c r="U61" s="11"/>
      <c r="V61" s="12"/>
      <c r="W61" s="12" t="s">
        <v>16</v>
      </c>
      <c r="X61" s="20">
        <f t="shared" si="24"/>
        <v>0</v>
      </c>
      <c r="Y61" s="20">
        <v>50</v>
      </c>
    </row>
    <row r="62" ht="15.6" hidden="1" outlineLevel="2" spans="1:25">
      <c r="A62" s="12">
        <v>204</v>
      </c>
      <c r="B62" s="12">
        <v>34</v>
      </c>
      <c r="C62" s="6" t="s">
        <v>197</v>
      </c>
      <c r="D62" s="6" t="s">
        <v>53</v>
      </c>
      <c r="E62" s="12">
        <v>30</v>
      </c>
      <c r="F62" s="11">
        <f>LOOKUP(E62,{0,1,1.8,2.6,3.4,4.2,5,6.3,7.6,8.9,10.2,11.5,12.8,14.1,15.4,16.7,18,19.7,21.4,23.1,24.8},{0,10,20,30,40,50,60,62,64,66,68,70,72,74,76,78,80,85,90,95,100})</f>
        <v>100</v>
      </c>
      <c r="G62" s="12"/>
      <c r="H62" s="11"/>
      <c r="I62" s="12">
        <v>45</v>
      </c>
      <c r="J62" s="11">
        <f>LOOKUP(I62,{0,14,16,18,20,22,24,26,28,30,32,34,36,38,40,42,44,47,50,52,54},{0,10,20,30,40,50,60,62,64,66,68,70,72,74,76,78,80,85,90,95,100})</f>
        <v>80</v>
      </c>
      <c r="K62" s="12"/>
      <c r="L62" s="12"/>
      <c r="M62" s="12">
        <f t="shared" ref="M62:M75" si="33">J62+L62</f>
        <v>80</v>
      </c>
      <c r="N62" s="12"/>
      <c r="O62" s="12"/>
      <c r="P62" s="11"/>
      <c r="Q62" s="12"/>
      <c r="R62" s="12"/>
      <c r="S62" s="11"/>
      <c r="T62" s="21"/>
      <c r="U62" s="11"/>
      <c r="V62" s="12"/>
      <c r="W62" s="12"/>
      <c r="X62" s="20">
        <f t="shared" si="24"/>
        <v>18</v>
      </c>
      <c r="Y62" s="23">
        <v>50</v>
      </c>
    </row>
    <row r="63" ht="15.6" hidden="1" outlineLevel="2" spans="1:25">
      <c r="A63" s="12">
        <v>204</v>
      </c>
      <c r="B63" s="12">
        <v>35</v>
      </c>
      <c r="C63" s="6" t="s">
        <v>198</v>
      </c>
      <c r="D63" s="6" t="s">
        <v>53</v>
      </c>
      <c r="E63" s="12">
        <v>16.4</v>
      </c>
      <c r="F63" s="11">
        <f>LOOKUP(E63,{0,1,1.8,2.6,3.4,4.2,5,6.3,7.6,8.9,10.2,11.5,12.8,14.1,15.4,16.7,18,19.7,21.4,23.1,24.8},{0,10,20,30,40,50,60,62,64,66,68,70,72,74,76,78,80,85,90,95,100})</f>
        <v>76</v>
      </c>
      <c r="G63" s="12">
        <v>196</v>
      </c>
      <c r="H63" s="11">
        <f>LOOKUP(G63,{0,124,129,134,139,144,149,152,155,158,161,164,167,170,173,176,179,186,193,199,205},{0,10,20,30,40,50,60,62,64,66,68,70,72,74,76,78,80,85,90,95,100})</f>
        <v>90</v>
      </c>
      <c r="I63" s="12">
        <v>43</v>
      </c>
      <c r="J63" s="11">
        <f>LOOKUP(I63,{0,14,16,18,20,22,24,26,28,30,32,34,36,38,40,42,44,47,50,52,54},{0,10,20,30,40,50,60,62,64,66,68,70,72,74,76,78,80,85,90,95,100})</f>
        <v>78</v>
      </c>
      <c r="K63" s="12"/>
      <c r="L63" s="12"/>
      <c r="M63" s="12">
        <f t="shared" si="33"/>
        <v>78</v>
      </c>
      <c r="N63" s="12">
        <v>8.6</v>
      </c>
      <c r="O63" s="12">
        <f t="shared" ref="O63:O73" si="34">12-N63</f>
        <v>3.4</v>
      </c>
      <c r="P63" s="11">
        <f>LOOKUP(O63,{0,0.5,0.7,0.9,1.1,1.3,1.5,1.7,1.9,2.1,2.3,2.5,2.7,2.9,3.1,3.3,3.5,3.8,4.1,4.2,4.3},{0,10,20,30,40,50,60,62,64,66,68,70,72,74,76,78,80,85,90,95,100})</f>
        <v>78</v>
      </c>
      <c r="Q63" s="12">
        <v>3.37</v>
      </c>
      <c r="R63" s="12">
        <f t="shared" ref="R63:R75" si="35">10-Q63</f>
        <v>6.63</v>
      </c>
      <c r="S63" s="11">
        <f>LOOKUP(R63,{0,4.72,4.82,4.92,5.42,5.52,5.62,5.67,5.72,5.77,5.82,5.87,5.92,5.97,6.42,6.47,6.52,6.59,6.66,6.72,6.78},{0,10,20,30,40,50,60,62,64,66,68,70,72,74,76,78,80,85,90,95,100})</f>
        <v>85</v>
      </c>
      <c r="T63" s="12"/>
      <c r="U63" s="12"/>
      <c r="V63" s="12">
        <f t="shared" ref="V63:V75" si="36">S63+U63</f>
        <v>85</v>
      </c>
      <c r="W63" s="12"/>
      <c r="X63" s="20">
        <f t="shared" si="24"/>
        <v>57</v>
      </c>
      <c r="Y63" s="20">
        <f t="shared" ref="Y63:Y73" si="37">X63/0.7+L63+U63</f>
        <v>81.4285714285714</v>
      </c>
    </row>
    <row r="64" ht="15.6" hidden="1" outlineLevel="2" spans="1:25">
      <c r="A64" s="12">
        <v>204</v>
      </c>
      <c r="B64" s="12">
        <v>36</v>
      </c>
      <c r="C64" s="6" t="s">
        <v>199</v>
      </c>
      <c r="D64" s="6" t="s">
        <v>53</v>
      </c>
      <c r="E64" s="12"/>
      <c r="F64" s="11"/>
      <c r="G64" s="12"/>
      <c r="H64" s="11"/>
      <c r="I64" s="12"/>
      <c r="J64" s="11"/>
      <c r="K64" s="12"/>
      <c r="L64" s="12"/>
      <c r="M64" s="12"/>
      <c r="N64" s="12"/>
      <c r="O64" s="12"/>
      <c r="P64" s="11"/>
      <c r="Q64" s="12"/>
      <c r="R64" s="12"/>
      <c r="S64" s="11"/>
      <c r="T64" s="21"/>
      <c r="U64" s="11"/>
      <c r="V64" s="12"/>
      <c r="W64" s="12" t="s">
        <v>16</v>
      </c>
      <c r="X64" s="20">
        <f t="shared" si="24"/>
        <v>0</v>
      </c>
      <c r="Y64" s="20">
        <v>50</v>
      </c>
    </row>
    <row r="65" ht="15.6" hidden="1" outlineLevel="2" spans="1:25">
      <c r="A65" s="12">
        <v>204</v>
      </c>
      <c r="B65" s="12">
        <v>37</v>
      </c>
      <c r="C65" s="6" t="s">
        <v>200</v>
      </c>
      <c r="D65" s="6" t="s">
        <v>53</v>
      </c>
      <c r="E65" s="12">
        <v>17.5</v>
      </c>
      <c r="F65" s="11">
        <f>LOOKUP(E65,{0,1,1.8,2.6,3.4,4.2,5,6.3,7.6,8.9,10.2,11.5,12.8,14.1,15.4,16.7,18,19.7,21.4,23.1,24.8},{0,10,20,30,40,50,60,62,64,66,68,70,72,74,76,78,80,85,90,95,100})</f>
        <v>78</v>
      </c>
      <c r="G65" s="12">
        <v>170</v>
      </c>
      <c r="H65" s="11">
        <f>LOOKUP(G65,{0,124,129,134,139,144,149,152,155,158,161,164,167,170,173,176,179,186,193,199,205},{0,10,20,30,40,50,60,62,64,66,68,70,72,74,76,78,80,85,90,95,100})</f>
        <v>74</v>
      </c>
      <c r="I65" s="12">
        <v>43</v>
      </c>
      <c r="J65" s="11">
        <f>LOOKUP(I65,{0,14,16,18,20,22,24,26,28,30,32,34,36,38,40,42,44,47,50,52,54},{0,10,20,30,40,50,60,62,64,66,68,70,72,74,76,78,80,85,90,95,100})</f>
        <v>78</v>
      </c>
      <c r="K65" s="12"/>
      <c r="L65" s="15"/>
      <c r="M65" s="12">
        <f t="shared" si="33"/>
        <v>78</v>
      </c>
      <c r="N65" s="12">
        <v>8.7</v>
      </c>
      <c r="O65" s="12">
        <f t="shared" si="34"/>
        <v>3.3</v>
      </c>
      <c r="P65" s="11">
        <f>LOOKUP(O65,{0,0.5,0.7,0.9,1.1,1.3,1.5,1.7,1.9,2.1,2.3,2.5,2.7,2.9,3.1,3.3,3.5,3.8,4.1,4.2,4.3},{0,10,20,30,40,50,60,62,64,66,68,70,72,74,76,78,80,85,90,95,100})</f>
        <v>78</v>
      </c>
      <c r="Q65" s="12">
        <v>3.5</v>
      </c>
      <c r="R65" s="12">
        <f t="shared" si="35"/>
        <v>6.5</v>
      </c>
      <c r="S65" s="11">
        <f>LOOKUP(R65,{0,4.72,4.82,4.92,5.42,5.52,5.62,5.67,5.72,5.77,5.82,5.87,5.92,5.97,6.42,6.47,6.52,6.59,6.66,6.72,6.78},{0,10,20,30,40,50,60,62,64,66,68,70,72,74,76,78,80,85,90,95,100})</f>
        <v>78</v>
      </c>
      <c r="T65" s="12"/>
      <c r="U65" s="12"/>
      <c r="V65" s="12">
        <f t="shared" si="36"/>
        <v>78</v>
      </c>
      <c r="W65" s="12"/>
      <c r="X65" s="20">
        <f t="shared" si="24"/>
        <v>54.2</v>
      </c>
      <c r="Y65" s="20">
        <f t="shared" si="37"/>
        <v>77.4285714285714</v>
      </c>
    </row>
    <row r="66" ht="15.6" hidden="1" outlineLevel="2" spans="1:25">
      <c r="A66" s="12">
        <v>204</v>
      </c>
      <c r="B66" s="12">
        <v>38</v>
      </c>
      <c r="C66" s="13" t="s">
        <v>202</v>
      </c>
      <c r="D66" s="6" t="s">
        <v>53</v>
      </c>
      <c r="E66" s="12">
        <v>25.5</v>
      </c>
      <c r="F66" s="11">
        <f>LOOKUP(E66,{0,1,1.8,2.6,3.4,4.2,5,6.3,7.6,8.9,10.2,11.5,12.8,14.1,15.4,16.7,18,19.7,21.4,23.1,24.8},{0,10,20,30,40,50,60,62,64,66,68,70,72,74,76,78,80,85,90,95,100})</f>
        <v>100</v>
      </c>
      <c r="G66" s="12">
        <v>184</v>
      </c>
      <c r="H66" s="11">
        <f>LOOKUP(G66,{0,124,129,134,139,144,149,152,155,158,161,164,167,170,173,176,179,186,193,199,205},{0,10,20,30,40,50,60,62,64,66,68,70,72,74,76,78,80,85,90,95,100})</f>
        <v>80</v>
      </c>
      <c r="I66" s="12">
        <v>56</v>
      </c>
      <c r="J66" s="11">
        <f>LOOKUP(I66,{0,14,16,18,20,22,24,26,28,30,32,34,36,38,40,42,44,47,50,52,54},{0,10,20,30,40,50,60,62,64,66,68,70,72,74,76,78,80,85,90,95,100})</f>
        <v>100</v>
      </c>
      <c r="K66" s="12">
        <f>I66-54</f>
        <v>2</v>
      </c>
      <c r="L66" s="11">
        <f>LOOKUP(K66,{0,2,4,6,7,8,9,10,11,12,13},{0,1,2,3,4,5,6,7,8,9,10})</f>
        <v>1</v>
      </c>
      <c r="M66" s="12">
        <f t="shared" si="33"/>
        <v>101</v>
      </c>
      <c r="N66" s="12">
        <v>8.2</v>
      </c>
      <c r="O66" s="12">
        <f t="shared" si="34"/>
        <v>3.8</v>
      </c>
      <c r="P66" s="11">
        <f>LOOKUP(O66,{0,0.5,0.7,0.9,1.1,1.3,1.5,1.7,1.9,2.1,2.3,2.5,2.7,2.9,3.1,3.3,3.5,3.8,4.1,4.2,4.3},{0,10,20,30,40,50,60,62,64,66,68,70,72,74,76,78,80,85,90,95,100})</f>
        <v>85</v>
      </c>
      <c r="Q66" s="12">
        <v>3.29</v>
      </c>
      <c r="R66" s="12">
        <f t="shared" si="35"/>
        <v>6.71</v>
      </c>
      <c r="S66" s="11">
        <f>LOOKUP(R66,{0,4.72,4.82,4.92,5.42,5.52,5.62,5.67,5.72,5.77,5.82,5.87,5.92,5.97,6.42,6.47,6.52,6.59,6.66,6.72,6.78},{0,10,20,30,40,50,60,62,64,66,68,70,72,74,76,78,80,85,90,95,100})</f>
        <v>90</v>
      </c>
      <c r="T66" s="12"/>
      <c r="U66" s="12"/>
      <c r="V66" s="12">
        <f t="shared" si="36"/>
        <v>90</v>
      </c>
      <c r="W66" s="12"/>
      <c r="X66" s="20">
        <f t="shared" si="24"/>
        <v>63</v>
      </c>
      <c r="Y66" s="20">
        <f t="shared" si="37"/>
        <v>91</v>
      </c>
    </row>
    <row r="67" ht="15.6" hidden="1" outlineLevel="2" spans="1:25">
      <c r="A67" s="12">
        <v>204</v>
      </c>
      <c r="B67" s="12">
        <v>39</v>
      </c>
      <c r="C67" s="6" t="s">
        <v>203</v>
      </c>
      <c r="D67" s="6" t="s">
        <v>53</v>
      </c>
      <c r="E67" s="12">
        <v>27.7</v>
      </c>
      <c r="F67" s="11">
        <f>LOOKUP(E67,{0,1,1.8,2.6,3.4,4.2,5,6.3,7.6,8.9,10.2,11.5,12.8,14.1,15.4,16.7,18,19.7,21.4,23.1,24.8},{0,10,20,30,40,50,60,62,64,66,68,70,72,74,76,78,80,85,90,95,100})</f>
        <v>100</v>
      </c>
      <c r="G67" s="12">
        <v>215</v>
      </c>
      <c r="H67" s="11">
        <f>LOOKUP(G67,{0,124,129,134,139,144,149,152,155,158,161,164,167,170,173,176,179,186,193,199,205},{0,10,20,30,40,50,60,62,64,66,68,70,72,74,76,78,80,85,90,95,100})</f>
        <v>100</v>
      </c>
      <c r="I67" s="12">
        <v>55</v>
      </c>
      <c r="J67" s="11">
        <f>LOOKUP(I67,{0,14,16,18,20,22,24,26,28,30,32,34,36,38,40,42,44,47,50,52,54},{0,10,20,30,40,50,60,62,64,66,68,70,72,74,76,78,80,85,90,95,100})</f>
        <v>100</v>
      </c>
      <c r="K67" s="12">
        <f>I67-54</f>
        <v>1</v>
      </c>
      <c r="L67" s="11">
        <f>LOOKUP(K67,{0,2,4,6,7,8,9,10,11,12,13},{0,1,2,3,4,5,6,7,8,9,10})</f>
        <v>0</v>
      </c>
      <c r="M67" s="12">
        <f t="shared" si="33"/>
        <v>100</v>
      </c>
      <c r="N67" s="12">
        <v>7.8</v>
      </c>
      <c r="O67" s="12">
        <f t="shared" si="34"/>
        <v>4.2</v>
      </c>
      <c r="P67" s="11">
        <f>LOOKUP(O67,{0,0.5,0.7,0.9,1.1,1.3,1.5,1.7,1.9,2.1,2.3,2.5,2.7,2.9,3.1,3.3,3.5,3.8,4.1,4.2,4.3},{0,10,20,30,40,50,60,62,64,66,68,70,72,74,76,78,80,85,90,95,100})</f>
        <v>95</v>
      </c>
      <c r="Q67" s="12">
        <v>3.34</v>
      </c>
      <c r="R67" s="12">
        <f t="shared" si="35"/>
        <v>6.66</v>
      </c>
      <c r="S67" s="11">
        <f>LOOKUP(R67,{0,4.72,4.82,4.92,5.42,5.52,5.62,5.67,5.72,5.77,5.82,5.87,5.92,5.97,6.42,6.47,6.52,6.59,6.66,6.72,6.78},{0,10,20,30,40,50,60,62,64,66,68,70,72,74,76,78,80,85,90,95,100})</f>
        <v>90</v>
      </c>
      <c r="T67" s="12"/>
      <c r="U67" s="12"/>
      <c r="V67" s="12">
        <f t="shared" si="36"/>
        <v>90</v>
      </c>
      <c r="W67" s="12"/>
      <c r="X67" s="20">
        <f t="shared" si="24"/>
        <v>67</v>
      </c>
      <c r="Y67" s="20">
        <f t="shared" si="37"/>
        <v>95.7142857142857</v>
      </c>
    </row>
    <row r="68" ht="15.6" hidden="1" outlineLevel="2" spans="1:25">
      <c r="A68" s="12">
        <v>204</v>
      </c>
      <c r="B68" s="12">
        <v>40</v>
      </c>
      <c r="C68" s="6" t="s">
        <v>204</v>
      </c>
      <c r="D68" s="6" t="s">
        <v>53</v>
      </c>
      <c r="E68" s="12">
        <v>9.2</v>
      </c>
      <c r="F68" s="11">
        <f>LOOKUP(E68,{0,1,1.8,2.6,3.4,4.2,5,6.3,7.6,8.9,10.2,11.5,12.8,14.1,15.4,16.7,18,19.7,21.4,23.1,24.8},{0,10,20,30,40,50,60,62,64,66,68,70,72,74,76,78,80,85,90,95,100})</f>
        <v>66</v>
      </c>
      <c r="G68" s="12">
        <v>175</v>
      </c>
      <c r="H68" s="11">
        <f>LOOKUP(G68,{0,124,129,134,139,144,149,152,155,158,161,164,167,170,173,176,179,186,193,199,205},{0,10,20,30,40,50,60,62,64,66,68,70,72,74,76,78,80,85,90,95,100})</f>
        <v>76</v>
      </c>
      <c r="I68" s="12">
        <v>43</v>
      </c>
      <c r="J68" s="11">
        <f>LOOKUP(I68,{0,14,16,18,20,22,24,26,28,30,32,34,36,38,40,42,44,47,50,52,54},{0,10,20,30,40,50,60,62,64,66,68,70,72,74,76,78,80,85,90,95,100})</f>
        <v>78</v>
      </c>
      <c r="K68" s="12"/>
      <c r="L68" s="12"/>
      <c r="M68" s="12">
        <f t="shared" si="33"/>
        <v>78</v>
      </c>
      <c r="N68" s="12">
        <v>9.2</v>
      </c>
      <c r="O68" s="12">
        <f t="shared" si="34"/>
        <v>2.8</v>
      </c>
      <c r="P68" s="11">
        <f>LOOKUP(O68,{0,0.5,0.7,0.9,1.1,1.3,1.5,1.7,1.9,2.1,2.3,2.5,2.7,2.9,3.1,3.3,3.5,3.8,4.1,4.2,4.3},{0,10,20,30,40,50,60,62,64,66,68,70,72,74,76,78,80,85,90,95,100})</f>
        <v>72</v>
      </c>
      <c r="Q68" s="12">
        <v>4.17</v>
      </c>
      <c r="R68" s="12">
        <f t="shared" si="35"/>
        <v>5.83</v>
      </c>
      <c r="S68" s="11">
        <f>LOOKUP(R68,{0,4.72,4.82,4.92,5.42,5.52,5.62,5.67,5.72,5.77,5.82,5.87,5.92,5.97,6.42,6.47,6.52,6.59,6.66,6.72,6.78},{0,10,20,30,40,50,60,62,64,66,68,70,72,74,76,78,80,85,90,95,100})</f>
        <v>68</v>
      </c>
      <c r="T68" s="12"/>
      <c r="U68" s="12"/>
      <c r="V68" s="12">
        <f t="shared" si="36"/>
        <v>68</v>
      </c>
      <c r="W68" s="12"/>
      <c r="X68" s="20">
        <f t="shared" si="24"/>
        <v>50</v>
      </c>
      <c r="Y68" s="20">
        <f t="shared" si="37"/>
        <v>71.4285714285714</v>
      </c>
    </row>
    <row r="69" ht="15.6" hidden="1" outlineLevel="2" spans="1:25">
      <c r="A69" s="12">
        <v>204</v>
      </c>
      <c r="B69" s="12">
        <v>41</v>
      </c>
      <c r="C69" s="6" t="s">
        <v>205</v>
      </c>
      <c r="D69" s="6" t="s">
        <v>53</v>
      </c>
      <c r="E69" s="12">
        <v>12.8</v>
      </c>
      <c r="F69" s="11">
        <f>LOOKUP(E69,{0,1,1.8,2.6,3.4,4.2,5,6.3,7.6,8.9,10.2,11.5,12.8,14.1,15.4,16.7,18,19.7,21.4,23.1,24.8},{0,10,20,30,40,50,60,62,64,66,68,70,72,74,76,78,80,85,90,95,100})</f>
        <v>72</v>
      </c>
      <c r="G69" s="12">
        <v>212</v>
      </c>
      <c r="H69" s="11">
        <f>LOOKUP(G69,{0,124,129,134,139,144,149,152,155,158,161,164,167,170,173,176,179,186,193,199,205},{0,10,20,30,40,50,60,62,64,66,68,70,72,74,76,78,80,85,90,95,100})</f>
        <v>100</v>
      </c>
      <c r="I69" s="12">
        <v>52</v>
      </c>
      <c r="J69" s="11">
        <f>LOOKUP(I69,{0,14,16,18,20,22,24,26,28,30,32,34,36,38,40,42,44,47,50,52,54},{0,10,20,30,40,50,60,62,64,66,68,70,72,74,76,78,80,85,90,95,100})</f>
        <v>95</v>
      </c>
      <c r="K69" s="12"/>
      <c r="L69" s="12"/>
      <c r="M69" s="12">
        <f t="shared" si="33"/>
        <v>95</v>
      </c>
      <c r="N69" s="12">
        <v>7.8</v>
      </c>
      <c r="O69" s="12">
        <f t="shared" si="34"/>
        <v>4.2</v>
      </c>
      <c r="P69" s="11">
        <f>LOOKUP(O69,{0,0.5,0.7,0.9,1.1,1.3,1.5,1.7,1.9,2.1,2.3,2.5,2.7,2.9,3.1,3.3,3.5,3.8,4.1,4.2,4.3},{0,10,20,30,40,50,60,62,64,66,68,70,72,74,76,78,80,85,90,95,100})</f>
        <v>95</v>
      </c>
      <c r="Q69" s="12">
        <v>3.3</v>
      </c>
      <c r="R69" s="12">
        <f t="shared" si="35"/>
        <v>6.7</v>
      </c>
      <c r="S69" s="11">
        <f>LOOKUP(R69,{0,4.72,4.82,4.92,5.42,5.52,5.62,5.67,5.72,5.77,5.82,5.87,5.92,5.97,6.42,6.47,6.52,6.59,6.66,6.72,6.78},{0,10,20,30,40,50,60,62,64,66,68,70,72,74,76,78,80,85,90,95,100})</f>
        <v>90</v>
      </c>
      <c r="T69" s="12"/>
      <c r="U69" s="12"/>
      <c r="V69" s="12">
        <f t="shared" si="36"/>
        <v>90</v>
      </c>
      <c r="W69" s="12"/>
      <c r="X69" s="20">
        <f t="shared" si="24"/>
        <v>63.7</v>
      </c>
      <c r="Y69" s="20">
        <f t="shared" si="37"/>
        <v>91</v>
      </c>
    </row>
    <row r="70" customFormat="1" ht="15.6" hidden="1" outlineLevel="2" spans="1:25">
      <c r="A70" s="12">
        <v>204</v>
      </c>
      <c r="B70" s="12">
        <v>42</v>
      </c>
      <c r="C70" s="6" t="s">
        <v>206</v>
      </c>
      <c r="D70" s="6" t="s">
        <v>53</v>
      </c>
      <c r="E70" s="12">
        <v>25</v>
      </c>
      <c r="F70" s="11">
        <f>LOOKUP(E70,{0,1,1.8,2.6,3.4,4.2,5,6.3,7.6,8.9,10.2,11.5,12.8,14.1,15.4,16.7,18,19.7,21.4,23.1,24.8},{0,10,20,30,40,50,60,62,64,66,68,70,72,74,76,78,80,85,90,95,100})</f>
        <v>100</v>
      </c>
      <c r="G70" s="12">
        <v>180</v>
      </c>
      <c r="H70" s="11">
        <f>LOOKUP(G70,{0,124,129,134,139,144,149,152,155,158,161,164,167,170,173,176,179,186,193,199,205},{0,10,20,30,40,50,60,62,64,66,68,70,72,74,76,78,80,85,90,95,100})</f>
        <v>80</v>
      </c>
      <c r="I70" s="12">
        <v>53</v>
      </c>
      <c r="J70" s="11">
        <f>LOOKUP(I70,{0,14,16,18,20,22,24,26,28,30,32,34,36,38,40,42,44,47,50,52,54},{0,10,20,30,40,50,60,62,64,66,68,70,72,74,76,78,80,85,90,95,100})</f>
        <v>95</v>
      </c>
      <c r="K70" s="12"/>
      <c r="L70" s="12"/>
      <c r="M70" s="12">
        <f t="shared" si="33"/>
        <v>95</v>
      </c>
      <c r="N70" s="12">
        <v>8.8</v>
      </c>
      <c r="O70" s="12">
        <f t="shared" si="34"/>
        <v>3.2</v>
      </c>
      <c r="P70" s="11">
        <f>LOOKUP(O70,{0,0.5,0.7,0.9,1.1,1.3,1.5,1.7,1.9,2.1,2.3,2.5,2.7,2.9,3.1,3.3,3.5,3.8,4.1,4.2,4.3},{0,10,20,30,40,50,60,62,64,66,68,70,72,74,76,78,80,85,90,95,100})</f>
        <v>76</v>
      </c>
      <c r="Q70" s="12">
        <v>3.45</v>
      </c>
      <c r="R70" s="12">
        <f t="shared" si="35"/>
        <v>6.55</v>
      </c>
      <c r="S70" s="11">
        <f>LOOKUP(R70,{0,4.72,4.82,4.92,5.42,5.52,5.62,5.67,5.72,5.77,5.82,5.87,5.92,5.97,6.42,6.47,6.52,6.59,6.66,6.72,6.78},{0,10,20,30,40,50,60,62,64,66,68,70,72,74,76,78,80,85,90,95,100})</f>
        <v>80</v>
      </c>
      <c r="T70" s="12"/>
      <c r="U70" s="12"/>
      <c r="V70" s="12">
        <f t="shared" si="36"/>
        <v>80</v>
      </c>
      <c r="W70" s="12"/>
      <c r="X70" s="20">
        <f t="shared" si="24"/>
        <v>58.7</v>
      </c>
      <c r="Y70" s="20">
        <f t="shared" si="37"/>
        <v>83.8571428571429</v>
      </c>
    </row>
    <row r="71" s="1" customFormat="1" ht="15.6" hidden="1" outlineLevel="2" spans="1:25">
      <c r="A71" s="12">
        <v>204</v>
      </c>
      <c r="B71" s="12">
        <v>43</v>
      </c>
      <c r="C71" s="6" t="s">
        <v>207</v>
      </c>
      <c r="D71" s="6" t="s">
        <v>53</v>
      </c>
      <c r="E71" s="12">
        <v>17.5</v>
      </c>
      <c r="F71" s="11">
        <f>LOOKUP(E71,{0,1,1.8,2.6,3.4,4.2,5,6.3,7.6,8.9,10.2,11.5,12.8,14.1,15.4,16.7,18,19.7,21.4,23.1,24.8},{0,10,20,30,40,50,60,62,64,66,68,70,72,74,76,78,80,85,90,95,100})</f>
        <v>78</v>
      </c>
      <c r="G71" s="12">
        <v>192</v>
      </c>
      <c r="H71" s="11">
        <f>LOOKUP(G71,{0,124,129,134,139,144,149,152,155,158,161,164,167,170,173,176,179,186,193,199,205},{0,10,20,30,40,50,60,62,64,66,68,70,72,74,76,78,80,85,90,95,100})</f>
        <v>85</v>
      </c>
      <c r="I71" s="12">
        <v>49</v>
      </c>
      <c r="J71" s="11">
        <f>LOOKUP(I71,{0,14,16,18,20,22,24,26,28,30,32,34,36,38,40,42,44,47,50,52,54},{0,10,20,30,40,50,60,62,64,66,68,70,72,74,76,78,80,85,90,95,100})</f>
        <v>85</v>
      </c>
      <c r="K71" s="12"/>
      <c r="L71" s="15"/>
      <c r="M71" s="12">
        <f t="shared" si="33"/>
        <v>85</v>
      </c>
      <c r="N71" s="12">
        <v>8.8</v>
      </c>
      <c r="O71" s="12">
        <f t="shared" si="34"/>
        <v>3.2</v>
      </c>
      <c r="P71" s="11">
        <f>LOOKUP(O71,{0,0.5,0.7,0.9,1.1,1.3,1.5,1.7,1.9,2.1,2.3,2.5,2.7,2.9,3.1,3.3,3.5,3.8,4.1,4.2,4.3},{0,10,20,30,40,50,60,62,64,66,68,70,72,74,76,78,80,85,90,95,100})</f>
        <v>76</v>
      </c>
      <c r="Q71" s="12">
        <v>3.47</v>
      </c>
      <c r="R71" s="12">
        <f t="shared" si="35"/>
        <v>6.53</v>
      </c>
      <c r="S71" s="11">
        <f>LOOKUP(R71,{0,4.72,4.82,4.92,5.42,5.52,5.62,5.67,5.72,5.77,5.82,5.87,5.92,5.97,6.42,6.47,6.52,6.59,6.66,6.72,6.78},{0,10,20,30,40,50,60,62,64,66,68,70,72,74,76,78,80,85,90,95,100})</f>
        <v>80</v>
      </c>
      <c r="T71" s="12"/>
      <c r="U71" s="12"/>
      <c r="V71" s="12">
        <f t="shared" si="36"/>
        <v>80</v>
      </c>
      <c r="W71" s="12"/>
      <c r="X71" s="20">
        <f t="shared" si="24"/>
        <v>56</v>
      </c>
      <c r="Y71" s="20">
        <f t="shared" si="37"/>
        <v>80</v>
      </c>
    </row>
    <row r="72" ht="15.6" hidden="1" outlineLevel="2" spans="1:25">
      <c r="A72" s="12">
        <v>204</v>
      </c>
      <c r="B72" s="12">
        <v>44</v>
      </c>
      <c r="C72" s="6" t="s">
        <v>208</v>
      </c>
      <c r="D72" s="6" t="s">
        <v>53</v>
      </c>
      <c r="E72" s="12">
        <v>23</v>
      </c>
      <c r="F72" s="11">
        <f>LOOKUP(E72,{0,1,1.8,2.6,3.4,4.2,5,6.3,7.6,8.9,10.2,11.5,12.8,14.1,15.4,16.7,18,19.7,21.4,23.1,24.8},{0,10,20,30,40,50,60,62,64,66,68,70,72,74,76,78,80,85,90,95,100})</f>
        <v>90</v>
      </c>
      <c r="G72" s="12">
        <v>186</v>
      </c>
      <c r="H72" s="11">
        <f>LOOKUP(G72,{0,124,129,134,139,144,149,152,155,158,161,164,167,170,173,176,179,186,193,199,205},{0,10,20,30,40,50,60,62,64,66,68,70,72,74,76,78,80,85,90,95,100})</f>
        <v>85</v>
      </c>
      <c r="I72" s="12">
        <v>51</v>
      </c>
      <c r="J72" s="11">
        <f>LOOKUP(I72,{0,14,16,18,20,22,24,26,28,30,32,34,36,38,40,42,44,47,50,52,54},{0,10,20,30,40,50,60,62,64,66,68,70,72,74,76,78,80,85,90,95,100})</f>
        <v>90</v>
      </c>
      <c r="K72" s="12"/>
      <c r="L72" s="12"/>
      <c r="M72" s="12">
        <f t="shared" si="33"/>
        <v>90</v>
      </c>
      <c r="N72" s="12">
        <v>8.9</v>
      </c>
      <c r="O72" s="12">
        <f t="shared" si="34"/>
        <v>3.1</v>
      </c>
      <c r="P72" s="11">
        <f>LOOKUP(O72,{0,0.5,0.7,0.9,1.1,1.3,1.5,1.7,1.9,2.1,2.3,2.5,2.7,2.9,3.1,3.3,3.5,3.8,4.1,4.2,4.3},{0,10,20,30,40,50,60,62,64,66,68,70,72,74,76,78,80,85,90,95,100})</f>
        <v>76</v>
      </c>
      <c r="Q72" s="12">
        <v>3.42</v>
      </c>
      <c r="R72" s="12">
        <f t="shared" si="35"/>
        <v>6.58</v>
      </c>
      <c r="S72" s="11">
        <f>LOOKUP(R72,{0,4.72,4.82,4.92,5.42,5.52,5.62,5.67,5.72,5.77,5.82,5.87,5.92,5.97,6.42,6.47,6.52,6.59,6.66,6.72,6.78},{0,10,20,30,40,50,60,62,64,66,68,70,72,74,76,78,80,85,90,95,100})</f>
        <v>80</v>
      </c>
      <c r="T72" s="12"/>
      <c r="U72" s="12"/>
      <c r="V72" s="12">
        <f t="shared" si="36"/>
        <v>80</v>
      </c>
      <c r="W72" s="12"/>
      <c r="X72" s="20">
        <f t="shared" si="24"/>
        <v>57.7</v>
      </c>
      <c r="Y72" s="20">
        <f t="shared" si="37"/>
        <v>82.4285714285714</v>
      </c>
    </row>
    <row r="73" ht="15.6" hidden="1" outlineLevel="2" spans="1:25">
      <c r="A73" s="12">
        <v>204</v>
      </c>
      <c r="B73" s="12">
        <v>45</v>
      </c>
      <c r="C73" s="6" t="s">
        <v>209</v>
      </c>
      <c r="D73" s="6" t="s">
        <v>53</v>
      </c>
      <c r="E73" s="12">
        <v>19.1</v>
      </c>
      <c r="F73" s="11">
        <f>LOOKUP(E73,{0,1,1.8,2.6,3.4,4.2,5,6.3,7.6,8.9,10.2,11.5,12.8,14.1,15.4,16.7,18,19.7,21.4,23.1,24.8},{0,10,20,30,40,50,60,62,64,66,68,70,72,74,76,78,80,85,90,95,100})</f>
        <v>80</v>
      </c>
      <c r="G73" s="12">
        <v>210</v>
      </c>
      <c r="H73" s="11">
        <f>LOOKUP(G73,{0,124,129,134,139,144,149,152,155,158,161,164,167,170,173,176,179,186,193,199,205},{0,10,20,30,40,50,60,62,64,66,68,70,72,74,76,78,80,85,90,95,100})</f>
        <v>100</v>
      </c>
      <c r="I73" s="12">
        <v>49</v>
      </c>
      <c r="J73" s="11">
        <f>LOOKUP(I73,{0,14,16,18,20,22,24,26,28,30,32,34,36,38,40,42,44,47,50,52,54},{0,10,20,30,40,50,60,62,64,66,68,70,72,74,76,78,80,85,90,95,100})</f>
        <v>85</v>
      </c>
      <c r="K73" s="12"/>
      <c r="L73" s="12"/>
      <c r="M73" s="12">
        <f t="shared" si="33"/>
        <v>85</v>
      </c>
      <c r="N73" s="12">
        <v>8.4</v>
      </c>
      <c r="O73" s="12">
        <f t="shared" si="34"/>
        <v>3.6</v>
      </c>
      <c r="P73" s="11">
        <f>LOOKUP(O73,{0,0.5,0.7,0.9,1.1,1.3,1.5,1.7,1.9,2.1,2.3,2.5,2.7,2.9,3.1,3.3,3.5,3.8,4.1,4.2,4.3},{0,10,20,30,40,50,60,62,64,66,68,70,72,74,76,78,80,85,90,95,100})</f>
        <v>80</v>
      </c>
      <c r="Q73" s="12">
        <v>3.39</v>
      </c>
      <c r="R73" s="12">
        <f t="shared" si="35"/>
        <v>6.61</v>
      </c>
      <c r="S73" s="11">
        <f>LOOKUP(R73,{0,4.72,4.82,4.92,5.42,5.52,5.62,5.67,5.72,5.77,5.82,5.87,5.92,5.97,6.42,6.47,6.52,6.59,6.66,6.72,6.78},{0,10,20,30,40,50,60,62,64,66,68,70,72,74,76,78,80,85,90,95,100})</f>
        <v>85</v>
      </c>
      <c r="T73" s="12"/>
      <c r="U73" s="12"/>
      <c r="V73" s="12">
        <f t="shared" si="36"/>
        <v>85</v>
      </c>
      <c r="W73" s="12"/>
      <c r="X73" s="20">
        <f t="shared" si="24"/>
        <v>59.5</v>
      </c>
      <c r="Y73" s="20">
        <f t="shared" si="37"/>
        <v>85</v>
      </c>
    </row>
    <row r="74" ht="15.6" hidden="1" outlineLevel="2" spans="1:25">
      <c r="A74" s="12">
        <v>204</v>
      </c>
      <c r="B74" s="12">
        <v>46</v>
      </c>
      <c r="C74" s="6" t="s">
        <v>210</v>
      </c>
      <c r="D74" s="6" t="s">
        <v>53</v>
      </c>
      <c r="E74" s="12">
        <v>28</v>
      </c>
      <c r="F74" s="11">
        <f>LOOKUP(E74,{0,1,1.8,2.6,3.4,4.2,5,6.3,7.6,8.9,10.2,11.5,12.8,14.1,15.4,16.7,18,19.7,21.4,23.1,24.8},{0,10,20,30,40,50,60,62,64,66,68,70,72,74,76,78,80,85,90,95,100})</f>
        <v>100</v>
      </c>
      <c r="G74" s="12">
        <v>166</v>
      </c>
      <c r="H74" s="11">
        <f>LOOKUP(G74,{0,124,129,134,139,144,149,152,155,158,161,164,167,170,173,176,179,186,193,199,205},{0,10,20,30,40,50,60,62,64,66,68,70,72,74,76,78,80,85,90,95,100})</f>
        <v>70</v>
      </c>
      <c r="I74" s="12">
        <v>42</v>
      </c>
      <c r="J74" s="11">
        <f>LOOKUP(I74,{0,14,16,18,20,22,24,26,28,30,32,34,36,38,40,42,44,47,50,52,54},{0,10,20,30,40,50,60,62,64,66,68,70,72,74,76,78,80,85,90,95,100})</f>
        <v>78</v>
      </c>
      <c r="K74" s="12"/>
      <c r="L74" s="15"/>
      <c r="M74" s="12">
        <f t="shared" si="33"/>
        <v>78</v>
      </c>
      <c r="N74" s="12"/>
      <c r="O74" s="12"/>
      <c r="P74" s="11"/>
      <c r="Q74" s="12">
        <v>4.39</v>
      </c>
      <c r="R74" s="12">
        <f t="shared" si="35"/>
        <v>5.61</v>
      </c>
      <c r="S74" s="11">
        <f>LOOKUP(R74,{0,4.72,4.82,4.92,5.42,5.52,5.62,5.67,5.72,5.77,5.82,5.87,5.92,5.97,6.42,6.47,6.52,6.59,6.66,6.72,6.78},{0,10,20,30,40,50,60,62,64,66,68,70,72,74,76,78,80,85,90,95,100})</f>
        <v>50</v>
      </c>
      <c r="T74" s="12"/>
      <c r="U74" s="12"/>
      <c r="V74" s="12">
        <f t="shared" si="36"/>
        <v>50</v>
      </c>
      <c r="W74" s="12"/>
      <c r="X74" s="20">
        <f t="shared" si="24"/>
        <v>34.8</v>
      </c>
      <c r="Y74" s="23">
        <v>50</v>
      </c>
    </row>
    <row r="75" ht="15.6" hidden="1" outlineLevel="2" spans="1:25">
      <c r="A75" s="12">
        <v>204</v>
      </c>
      <c r="B75" s="12">
        <v>47</v>
      </c>
      <c r="C75" s="6" t="s">
        <v>211</v>
      </c>
      <c r="D75" s="6" t="s">
        <v>53</v>
      </c>
      <c r="E75" s="12">
        <v>11.5</v>
      </c>
      <c r="F75" s="11">
        <f>LOOKUP(E75,{0,1,1.8,2.6,3.4,4.2,5,6.3,7.6,8.9,10.2,11.5,12.8,14.1,15.4,16.7,18,19.7,21.4,23.1,24.8},{0,10,20,30,40,50,60,62,64,66,68,70,72,74,76,78,80,85,90,95,100})</f>
        <v>70</v>
      </c>
      <c r="G75" s="12">
        <v>157</v>
      </c>
      <c r="H75" s="11">
        <f>LOOKUP(G75,{0,124,129,134,139,144,149,152,155,158,161,164,167,170,173,176,179,186,193,199,205},{0,10,20,30,40,50,60,62,64,66,68,70,72,74,76,78,80,85,90,95,100})</f>
        <v>64</v>
      </c>
      <c r="I75" s="12">
        <v>44</v>
      </c>
      <c r="J75" s="11">
        <f>LOOKUP(I75,{0,14,16,18,20,22,24,26,28,30,32,34,36,38,40,42,44,47,50,52,54},{0,10,20,30,40,50,60,62,64,66,68,70,72,74,76,78,80,85,90,95,100})</f>
        <v>80</v>
      </c>
      <c r="K75" s="12"/>
      <c r="L75" s="15"/>
      <c r="M75" s="12">
        <f t="shared" si="33"/>
        <v>80</v>
      </c>
      <c r="N75" s="12"/>
      <c r="O75" s="12"/>
      <c r="P75" s="11"/>
      <c r="Q75" s="12">
        <v>4.4</v>
      </c>
      <c r="R75" s="12">
        <f t="shared" si="35"/>
        <v>5.6</v>
      </c>
      <c r="S75" s="11">
        <f>LOOKUP(R75,{0,4.72,4.82,4.92,5.42,5.52,5.62,5.67,5.72,5.77,5.82,5.87,5.92,5.97,6.42,6.47,6.52,6.59,6.66,6.72,6.78},{0,10,20,30,40,50,60,62,64,66,68,70,72,74,76,78,80,85,90,95,100})</f>
        <v>50</v>
      </c>
      <c r="T75" s="12"/>
      <c r="U75" s="12"/>
      <c r="V75" s="12">
        <f t="shared" si="36"/>
        <v>50</v>
      </c>
      <c r="W75" s="12"/>
      <c r="X75" s="20">
        <f t="shared" si="24"/>
        <v>31.4</v>
      </c>
      <c r="Y75" s="23">
        <v>50</v>
      </c>
    </row>
    <row r="76" ht="15.6" outlineLevel="1" collapsed="1" spans="1:25">
      <c r="A76" s="14" t="s">
        <v>858</v>
      </c>
      <c r="B76" s="12"/>
      <c r="C76" s="6"/>
      <c r="D76" s="6"/>
      <c r="E76" s="12"/>
      <c r="F76" s="11">
        <f>SUBTOTAL(1,F36:F75)</f>
        <v>85</v>
      </c>
      <c r="G76" s="12"/>
      <c r="H76" s="11">
        <f>SUBTOTAL(1,H36:H75)</f>
        <v>84.8888888888889</v>
      </c>
      <c r="I76" s="12"/>
      <c r="J76" s="11">
        <f>SUBTOTAL(1,J36:J75)</f>
        <v>84.945945945946</v>
      </c>
      <c r="K76" s="12"/>
      <c r="L76" s="15"/>
      <c r="M76" s="12">
        <f>SUBTOTAL(1,M36:M75)</f>
        <v>85.027027027027</v>
      </c>
      <c r="N76" s="12"/>
      <c r="O76" s="12"/>
      <c r="P76" s="11">
        <f>SUBTOTAL(1,P36:P75)</f>
        <v>82.2941176470588</v>
      </c>
      <c r="Q76" s="12"/>
      <c r="R76" s="12"/>
      <c r="S76" s="11">
        <f>SUBTOTAL(1,S36:S75)</f>
        <v>82.6571428571429</v>
      </c>
      <c r="T76" s="12"/>
      <c r="U76" s="12"/>
      <c r="V76" s="12">
        <f>SUBTOTAL(1,V36:V75)</f>
        <v>82.7714285714286</v>
      </c>
      <c r="W76" s="12"/>
      <c r="X76" s="20">
        <f>SUBTOTAL(1,X36:X75)</f>
        <v>51.815</v>
      </c>
      <c r="Y76" s="23">
        <f>SUBTOTAL(1,Y36:Y75)</f>
        <v>78.6892857142857</v>
      </c>
    </row>
    <row r="77" ht="15.6" hidden="1" outlineLevel="2" spans="1:25">
      <c r="A77" s="12">
        <v>205</v>
      </c>
      <c r="B77" s="12">
        <v>40</v>
      </c>
      <c r="C77" s="13" t="s">
        <v>256</v>
      </c>
      <c r="D77" s="6" t="s">
        <v>53</v>
      </c>
      <c r="E77" s="12">
        <v>18.4</v>
      </c>
      <c r="F77" s="11">
        <f>LOOKUP(E77,{0,1,1.8,2.6,3.4,4.2,5,6.3,7.6,8.9,10.2,11.5,12.8,14.1,15.4,16.7,18,19.7,21.4,23.1,24.8},{0,10,20,30,40,50,60,62,64,66,68,70,72,74,76,78,80,85,90,95,100})</f>
        <v>80</v>
      </c>
      <c r="G77" s="12">
        <v>172</v>
      </c>
      <c r="H77" s="11">
        <f>LOOKUP(G77,{0,124,129,134,139,144,149,152,155,158,161,164,167,170,173,176,179,186,193,199,205},{0,10,20,30,40,50,60,62,64,66,68,70,72,74,76,78,80,85,90,95,100})</f>
        <v>74</v>
      </c>
      <c r="I77" s="12">
        <v>48</v>
      </c>
      <c r="J77" s="11">
        <f>LOOKUP(I77,{0,14,16,18,20,22,24,26,28,30,32,34,36,38,40,42,44,47,50,52,54},{0,10,20,30,40,50,60,62,64,66,68,70,72,74,76,78,80,85,90,95,100})</f>
        <v>85</v>
      </c>
      <c r="K77" s="12"/>
      <c r="L77" s="12"/>
      <c r="M77" s="12">
        <f t="shared" ref="M77:M85" si="38">J77+L77</f>
        <v>85</v>
      </c>
      <c r="N77" s="12">
        <v>9.1</v>
      </c>
      <c r="O77" s="12">
        <f t="shared" ref="O77:O85" si="39">12-N77</f>
        <v>2.9</v>
      </c>
      <c r="P77" s="11">
        <f>LOOKUP(O77,{0,0.5,0.7,0.9,1.1,1.3,1.5,1.7,1.9,2.1,2.3,2.5,2.7,2.9,3.1,3.3,3.5,3.8,4.1,4.2,4.3},{0,10,20,30,40,50,60,62,64,66,68,70,72,74,76,78,80,85,90,95,100})</f>
        <v>74</v>
      </c>
      <c r="Q77" s="12">
        <v>3.5</v>
      </c>
      <c r="R77" s="12">
        <f t="shared" ref="R77:R85" si="40">10-Q77</f>
        <v>6.5</v>
      </c>
      <c r="S77" s="11">
        <f>LOOKUP(R77,{0,4.72,4.82,4.92,5.42,5.52,5.62,5.67,5.72,5.77,5.82,5.87,5.92,5.97,6.42,6.47,6.52,6.59,6.66,6.72,6.78},{0,10,20,30,40,50,60,62,64,66,68,70,72,74,76,78,80,85,90,95,100})</f>
        <v>78</v>
      </c>
      <c r="T77" s="12"/>
      <c r="U77" s="12"/>
      <c r="V77" s="12">
        <f t="shared" ref="V77:V85" si="41">S77+U77</f>
        <v>78</v>
      </c>
      <c r="W77" s="12"/>
      <c r="X77" s="20">
        <f t="shared" ref="X77:X88" si="42">F77*0.1+H77*0.1+J77*0.1+P77*0.2+S77*0.2</f>
        <v>54.3</v>
      </c>
      <c r="Y77" s="20">
        <f t="shared" ref="Y77:Y85" si="43">X77/0.7+L77+U77</f>
        <v>77.5714285714286</v>
      </c>
    </row>
    <row r="78" ht="15.6" hidden="1" outlineLevel="2" spans="1:25">
      <c r="A78" s="12">
        <v>205</v>
      </c>
      <c r="B78" s="12">
        <v>41</v>
      </c>
      <c r="C78" s="6" t="s">
        <v>257</v>
      </c>
      <c r="D78" s="6" t="s">
        <v>53</v>
      </c>
      <c r="E78" s="12">
        <v>28.4</v>
      </c>
      <c r="F78" s="11">
        <f>LOOKUP(E78,{0,1,1.8,2.6,3.4,4.2,5,6.3,7.6,8.9,10.2,11.5,12.8,14.1,15.4,16.7,18,19.7,21.4,23.1,24.8},{0,10,20,30,40,50,60,62,64,66,68,70,72,74,76,78,80,85,90,95,100})</f>
        <v>100</v>
      </c>
      <c r="G78" s="12">
        <v>200</v>
      </c>
      <c r="H78" s="11">
        <f>LOOKUP(G78,{0,124,129,134,139,144,149,152,155,158,161,164,167,170,173,176,179,186,193,199,205},{0,10,20,30,40,50,60,62,64,66,68,70,72,74,76,78,80,85,90,95,100})</f>
        <v>95</v>
      </c>
      <c r="I78" s="12">
        <v>57</v>
      </c>
      <c r="J78" s="11">
        <f>LOOKUP(I78,{0,14,16,18,20,22,24,26,28,30,32,34,36,38,40,42,44,47,50,52,54},{0,10,20,30,40,50,60,62,64,66,68,70,72,74,76,78,80,85,90,95,100})</f>
        <v>100</v>
      </c>
      <c r="K78" s="12">
        <f t="shared" ref="K78:K83" si="44">I78-54</f>
        <v>3</v>
      </c>
      <c r="L78" s="16">
        <f>LOOKUP(K78,{0,2,4,6,7,8,9,10,11,12,13},{0,1,2,3,4,5,6,7,8,9,10})</f>
        <v>1</v>
      </c>
      <c r="M78" s="12">
        <f t="shared" si="38"/>
        <v>101</v>
      </c>
      <c r="N78" s="12">
        <v>8.2</v>
      </c>
      <c r="O78" s="12">
        <f t="shared" si="39"/>
        <v>3.8</v>
      </c>
      <c r="P78" s="11">
        <f>LOOKUP(O78,{0,0.5,0.7,0.9,1.1,1.3,1.5,1.7,1.9,2.1,2.3,2.5,2.7,2.9,3.1,3.3,3.5,3.8,4.1,4.2,4.3},{0,10,20,30,40,50,60,62,64,66,68,70,72,74,76,78,80,85,90,95,100})</f>
        <v>85</v>
      </c>
      <c r="Q78" s="12">
        <v>3.27</v>
      </c>
      <c r="R78" s="12">
        <f t="shared" si="40"/>
        <v>6.73</v>
      </c>
      <c r="S78" s="11">
        <f>LOOKUP(R78,{0,4.72,4.82,4.92,5.42,5.52,5.62,5.67,5.72,5.77,5.82,5.87,5.92,5.97,6.42,6.47,6.52,6.59,6.66,6.72,6.78},{0,10,20,30,40,50,60,62,64,66,68,70,72,74,76,78,80,85,90,95,100})</f>
        <v>95</v>
      </c>
      <c r="T78" s="12"/>
      <c r="U78" s="12"/>
      <c r="V78" s="12">
        <f t="shared" si="41"/>
        <v>95</v>
      </c>
      <c r="W78" s="12"/>
      <c r="X78" s="20">
        <f t="shared" si="42"/>
        <v>65.5</v>
      </c>
      <c r="Y78" s="20">
        <f t="shared" si="43"/>
        <v>94.5714285714286</v>
      </c>
    </row>
    <row r="79" ht="15.6" hidden="1" outlineLevel="2" spans="1:25">
      <c r="A79" s="12">
        <v>205</v>
      </c>
      <c r="B79" s="12">
        <v>42</v>
      </c>
      <c r="C79" s="6" t="s">
        <v>258</v>
      </c>
      <c r="D79" s="6" t="s">
        <v>53</v>
      </c>
      <c r="E79" s="12">
        <v>13.5</v>
      </c>
      <c r="F79" s="11">
        <f>LOOKUP(E79,{0,1,1.8,2.6,3.4,4.2,5,6.3,7.6,8.9,10.2,11.5,12.8,14.1,15.4,16.7,18,19.7,21.4,23.1,24.8},{0,10,20,30,40,50,60,62,64,66,68,70,72,74,76,78,80,85,90,95,100})</f>
        <v>72</v>
      </c>
      <c r="G79" s="12">
        <v>185</v>
      </c>
      <c r="H79" s="11">
        <f>LOOKUP(G79,{0,124,129,134,139,144,149,152,155,158,161,164,167,170,173,176,179,186,193,199,205},{0,10,20,30,40,50,60,62,64,66,68,70,72,74,76,78,80,85,90,95,100})</f>
        <v>80</v>
      </c>
      <c r="I79" s="12">
        <v>60</v>
      </c>
      <c r="J79" s="11">
        <f>LOOKUP(I79,{0,14,16,18,20,22,24,26,28,30,32,34,36,38,40,42,44,47,50,52,54},{0,10,20,30,40,50,60,62,64,66,68,70,72,74,76,78,80,85,90,95,100})</f>
        <v>100</v>
      </c>
      <c r="K79" s="12">
        <f t="shared" si="44"/>
        <v>6</v>
      </c>
      <c r="L79" s="11">
        <f>LOOKUP(K79,{0,2,4,6,7,8,9,10,11,12,13},{0,1,2,3,4,5,6,7,8,9,10})</f>
        <v>3</v>
      </c>
      <c r="M79" s="12">
        <f t="shared" si="38"/>
        <v>103</v>
      </c>
      <c r="N79" s="12">
        <v>8.7</v>
      </c>
      <c r="O79" s="12">
        <f t="shared" si="39"/>
        <v>3.3</v>
      </c>
      <c r="P79" s="11">
        <f>LOOKUP(O79,{0,0.5,0.7,0.9,1.1,1.3,1.5,1.7,1.9,2.1,2.3,2.5,2.7,2.9,3.1,3.3,3.5,3.8,4.1,4.2,4.3},{0,10,20,30,40,50,60,62,64,66,68,70,72,74,76,78,80,85,90,95,100})</f>
        <v>78</v>
      </c>
      <c r="Q79" s="12">
        <v>3.42</v>
      </c>
      <c r="R79" s="12">
        <f t="shared" si="40"/>
        <v>6.58</v>
      </c>
      <c r="S79" s="11">
        <f>LOOKUP(R79,{0,4.72,4.82,4.92,5.42,5.52,5.62,5.67,5.72,5.77,5.82,5.87,5.92,5.97,6.42,6.47,6.52,6.59,6.66,6.72,6.78},{0,10,20,30,40,50,60,62,64,66,68,70,72,74,76,78,80,85,90,95,100})</f>
        <v>80</v>
      </c>
      <c r="T79" s="12"/>
      <c r="U79" s="12"/>
      <c r="V79" s="12">
        <f t="shared" si="41"/>
        <v>80</v>
      </c>
      <c r="W79" s="12"/>
      <c r="X79" s="20">
        <f t="shared" si="42"/>
        <v>56.8</v>
      </c>
      <c r="Y79" s="20">
        <f t="shared" si="43"/>
        <v>84.1428571428571</v>
      </c>
    </row>
    <row r="80" s="1" customFormat="1" ht="15.6" hidden="1" outlineLevel="2" spans="1:25">
      <c r="A80" s="12">
        <v>205</v>
      </c>
      <c r="B80" s="12">
        <v>43</v>
      </c>
      <c r="C80" s="6" t="s">
        <v>259</v>
      </c>
      <c r="D80" s="6" t="s">
        <v>53</v>
      </c>
      <c r="E80" s="12">
        <v>27.7</v>
      </c>
      <c r="F80" s="11">
        <f>LOOKUP(E80,{0,1,1.8,2.6,3.4,4.2,5,6.3,7.6,8.9,10.2,11.5,12.8,14.1,15.4,16.7,18,19.7,21.4,23.1,24.8},{0,10,20,30,40,50,60,62,64,66,68,70,72,74,76,78,80,85,90,95,100})</f>
        <v>100</v>
      </c>
      <c r="G80" s="12">
        <v>165</v>
      </c>
      <c r="H80" s="11">
        <f>LOOKUP(G80,{0,124,129,134,139,144,149,152,155,158,161,164,167,170,173,176,179,186,193,199,205},{0,10,20,30,40,50,60,62,64,66,68,70,72,74,76,78,80,85,90,95,100})</f>
        <v>70</v>
      </c>
      <c r="I80" s="12">
        <v>53</v>
      </c>
      <c r="J80" s="11">
        <f>LOOKUP(I80,{0,14,16,18,20,22,24,26,28,30,32,34,36,38,40,42,44,47,50,52,54},{0,10,20,30,40,50,60,62,64,66,68,70,72,74,76,78,80,85,90,95,100})</f>
        <v>95</v>
      </c>
      <c r="K80" s="12"/>
      <c r="L80" s="12"/>
      <c r="M80" s="12">
        <f t="shared" si="38"/>
        <v>95</v>
      </c>
      <c r="N80" s="12">
        <v>9.3</v>
      </c>
      <c r="O80" s="12">
        <f t="shared" si="39"/>
        <v>2.7</v>
      </c>
      <c r="P80" s="11">
        <f>LOOKUP(O80,{0,0.5,0.7,0.9,1.1,1.3,1.5,1.7,1.9,2.1,2.3,2.5,2.7,2.9,3.1,3.3,3.5,3.8,4.1,4.2,4.3},{0,10,20,30,40,50,60,62,64,66,68,70,72,74,76,78,80,85,90,95,100})</f>
        <v>72</v>
      </c>
      <c r="Q80" s="12">
        <v>3.5</v>
      </c>
      <c r="R80" s="12">
        <f t="shared" si="40"/>
        <v>6.5</v>
      </c>
      <c r="S80" s="11">
        <f>LOOKUP(R80,{0,4.72,4.82,4.92,5.42,5.52,5.62,5.67,5.72,5.77,5.82,5.87,5.92,5.97,6.42,6.47,6.52,6.59,6.66,6.72,6.78},{0,10,20,30,40,50,60,62,64,66,68,70,72,74,76,78,80,85,90,95,100})</f>
        <v>78</v>
      </c>
      <c r="T80" s="12"/>
      <c r="U80" s="12"/>
      <c r="V80" s="12">
        <f t="shared" si="41"/>
        <v>78</v>
      </c>
      <c r="W80" s="12"/>
      <c r="X80" s="20">
        <f t="shared" si="42"/>
        <v>56.5</v>
      </c>
      <c r="Y80" s="20">
        <f t="shared" si="43"/>
        <v>80.7142857142857</v>
      </c>
    </row>
    <row r="81" ht="15.6" hidden="1" outlineLevel="2" spans="1:25">
      <c r="A81" s="12">
        <v>205</v>
      </c>
      <c r="B81" s="12">
        <v>44</v>
      </c>
      <c r="C81" s="6" t="s">
        <v>260</v>
      </c>
      <c r="D81" s="6" t="s">
        <v>53</v>
      </c>
      <c r="E81" s="12">
        <v>16.5</v>
      </c>
      <c r="F81" s="11">
        <f>LOOKUP(E81,{0,1,1.8,2.6,3.4,4.2,5,6.3,7.6,8.9,10.2,11.5,12.8,14.1,15.4,16.7,18,19.7,21.4,23.1,24.8},{0,10,20,30,40,50,60,62,64,66,68,70,72,74,76,78,80,85,90,95,100})</f>
        <v>76</v>
      </c>
      <c r="G81" s="12">
        <v>165</v>
      </c>
      <c r="H81" s="11">
        <f>LOOKUP(G81,{0,124,129,134,139,144,149,152,155,158,161,164,167,170,173,176,179,186,193,199,205},{0,10,20,30,40,50,60,62,64,66,68,70,72,74,76,78,80,85,90,95,100})</f>
        <v>70</v>
      </c>
      <c r="I81" s="12">
        <v>48</v>
      </c>
      <c r="J81" s="11">
        <f>LOOKUP(I81,{0,14,16,18,20,22,24,26,28,30,32,34,36,38,40,42,44,47,50,52,54},{0,10,20,30,40,50,60,62,64,66,68,70,72,74,76,78,80,85,90,95,100})</f>
        <v>85</v>
      </c>
      <c r="K81" s="12"/>
      <c r="L81" s="12"/>
      <c r="M81" s="12">
        <f t="shared" si="38"/>
        <v>85</v>
      </c>
      <c r="N81" s="12">
        <v>9.2</v>
      </c>
      <c r="O81" s="12">
        <f t="shared" si="39"/>
        <v>2.8</v>
      </c>
      <c r="P81" s="11">
        <f>LOOKUP(O81,{0,0.5,0.7,0.9,1.1,1.3,1.5,1.7,1.9,2.1,2.3,2.5,2.7,2.9,3.1,3.3,3.5,3.8,4.1,4.2,4.3},{0,10,20,30,40,50,60,62,64,66,68,70,72,74,76,78,80,85,90,95,100})</f>
        <v>72</v>
      </c>
      <c r="Q81" s="12">
        <v>3.53</v>
      </c>
      <c r="R81" s="12">
        <f t="shared" si="40"/>
        <v>6.47</v>
      </c>
      <c r="S81" s="11">
        <f>LOOKUP(R81,{0,4.72,4.82,4.92,5.42,5.52,5.62,5.67,5.72,5.77,5.82,5.87,5.92,5.97,6.42,6.47,6.52,6.59,6.66,6.72,6.78},{0,10,20,30,40,50,60,62,64,66,68,70,72,74,76,78,80,85,90,95,100})</f>
        <v>78</v>
      </c>
      <c r="T81" s="12"/>
      <c r="U81" s="12"/>
      <c r="V81" s="12">
        <f t="shared" si="41"/>
        <v>78</v>
      </c>
      <c r="W81" s="12"/>
      <c r="X81" s="20">
        <f t="shared" si="42"/>
        <v>53.1</v>
      </c>
      <c r="Y81" s="20">
        <f t="shared" si="43"/>
        <v>75.8571428571429</v>
      </c>
    </row>
    <row r="82" ht="15.6" hidden="1" outlineLevel="2" spans="1:25">
      <c r="A82" s="12">
        <v>205</v>
      </c>
      <c r="B82" s="12">
        <v>45</v>
      </c>
      <c r="C82" s="6" t="s">
        <v>261</v>
      </c>
      <c r="D82" s="6" t="s">
        <v>53</v>
      </c>
      <c r="E82" s="12">
        <v>23.1</v>
      </c>
      <c r="F82" s="11">
        <f>LOOKUP(E82,{0,1,1.8,2.6,3.4,4.2,5,6.3,7.6,8.9,10.2,11.5,12.8,14.1,15.4,16.7,18,19.7,21.4,23.1,24.8},{0,10,20,30,40,50,60,62,64,66,68,70,72,74,76,78,80,85,90,95,100})</f>
        <v>95</v>
      </c>
      <c r="G82" s="12">
        <v>191</v>
      </c>
      <c r="H82" s="11">
        <f>LOOKUP(G82,{0,124,129,134,139,144,149,152,155,158,161,164,167,170,173,176,179,186,193,199,205},{0,10,20,30,40,50,60,62,64,66,68,70,72,74,76,78,80,85,90,95,100})</f>
        <v>85</v>
      </c>
      <c r="I82" s="12">
        <v>57</v>
      </c>
      <c r="J82" s="11">
        <f>LOOKUP(I82,{0,14,16,18,20,22,24,26,28,30,32,34,36,38,40,42,44,47,50,52,54},{0,10,20,30,40,50,60,62,64,66,68,70,72,74,76,78,80,85,90,95,100})</f>
        <v>100</v>
      </c>
      <c r="K82" s="12">
        <f t="shared" si="44"/>
        <v>3</v>
      </c>
      <c r="L82" s="11">
        <f>LOOKUP(K82,{0,2,4,6,7,8,9,10,11,12,13},{0,1,2,3,4,5,6,7,8,9,10})</f>
        <v>1</v>
      </c>
      <c r="M82" s="12">
        <f t="shared" si="38"/>
        <v>101</v>
      </c>
      <c r="N82" s="12">
        <v>8.4</v>
      </c>
      <c r="O82" s="12">
        <f t="shared" si="39"/>
        <v>3.6</v>
      </c>
      <c r="P82" s="11">
        <f>LOOKUP(O82,{0,0.5,0.7,0.9,1.1,1.3,1.5,1.7,1.9,2.1,2.3,2.5,2.7,2.9,3.1,3.3,3.5,3.8,4.1,4.2,4.3},{0,10,20,30,40,50,60,62,64,66,68,70,72,74,76,78,80,85,90,95,100})</f>
        <v>80</v>
      </c>
      <c r="Q82" s="12">
        <v>3.26</v>
      </c>
      <c r="R82" s="12">
        <f t="shared" si="40"/>
        <v>6.74</v>
      </c>
      <c r="S82" s="11">
        <f>LOOKUP(R82,{0,4.72,4.82,4.92,5.42,5.52,5.62,5.67,5.72,5.77,5.82,5.87,5.92,5.97,6.42,6.47,6.52,6.59,6.66,6.72,6.78},{0,10,20,30,40,50,60,62,64,66,68,70,72,74,76,78,80,85,90,95,100})</f>
        <v>95</v>
      </c>
      <c r="T82" s="12"/>
      <c r="U82" s="12"/>
      <c r="V82" s="12">
        <f t="shared" si="41"/>
        <v>95</v>
      </c>
      <c r="W82" s="12"/>
      <c r="X82" s="20">
        <f t="shared" si="42"/>
        <v>63</v>
      </c>
      <c r="Y82" s="20">
        <f t="shared" si="43"/>
        <v>91</v>
      </c>
    </row>
    <row r="83" ht="15.6" hidden="1" outlineLevel="2" spans="1:25">
      <c r="A83" s="12">
        <v>205</v>
      </c>
      <c r="B83" s="12">
        <v>46</v>
      </c>
      <c r="C83" s="6" t="s">
        <v>262</v>
      </c>
      <c r="D83" s="6" t="s">
        <v>53</v>
      </c>
      <c r="E83" s="12">
        <v>23</v>
      </c>
      <c r="F83" s="11">
        <f>LOOKUP(E83,{0,1,1.8,2.6,3.4,4.2,5,6.3,7.6,8.9,10.2,11.5,12.8,14.1,15.4,16.7,18,19.7,21.4,23.1,24.8},{0,10,20,30,40,50,60,62,64,66,68,70,72,74,76,78,80,85,90,95,100})</f>
        <v>90</v>
      </c>
      <c r="G83" s="12">
        <v>183</v>
      </c>
      <c r="H83" s="11">
        <f>LOOKUP(G83,{0,124,129,134,139,144,149,152,155,158,161,164,167,170,173,176,179,186,193,199,205},{0,10,20,30,40,50,60,62,64,66,68,70,72,74,76,78,80,85,90,95,100})</f>
        <v>80</v>
      </c>
      <c r="I83" s="12">
        <v>59</v>
      </c>
      <c r="J83" s="11">
        <f>LOOKUP(I83,{0,14,16,18,20,22,24,26,28,30,32,34,36,38,40,42,44,47,50,52,54},{0,10,20,30,40,50,60,62,64,66,68,70,72,74,76,78,80,85,90,95,100})</f>
        <v>100</v>
      </c>
      <c r="K83" s="12">
        <f t="shared" si="44"/>
        <v>5</v>
      </c>
      <c r="L83" s="11">
        <f>LOOKUP(K83,{0,2,4,6,7,8,9,10,11,12,13},{0,1,2,3,4,5,6,7,8,9,10})</f>
        <v>2</v>
      </c>
      <c r="M83" s="12">
        <f t="shared" si="38"/>
        <v>102</v>
      </c>
      <c r="N83" s="12">
        <v>8.9</v>
      </c>
      <c r="O83" s="12">
        <f t="shared" si="39"/>
        <v>3.1</v>
      </c>
      <c r="P83" s="11">
        <f>LOOKUP(O83,{0,0.5,0.7,0.9,1.1,1.3,1.5,1.7,1.9,2.1,2.3,2.5,2.7,2.9,3.1,3.3,3.5,3.8,4.1,4.2,4.3},{0,10,20,30,40,50,60,62,64,66,68,70,72,74,76,78,80,85,90,95,100})</f>
        <v>76</v>
      </c>
      <c r="Q83" s="12">
        <v>3.36</v>
      </c>
      <c r="R83" s="12">
        <f t="shared" si="40"/>
        <v>6.64</v>
      </c>
      <c r="S83" s="11">
        <f>LOOKUP(R83,{0,4.72,4.82,4.92,5.42,5.52,5.62,5.67,5.72,5.77,5.82,5.87,5.92,5.97,6.42,6.47,6.52,6.59,6.66,6.72,6.78},{0,10,20,30,40,50,60,62,64,66,68,70,72,74,76,78,80,85,90,95,100})</f>
        <v>85</v>
      </c>
      <c r="T83" s="12"/>
      <c r="U83" s="12"/>
      <c r="V83" s="12">
        <f t="shared" si="41"/>
        <v>85</v>
      </c>
      <c r="W83" s="12"/>
      <c r="X83" s="20">
        <f t="shared" si="42"/>
        <v>59.2</v>
      </c>
      <c r="Y83" s="20">
        <f t="shared" si="43"/>
        <v>86.5714285714286</v>
      </c>
    </row>
    <row r="84" ht="15.6" hidden="1" outlineLevel="2" spans="1:25">
      <c r="A84" s="12">
        <v>205</v>
      </c>
      <c r="B84" s="12">
        <v>47</v>
      </c>
      <c r="C84" s="6" t="s">
        <v>263</v>
      </c>
      <c r="D84" s="6" t="s">
        <v>53</v>
      </c>
      <c r="E84" s="12">
        <v>22.8</v>
      </c>
      <c r="F84" s="11">
        <f>LOOKUP(E84,{0,1,1.8,2.6,3.4,4.2,5,6.3,7.6,8.9,10.2,11.5,12.8,14.1,15.4,16.7,18,19.7,21.4,23.1,24.8},{0,10,20,30,40,50,60,62,64,66,68,70,72,74,76,78,80,85,90,95,100})</f>
        <v>90</v>
      </c>
      <c r="G84" s="12">
        <v>165</v>
      </c>
      <c r="H84" s="11">
        <f>LOOKUP(G84,{0,124,129,134,139,144,149,152,155,158,161,164,167,170,173,176,179,186,193,199,205},{0,10,20,30,40,50,60,62,64,66,68,70,72,74,76,78,80,85,90,95,100})</f>
        <v>70</v>
      </c>
      <c r="I84" s="12">
        <v>46</v>
      </c>
      <c r="J84" s="11">
        <f>LOOKUP(I84,{0,14,16,18,20,22,24,26,28,30,32,34,36,38,40,42,44,47,50,52,54},{0,10,20,30,40,50,60,62,64,66,68,70,72,74,76,78,80,85,90,95,100})</f>
        <v>80</v>
      </c>
      <c r="K84" s="12"/>
      <c r="L84" s="12"/>
      <c r="M84" s="12">
        <f t="shared" si="38"/>
        <v>80</v>
      </c>
      <c r="N84" s="12">
        <v>9.3</v>
      </c>
      <c r="O84" s="12">
        <f t="shared" si="39"/>
        <v>2.7</v>
      </c>
      <c r="P84" s="11">
        <f>LOOKUP(O84,{0,0.5,0.7,0.9,1.1,1.3,1.5,1.7,1.9,2.1,2.3,2.5,2.7,2.9,3.1,3.3,3.5,3.8,4.1,4.2,4.3},{0,10,20,30,40,50,60,62,64,66,68,70,72,74,76,78,80,85,90,95,100})</f>
        <v>72</v>
      </c>
      <c r="Q84" s="12">
        <v>3.51</v>
      </c>
      <c r="R84" s="12">
        <f t="shared" si="40"/>
        <v>6.49</v>
      </c>
      <c r="S84" s="11">
        <f>LOOKUP(R84,{0,4.72,4.82,4.92,5.42,5.52,5.62,5.67,5.72,5.77,5.82,5.87,5.92,5.97,6.42,6.47,6.52,6.59,6.66,6.72,6.78},{0,10,20,30,40,50,60,62,64,66,68,70,72,74,76,78,80,85,90,95,100})</f>
        <v>78</v>
      </c>
      <c r="T84" s="12"/>
      <c r="U84" s="12"/>
      <c r="V84" s="12">
        <f t="shared" si="41"/>
        <v>78</v>
      </c>
      <c r="W84" s="12"/>
      <c r="X84" s="20">
        <f t="shared" si="42"/>
        <v>54</v>
      </c>
      <c r="Y84" s="20">
        <f t="shared" si="43"/>
        <v>77.1428571428572</v>
      </c>
    </row>
    <row r="85" ht="15.6" hidden="1" outlineLevel="2" spans="1:25">
      <c r="A85" s="12">
        <v>205</v>
      </c>
      <c r="B85" s="12">
        <v>48</v>
      </c>
      <c r="C85" s="6" t="s">
        <v>264</v>
      </c>
      <c r="D85" s="6" t="s">
        <v>53</v>
      </c>
      <c r="E85" s="12">
        <v>22.2</v>
      </c>
      <c r="F85" s="11">
        <f>LOOKUP(E85,{0,1,1.8,2.6,3.4,4.2,5,6.3,7.6,8.9,10.2,11.5,12.8,14.1,15.4,16.7,18,19.7,21.4,23.1,24.8},{0,10,20,30,40,50,60,62,64,66,68,70,72,74,76,78,80,85,90,95,100})</f>
        <v>90</v>
      </c>
      <c r="G85" s="12">
        <v>210</v>
      </c>
      <c r="H85" s="11">
        <f>LOOKUP(G85,{0,124,129,134,139,144,149,152,155,158,161,164,167,170,173,176,179,186,193,199,205},{0,10,20,30,40,50,60,62,64,66,68,70,72,74,76,78,80,85,90,95,100})</f>
        <v>100</v>
      </c>
      <c r="I85" s="12">
        <v>45</v>
      </c>
      <c r="J85" s="11">
        <f>LOOKUP(I85,{0,14,16,18,20,22,24,26,28,30,32,34,36,38,40,42,44,47,50,52,54},{0,10,20,30,40,50,60,62,64,66,68,70,72,74,76,78,80,85,90,95,100})</f>
        <v>80</v>
      </c>
      <c r="K85" s="12"/>
      <c r="L85" s="12"/>
      <c r="M85" s="12">
        <f t="shared" si="38"/>
        <v>80</v>
      </c>
      <c r="N85" s="12">
        <v>8.3</v>
      </c>
      <c r="O85" s="12">
        <f t="shared" si="39"/>
        <v>3.7</v>
      </c>
      <c r="P85" s="11">
        <f>LOOKUP(O85,{0,0.5,0.7,0.9,1.1,1.3,1.5,1.7,1.9,2.1,2.3,2.5,2.7,2.9,3.1,3.3,3.5,3.8,4.1,4.2,4.3},{0,10,20,30,40,50,60,62,64,66,68,70,72,74,76,78,80,85,90,95,100})</f>
        <v>80</v>
      </c>
      <c r="Q85" s="12">
        <v>3.29</v>
      </c>
      <c r="R85" s="12">
        <f t="shared" si="40"/>
        <v>6.71</v>
      </c>
      <c r="S85" s="11">
        <f>LOOKUP(R85,{0,4.72,4.82,4.92,5.42,5.52,5.62,5.67,5.72,5.77,5.82,5.87,5.92,5.97,6.42,6.47,6.52,6.59,6.66,6.72,6.78},{0,10,20,30,40,50,60,62,64,66,68,70,72,74,76,78,80,85,90,95,100})</f>
        <v>90</v>
      </c>
      <c r="T85" s="12"/>
      <c r="U85" s="12"/>
      <c r="V85" s="12">
        <f t="shared" si="41"/>
        <v>90</v>
      </c>
      <c r="W85" s="12"/>
      <c r="X85" s="20">
        <f t="shared" si="42"/>
        <v>61</v>
      </c>
      <c r="Y85" s="20">
        <f t="shared" si="43"/>
        <v>87.1428571428572</v>
      </c>
    </row>
    <row r="86" ht="15.6" hidden="1" outlineLevel="2" spans="1:25">
      <c r="A86" s="12">
        <v>205</v>
      </c>
      <c r="B86" s="12">
        <v>49</v>
      </c>
      <c r="C86" s="6" t="s">
        <v>265</v>
      </c>
      <c r="D86" s="6" t="s">
        <v>53</v>
      </c>
      <c r="E86" s="12"/>
      <c r="F86" s="11"/>
      <c r="G86" s="12"/>
      <c r="H86" s="11"/>
      <c r="I86" s="12"/>
      <c r="J86" s="11"/>
      <c r="K86" s="12"/>
      <c r="L86" s="15"/>
      <c r="M86" s="12"/>
      <c r="N86" s="12"/>
      <c r="O86" s="12"/>
      <c r="P86" s="11"/>
      <c r="Q86" s="12"/>
      <c r="R86" s="12"/>
      <c r="S86" s="11"/>
      <c r="T86" s="21"/>
      <c r="U86" s="11"/>
      <c r="V86" s="12"/>
      <c r="W86" s="12" t="s">
        <v>89</v>
      </c>
      <c r="X86" s="20">
        <f t="shared" si="42"/>
        <v>0</v>
      </c>
      <c r="Y86" s="20">
        <v>50</v>
      </c>
    </row>
    <row r="87" ht="15.6" hidden="1" outlineLevel="2" spans="1:25">
      <c r="A87" s="12">
        <v>205</v>
      </c>
      <c r="B87" s="12">
        <v>50</v>
      </c>
      <c r="C87" s="6" t="s">
        <v>266</v>
      </c>
      <c r="D87" s="6" t="s">
        <v>53</v>
      </c>
      <c r="E87" s="12"/>
      <c r="F87" s="11"/>
      <c r="G87" s="12"/>
      <c r="H87" s="11"/>
      <c r="I87" s="12"/>
      <c r="J87" s="11"/>
      <c r="K87" s="12"/>
      <c r="L87" s="12"/>
      <c r="M87" s="12"/>
      <c r="N87" s="12"/>
      <c r="O87" s="12"/>
      <c r="P87" s="11"/>
      <c r="Q87" s="12"/>
      <c r="R87" s="12"/>
      <c r="S87" s="11"/>
      <c r="T87" s="21"/>
      <c r="U87" s="11"/>
      <c r="V87" s="12"/>
      <c r="W87" s="12" t="s">
        <v>14</v>
      </c>
      <c r="X87" s="20">
        <f t="shared" si="42"/>
        <v>0</v>
      </c>
      <c r="Y87" s="20">
        <v>50</v>
      </c>
    </row>
    <row r="88" ht="15.6" hidden="1" outlineLevel="2" spans="1:25">
      <c r="A88" s="12">
        <v>205</v>
      </c>
      <c r="B88" s="12">
        <v>51</v>
      </c>
      <c r="C88" s="6" t="s">
        <v>267</v>
      </c>
      <c r="D88" s="6" t="s">
        <v>53</v>
      </c>
      <c r="E88" s="12">
        <v>26.7</v>
      </c>
      <c r="F88" s="11">
        <f>LOOKUP(E88,{0,1,1.8,2.6,3.4,4.2,5,6.3,7.6,8.9,10.2,11.5,12.8,14.1,15.4,16.7,18,19.7,21.4,23.1,24.8},{0,10,20,30,40,50,60,62,64,66,68,70,72,74,76,78,80,85,90,95,100})</f>
        <v>100</v>
      </c>
      <c r="G88" s="12">
        <v>191</v>
      </c>
      <c r="H88" s="11">
        <f>LOOKUP(G88,{0,124,129,134,139,144,149,152,155,158,161,164,167,170,173,176,179,186,193,199,205},{0,10,20,30,40,50,60,62,64,66,68,70,72,74,76,78,80,85,90,95,100})</f>
        <v>85</v>
      </c>
      <c r="I88" s="12">
        <v>53</v>
      </c>
      <c r="J88" s="11">
        <f>LOOKUP(I88,{0,14,16,18,20,22,24,26,28,30,32,34,36,38,40,42,44,47,50,52,54},{0,10,20,30,40,50,60,62,64,66,68,70,72,74,76,78,80,85,90,95,100})</f>
        <v>95</v>
      </c>
      <c r="K88" s="12"/>
      <c r="L88" s="12"/>
      <c r="M88" s="12">
        <f>J88+L88</f>
        <v>95</v>
      </c>
      <c r="N88" s="12">
        <v>8.5</v>
      </c>
      <c r="O88" s="12">
        <f>12-N88</f>
        <v>3.5</v>
      </c>
      <c r="P88" s="11">
        <f>LOOKUP(O88,{0,0.5,0.7,0.9,1.1,1.3,1.5,1.7,1.9,2.1,2.3,2.5,2.7,2.9,3.1,3.3,3.5,3.8,4.1,4.2,4.3},{0,10,20,30,40,50,60,62,64,66,68,70,72,74,76,78,80,85,90,95,100})</f>
        <v>80</v>
      </c>
      <c r="Q88" s="12">
        <v>3.32</v>
      </c>
      <c r="R88" s="12">
        <f>10-Q88</f>
        <v>6.68</v>
      </c>
      <c r="S88" s="11">
        <f>LOOKUP(R88,{0,4.72,4.82,4.92,5.42,5.52,5.62,5.67,5.72,5.77,5.82,5.87,5.92,5.97,6.42,6.47,6.52,6.59,6.66,6.72,6.78},{0,10,20,30,40,50,60,62,64,66,68,70,72,74,76,78,80,85,90,95,100})</f>
        <v>90</v>
      </c>
      <c r="T88" s="12"/>
      <c r="U88" s="12"/>
      <c r="V88" s="12">
        <f>S88+U88</f>
        <v>90</v>
      </c>
      <c r="W88" s="12"/>
      <c r="X88" s="20">
        <f t="shared" si="42"/>
        <v>62</v>
      </c>
      <c r="Y88" s="20">
        <f>X88/0.7+L88+U88</f>
        <v>88.5714285714286</v>
      </c>
    </row>
    <row r="89" ht="15.6" outlineLevel="1" collapsed="1" spans="1:25">
      <c r="A89" s="14" t="s">
        <v>859</v>
      </c>
      <c r="B89" s="12"/>
      <c r="C89" s="6"/>
      <c r="D89" s="6"/>
      <c r="E89" s="12"/>
      <c r="F89" s="11">
        <f>SUBTOTAL(1,F77:F88)</f>
        <v>89.3</v>
      </c>
      <c r="G89" s="12"/>
      <c r="H89" s="11">
        <f>SUBTOTAL(1,H77:H88)</f>
        <v>80.9</v>
      </c>
      <c r="I89" s="12"/>
      <c r="J89" s="11">
        <f>SUBTOTAL(1,J77:J88)</f>
        <v>92</v>
      </c>
      <c r="K89" s="12"/>
      <c r="L89" s="12"/>
      <c r="M89" s="12">
        <f>SUBTOTAL(1,M77:M88)</f>
        <v>92.7</v>
      </c>
      <c r="N89" s="12"/>
      <c r="O89" s="12"/>
      <c r="P89" s="11">
        <f>SUBTOTAL(1,P77:P88)</f>
        <v>76.9</v>
      </c>
      <c r="Q89" s="12"/>
      <c r="R89" s="12"/>
      <c r="S89" s="11">
        <f>SUBTOTAL(1,S77:S88)</f>
        <v>84.7</v>
      </c>
      <c r="T89" s="12"/>
      <c r="U89" s="12"/>
      <c r="V89" s="12">
        <f>SUBTOTAL(1,V77:V88)</f>
        <v>84.7</v>
      </c>
      <c r="W89" s="12"/>
      <c r="X89" s="20">
        <f>SUBTOTAL(1,X77:X88)</f>
        <v>48.7833333333333</v>
      </c>
      <c r="Y89" s="20">
        <f>SUBTOTAL(1,Y77:Y88)</f>
        <v>78.6071428571428</v>
      </c>
    </row>
    <row r="90" s="1" customFormat="1" ht="15.6" hidden="1" outlineLevel="2" spans="1:25">
      <c r="A90" s="12">
        <v>206</v>
      </c>
      <c r="B90" s="12">
        <v>39</v>
      </c>
      <c r="C90" s="13" t="s">
        <v>312</v>
      </c>
      <c r="D90" s="6" t="s">
        <v>53</v>
      </c>
      <c r="E90" s="12">
        <v>14.9</v>
      </c>
      <c r="F90" s="11">
        <f>LOOKUP(E90,{0,1,1.8,2.6,3.4,4.2,5,6.3,7.6,8.9,10.2,11.5,12.8,14.1,15.4,16.7,18,19.7,21.4,23.1,24.8},{0,10,20,30,40,50,60,62,64,66,68,70,72,74,76,78,80,85,90,95,100})</f>
        <v>74</v>
      </c>
      <c r="G90" s="12">
        <v>155</v>
      </c>
      <c r="H90" s="11">
        <f>LOOKUP(G90,{0,124,129,134,139,144,149,152,155,158,161,164,167,170,173,176,179,186,193,199,205},{0,10,20,30,40,50,60,62,64,66,68,70,72,74,76,78,80,85,90,95,100})</f>
        <v>64</v>
      </c>
      <c r="I90" s="12">
        <v>36</v>
      </c>
      <c r="J90" s="11">
        <f>LOOKUP(I90,{0,14,16,18,20,22,24,26,28,30,32,34,36,38,40,42,44,47,50,52,54},{0,10,20,30,40,50,60,62,64,66,68,70,72,74,76,78,80,85,90,95,100})</f>
        <v>72</v>
      </c>
      <c r="K90" s="12"/>
      <c r="L90" s="12"/>
      <c r="M90" s="12">
        <f t="shared" ref="M90:M102" si="45">J90+L90</f>
        <v>72</v>
      </c>
      <c r="N90" s="12">
        <v>9.2</v>
      </c>
      <c r="O90" s="12">
        <f t="shared" ref="O90:O102" si="46">12-N90</f>
        <v>2.8</v>
      </c>
      <c r="P90" s="11">
        <f>LOOKUP(O90,{0,0.5,0.7,0.9,1.1,1.3,1.5,1.7,1.9,2.1,2.3,2.5,2.7,2.9,3.1,3.3,3.5,3.8,4.1,4.2,4.3},{0,10,20,30,40,50,60,62,64,66,68,70,72,74,76,78,80,85,90,95,100})</f>
        <v>72</v>
      </c>
      <c r="Q90" s="12">
        <v>4.34</v>
      </c>
      <c r="R90" s="12">
        <f t="shared" ref="R90:R102" si="47">10-Q90</f>
        <v>5.66</v>
      </c>
      <c r="S90" s="11">
        <f>LOOKUP(R90,{0,4.72,4.82,4.92,5.42,5.52,5.62,5.67,5.72,5.77,5.82,5.87,5.92,5.97,6.42,6.47,6.52,6.59,6.66,6.72,6.78},{0,10,20,30,40,50,60,62,64,66,68,70,72,74,76,78,80,85,90,95,100})</f>
        <v>60</v>
      </c>
      <c r="T90" s="12"/>
      <c r="U90" s="12"/>
      <c r="V90" s="12">
        <f t="shared" ref="V90:V102" si="48">S90+U90</f>
        <v>60</v>
      </c>
      <c r="W90" s="12"/>
      <c r="X90" s="20">
        <f t="shared" ref="X90:X102" si="49">F90*0.1+H90*0.1+J90*0.1+P90*0.2+S90*0.2</f>
        <v>47.4</v>
      </c>
      <c r="Y90" s="20">
        <f t="shared" ref="Y90:Y102" si="50">X90/0.7+L90+U90</f>
        <v>67.7142857142857</v>
      </c>
    </row>
    <row r="91" ht="15.6" hidden="1" outlineLevel="2" spans="1:25">
      <c r="A91" s="12">
        <v>206</v>
      </c>
      <c r="B91" s="12">
        <v>40</v>
      </c>
      <c r="C91" s="6" t="s">
        <v>313</v>
      </c>
      <c r="D91" s="6" t="s">
        <v>53</v>
      </c>
      <c r="E91" s="12">
        <v>16</v>
      </c>
      <c r="F91" s="11">
        <f>LOOKUP(E91,{0,1,1.8,2.6,3.4,4.2,5,6.3,7.6,8.9,10.2,11.5,12.8,14.1,15.4,16.7,18,19.7,21.4,23.1,24.8},{0,10,20,30,40,50,60,62,64,66,68,70,72,74,76,78,80,85,90,95,100})</f>
        <v>76</v>
      </c>
      <c r="G91" s="12">
        <v>186</v>
      </c>
      <c r="H91" s="11">
        <f>LOOKUP(G91,{0,124,129,134,139,144,149,152,155,158,161,164,167,170,173,176,179,186,193,199,205},{0,10,20,30,40,50,60,62,64,66,68,70,72,74,76,78,80,85,90,95,100})</f>
        <v>85</v>
      </c>
      <c r="I91" s="12">
        <v>39</v>
      </c>
      <c r="J91" s="11">
        <f>LOOKUP(I91,{0,14,16,18,20,22,24,26,28,30,32,34,36,38,40,42,44,47,50,52,54},{0,10,20,30,40,50,60,62,64,66,68,70,72,74,76,78,80,85,90,95,100})</f>
        <v>74</v>
      </c>
      <c r="K91" s="12"/>
      <c r="L91" s="12"/>
      <c r="M91" s="12">
        <f t="shared" si="45"/>
        <v>74</v>
      </c>
      <c r="N91" s="12">
        <v>9</v>
      </c>
      <c r="O91" s="12">
        <f t="shared" si="46"/>
        <v>3</v>
      </c>
      <c r="P91" s="11">
        <f>LOOKUP(O91,{0,0.5,0.7,0.9,1.1,1.3,1.5,1.7,1.9,2.1,2.3,2.5,2.7,2.9,3.1,3.3,3.5,3.8,4.1,4.2,4.3},{0,10,20,30,40,50,60,62,64,66,68,70,72,74,76,78,80,85,90,95,100})</f>
        <v>74</v>
      </c>
      <c r="Q91" s="12">
        <v>4.1</v>
      </c>
      <c r="R91" s="12">
        <f t="shared" si="47"/>
        <v>5.9</v>
      </c>
      <c r="S91" s="11">
        <f>LOOKUP(R91,{0,4.72,4.82,4.92,5.42,5.52,5.62,5.67,5.72,5.77,5.82,5.87,5.92,5.97,6.42,6.47,6.52,6.59,6.66,6.72,6.78},{0,10,20,30,40,50,60,62,64,66,68,70,72,74,76,78,80,85,90,95,100})</f>
        <v>70</v>
      </c>
      <c r="T91" s="12"/>
      <c r="U91" s="12"/>
      <c r="V91" s="12">
        <f t="shared" si="48"/>
        <v>70</v>
      </c>
      <c r="W91" s="12"/>
      <c r="X91" s="20">
        <f t="shared" si="49"/>
        <v>52.3</v>
      </c>
      <c r="Y91" s="20">
        <f t="shared" si="50"/>
        <v>74.7142857142857</v>
      </c>
    </row>
    <row r="92" ht="15.6" hidden="1" outlineLevel="2" spans="1:25">
      <c r="A92" s="12">
        <v>206</v>
      </c>
      <c r="B92" s="12">
        <v>41</v>
      </c>
      <c r="C92" s="6" t="s">
        <v>314</v>
      </c>
      <c r="D92" s="6" t="s">
        <v>53</v>
      </c>
      <c r="E92" s="12">
        <v>12.5</v>
      </c>
      <c r="F92" s="11">
        <f>LOOKUP(E92,{0,1,1.8,2.6,3.4,4.2,5,6.3,7.6,8.9,10.2,11.5,12.8,14.1,15.4,16.7,18,19.7,21.4,23.1,24.8},{0,10,20,30,40,50,60,62,64,66,68,70,72,74,76,78,80,85,90,95,100})</f>
        <v>70</v>
      </c>
      <c r="G92" s="12">
        <v>160</v>
      </c>
      <c r="H92" s="11">
        <f>LOOKUP(G92,{0,124,129,134,139,144,149,152,155,158,161,164,167,170,173,176,179,186,193,199,205},{0,10,20,30,40,50,60,62,64,66,68,70,72,74,76,78,80,85,90,95,100})</f>
        <v>66</v>
      </c>
      <c r="I92" s="12">
        <v>44</v>
      </c>
      <c r="J92" s="11">
        <f>LOOKUP(I92,{0,14,16,18,20,22,24,26,28,30,32,34,36,38,40,42,44,47,50,52,54},{0,10,20,30,40,50,60,62,64,66,68,70,72,74,76,78,80,85,90,95,100})</f>
        <v>80</v>
      </c>
      <c r="K92" s="12"/>
      <c r="L92" s="15"/>
      <c r="M92" s="12">
        <f t="shared" si="45"/>
        <v>80</v>
      </c>
      <c r="N92" s="12">
        <v>9.6</v>
      </c>
      <c r="O92" s="12">
        <f t="shared" si="46"/>
        <v>2.4</v>
      </c>
      <c r="P92" s="11">
        <f>LOOKUP(O92,{0,0.5,0.7,0.9,1.1,1.3,1.5,1.7,1.9,2.1,2.3,2.5,2.7,2.9,3.1,3.3,3.5,3.8,4.1,4.2,4.3},{0,10,20,30,40,50,60,62,64,66,68,70,72,74,76,78,80,85,90,95,100})</f>
        <v>68</v>
      </c>
      <c r="Q92" s="12">
        <v>4.13</v>
      </c>
      <c r="R92" s="12">
        <f t="shared" si="47"/>
        <v>5.87</v>
      </c>
      <c r="S92" s="11">
        <f>LOOKUP(R92,{0,4.72,4.82,4.92,5.42,5.52,5.62,5.67,5.72,5.77,5.82,5.87,5.92,5.97,6.42,6.47,6.52,6.59,6.66,6.72,6.78},{0,10,20,30,40,50,60,62,64,66,68,70,72,74,76,78,80,85,90,95,100})</f>
        <v>70</v>
      </c>
      <c r="T92" s="12"/>
      <c r="U92" s="12"/>
      <c r="V92" s="12">
        <f t="shared" si="48"/>
        <v>70</v>
      </c>
      <c r="W92" s="12"/>
      <c r="X92" s="20">
        <f t="shared" si="49"/>
        <v>49.2</v>
      </c>
      <c r="Y92" s="20">
        <f t="shared" si="50"/>
        <v>70.2857142857143</v>
      </c>
    </row>
    <row r="93" ht="15.6" hidden="1" outlineLevel="2" spans="1:25">
      <c r="A93" s="12">
        <v>206</v>
      </c>
      <c r="B93" s="12">
        <v>42</v>
      </c>
      <c r="C93" s="6" t="s">
        <v>315</v>
      </c>
      <c r="D93" s="6" t="s">
        <v>53</v>
      </c>
      <c r="E93" s="12">
        <v>20</v>
      </c>
      <c r="F93" s="11">
        <f>LOOKUP(E93,{0,1,1.8,2.6,3.4,4.2,5,6.3,7.6,8.9,10.2,11.5,12.8,14.1,15.4,16.7,18,19.7,21.4,23.1,24.8},{0,10,20,30,40,50,60,62,64,66,68,70,72,74,76,78,80,85,90,95,100})</f>
        <v>85</v>
      </c>
      <c r="G93" s="12">
        <v>172</v>
      </c>
      <c r="H93" s="11">
        <f>LOOKUP(G93,{0,124,129,134,139,144,149,152,155,158,161,164,167,170,173,176,179,186,193,199,205},{0,10,20,30,40,50,60,62,64,66,68,70,72,74,76,78,80,85,90,95,100})</f>
        <v>74</v>
      </c>
      <c r="I93" s="12">
        <v>42</v>
      </c>
      <c r="J93" s="11">
        <f>LOOKUP(I93,{0,14,16,18,20,22,24,26,28,30,32,34,36,38,40,42,44,47,50,52,54},{0,10,20,30,40,50,60,62,64,66,68,70,72,74,76,78,80,85,90,95,100})</f>
        <v>78</v>
      </c>
      <c r="K93" s="12"/>
      <c r="L93" s="12"/>
      <c r="M93" s="12">
        <f t="shared" si="45"/>
        <v>78</v>
      </c>
      <c r="N93" s="12">
        <v>9</v>
      </c>
      <c r="O93" s="12">
        <f t="shared" si="46"/>
        <v>3</v>
      </c>
      <c r="P93" s="11">
        <f>LOOKUP(O93,{0,0.5,0.7,0.9,1.1,1.3,1.5,1.7,1.9,2.1,2.3,2.5,2.7,2.9,3.1,3.3,3.5,3.8,4.1,4.2,4.3},{0,10,20,30,40,50,60,62,64,66,68,70,72,74,76,78,80,85,90,95,100})</f>
        <v>74</v>
      </c>
      <c r="Q93" s="12">
        <v>3.5</v>
      </c>
      <c r="R93" s="12">
        <f t="shared" si="47"/>
        <v>6.5</v>
      </c>
      <c r="S93" s="11">
        <f>LOOKUP(R93,{0,4.72,4.82,4.92,5.42,5.52,5.62,5.67,5.72,5.77,5.82,5.87,5.92,5.97,6.42,6.47,6.52,6.59,6.66,6.72,6.78},{0,10,20,30,40,50,60,62,64,66,68,70,72,74,76,78,80,85,90,95,100})</f>
        <v>78</v>
      </c>
      <c r="T93" s="12"/>
      <c r="U93" s="12"/>
      <c r="V93" s="12">
        <f t="shared" si="48"/>
        <v>78</v>
      </c>
      <c r="W93" s="12"/>
      <c r="X93" s="20">
        <f t="shared" si="49"/>
        <v>54.1</v>
      </c>
      <c r="Y93" s="20">
        <f t="shared" si="50"/>
        <v>77.2857142857143</v>
      </c>
    </row>
    <row r="94" ht="15.6" hidden="1" outlineLevel="2" spans="1:25">
      <c r="A94" s="12">
        <v>206</v>
      </c>
      <c r="B94" s="12">
        <v>43</v>
      </c>
      <c r="C94" s="6" t="s">
        <v>316</v>
      </c>
      <c r="D94" s="6" t="s">
        <v>53</v>
      </c>
      <c r="E94" s="12">
        <v>25</v>
      </c>
      <c r="F94" s="11">
        <f>LOOKUP(E94,{0,1,1.8,2.6,3.4,4.2,5,6.3,7.6,8.9,10.2,11.5,12.8,14.1,15.4,16.7,18,19.7,21.4,23.1,24.8},{0,10,20,30,40,50,60,62,64,66,68,70,72,74,76,78,80,85,90,95,100})</f>
        <v>100</v>
      </c>
      <c r="G94" s="12">
        <v>173</v>
      </c>
      <c r="H94" s="11">
        <f>LOOKUP(G94,{0,124,129,134,139,144,149,152,155,158,161,164,167,170,173,176,179,186,193,199,205},{0,10,20,30,40,50,60,62,64,66,68,70,72,74,76,78,80,85,90,95,100})</f>
        <v>76</v>
      </c>
      <c r="I94" s="12">
        <v>46</v>
      </c>
      <c r="J94" s="11">
        <f>LOOKUP(I94,{0,14,16,18,20,22,24,26,28,30,32,34,36,38,40,42,44,47,50,52,54},{0,10,20,30,40,50,60,62,64,66,68,70,72,74,76,78,80,85,90,95,100})</f>
        <v>80</v>
      </c>
      <c r="K94" s="12"/>
      <c r="L94" s="12"/>
      <c r="M94" s="12">
        <f t="shared" si="45"/>
        <v>80</v>
      </c>
      <c r="N94" s="12">
        <v>8.2</v>
      </c>
      <c r="O94" s="12">
        <f t="shared" si="46"/>
        <v>3.8</v>
      </c>
      <c r="P94" s="11">
        <f>LOOKUP(O94,{0,0.5,0.7,0.9,1.1,1.3,1.5,1.7,1.9,2.1,2.3,2.5,2.7,2.9,3.1,3.3,3.5,3.8,4.1,4.2,4.3},{0,10,20,30,40,50,60,62,64,66,68,70,72,74,76,78,80,85,90,95,100})</f>
        <v>85</v>
      </c>
      <c r="Q94" s="12">
        <v>3.47</v>
      </c>
      <c r="R94" s="12">
        <f t="shared" si="47"/>
        <v>6.53</v>
      </c>
      <c r="S94" s="11">
        <f>LOOKUP(R94,{0,4.72,4.82,4.92,5.42,5.52,5.62,5.67,5.72,5.77,5.82,5.87,5.92,5.97,6.42,6.47,6.52,6.59,6.66,6.72,6.78},{0,10,20,30,40,50,60,62,64,66,68,70,72,74,76,78,80,85,90,95,100})</f>
        <v>80</v>
      </c>
      <c r="T94" s="12"/>
      <c r="U94" s="12"/>
      <c r="V94" s="12">
        <f t="shared" si="48"/>
        <v>80</v>
      </c>
      <c r="W94" s="12"/>
      <c r="X94" s="20">
        <f t="shared" si="49"/>
        <v>58.6</v>
      </c>
      <c r="Y94" s="20">
        <f t="shared" si="50"/>
        <v>83.7142857142857</v>
      </c>
    </row>
    <row r="95" ht="15.6" hidden="1" outlineLevel="2" spans="1:25">
      <c r="A95" s="12">
        <v>206</v>
      </c>
      <c r="B95" s="12">
        <v>44</v>
      </c>
      <c r="C95" s="6" t="s">
        <v>317</v>
      </c>
      <c r="D95" s="6" t="s">
        <v>53</v>
      </c>
      <c r="E95" s="12">
        <v>26.3</v>
      </c>
      <c r="F95" s="11">
        <f>LOOKUP(E95,{0,1,1.8,2.6,3.4,4.2,5,6.3,7.6,8.9,10.2,11.5,12.8,14.1,15.4,16.7,18,19.7,21.4,23.1,24.8},{0,10,20,30,40,50,60,62,64,66,68,70,72,74,76,78,80,85,90,95,100})</f>
        <v>100</v>
      </c>
      <c r="G95" s="12">
        <v>178</v>
      </c>
      <c r="H95" s="11">
        <f>LOOKUP(G95,{0,124,129,134,139,144,149,152,155,158,161,164,167,170,173,176,179,186,193,199,205},{0,10,20,30,40,50,60,62,64,66,68,70,72,74,76,78,80,85,90,95,100})</f>
        <v>78</v>
      </c>
      <c r="I95" s="12">
        <v>36</v>
      </c>
      <c r="J95" s="11">
        <f>LOOKUP(I95,{0,14,16,18,20,22,24,26,28,30,32,34,36,38,40,42,44,47,50,52,54},{0,10,20,30,40,50,60,62,64,66,68,70,72,74,76,78,80,85,90,95,100})</f>
        <v>72</v>
      </c>
      <c r="K95" s="12"/>
      <c r="L95" s="12"/>
      <c r="M95" s="12">
        <f t="shared" si="45"/>
        <v>72</v>
      </c>
      <c r="N95" s="12">
        <v>9.2</v>
      </c>
      <c r="O95" s="12">
        <f t="shared" si="46"/>
        <v>2.8</v>
      </c>
      <c r="P95" s="11">
        <f>LOOKUP(O95,{0,0.5,0.7,0.9,1.1,1.3,1.5,1.7,1.9,2.1,2.3,2.5,2.7,2.9,3.1,3.3,3.5,3.8,4.1,4.2,4.3},{0,10,20,30,40,50,60,62,64,66,68,70,72,74,76,78,80,85,90,95,100})</f>
        <v>72</v>
      </c>
      <c r="Q95" s="12">
        <v>3.49</v>
      </c>
      <c r="R95" s="12">
        <f t="shared" si="47"/>
        <v>6.51</v>
      </c>
      <c r="S95" s="11">
        <f>LOOKUP(R95,{0,4.72,4.82,4.92,5.42,5.52,5.62,5.67,5.72,5.77,5.82,5.87,5.92,5.97,6.42,6.47,6.52,6.59,6.66,6.72,6.78},{0,10,20,30,40,50,60,62,64,66,68,70,72,74,76,78,80,85,90,95,100})</f>
        <v>78</v>
      </c>
      <c r="T95" s="12"/>
      <c r="U95" s="12"/>
      <c r="V95" s="12">
        <f t="shared" si="48"/>
        <v>78</v>
      </c>
      <c r="W95" s="12"/>
      <c r="X95" s="20">
        <f t="shared" si="49"/>
        <v>55</v>
      </c>
      <c r="Y95" s="20">
        <f t="shared" si="50"/>
        <v>78.5714285714286</v>
      </c>
    </row>
    <row r="96" ht="15.6" hidden="1" outlineLevel="2" spans="1:25">
      <c r="A96" s="12">
        <v>206</v>
      </c>
      <c r="B96" s="12">
        <v>45</v>
      </c>
      <c r="C96" s="6" t="s">
        <v>318</v>
      </c>
      <c r="D96" s="6" t="s">
        <v>53</v>
      </c>
      <c r="E96" s="12">
        <v>16</v>
      </c>
      <c r="F96" s="11">
        <f>LOOKUP(E96,{0,1,1.8,2.6,3.4,4.2,5,6.3,7.6,8.9,10.2,11.5,12.8,14.1,15.4,16.7,18,19.7,21.4,23.1,24.8},{0,10,20,30,40,50,60,62,64,66,68,70,72,74,76,78,80,85,90,95,100})</f>
        <v>76</v>
      </c>
      <c r="G96" s="12">
        <v>200</v>
      </c>
      <c r="H96" s="11">
        <f>LOOKUP(G96,{0,124,129,134,139,144,149,152,155,158,161,164,167,170,173,176,179,186,193,199,205},{0,10,20,30,40,50,60,62,64,66,68,70,72,74,76,78,80,85,90,95,100})</f>
        <v>95</v>
      </c>
      <c r="I96" s="12">
        <v>45</v>
      </c>
      <c r="J96" s="11">
        <f>LOOKUP(I96,{0,14,16,18,20,22,24,26,28,30,32,34,36,38,40,42,44,47,50,52,54},{0,10,20,30,40,50,60,62,64,66,68,70,72,74,76,78,80,85,90,95,100})</f>
        <v>80</v>
      </c>
      <c r="K96" s="12"/>
      <c r="L96" s="12"/>
      <c r="M96" s="12">
        <f t="shared" si="45"/>
        <v>80</v>
      </c>
      <c r="N96" s="12">
        <v>8.1</v>
      </c>
      <c r="O96" s="12">
        <f t="shared" si="46"/>
        <v>3.9</v>
      </c>
      <c r="P96" s="11">
        <f>LOOKUP(O96,{0,0.5,0.7,0.9,1.1,1.3,1.5,1.7,1.9,2.1,2.3,2.5,2.7,2.9,3.1,3.3,3.5,3.8,4.1,4.2,4.3},{0,10,20,30,40,50,60,62,64,66,68,70,72,74,76,78,80,85,90,95,100})</f>
        <v>85</v>
      </c>
      <c r="Q96" s="12">
        <v>3.29</v>
      </c>
      <c r="R96" s="12">
        <f t="shared" si="47"/>
        <v>6.71</v>
      </c>
      <c r="S96" s="11">
        <f>LOOKUP(R96,{0,4.72,4.82,4.92,5.42,5.52,5.62,5.67,5.72,5.77,5.82,5.87,5.92,5.97,6.42,6.47,6.52,6.59,6.66,6.72,6.78},{0,10,20,30,40,50,60,62,64,66,68,70,72,74,76,78,80,85,90,95,100})</f>
        <v>90</v>
      </c>
      <c r="T96" s="12"/>
      <c r="U96" s="12"/>
      <c r="V96" s="12">
        <f t="shared" si="48"/>
        <v>90</v>
      </c>
      <c r="W96" s="12"/>
      <c r="X96" s="20">
        <f t="shared" si="49"/>
        <v>60.1</v>
      </c>
      <c r="Y96" s="20">
        <f t="shared" si="50"/>
        <v>85.8571428571429</v>
      </c>
    </row>
    <row r="97" ht="15.6" hidden="1" outlineLevel="2" spans="1:25">
      <c r="A97" s="12">
        <v>206</v>
      </c>
      <c r="B97" s="12">
        <v>46</v>
      </c>
      <c r="C97" s="6" t="s">
        <v>319</v>
      </c>
      <c r="D97" s="6" t="s">
        <v>53</v>
      </c>
      <c r="E97" s="12">
        <v>17.2</v>
      </c>
      <c r="F97" s="11">
        <f>LOOKUP(E97,{0,1,1.8,2.6,3.4,4.2,5,6.3,7.6,8.9,10.2,11.5,12.8,14.1,15.4,16.7,18,19.7,21.4,23.1,24.8},{0,10,20,30,40,50,60,62,64,66,68,70,72,74,76,78,80,85,90,95,100})</f>
        <v>78</v>
      </c>
      <c r="G97" s="12">
        <v>138</v>
      </c>
      <c r="H97" s="11">
        <f>LOOKUP(G97,{0,124,129,134,139,144,149,152,155,158,161,164,167,170,173,176,179,186,193,199,205},{0,10,20,30,40,50,60,62,64,66,68,70,72,74,76,78,80,85,90,95,100})</f>
        <v>30</v>
      </c>
      <c r="I97" s="12">
        <v>54</v>
      </c>
      <c r="J97" s="11">
        <f>LOOKUP(I97,{0,14,16,18,20,22,24,26,28,30,32,34,36,38,40,42,44,47,50,52,54},{0,10,20,30,40,50,60,62,64,66,68,70,72,74,76,78,80,85,90,95,100})</f>
        <v>100</v>
      </c>
      <c r="K97" s="12">
        <f t="shared" ref="K97:K102" si="51">I97-54</f>
        <v>0</v>
      </c>
      <c r="L97" s="11">
        <f>LOOKUP(K97,{0,2,4,6,7,8,9,10,11,12,13},{0,1,2,3,4,5,6,7,8,9,10})</f>
        <v>0</v>
      </c>
      <c r="M97" s="12">
        <f t="shared" si="45"/>
        <v>100</v>
      </c>
      <c r="N97" s="12">
        <v>10.6</v>
      </c>
      <c r="O97" s="12">
        <f t="shared" si="46"/>
        <v>1.4</v>
      </c>
      <c r="P97" s="11">
        <f>LOOKUP(O97,{0,0.5,0.7,0.9,1.1,1.3,1.5,1.7,1.9,2.1,2.3,2.5,2.7,2.9,3.1,3.3,3.5,3.8,4.1,4.2,4.3},{0,10,20,30,40,50,60,62,64,66,68,70,72,74,76,78,80,85,90,95,100})</f>
        <v>50</v>
      </c>
      <c r="Q97" s="12">
        <v>4.32</v>
      </c>
      <c r="R97" s="12">
        <f t="shared" si="47"/>
        <v>5.68</v>
      </c>
      <c r="S97" s="11">
        <f>LOOKUP(R97,{0,4.72,4.82,4.92,5.42,5.52,5.62,5.67,5.72,5.77,5.82,5.87,5.92,5.97,6.42,6.47,6.52,6.59,6.66,6.72,6.78},{0,10,20,30,40,50,60,62,64,66,68,70,72,74,76,78,80,85,90,95,100})</f>
        <v>62</v>
      </c>
      <c r="T97" s="12"/>
      <c r="U97" s="12"/>
      <c r="V97" s="12">
        <f t="shared" si="48"/>
        <v>62</v>
      </c>
      <c r="W97" s="12"/>
      <c r="X97" s="20">
        <f t="shared" si="49"/>
        <v>43.2</v>
      </c>
      <c r="Y97" s="20">
        <f t="shared" si="50"/>
        <v>61.7142857142857</v>
      </c>
    </row>
    <row r="98" ht="15.6" hidden="1" outlineLevel="2" spans="1:25">
      <c r="A98" s="12">
        <v>206</v>
      </c>
      <c r="B98" s="12">
        <v>47</v>
      </c>
      <c r="C98" s="6" t="s">
        <v>320</v>
      </c>
      <c r="D98" s="6" t="s">
        <v>53</v>
      </c>
      <c r="E98" s="12">
        <v>14.5</v>
      </c>
      <c r="F98" s="11">
        <f>LOOKUP(E98,{0,1,1.8,2.6,3.4,4.2,5,6.3,7.6,8.9,10.2,11.5,12.8,14.1,15.4,16.7,18,19.7,21.4,23.1,24.8},{0,10,20,30,40,50,60,62,64,66,68,70,72,74,76,78,80,85,90,95,100})</f>
        <v>74</v>
      </c>
      <c r="G98" s="12">
        <v>180</v>
      </c>
      <c r="H98" s="11">
        <f>LOOKUP(G98,{0,124,129,134,139,144,149,152,155,158,161,164,167,170,173,176,179,186,193,199,205},{0,10,20,30,40,50,60,62,64,66,68,70,72,74,76,78,80,85,90,95,100})</f>
        <v>80</v>
      </c>
      <c r="I98" s="12">
        <v>53</v>
      </c>
      <c r="J98" s="11">
        <f>LOOKUP(I98,{0,14,16,18,20,22,24,26,28,30,32,34,36,38,40,42,44,47,50,52,54},{0,10,20,30,40,50,60,62,64,66,68,70,72,74,76,78,80,85,90,95,100})</f>
        <v>95</v>
      </c>
      <c r="K98" s="12"/>
      <c r="L98" s="12"/>
      <c r="M98" s="12">
        <f t="shared" si="45"/>
        <v>95</v>
      </c>
      <c r="N98" s="12">
        <v>8.3</v>
      </c>
      <c r="O98" s="12">
        <f t="shared" si="46"/>
        <v>3.7</v>
      </c>
      <c r="P98" s="11">
        <f>LOOKUP(O98,{0,0.5,0.7,0.9,1.1,1.3,1.5,1.7,1.9,2.1,2.3,2.5,2.7,2.9,3.1,3.3,3.5,3.8,4.1,4.2,4.3},{0,10,20,30,40,50,60,62,64,66,68,70,72,74,76,78,80,85,90,95,100})</f>
        <v>80</v>
      </c>
      <c r="Q98" s="12">
        <v>3.4</v>
      </c>
      <c r="R98" s="12">
        <f t="shared" si="47"/>
        <v>6.6</v>
      </c>
      <c r="S98" s="11">
        <f>LOOKUP(R98,{0,4.72,4.82,4.92,5.42,5.52,5.62,5.67,5.72,5.77,5.82,5.87,5.92,5.97,6.42,6.47,6.52,6.59,6.66,6.72,6.78},{0,10,20,30,40,50,60,62,64,66,68,70,72,74,76,78,80,85,90,95,100})</f>
        <v>85</v>
      </c>
      <c r="T98" s="12"/>
      <c r="U98" s="12"/>
      <c r="V98" s="12">
        <f t="shared" si="48"/>
        <v>85</v>
      </c>
      <c r="W98" s="12"/>
      <c r="X98" s="20">
        <f t="shared" si="49"/>
        <v>57.9</v>
      </c>
      <c r="Y98" s="20">
        <f t="shared" si="50"/>
        <v>82.7142857142857</v>
      </c>
    </row>
    <row r="99" ht="15.6" hidden="1" outlineLevel="2" spans="1:25">
      <c r="A99" s="12">
        <v>206</v>
      </c>
      <c r="B99" s="12">
        <v>48</v>
      </c>
      <c r="C99" s="6" t="s">
        <v>321</v>
      </c>
      <c r="D99" s="6" t="s">
        <v>53</v>
      </c>
      <c r="E99" s="12">
        <v>20</v>
      </c>
      <c r="F99" s="11">
        <f>LOOKUP(E99,{0,1,1.8,2.6,3.4,4.2,5,6.3,7.6,8.9,10.2,11.5,12.8,14.1,15.4,16.7,18,19.7,21.4,23.1,24.8},{0,10,20,30,40,50,60,62,64,66,68,70,72,74,76,78,80,85,90,95,100})</f>
        <v>85</v>
      </c>
      <c r="G99" s="12">
        <v>177</v>
      </c>
      <c r="H99" s="11">
        <f>LOOKUP(G99,{0,124,129,134,139,144,149,152,155,158,161,164,167,170,173,176,179,186,193,199,205},{0,10,20,30,40,50,60,62,64,66,68,70,72,74,76,78,80,85,90,95,100})</f>
        <v>78</v>
      </c>
      <c r="I99" s="12">
        <v>47</v>
      </c>
      <c r="J99" s="11">
        <f>LOOKUP(I99,{0,14,16,18,20,22,24,26,28,30,32,34,36,38,40,42,44,47,50,52,54},{0,10,20,30,40,50,60,62,64,66,68,70,72,74,76,78,80,85,90,95,100})</f>
        <v>85</v>
      </c>
      <c r="K99" s="12"/>
      <c r="L99" s="15"/>
      <c r="M99" s="12">
        <f t="shared" si="45"/>
        <v>85</v>
      </c>
      <c r="N99" s="12">
        <v>8.9</v>
      </c>
      <c r="O99" s="12">
        <f t="shared" si="46"/>
        <v>3.1</v>
      </c>
      <c r="P99" s="11">
        <f>LOOKUP(O99,{0,0.5,0.7,0.9,1.1,1.3,1.5,1.7,1.9,2.1,2.3,2.5,2.7,2.9,3.1,3.3,3.5,3.8,4.1,4.2,4.3},{0,10,20,30,40,50,60,62,64,66,68,70,72,74,76,78,80,85,90,95,100})</f>
        <v>76</v>
      </c>
      <c r="Q99" s="12">
        <v>4.28</v>
      </c>
      <c r="R99" s="12">
        <f t="shared" si="47"/>
        <v>5.72</v>
      </c>
      <c r="S99" s="11">
        <f>LOOKUP(R99,{0,4.72,4.82,4.92,5.42,5.52,5.62,5.67,5.72,5.77,5.82,5.87,5.92,5.97,6.42,6.47,6.52,6.59,6.66,6.72,6.78},{0,10,20,30,40,50,60,62,64,66,68,70,72,74,76,78,80,85,90,95,100})</f>
        <v>64</v>
      </c>
      <c r="T99" s="12"/>
      <c r="U99" s="12"/>
      <c r="V99" s="12">
        <f t="shared" si="48"/>
        <v>64</v>
      </c>
      <c r="W99" s="12"/>
      <c r="X99" s="20">
        <f t="shared" si="49"/>
        <v>52.8</v>
      </c>
      <c r="Y99" s="20">
        <f t="shared" si="50"/>
        <v>75.4285714285714</v>
      </c>
    </row>
    <row r="100" ht="15.6" hidden="1" outlineLevel="2" spans="1:25">
      <c r="A100" s="12">
        <v>206</v>
      </c>
      <c r="B100" s="12">
        <v>49</v>
      </c>
      <c r="C100" s="6" t="s">
        <v>322</v>
      </c>
      <c r="D100" s="6" t="s">
        <v>53</v>
      </c>
      <c r="E100" s="12">
        <v>18.9</v>
      </c>
      <c r="F100" s="11">
        <f>LOOKUP(E100,{0,1,1.8,2.6,3.4,4.2,5,6.3,7.6,8.9,10.2,11.5,12.8,14.1,15.4,16.7,18,19.7,21.4,23.1,24.8},{0,10,20,30,40,50,60,62,64,66,68,70,72,74,76,78,80,85,90,95,100})</f>
        <v>80</v>
      </c>
      <c r="G100" s="12">
        <v>165</v>
      </c>
      <c r="H100" s="11">
        <f>LOOKUP(G100,{0,124,129,134,139,144,149,152,155,158,161,164,167,170,173,176,179,186,193,199,205},{0,10,20,30,40,50,60,62,64,66,68,70,72,74,76,78,80,85,90,95,100})</f>
        <v>70</v>
      </c>
      <c r="I100" s="12">
        <v>49</v>
      </c>
      <c r="J100" s="11">
        <f>LOOKUP(I100,{0,14,16,18,20,22,24,26,28,30,32,34,36,38,40,42,44,47,50,52,54},{0,10,20,30,40,50,60,62,64,66,68,70,72,74,76,78,80,85,90,95,100})</f>
        <v>85</v>
      </c>
      <c r="K100" s="12"/>
      <c r="L100" s="12"/>
      <c r="M100" s="12">
        <f t="shared" si="45"/>
        <v>85</v>
      </c>
      <c r="N100" s="12">
        <v>8.5</v>
      </c>
      <c r="O100" s="12">
        <f t="shared" si="46"/>
        <v>3.5</v>
      </c>
      <c r="P100" s="11">
        <f>LOOKUP(O100,{0,0.5,0.7,0.9,1.1,1.3,1.5,1.7,1.9,2.1,2.3,2.5,2.7,2.9,3.1,3.3,3.5,3.8,4.1,4.2,4.3},{0,10,20,30,40,50,60,62,64,66,68,70,72,74,76,78,80,85,90,95,100})</f>
        <v>80</v>
      </c>
      <c r="Q100" s="12">
        <v>3.46</v>
      </c>
      <c r="R100" s="12">
        <f t="shared" si="47"/>
        <v>6.54</v>
      </c>
      <c r="S100" s="11">
        <f>LOOKUP(R100,{0,4.72,4.82,4.92,5.42,5.52,5.62,5.67,5.72,5.77,5.82,5.87,5.92,5.97,6.42,6.47,6.52,6.59,6.66,6.72,6.78},{0,10,20,30,40,50,60,62,64,66,68,70,72,74,76,78,80,85,90,95,100})</f>
        <v>80</v>
      </c>
      <c r="T100" s="12"/>
      <c r="U100" s="12"/>
      <c r="V100" s="12">
        <f t="shared" si="48"/>
        <v>80</v>
      </c>
      <c r="W100" s="12"/>
      <c r="X100" s="20">
        <f t="shared" si="49"/>
        <v>55.5</v>
      </c>
      <c r="Y100" s="20">
        <f t="shared" si="50"/>
        <v>79.2857142857143</v>
      </c>
    </row>
    <row r="101" ht="15.6" hidden="1" outlineLevel="2" spans="1:25">
      <c r="A101" s="12">
        <v>206</v>
      </c>
      <c r="B101" s="12">
        <v>50</v>
      </c>
      <c r="C101" s="6" t="s">
        <v>323</v>
      </c>
      <c r="D101" s="6" t="s">
        <v>53</v>
      </c>
      <c r="E101" s="12">
        <v>23</v>
      </c>
      <c r="F101" s="11">
        <f>LOOKUP(E101,{0,1,1.8,2.6,3.4,4.2,5,6.3,7.6,8.9,10.2,11.5,12.8,14.1,15.4,16.7,18,19.7,21.4,23.1,24.8},{0,10,20,30,40,50,60,62,64,66,68,70,72,74,76,78,80,85,90,95,100})</f>
        <v>90</v>
      </c>
      <c r="G101" s="12">
        <v>175</v>
      </c>
      <c r="H101" s="11">
        <f>LOOKUP(G101,{0,124,129,134,139,144,149,152,155,158,161,164,167,170,173,176,179,186,193,199,205},{0,10,20,30,40,50,60,62,64,66,68,70,72,74,76,78,80,85,90,95,100})</f>
        <v>76</v>
      </c>
      <c r="I101" s="12">
        <v>54</v>
      </c>
      <c r="J101" s="11">
        <f>LOOKUP(I101,{0,14,16,18,20,22,24,26,28,30,32,34,36,38,40,42,44,47,50,52,54},{0,10,20,30,40,50,60,62,64,66,68,70,72,74,76,78,80,85,90,95,100})</f>
        <v>100</v>
      </c>
      <c r="K101" s="12">
        <f t="shared" si="51"/>
        <v>0</v>
      </c>
      <c r="L101" s="11">
        <f>LOOKUP(K101,{0,2,4,6,7,8,9,10,11,12,13},{0,1,2,3,4,5,6,7,8,9,10})</f>
        <v>0</v>
      </c>
      <c r="M101" s="12">
        <f t="shared" si="45"/>
        <v>100</v>
      </c>
      <c r="N101" s="12">
        <v>9</v>
      </c>
      <c r="O101" s="12">
        <f t="shared" si="46"/>
        <v>3</v>
      </c>
      <c r="P101" s="11">
        <f>LOOKUP(O101,{0,0.5,0.7,0.9,1.1,1.3,1.5,1.7,1.9,2.1,2.3,2.5,2.7,2.9,3.1,3.3,3.5,3.8,4.1,4.2,4.3},{0,10,20,30,40,50,60,62,64,66,68,70,72,74,76,78,80,85,90,95,100})</f>
        <v>74</v>
      </c>
      <c r="Q101" s="12">
        <v>3.33</v>
      </c>
      <c r="R101" s="12">
        <f t="shared" si="47"/>
        <v>6.67</v>
      </c>
      <c r="S101" s="11">
        <f>LOOKUP(R101,{0,4.72,4.82,4.92,5.42,5.52,5.62,5.67,5.72,5.77,5.82,5.87,5.92,5.97,6.42,6.47,6.52,6.59,6.66,6.72,6.78},{0,10,20,30,40,50,60,62,64,66,68,70,72,74,76,78,80,85,90,95,100})</f>
        <v>90</v>
      </c>
      <c r="T101" s="12"/>
      <c r="U101" s="12"/>
      <c r="V101" s="12">
        <f t="shared" si="48"/>
        <v>90</v>
      </c>
      <c r="W101" s="12"/>
      <c r="X101" s="20">
        <f t="shared" si="49"/>
        <v>59.4</v>
      </c>
      <c r="Y101" s="20">
        <f t="shared" si="50"/>
        <v>84.8571428571429</v>
      </c>
    </row>
    <row r="102" s="1" customFormat="1" ht="15.6" hidden="1" outlineLevel="2" spans="1:25">
      <c r="A102" s="12">
        <v>206</v>
      </c>
      <c r="B102" s="12">
        <v>51</v>
      </c>
      <c r="C102" s="6" t="s">
        <v>324</v>
      </c>
      <c r="D102" s="6" t="s">
        <v>53</v>
      </c>
      <c r="E102" s="12">
        <v>22.5</v>
      </c>
      <c r="F102" s="11">
        <f>LOOKUP(E102,{0,1,1.8,2.6,3.4,4.2,5,6.3,7.6,8.9,10.2,11.5,12.8,14.1,15.4,16.7,18,19.7,21.4,23.1,24.8},{0,10,20,30,40,50,60,62,64,66,68,70,72,74,76,78,80,85,90,95,100})</f>
        <v>90</v>
      </c>
      <c r="G102" s="12">
        <v>195</v>
      </c>
      <c r="H102" s="11">
        <f>LOOKUP(G102,{0,124,129,134,139,144,149,152,155,158,161,164,167,170,173,176,179,186,193,199,205},{0,10,20,30,40,50,60,62,64,66,68,70,72,74,76,78,80,85,90,95,100})</f>
        <v>90</v>
      </c>
      <c r="I102" s="12">
        <v>62</v>
      </c>
      <c r="J102" s="11">
        <f>LOOKUP(I102,{0,14,16,18,20,22,24,26,28,30,32,34,36,38,40,42,44,47,50,52,54},{0,10,20,30,40,50,60,62,64,66,68,70,72,74,76,78,80,85,90,95,100})</f>
        <v>100</v>
      </c>
      <c r="K102" s="12">
        <f t="shared" si="51"/>
        <v>8</v>
      </c>
      <c r="L102" s="11">
        <f>LOOKUP(K102,{0,2,4,6,7,8,9,10,11,12,13},{0,1,2,3,4,5,6,7,8,9,10})</f>
        <v>5</v>
      </c>
      <c r="M102" s="12">
        <f t="shared" si="45"/>
        <v>105</v>
      </c>
      <c r="N102" s="12">
        <v>8.4</v>
      </c>
      <c r="O102" s="12">
        <f t="shared" si="46"/>
        <v>3.6</v>
      </c>
      <c r="P102" s="11">
        <f>LOOKUP(O102,{0,0.5,0.7,0.9,1.1,1.3,1.5,1.7,1.9,2.1,2.3,2.5,2.7,2.9,3.1,3.3,3.5,3.8,4.1,4.2,4.3},{0,10,20,30,40,50,60,62,64,66,68,70,72,74,76,78,80,85,90,95,100})</f>
        <v>80</v>
      </c>
      <c r="Q102" s="12">
        <v>3.31</v>
      </c>
      <c r="R102" s="12">
        <f t="shared" si="47"/>
        <v>6.69</v>
      </c>
      <c r="S102" s="11">
        <f>LOOKUP(R102,{0,4.72,4.82,4.92,5.42,5.52,5.62,5.67,5.72,5.77,5.82,5.87,5.92,5.97,6.42,6.47,6.52,6.59,6.66,6.72,6.78},{0,10,20,30,40,50,60,62,64,66,68,70,72,74,76,78,80,85,90,95,100})</f>
        <v>90</v>
      </c>
      <c r="T102" s="12"/>
      <c r="U102" s="12"/>
      <c r="V102" s="12">
        <f t="shared" si="48"/>
        <v>90</v>
      </c>
      <c r="W102" s="12"/>
      <c r="X102" s="20">
        <f t="shared" si="49"/>
        <v>62</v>
      </c>
      <c r="Y102" s="20">
        <f t="shared" si="50"/>
        <v>93.5714285714286</v>
      </c>
    </row>
    <row r="103" s="1" customFormat="1" ht="15.6" outlineLevel="1" collapsed="1" spans="1:25">
      <c r="A103" s="14" t="s">
        <v>860</v>
      </c>
      <c r="B103" s="12"/>
      <c r="C103" s="6"/>
      <c r="D103" s="6"/>
      <c r="E103" s="12"/>
      <c r="F103" s="11">
        <f>SUBTOTAL(1,F90:F102)</f>
        <v>82.9230769230769</v>
      </c>
      <c r="G103" s="12"/>
      <c r="H103" s="11">
        <f>SUBTOTAL(1,H90:H102)</f>
        <v>74</v>
      </c>
      <c r="I103" s="12"/>
      <c r="J103" s="11">
        <f>SUBTOTAL(1,J90:J102)</f>
        <v>84.6923076923077</v>
      </c>
      <c r="K103" s="12"/>
      <c r="L103" s="11"/>
      <c r="M103" s="12">
        <f>SUBTOTAL(1,M90:M102)</f>
        <v>85.0769230769231</v>
      </c>
      <c r="N103" s="12"/>
      <c r="O103" s="12"/>
      <c r="P103" s="11">
        <f>SUBTOTAL(1,P90:P102)</f>
        <v>74.6153846153846</v>
      </c>
      <c r="Q103" s="12"/>
      <c r="R103" s="12"/>
      <c r="S103" s="11">
        <f>SUBTOTAL(1,S90:S102)</f>
        <v>76.6923076923077</v>
      </c>
      <c r="T103" s="12"/>
      <c r="U103" s="12"/>
      <c r="V103" s="12">
        <f>SUBTOTAL(1,V90:V102)</f>
        <v>76.6923076923077</v>
      </c>
      <c r="W103" s="12"/>
      <c r="X103" s="20">
        <f>SUBTOTAL(1,X90:X102)</f>
        <v>54.4230769230769</v>
      </c>
      <c r="Y103" s="20">
        <f>SUBTOTAL(1,Y90:Y102)</f>
        <v>78.1318681318681</v>
      </c>
    </row>
    <row r="104" ht="15.6" hidden="1" outlineLevel="2" spans="1:25">
      <c r="A104" s="12">
        <v>207</v>
      </c>
      <c r="B104" s="12">
        <v>37</v>
      </c>
      <c r="C104" s="13" t="s">
        <v>365</v>
      </c>
      <c r="D104" s="6" t="s">
        <v>53</v>
      </c>
      <c r="E104" s="12">
        <v>17</v>
      </c>
      <c r="F104" s="11">
        <f>LOOKUP(E104,{0,1,1.8,2.6,3.4,4.2,5,6.3,7.6,8.9,10.2,11.5,12.8,14.1,15.4,16.7,18,19.7,21.4,23.1,24.8},{0,10,20,30,40,50,60,62,64,66,68,70,72,74,76,78,80,85,90,95,100})</f>
        <v>78</v>
      </c>
      <c r="G104" s="12">
        <v>178</v>
      </c>
      <c r="H104" s="11">
        <f>LOOKUP(G104,{0,124,129,134,139,144,149,152,155,158,161,164,167,170,173,176,179,186,193,199,205},{0,10,20,30,40,50,60,62,64,66,68,70,72,74,76,78,80,85,90,95,100})</f>
        <v>78</v>
      </c>
      <c r="I104" s="12">
        <v>45</v>
      </c>
      <c r="J104" s="11">
        <f>LOOKUP(I104,{0,14,16,18,20,22,24,26,28,30,32,34,36,38,40,42,44,47,50,52,54},{0,10,20,30,40,50,60,62,64,66,68,70,72,74,76,78,80,85,90,95,100})</f>
        <v>80</v>
      </c>
      <c r="K104" s="12"/>
      <c r="L104" s="15"/>
      <c r="M104" s="12">
        <f t="shared" ref="M104:M117" si="52">J104+L104</f>
        <v>80</v>
      </c>
      <c r="N104" s="12">
        <v>8.6</v>
      </c>
      <c r="O104" s="12">
        <f t="shared" ref="O104:O117" si="53">12-N104</f>
        <v>3.4</v>
      </c>
      <c r="P104" s="11">
        <f>LOOKUP(O104,{0,0.5,0.7,0.9,1.1,1.3,1.5,1.7,1.9,2.1,2.3,2.5,2.7,2.9,3.1,3.3,3.5,3.8,4.1,4.2,4.3},{0,10,20,30,40,50,60,62,64,66,68,70,72,74,76,78,80,85,90,95,100})</f>
        <v>78</v>
      </c>
      <c r="Q104" s="12">
        <v>3.19</v>
      </c>
      <c r="R104" s="12">
        <f t="shared" ref="R104:R117" si="54">10-Q104</f>
        <v>6.81</v>
      </c>
      <c r="S104" s="11">
        <f>LOOKUP(R104,{0,4.72,4.82,4.92,5.42,5.52,5.62,5.67,5.72,5.77,5.82,5.87,5.92,5.97,6.42,6.47,6.52,6.59,6.66,6.72,6.78},{0,10,20,30,40,50,60,62,64,66,68,70,72,74,76,78,80,85,90,95,100})</f>
        <v>100</v>
      </c>
      <c r="T104" s="21">
        <f>3.22-Q104</f>
        <v>0.0300000000000002</v>
      </c>
      <c r="U104" s="11">
        <f>LOOKUP(T104,{0,0.05,0.1,0.15,0.2,0.25,0.3,0.35,0.4,0.45,0.5},{0,1,2,3,4,5,6,7,8,9,10})</f>
        <v>0</v>
      </c>
      <c r="V104" s="12">
        <f t="shared" ref="V104:V117" si="55">S104+U104</f>
        <v>100</v>
      </c>
      <c r="W104" s="12"/>
      <c r="X104" s="20">
        <f t="shared" ref="X104:X117" si="56">F104*0.1+H104*0.1+J104*0.1+P104*0.2+S104*0.2</f>
        <v>59.2</v>
      </c>
      <c r="Y104" s="20">
        <f t="shared" ref="Y104:Y117" si="57">X104/0.7+L104+U104</f>
        <v>84.5714285714286</v>
      </c>
    </row>
    <row r="105" ht="15.6" hidden="1" outlineLevel="2" spans="1:25">
      <c r="A105" s="12">
        <v>207</v>
      </c>
      <c r="B105" s="12">
        <v>38</v>
      </c>
      <c r="C105" s="6" t="s">
        <v>366</v>
      </c>
      <c r="D105" s="6" t="s">
        <v>53</v>
      </c>
      <c r="E105" s="12">
        <v>17</v>
      </c>
      <c r="F105" s="11">
        <f>LOOKUP(E105,{0,1,1.8,2.6,3.4,4.2,5,6.3,7.6,8.9,10.2,11.5,12.8,14.1,15.4,16.7,18,19.7,21.4,23.1,24.8},{0,10,20,30,40,50,60,62,64,66,68,70,72,74,76,78,80,85,90,95,100})</f>
        <v>78</v>
      </c>
      <c r="G105" s="12">
        <v>190</v>
      </c>
      <c r="H105" s="11">
        <f>LOOKUP(G105,{0,124,129,134,139,144,149,152,155,158,161,164,167,170,173,176,179,186,193,199,205},{0,10,20,30,40,50,60,62,64,66,68,70,72,74,76,78,80,85,90,95,100})</f>
        <v>85</v>
      </c>
      <c r="I105" s="12">
        <v>50</v>
      </c>
      <c r="J105" s="11">
        <f>LOOKUP(I105,{0,14,16,18,20,22,24,26,28,30,32,34,36,38,40,42,44,47,50,52,54},{0,10,20,30,40,50,60,62,64,66,68,70,72,74,76,78,80,85,90,95,100})</f>
        <v>90</v>
      </c>
      <c r="K105" s="12"/>
      <c r="L105" s="12"/>
      <c r="M105" s="12">
        <f t="shared" si="52"/>
        <v>90</v>
      </c>
      <c r="N105" s="12">
        <v>9.2</v>
      </c>
      <c r="O105" s="12">
        <f t="shared" si="53"/>
        <v>2.8</v>
      </c>
      <c r="P105" s="11">
        <f>LOOKUP(O105,{0,0.5,0.7,0.9,1.1,1.3,1.5,1.7,1.9,2.1,2.3,2.5,2.7,2.9,3.1,3.3,3.5,3.8,4.1,4.2,4.3},{0,10,20,30,40,50,60,62,64,66,68,70,72,74,76,78,80,85,90,95,100})</f>
        <v>72</v>
      </c>
      <c r="Q105" s="12">
        <v>3.45</v>
      </c>
      <c r="R105" s="12">
        <f t="shared" si="54"/>
        <v>6.55</v>
      </c>
      <c r="S105" s="11">
        <f>LOOKUP(R105,{0,4.72,4.82,4.92,5.42,5.52,5.62,5.67,5.72,5.77,5.82,5.87,5.92,5.97,6.42,6.47,6.52,6.59,6.66,6.72,6.78},{0,10,20,30,40,50,60,62,64,66,68,70,72,74,76,78,80,85,90,95,100})</f>
        <v>80</v>
      </c>
      <c r="T105" s="12"/>
      <c r="U105" s="12"/>
      <c r="V105" s="12">
        <f t="shared" si="55"/>
        <v>80</v>
      </c>
      <c r="W105" s="12"/>
      <c r="X105" s="20">
        <f t="shared" si="56"/>
        <v>55.7</v>
      </c>
      <c r="Y105" s="20">
        <f t="shared" si="57"/>
        <v>79.5714285714286</v>
      </c>
    </row>
    <row r="106" ht="15.6" hidden="1" outlineLevel="2" spans="1:25">
      <c r="A106" s="12">
        <v>207</v>
      </c>
      <c r="B106" s="12">
        <v>39</v>
      </c>
      <c r="C106" s="6" t="s">
        <v>367</v>
      </c>
      <c r="D106" s="6" t="s">
        <v>53</v>
      </c>
      <c r="E106" s="12">
        <v>18</v>
      </c>
      <c r="F106" s="11">
        <f>LOOKUP(E106,{0,1,1.8,2.6,3.4,4.2,5,6.3,7.6,8.9,10.2,11.5,12.8,14.1,15.4,16.7,18,19.7,21.4,23.1,24.8},{0,10,20,30,40,50,60,62,64,66,68,70,72,74,76,78,80,85,90,95,100})</f>
        <v>80</v>
      </c>
      <c r="G106" s="12">
        <v>171</v>
      </c>
      <c r="H106" s="11">
        <f>LOOKUP(G106,{0,124,129,134,139,144,149,152,155,158,161,164,167,170,173,176,179,186,193,199,205},{0,10,20,30,40,50,60,62,64,66,68,70,72,74,76,78,80,85,90,95,100})</f>
        <v>74</v>
      </c>
      <c r="I106" s="12">
        <v>57</v>
      </c>
      <c r="J106" s="11">
        <f>LOOKUP(I106,{0,14,16,18,20,22,24,26,28,30,32,34,36,38,40,42,44,47,50,52,54},{0,10,20,30,40,50,60,62,64,66,68,70,72,74,76,78,80,85,90,95,100})</f>
        <v>100</v>
      </c>
      <c r="K106" s="12">
        <f>I106-54</f>
        <v>3</v>
      </c>
      <c r="L106" s="11">
        <f>LOOKUP(K106,{0,2,4,6,7,8,9,10,11,12,13},{0,1,2,3,4,5,6,7,8,9,10})</f>
        <v>1</v>
      </c>
      <c r="M106" s="12">
        <f t="shared" si="52"/>
        <v>101</v>
      </c>
      <c r="N106" s="12">
        <v>8.3</v>
      </c>
      <c r="O106" s="12">
        <f t="shared" si="53"/>
        <v>3.7</v>
      </c>
      <c r="P106" s="11">
        <f>LOOKUP(O106,{0,0.5,0.7,0.9,1.1,1.3,1.5,1.7,1.9,2.1,2.3,2.5,2.7,2.9,3.1,3.3,3.5,3.8,4.1,4.2,4.3},{0,10,20,30,40,50,60,62,64,66,68,70,72,74,76,78,80,85,90,95,100})</f>
        <v>80</v>
      </c>
      <c r="Q106" s="12">
        <v>3.12</v>
      </c>
      <c r="R106" s="12">
        <f t="shared" si="54"/>
        <v>6.88</v>
      </c>
      <c r="S106" s="11">
        <f>LOOKUP(R106,{0,4.72,4.82,4.92,5.42,5.52,5.62,5.67,5.72,5.77,5.82,5.87,5.92,5.97,6.42,6.47,6.52,6.59,6.66,6.72,6.78},{0,10,20,30,40,50,60,62,64,66,68,70,72,74,76,78,80,85,90,95,100})</f>
        <v>100</v>
      </c>
      <c r="T106" s="21">
        <f>3.22-Q106</f>
        <v>0.1</v>
      </c>
      <c r="U106" s="11">
        <f>LOOKUP(T106,{0,0.05,0.1,0.15,0.2,0.25,0.3,0.35,0.4,0.45,0.5},{0,1,2,3,4,5,6,7,8,9,10})</f>
        <v>2</v>
      </c>
      <c r="V106" s="12">
        <f t="shared" si="55"/>
        <v>102</v>
      </c>
      <c r="W106" s="12"/>
      <c r="X106" s="20">
        <f t="shared" si="56"/>
        <v>61.4</v>
      </c>
      <c r="Y106" s="20">
        <f t="shared" si="57"/>
        <v>90.7142857142857</v>
      </c>
    </row>
    <row r="107" ht="15.6" hidden="1" outlineLevel="2" spans="1:25">
      <c r="A107" s="12">
        <v>207</v>
      </c>
      <c r="B107" s="12">
        <v>40</v>
      </c>
      <c r="C107" s="6" t="s">
        <v>368</v>
      </c>
      <c r="D107" s="6" t="s">
        <v>53</v>
      </c>
      <c r="E107" s="12">
        <v>18</v>
      </c>
      <c r="F107" s="11">
        <f>LOOKUP(E107,{0,1,1.8,2.6,3.4,4.2,5,6.3,7.6,8.9,10.2,11.5,12.8,14.1,15.4,16.7,18,19.7,21.4,23.1,24.8},{0,10,20,30,40,50,60,62,64,66,68,70,72,74,76,78,80,85,90,95,100})</f>
        <v>80</v>
      </c>
      <c r="G107" s="12">
        <v>162</v>
      </c>
      <c r="H107" s="11">
        <f>LOOKUP(G107,{0,124,129,134,139,144,149,152,155,158,161,164,167,170,173,176,179,186,193,199,205},{0,10,20,30,40,50,60,62,64,66,68,70,72,74,76,78,80,85,90,95,100})</f>
        <v>68</v>
      </c>
      <c r="I107" s="12">
        <v>49</v>
      </c>
      <c r="J107" s="11">
        <f>LOOKUP(I107,{0,14,16,18,20,22,24,26,28,30,32,34,36,38,40,42,44,47,50,52,54},{0,10,20,30,40,50,60,62,64,66,68,70,72,74,76,78,80,85,90,95,100})</f>
        <v>85</v>
      </c>
      <c r="K107" s="12"/>
      <c r="L107" s="15"/>
      <c r="M107" s="12">
        <f t="shared" si="52"/>
        <v>85</v>
      </c>
      <c r="N107" s="12">
        <v>8.8</v>
      </c>
      <c r="O107" s="12">
        <f t="shared" si="53"/>
        <v>3.2</v>
      </c>
      <c r="P107" s="11">
        <f>LOOKUP(O107,{0,0.5,0.7,0.9,1.1,1.3,1.5,1.7,1.9,2.1,2.3,2.5,2.7,2.9,3.1,3.3,3.5,3.8,4.1,4.2,4.3},{0,10,20,30,40,50,60,62,64,66,68,70,72,74,76,78,80,85,90,95,100})</f>
        <v>76</v>
      </c>
      <c r="Q107" s="12">
        <v>3.34</v>
      </c>
      <c r="R107" s="12">
        <f t="shared" si="54"/>
        <v>6.66</v>
      </c>
      <c r="S107" s="11">
        <f>LOOKUP(R107,{0,4.72,4.82,4.92,5.42,5.52,5.62,5.67,5.72,5.77,5.82,5.87,5.92,5.97,6.42,6.47,6.52,6.59,6.66,6.72,6.78},{0,10,20,30,40,50,60,62,64,66,68,70,72,74,76,78,80,85,90,95,100})</f>
        <v>90</v>
      </c>
      <c r="T107" s="12"/>
      <c r="U107" s="12"/>
      <c r="V107" s="12">
        <f t="shared" si="55"/>
        <v>90</v>
      </c>
      <c r="W107" s="12"/>
      <c r="X107" s="20">
        <f t="shared" si="56"/>
        <v>56.5</v>
      </c>
      <c r="Y107" s="20">
        <f t="shared" si="57"/>
        <v>80.7142857142857</v>
      </c>
    </row>
    <row r="108" ht="15.6" hidden="1" outlineLevel="2" spans="1:25">
      <c r="A108" s="12">
        <v>207</v>
      </c>
      <c r="B108" s="12">
        <v>41</v>
      </c>
      <c r="C108" s="6" t="s">
        <v>369</v>
      </c>
      <c r="D108" s="6" t="s">
        <v>53</v>
      </c>
      <c r="E108" s="12">
        <v>25.6</v>
      </c>
      <c r="F108" s="11">
        <f>LOOKUP(E108,{0,1,1.8,2.6,3.4,4.2,5,6.3,7.6,8.9,10.2,11.5,12.8,14.1,15.4,16.7,18,19.7,21.4,23.1,24.8},{0,10,20,30,40,50,60,62,64,66,68,70,72,74,76,78,80,85,90,95,100})</f>
        <v>100</v>
      </c>
      <c r="G108" s="12">
        <v>180</v>
      </c>
      <c r="H108" s="11">
        <f>LOOKUP(G108,{0,124,129,134,139,144,149,152,155,158,161,164,167,170,173,176,179,186,193,199,205},{0,10,20,30,40,50,60,62,64,66,68,70,72,74,76,78,80,85,90,95,100})</f>
        <v>80</v>
      </c>
      <c r="I108" s="12">
        <v>42</v>
      </c>
      <c r="J108" s="11">
        <f>LOOKUP(I108,{0,14,16,18,20,22,24,26,28,30,32,34,36,38,40,42,44,47,50,52,54},{0,10,20,30,40,50,60,62,64,66,68,70,72,74,76,78,80,85,90,95,100})</f>
        <v>78</v>
      </c>
      <c r="K108" s="12"/>
      <c r="L108" s="12"/>
      <c r="M108" s="12">
        <f t="shared" si="52"/>
        <v>78</v>
      </c>
      <c r="N108" s="12">
        <v>8.8</v>
      </c>
      <c r="O108" s="12">
        <f t="shared" si="53"/>
        <v>3.2</v>
      </c>
      <c r="P108" s="11">
        <f>LOOKUP(O108,{0,0.5,0.7,0.9,1.1,1.3,1.5,1.7,1.9,2.1,2.3,2.5,2.7,2.9,3.1,3.3,3.5,3.8,4.1,4.2,4.3},{0,10,20,30,40,50,60,62,64,66,68,70,72,74,76,78,80,85,90,95,100})</f>
        <v>76</v>
      </c>
      <c r="Q108" s="12">
        <v>3.37</v>
      </c>
      <c r="R108" s="12">
        <f t="shared" si="54"/>
        <v>6.63</v>
      </c>
      <c r="S108" s="11">
        <f>LOOKUP(R108,{0,4.72,4.82,4.92,5.42,5.52,5.62,5.67,5.72,5.77,5.82,5.87,5.92,5.97,6.42,6.47,6.52,6.59,6.66,6.72,6.78},{0,10,20,30,40,50,60,62,64,66,68,70,72,74,76,78,80,85,90,95,100})</f>
        <v>85</v>
      </c>
      <c r="T108" s="12"/>
      <c r="U108" s="12"/>
      <c r="V108" s="12">
        <f t="shared" si="55"/>
        <v>85</v>
      </c>
      <c r="W108" s="12"/>
      <c r="X108" s="20">
        <f t="shared" si="56"/>
        <v>58</v>
      </c>
      <c r="Y108" s="20">
        <f t="shared" si="57"/>
        <v>82.8571428571429</v>
      </c>
    </row>
    <row r="109" ht="15.6" hidden="1" outlineLevel="2" spans="1:25">
      <c r="A109" s="12">
        <v>207</v>
      </c>
      <c r="B109" s="12">
        <v>42</v>
      </c>
      <c r="C109" s="6" t="s">
        <v>370</v>
      </c>
      <c r="D109" s="6" t="s">
        <v>53</v>
      </c>
      <c r="E109" s="12">
        <v>15.3</v>
      </c>
      <c r="F109" s="11">
        <f>LOOKUP(E109,{0,1,1.8,2.6,3.4,4.2,5,6.3,7.6,8.9,10.2,11.5,12.8,14.1,15.4,16.7,18,19.7,21.4,23.1,24.8},{0,10,20,30,40,50,60,62,64,66,68,70,72,74,76,78,80,85,90,95,100})</f>
        <v>74</v>
      </c>
      <c r="G109" s="12">
        <v>187</v>
      </c>
      <c r="H109" s="11">
        <f>LOOKUP(G109,{0,124,129,134,139,144,149,152,155,158,161,164,167,170,173,176,179,186,193,199,205},{0,10,20,30,40,50,60,62,64,66,68,70,72,74,76,78,80,85,90,95,100})</f>
        <v>85</v>
      </c>
      <c r="I109" s="12">
        <v>43</v>
      </c>
      <c r="J109" s="11">
        <f>LOOKUP(I109,{0,14,16,18,20,22,24,26,28,30,32,34,36,38,40,42,44,47,50,52,54},{0,10,20,30,40,50,60,62,64,66,68,70,72,74,76,78,80,85,90,95,100})</f>
        <v>78</v>
      </c>
      <c r="K109" s="12"/>
      <c r="L109" s="12"/>
      <c r="M109" s="12">
        <f t="shared" si="52"/>
        <v>78</v>
      </c>
      <c r="N109" s="12">
        <v>8.3</v>
      </c>
      <c r="O109" s="12">
        <f t="shared" si="53"/>
        <v>3.7</v>
      </c>
      <c r="P109" s="11">
        <f>LOOKUP(O109,{0,0.5,0.7,0.9,1.1,1.3,1.5,1.7,1.9,2.1,2.3,2.5,2.7,2.9,3.1,3.3,3.5,3.8,4.1,4.2,4.3},{0,10,20,30,40,50,60,62,64,66,68,70,72,74,76,78,80,85,90,95,100})</f>
        <v>80</v>
      </c>
      <c r="Q109" s="12">
        <v>3.55</v>
      </c>
      <c r="R109" s="12">
        <f t="shared" si="54"/>
        <v>6.45</v>
      </c>
      <c r="S109" s="11">
        <f>LOOKUP(R109,{0,4.72,4.82,4.92,5.42,5.52,5.62,5.67,5.72,5.77,5.82,5.87,5.92,5.97,6.42,6.47,6.52,6.59,6.66,6.72,6.78},{0,10,20,30,40,50,60,62,64,66,68,70,72,74,76,78,80,85,90,95,100})</f>
        <v>76</v>
      </c>
      <c r="T109" s="12"/>
      <c r="U109" s="12"/>
      <c r="V109" s="12">
        <f t="shared" si="55"/>
        <v>76</v>
      </c>
      <c r="W109" s="12"/>
      <c r="X109" s="20">
        <f t="shared" si="56"/>
        <v>54.9</v>
      </c>
      <c r="Y109" s="20">
        <f t="shared" si="57"/>
        <v>78.4285714285714</v>
      </c>
    </row>
    <row r="110" ht="15.6" hidden="1" outlineLevel="2" spans="1:25">
      <c r="A110" s="12">
        <v>207</v>
      </c>
      <c r="B110" s="12">
        <v>43</v>
      </c>
      <c r="C110" s="6" t="s">
        <v>371</v>
      </c>
      <c r="D110" s="6" t="s">
        <v>53</v>
      </c>
      <c r="E110" s="12">
        <v>17.3</v>
      </c>
      <c r="F110" s="11">
        <f>LOOKUP(E110,{0,1,1.8,2.6,3.4,4.2,5,6.3,7.6,8.9,10.2,11.5,12.8,14.1,15.4,16.7,18,19.7,21.4,23.1,24.8},{0,10,20,30,40,50,60,62,64,66,68,70,72,74,76,78,80,85,90,95,100})</f>
        <v>78</v>
      </c>
      <c r="G110" s="12">
        <v>160</v>
      </c>
      <c r="H110" s="11">
        <f>LOOKUP(G110,{0,124,129,134,139,144,149,152,155,158,161,164,167,170,173,176,179,186,193,199,205},{0,10,20,30,40,50,60,62,64,66,68,70,72,74,76,78,80,85,90,95,100})</f>
        <v>66</v>
      </c>
      <c r="I110" s="12">
        <v>45</v>
      </c>
      <c r="J110" s="11">
        <f>LOOKUP(I110,{0,14,16,18,20,22,24,26,28,30,32,34,36,38,40,42,44,47,50,52,54},{0,10,20,30,40,50,60,62,64,66,68,70,72,74,76,78,80,85,90,95,100})</f>
        <v>80</v>
      </c>
      <c r="K110" s="12"/>
      <c r="L110" s="15"/>
      <c r="M110" s="12">
        <f t="shared" si="52"/>
        <v>80</v>
      </c>
      <c r="N110" s="12">
        <v>8.5</v>
      </c>
      <c r="O110" s="12">
        <f t="shared" si="53"/>
        <v>3.5</v>
      </c>
      <c r="P110" s="11">
        <f>LOOKUP(O110,{0,0.5,0.7,0.9,1.1,1.3,1.5,1.7,1.9,2.1,2.3,2.5,2.7,2.9,3.1,3.3,3.5,3.8,4.1,4.2,4.3},{0,10,20,30,40,50,60,62,64,66,68,70,72,74,76,78,80,85,90,95,100})</f>
        <v>80</v>
      </c>
      <c r="Q110" s="12">
        <v>3.35</v>
      </c>
      <c r="R110" s="12">
        <f t="shared" si="54"/>
        <v>6.65</v>
      </c>
      <c r="S110" s="11">
        <f>LOOKUP(R110,{0,4.72,4.82,4.92,5.42,5.52,5.62,5.67,5.72,5.77,5.82,5.87,5.92,5.97,6.42,6.47,6.52,6.59,6.66,6.72,6.78},{0,10,20,30,40,50,60,62,64,66,68,70,72,74,76,78,80,85,90,95,100})</f>
        <v>85</v>
      </c>
      <c r="T110" s="12"/>
      <c r="U110" s="12"/>
      <c r="V110" s="12">
        <f t="shared" si="55"/>
        <v>85</v>
      </c>
      <c r="W110" s="12"/>
      <c r="X110" s="20">
        <f t="shared" si="56"/>
        <v>55.4</v>
      </c>
      <c r="Y110" s="20">
        <f t="shared" si="57"/>
        <v>79.1428571428572</v>
      </c>
    </row>
    <row r="111" ht="15.6" hidden="1" outlineLevel="2" spans="1:25">
      <c r="A111" s="12">
        <v>207</v>
      </c>
      <c r="B111" s="12">
        <v>44</v>
      </c>
      <c r="C111" s="6" t="s">
        <v>372</v>
      </c>
      <c r="D111" s="6" t="s">
        <v>53</v>
      </c>
      <c r="E111" s="12">
        <v>25</v>
      </c>
      <c r="F111" s="11">
        <f>LOOKUP(E111,{0,1,1.8,2.6,3.4,4.2,5,6.3,7.6,8.9,10.2,11.5,12.8,14.1,15.4,16.7,18,19.7,21.4,23.1,24.8},{0,10,20,30,40,50,60,62,64,66,68,70,72,74,76,78,80,85,90,95,100})</f>
        <v>100</v>
      </c>
      <c r="G111" s="12">
        <v>205</v>
      </c>
      <c r="H111" s="11">
        <f>LOOKUP(G111,{0,124,129,134,139,144,149,152,155,158,161,164,167,170,173,176,179,186,193,199,205},{0,10,20,30,40,50,60,62,64,66,68,70,72,74,76,78,80,85,90,95,100})</f>
        <v>100</v>
      </c>
      <c r="I111" s="12">
        <v>54</v>
      </c>
      <c r="J111" s="11">
        <f>LOOKUP(I111,{0,14,16,18,20,22,24,26,28,30,32,34,36,38,40,42,44,47,50,52,54},{0,10,20,30,40,50,60,62,64,66,68,70,72,74,76,78,80,85,90,95,100})</f>
        <v>100</v>
      </c>
      <c r="K111" s="12">
        <f t="shared" ref="K111:K116" si="58">I111-54</f>
        <v>0</v>
      </c>
      <c r="L111" s="11">
        <f>LOOKUP(K111,{0,2,4,6,7,8,9,10,11,12,13},{0,1,2,3,4,5,6,7,8,9,10})</f>
        <v>0</v>
      </c>
      <c r="M111" s="12">
        <f t="shared" si="52"/>
        <v>100</v>
      </c>
      <c r="N111" s="12">
        <v>8.5</v>
      </c>
      <c r="O111" s="12">
        <f t="shared" si="53"/>
        <v>3.5</v>
      </c>
      <c r="P111" s="11">
        <f>LOOKUP(O111,{0,0.5,0.7,0.9,1.1,1.3,1.5,1.7,1.9,2.1,2.3,2.5,2.7,2.9,3.1,3.3,3.5,3.8,4.1,4.2,4.3},{0,10,20,30,40,50,60,62,64,66,68,70,72,74,76,78,80,85,90,95,100})</f>
        <v>80</v>
      </c>
      <c r="Q111" s="12">
        <v>3.37</v>
      </c>
      <c r="R111" s="12">
        <f t="shared" si="54"/>
        <v>6.63</v>
      </c>
      <c r="S111" s="11">
        <f>LOOKUP(R111,{0,4.72,4.82,4.92,5.42,5.52,5.62,5.67,5.72,5.77,5.82,5.87,5.92,5.97,6.42,6.47,6.52,6.59,6.66,6.72,6.78},{0,10,20,30,40,50,60,62,64,66,68,70,72,74,76,78,80,85,90,95,100})</f>
        <v>85</v>
      </c>
      <c r="T111" s="12"/>
      <c r="U111" s="12"/>
      <c r="V111" s="12">
        <f t="shared" si="55"/>
        <v>85</v>
      </c>
      <c r="W111" s="12"/>
      <c r="X111" s="20">
        <f t="shared" si="56"/>
        <v>63</v>
      </c>
      <c r="Y111" s="20">
        <f t="shared" si="57"/>
        <v>90</v>
      </c>
    </row>
    <row r="112" ht="15.6" hidden="1" outlineLevel="2" spans="1:25">
      <c r="A112" s="12">
        <v>207</v>
      </c>
      <c r="B112" s="12">
        <v>45</v>
      </c>
      <c r="C112" s="6" t="s">
        <v>373</v>
      </c>
      <c r="D112" s="6" t="s">
        <v>53</v>
      </c>
      <c r="E112" s="12">
        <v>12.3</v>
      </c>
      <c r="F112" s="11">
        <f>LOOKUP(E112,{0,1,1.8,2.6,3.4,4.2,5,6.3,7.6,8.9,10.2,11.5,12.8,14.1,15.4,16.7,18,19.7,21.4,23.1,24.8},{0,10,20,30,40,50,60,62,64,66,68,70,72,74,76,78,80,85,90,95,100})</f>
        <v>70</v>
      </c>
      <c r="G112" s="12">
        <v>152</v>
      </c>
      <c r="H112" s="11">
        <f>LOOKUP(G112,{0,124,129,134,139,144,149,152,155,158,161,164,167,170,173,176,179,186,193,199,205},{0,10,20,30,40,50,60,62,64,66,68,70,72,74,76,78,80,85,90,95,100})</f>
        <v>62</v>
      </c>
      <c r="I112" s="12">
        <v>49</v>
      </c>
      <c r="J112" s="11">
        <f>LOOKUP(I112,{0,14,16,18,20,22,24,26,28,30,32,34,36,38,40,42,44,47,50,52,54},{0,10,20,30,40,50,60,62,64,66,68,70,72,74,76,78,80,85,90,95,100})</f>
        <v>85</v>
      </c>
      <c r="K112" s="12"/>
      <c r="L112" s="15"/>
      <c r="M112" s="12">
        <f t="shared" si="52"/>
        <v>85</v>
      </c>
      <c r="N112" s="12">
        <v>8.9</v>
      </c>
      <c r="O112" s="12">
        <f t="shared" si="53"/>
        <v>3.1</v>
      </c>
      <c r="P112" s="11">
        <f>LOOKUP(O112,{0,0.5,0.7,0.9,1.1,1.3,1.5,1.7,1.9,2.1,2.3,2.5,2.7,2.9,3.1,3.3,3.5,3.8,4.1,4.2,4.3},{0,10,20,30,40,50,60,62,64,66,68,70,72,74,76,78,80,85,90,95,100})</f>
        <v>76</v>
      </c>
      <c r="Q112" s="12">
        <v>3.43</v>
      </c>
      <c r="R112" s="12">
        <f t="shared" si="54"/>
        <v>6.57</v>
      </c>
      <c r="S112" s="11">
        <f>LOOKUP(R112,{0,4.72,4.82,4.92,5.42,5.52,5.62,5.67,5.72,5.77,5.82,5.87,5.92,5.97,6.42,6.47,6.52,6.59,6.66,6.72,6.78},{0,10,20,30,40,50,60,62,64,66,68,70,72,74,76,78,80,85,90,95,100})</f>
        <v>80</v>
      </c>
      <c r="T112" s="12"/>
      <c r="U112" s="12"/>
      <c r="V112" s="12">
        <f t="shared" si="55"/>
        <v>80</v>
      </c>
      <c r="W112" s="12"/>
      <c r="X112" s="20">
        <f t="shared" si="56"/>
        <v>52.9</v>
      </c>
      <c r="Y112" s="20">
        <f t="shared" si="57"/>
        <v>75.5714285714286</v>
      </c>
    </row>
    <row r="113" ht="15.6" hidden="1" outlineLevel="2" spans="1:25">
      <c r="A113" s="12">
        <v>207</v>
      </c>
      <c r="B113" s="12">
        <v>46</v>
      </c>
      <c r="C113" s="6" t="s">
        <v>374</v>
      </c>
      <c r="D113" s="6" t="s">
        <v>53</v>
      </c>
      <c r="E113" s="12">
        <v>21.4</v>
      </c>
      <c r="F113" s="11">
        <f>LOOKUP(E113,{0,1,1.8,2.6,3.4,4.2,5,6.3,7.6,8.9,10.2,11.5,12.8,14.1,15.4,16.7,18,19.7,21.4,23.1,24.8},{0,10,20,30,40,50,60,62,64,66,68,70,72,74,76,78,80,85,90,95,100})</f>
        <v>90</v>
      </c>
      <c r="G113" s="12">
        <v>197</v>
      </c>
      <c r="H113" s="11">
        <f>LOOKUP(G113,{0,124,129,134,139,144,149,152,155,158,161,164,167,170,173,176,179,186,193,199,205},{0,10,20,30,40,50,60,62,64,66,68,70,72,74,76,78,80,85,90,95,100})</f>
        <v>90</v>
      </c>
      <c r="I113" s="12">
        <v>45</v>
      </c>
      <c r="J113" s="11">
        <f>LOOKUP(I113,{0,14,16,18,20,22,24,26,28,30,32,34,36,38,40,42,44,47,50,52,54},{0,10,20,30,40,50,60,62,64,66,68,70,72,74,76,78,80,85,90,95,100})</f>
        <v>80</v>
      </c>
      <c r="K113" s="12"/>
      <c r="L113" s="12"/>
      <c r="M113" s="12">
        <f t="shared" si="52"/>
        <v>80</v>
      </c>
      <c r="N113" s="12">
        <v>8.5</v>
      </c>
      <c r="O113" s="12">
        <f t="shared" si="53"/>
        <v>3.5</v>
      </c>
      <c r="P113" s="11">
        <f>LOOKUP(O113,{0,0.5,0.7,0.9,1.1,1.3,1.5,1.7,1.9,2.1,2.3,2.5,2.7,2.9,3.1,3.3,3.5,3.8,4.1,4.2,4.3},{0,10,20,30,40,50,60,62,64,66,68,70,72,74,76,78,80,85,90,95,100})</f>
        <v>80</v>
      </c>
      <c r="Q113" s="12">
        <v>4.01</v>
      </c>
      <c r="R113" s="12">
        <f t="shared" si="54"/>
        <v>5.99</v>
      </c>
      <c r="S113" s="11">
        <f>LOOKUP(R113,{0,4.72,4.82,4.92,5.42,5.52,5.62,5.67,5.72,5.77,5.82,5.87,5.92,5.97,6.42,6.47,6.52,6.59,6.66,6.72,6.78},{0,10,20,30,40,50,60,62,64,66,68,70,72,74,76,78,80,85,90,95,100})</f>
        <v>74</v>
      </c>
      <c r="T113" s="12"/>
      <c r="U113" s="12"/>
      <c r="V113" s="12">
        <f t="shared" si="55"/>
        <v>74</v>
      </c>
      <c r="W113" s="12"/>
      <c r="X113" s="20">
        <f t="shared" si="56"/>
        <v>56.8</v>
      </c>
      <c r="Y113" s="20">
        <f t="shared" si="57"/>
        <v>81.1428571428571</v>
      </c>
    </row>
    <row r="114" customFormat="1" ht="15.6" hidden="1" outlineLevel="2" spans="1:25">
      <c r="A114" s="12">
        <v>207</v>
      </c>
      <c r="B114" s="12">
        <v>47</v>
      </c>
      <c r="C114" s="6" t="s">
        <v>375</v>
      </c>
      <c r="D114" s="6" t="s">
        <v>53</v>
      </c>
      <c r="E114" s="12">
        <v>23</v>
      </c>
      <c r="F114" s="11">
        <f>LOOKUP(E114,{0,1,1.8,2.6,3.4,4.2,5,6.3,7.6,8.9,10.2,11.5,12.8,14.1,15.4,16.7,18,19.7,21.4,23.1,24.8},{0,10,20,30,40,50,60,62,64,66,68,70,72,74,76,78,80,85,90,95,100})</f>
        <v>90</v>
      </c>
      <c r="G114" s="12">
        <v>180</v>
      </c>
      <c r="H114" s="11">
        <f>LOOKUP(G114,{0,124,129,134,139,144,149,152,155,158,161,164,167,170,173,176,179,186,193,199,205},{0,10,20,30,40,50,60,62,64,66,68,70,72,74,76,78,80,85,90,95,100})</f>
        <v>80</v>
      </c>
      <c r="I114" s="12">
        <v>56</v>
      </c>
      <c r="J114" s="11">
        <f>LOOKUP(I114,{0,14,16,18,20,22,24,26,28,30,32,34,36,38,40,42,44,47,50,52,54},{0,10,20,30,40,50,60,62,64,66,68,70,72,74,76,78,80,85,90,95,100})</f>
        <v>100</v>
      </c>
      <c r="K114" s="12">
        <f t="shared" si="58"/>
        <v>2</v>
      </c>
      <c r="L114" s="16">
        <f>LOOKUP(K114,{0,2,4,6,7,8,9,10,11,12,13},{0,1,2,3,4,5,6,7,8,9,10})</f>
        <v>1</v>
      </c>
      <c r="M114" s="12">
        <f t="shared" si="52"/>
        <v>101</v>
      </c>
      <c r="N114" s="12">
        <v>8.6</v>
      </c>
      <c r="O114" s="12">
        <f t="shared" si="53"/>
        <v>3.4</v>
      </c>
      <c r="P114" s="11">
        <f>LOOKUP(O114,{0,0.5,0.7,0.9,1.1,1.3,1.5,1.7,1.9,2.1,2.3,2.5,2.7,2.9,3.1,3.3,3.5,3.8,4.1,4.2,4.3},{0,10,20,30,40,50,60,62,64,66,68,70,72,74,76,78,80,85,90,95,100})</f>
        <v>78</v>
      </c>
      <c r="Q114" s="12">
        <v>4.05</v>
      </c>
      <c r="R114" s="12">
        <f t="shared" si="54"/>
        <v>5.95</v>
      </c>
      <c r="S114" s="11">
        <f>LOOKUP(R114,{0,4.72,4.82,4.92,5.42,5.52,5.62,5.67,5.72,5.77,5.82,5.87,5.92,5.97,6.42,6.47,6.52,6.59,6.66,6.72,6.78},{0,10,20,30,40,50,60,62,64,66,68,70,72,74,76,78,80,85,90,95,100})</f>
        <v>72</v>
      </c>
      <c r="T114" s="12"/>
      <c r="U114" s="12"/>
      <c r="V114" s="12">
        <f t="shared" si="55"/>
        <v>72</v>
      </c>
      <c r="W114" s="12"/>
      <c r="X114" s="20">
        <f t="shared" si="56"/>
        <v>57</v>
      </c>
      <c r="Y114" s="20">
        <f t="shared" si="57"/>
        <v>82.4285714285714</v>
      </c>
    </row>
    <row r="115" customFormat="1" ht="15.6" hidden="1" outlineLevel="2" spans="1:25">
      <c r="A115" s="12">
        <v>207</v>
      </c>
      <c r="B115" s="12">
        <v>48</v>
      </c>
      <c r="C115" s="6" t="s">
        <v>376</v>
      </c>
      <c r="D115" s="6" t="s">
        <v>53</v>
      </c>
      <c r="E115" s="12">
        <v>25.4</v>
      </c>
      <c r="F115" s="11">
        <f>LOOKUP(E115,{0,1,1.8,2.6,3.4,4.2,5,6.3,7.6,8.9,10.2,11.5,12.8,14.1,15.4,16.7,18,19.7,21.4,23.1,24.8},{0,10,20,30,40,50,60,62,64,66,68,70,72,74,76,78,80,85,90,95,100})</f>
        <v>100</v>
      </c>
      <c r="G115" s="12">
        <v>177</v>
      </c>
      <c r="H115" s="11">
        <f>LOOKUP(G115,{0,124,129,134,139,144,149,152,155,158,161,164,167,170,173,176,179,186,193,199,205},{0,10,20,30,40,50,60,62,64,66,68,70,72,74,76,78,80,85,90,95,100})</f>
        <v>78</v>
      </c>
      <c r="I115" s="12">
        <v>44</v>
      </c>
      <c r="J115" s="11">
        <f>LOOKUP(I115,{0,14,16,18,20,22,24,26,28,30,32,34,36,38,40,42,44,47,50,52,54},{0,10,20,30,40,50,60,62,64,66,68,70,72,74,76,78,80,85,90,95,100})</f>
        <v>80</v>
      </c>
      <c r="K115" s="12"/>
      <c r="L115" s="12"/>
      <c r="M115" s="12">
        <f t="shared" si="52"/>
        <v>80</v>
      </c>
      <c r="N115" s="12">
        <v>8.6</v>
      </c>
      <c r="O115" s="12">
        <f t="shared" si="53"/>
        <v>3.4</v>
      </c>
      <c r="P115" s="11">
        <f>LOOKUP(O115,{0,0.5,0.7,0.9,1.1,1.3,1.5,1.7,1.9,2.1,2.3,2.5,2.7,2.9,3.1,3.3,3.5,3.8,4.1,4.2,4.3},{0,10,20,30,40,50,60,62,64,66,68,70,72,74,76,78,80,85,90,95,100})</f>
        <v>78</v>
      </c>
      <c r="Q115" s="12">
        <v>3.41</v>
      </c>
      <c r="R115" s="12">
        <f t="shared" si="54"/>
        <v>6.59</v>
      </c>
      <c r="S115" s="11">
        <f>LOOKUP(R115,{0,4.72,4.82,4.92,5.42,5.52,5.62,5.67,5.72,5.77,5.82,5.87,5.92,5.97,6.42,6.47,6.52,6.59,6.66,6.72,6.78},{0,10,20,30,40,50,60,62,64,66,68,70,72,74,76,78,80,85,90,95,100})</f>
        <v>85</v>
      </c>
      <c r="T115" s="12"/>
      <c r="U115" s="12"/>
      <c r="V115" s="12">
        <f t="shared" si="55"/>
        <v>85</v>
      </c>
      <c r="W115" s="12"/>
      <c r="X115" s="20">
        <f t="shared" si="56"/>
        <v>58.4</v>
      </c>
      <c r="Y115" s="20">
        <f t="shared" si="57"/>
        <v>83.4285714285714</v>
      </c>
    </row>
    <row r="116" customFormat="1" ht="15.6" hidden="1" outlineLevel="2" spans="1:25">
      <c r="A116" s="12">
        <v>207</v>
      </c>
      <c r="B116" s="12">
        <v>49</v>
      </c>
      <c r="C116" s="6" t="s">
        <v>377</v>
      </c>
      <c r="D116" s="6" t="s">
        <v>53</v>
      </c>
      <c r="E116" s="12">
        <v>19</v>
      </c>
      <c r="F116" s="11">
        <f>LOOKUP(E116,{0,1,1.8,2.6,3.4,4.2,5,6.3,7.6,8.9,10.2,11.5,12.8,14.1,15.4,16.7,18,19.7,21.4,23.1,24.8},{0,10,20,30,40,50,60,62,64,66,68,70,72,74,76,78,80,85,90,95,100})</f>
        <v>80</v>
      </c>
      <c r="G116" s="12">
        <v>182</v>
      </c>
      <c r="H116" s="11">
        <f>LOOKUP(G116,{0,124,129,134,139,144,149,152,155,158,161,164,167,170,173,176,179,186,193,199,205},{0,10,20,30,40,50,60,62,64,66,68,70,72,74,76,78,80,85,90,95,100})</f>
        <v>80</v>
      </c>
      <c r="I116" s="12">
        <v>56</v>
      </c>
      <c r="J116" s="11">
        <f>LOOKUP(I116,{0,14,16,18,20,22,24,26,28,30,32,34,36,38,40,42,44,47,50,52,54},{0,10,20,30,40,50,60,62,64,66,68,70,72,74,76,78,80,85,90,95,100})</f>
        <v>100</v>
      </c>
      <c r="K116" s="12">
        <f t="shared" si="58"/>
        <v>2</v>
      </c>
      <c r="L116" s="11">
        <f>LOOKUP(K116,{0,2,4,6,7,8,9,10,11,12,13},{0,1,2,3,4,5,6,7,8,9,10})</f>
        <v>1</v>
      </c>
      <c r="M116" s="12">
        <f t="shared" si="52"/>
        <v>101</v>
      </c>
      <c r="N116" s="12">
        <v>9.3</v>
      </c>
      <c r="O116" s="12">
        <f t="shared" si="53"/>
        <v>2.7</v>
      </c>
      <c r="P116" s="11">
        <f>LOOKUP(O116,{0,0.5,0.7,0.9,1.1,1.3,1.5,1.7,1.9,2.1,2.3,2.5,2.7,2.9,3.1,3.3,3.5,3.8,4.1,4.2,4.3},{0,10,20,30,40,50,60,62,64,66,68,70,72,74,76,78,80,85,90,95,100})</f>
        <v>72</v>
      </c>
      <c r="Q116" s="12">
        <v>3.48</v>
      </c>
      <c r="R116" s="12">
        <f t="shared" si="54"/>
        <v>6.52</v>
      </c>
      <c r="S116" s="11">
        <f>LOOKUP(R116,{0,4.72,4.82,4.92,5.42,5.52,5.62,5.67,5.72,5.77,5.82,5.87,5.92,5.97,6.42,6.47,6.52,6.59,6.66,6.72,6.78},{0,10,20,30,40,50,60,62,64,66,68,70,72,74,76,78,80,85,90,95,100})</f>
        <v>80</v>
      </c>
      <c r="T116" s="12"/>
      <c r="U116" s="12"/>
      <c r="V116" s="12">
        <f t="shared" si="55"/>
        <v>80</v>
      </c>
      <c r="W116" s="12"/>
      <c r="X116" s="20">
        <f t="shared" si="56"/>
        <v>56.4</v>
      </c>
      <c r="Y116" s="20">
        <f t="shared" si="57"/>
        <v>81.5714285714286</v>
      </c>
    </row>
    <row r="117" customFormat="1" ht="15.6" hidden="1" outlineLevel="2" spans="1:25">
      <c r="A117" s="12">
        <v>207</v>
      </c>
      <c r="B117" s="12">
        <v>50</v>
      </c>
      <c r="C117" s="6" t="s">
        <v>378</v>
      </c>
      <c r="D117" s="6" t="s">
        <v>53</v>
      </c>
      <c r="E117" s="12">
        <v>10.2</v>
      </c>
      <c r="F117" s="11">
        <f>LOOKUP(E117,{0,1,1.8,2.6,3.4,4.2,5,6.3,7.6,8.9,10.2,11.5,12.8,14.1,15.4,16.7,18,19.7,21.4,23.1,24.8},{0,10,20,30,40,50,60,62,64,66,68,70,72,74,76,78,80,85,90,95,100})</f>
        <v>68</v>
      </c>
      <c r="G117" s="12">
        <v>173</v>
      </c>
      <c r="H117" s="11">
        <f>LOOKUP(G117,{0,124,129,134,139,144,149,152,155,158,161,164,167,170,173,176,179,186,193,199,205},{0,10,20,30,40,50,60,62,64,66,68,70,72,74,76,78,80,85,90,95,100})</f>
        <v>76</v>
      </c>
      <c r="I117" s="12">
        <v>42</v>
      </c>
      <c r="J117" s="11">
        <f>LOOKUP(I117,{0,14,16,18,20,22,24,26,28,30,32,34,36,38,40,42,44,47,50,52,54},{0,10,20,30,40,50,60,62,64,66,68,70,72,74,76,78,80,85,90,95,100})</f>
        <v>78</v>
      </c>
      <c r="K117" s="12"/>
      <c r="L117" s="12"/>
      <c r="M117" s="12">
        <f t="shared" si="52"/>
        <v>78</v>
      </c>
      <c r="N117" s="12">
        <v>9.2</v>
      </c>
      <c r="O117" s="12">
        <f t="shared" si="53"/>
        <v>2.8</v>
      </c>
      <c r="P117" s="11">
        <f>LOOKUP(O117,{0,0.5,0.7,0.9,1.1,1.3,1.5,1.7,1.9,2.1,2.3,2.5,2.7,2.9,3.1,3.3,3.5,3.8,4.1,4.2,4.3},{0,10,20,30,40,50,60,62,64,66,68,70,72,74,76,78,80,85,90,95,100})</f>
        <v>72</v>
      </c>
      <c r="Q117" s="12">
        <v>3.59</v>
      </c>
      <c r="R117" s="12">
        <f t="shared" si="54"/>
        <v>6.41</v>
      </c>
      <c r="S117" s="11">
        <f>LOOKUP(R117,{0,4.72,4.82,4.92,5.42,5.52,5.62,5.67,5.72,5.77,5.82,5.87,5.92,5.97,6.42,6.47,6.52,6.59,6.66,6.72,6.78},{0,10,20,30,40,50,60,62,64,66,68,70,72,74,76,78,80,85,90,95,100})</f>
        <v>74</v>
      </c>
      <c r="T117" s="12"/>
      <c r="U117" s="12"/>
      <c r="V117" s="12">
        <f t="shared" si="55"/>
        <v>74</v>
      </c>
      <c r="W117" s="12"/>
      <c r="X117" s="20">
        <f t="shared" si="56"/>
        <v>51.4</v>
      </c>
      <c r="Y117" s="20">
        <f t="shared" si="57"/>
        <v>73.4285714285714</v>
      </c>
    </row>
    <row r="118" ht="15.6" outlineLevel="1" collapsed="1" spans="1:25">
      <c r="A118" s="14" t="s">
        <v>861</v>
      </c>
      <c r="B118" s="12"/>
      <c r="C118" s="6"/>
      <c r="D118" s="6"/>
      <c r="E118" s="12"/>
      <c r="F118" s="11">
        <f>SUBTOTAL(1,F104:F117)</f>
        <v>83.2857142857143</v>
      </c>
      <c r="G118" s="12"/>
      <c r="H118" s="11">
        <f>SUBTOTAL(1,H104:H117)</f>
        <v>78.7142857142857</v>
      </c>
      <c r="I118" s="12"/>
      <c r="J118" s="11">
        <f>SUBTOTAL(1,J104:J117)</f>
        <v>86.7142857142857</v>
      </c>
      <c r="K118" s="12"/>
      <c r="L118" s="12"/>
      <c r="M118" s="12">
        <f>SUBTOTAL(1,M104:M117)</f>
        <v>86.9285714285714</v>
      </c>
      <c r="N118" s="12"/>
      <c r="O118" s="12"/>
      <c r="P118" s="11">
        <f>SUBTOTAL(1,P104:P117)</f>
        <v>77</v>
      </c>
      <c r="Q118" s="12"/>
      <c r="R118" s="12"/>
      <c r="S118" s="11">
        <f>SUBTOTAL(1,S104:S117)</f>
        <v>83.2857142857143</v>
      </c>
      <c r="T118" s="12"/>
      <c r="U118" s="12"/>
      <c r="V118" s="12">
        <f>SUBTOTAL(1,V104:V117)</f>
        <v>83.4285714285714</v>
      </c>
      <c r="W118" s="12"/>
      <c r="X118" s="20">
        <f>SUBTOTAL(1,X104:X117)</f>
        <v>56.9285714285714</v>
      </c>
      <c r="Y118" s="20">
        <f>SUBTOTAL(1,Y104:Y117)</f>
        <v>81.6836734693877</v>
      </c>
    </row>
    <row r="119" ht="15.6" hidden="1" outlineLevel="2" spans="1:25">
      <c r="A119" s="12">
        <v>208</v>
      </c>
      <c r="B119" s="12">
        <v>37</v>
      </c>
      <c r="C119" s="13" t="s">
        <v>419</v>
      </c>
      <c r="D119" s="6" t="s">
        <v>53</v>
      </c>
      <c r="E119" s="12">
        <v>12</v>
      </c>
      <c r="F119" s="11">
        <f>LOOKUP(E119,{0,1,1.8,2.6,3.4,4.2,5,6.3,7.6,8.9,10.2,11.5,12.8,14.1,15.4,16.7,18,19.7,21.4,23.1,24.8},{0,10,20,30,40,50,60,62,64,66,68,70,72,74,76,78,80,85,90,95,100})</f>
        <v>70</v>
      </c>
      <c r="G119" s="12">
        <v>186</v>
      </c>
      <c r="H119" s="11">
        <f>LOOKUP(G119,{0,124,129,134,139,144,149,152,155,158,161,164,167,170,173,176,179,186,193,199,205},{0,10,20,30,40,50,60,62,64,66,68,70,72,74,76,78,80,85,90,95,100})</f>
        <v>85</v>
      </c>
      <c r="I119" s="12">
        <v>39</v>
      </c>
      <c r="J119" s="11">
        <f>LOOKUP(I119,{0,14,16,18,20,22,24,26,28,30,32,34,36,38,40,42,44,47,50,52,54},{0,10,20,30,40,50,60,62,64,66,68,70,72,74,76,78,80,85,90,95,100})</f>
        <v>74</v>
      </c>
      <c r="K119" s="12"/>
      <c r="L119" s="12"/>
      <c r="M119" s="12">
        <f t="shared" ref="M119:M133" si="59">J119+L119</f>
        <v>74</v>
      </c>
      <c r="N119" s="12">
        <v>8.3</v>
      </c>
      <c r="O119" s="12">
        <f t="shared" ref="O119:O133" si="60">12-N119</f>
        <v>3.7</v>
      </c>
      <c r="P119" s="11">
        <f>LOOKUP(O119,{0,0.5,0.7,0.9,1.1,1.3,1.5,1.7,1.9,2.1,2.3,2.5,2.7,2.9,3.1,3.3,3.5,3.8,4.1,4.2,4.3},{0,10,20,30,40,50,60,62,64,66,68,70,72,74,76,78,80,85,90,95,100})</f>
        <v>80</v>
      </c>
      <c r="Q119" s="12">
        <v>3.36</v>
      </c>
      <c r="R119" s="12">
        <f t="shared" ref="R119:R125" si="61">10-Q119</f>
        <v>6.64</v>
      </c>
      <c r="S119" s="11">
        <f>LOOKUP(R119,{0,4.72,4.82,4.92,5.42,5.52,5.62,5.67,5.72,5.77,5.82,5.87,5.92,5.97,6.42,6.47,6.52,6.59,6.66,6.72,6.78},{0,10,20,30,40,50,60,62,64,66,68,70,72,74,76,78,80,85,90,95,100})</f>
        <v>85</v>
      </c>
      <c r="T119" s="12"/>
      <c r="U119" s="12"/>
      <c r="V119" s="12">
        <f t="shared" ref="V119:V125" si="62">S119+U119</f>
        <v>85</v>
      </c>
      <c r="W119" s="12"/>
      <c r="X119" s="20">
        <f t="shared" ref="X119:X133" si="63">F119*0.1+H119*0.1+J119*0.1+P119*0.2+S119*0.2</f>
        <v>55.9</v>
      </c>
      <c r="Y119" s="20">
        <f t="shared" ref="Y119:Y133" si="64">X119/0.7+L119+U119</f>
        <v>79.8571428571429</v>
      </c>
    </row>
    <row r="120" ht="15.6" hidden="1" outlineLevel="2" spans="1:25">
      <c r="A120" s="12">
        <v>208</v>
      </c>
      <c r="B120" s="12">
        <v>38</v>
      </c>
      <c r="C120" s="6" t="s">
        <v>420</v>
      </c>
      <c r="D120" s="6" t="s">
        <v>53</v>
      </c>
      <c r="E120" s="12">
        <v>23.5</v>
      </c>
      <c r="F120" s="11">
        <f>LOOKUP(E120,{0,1,1.8,2.6,3.4,4.2,5,6.3,7.6,8.9,10.2,11.5,12.8,14.1,15.4,16.7,18,19.7,21.4,23.1,24.8},{0,10,20,30,40,50,60,62,64,66,68,70,72,74,76,78,80,85,90,95,100})</f>
        <v>95</v>
      </c>
      <c r="G120" s="12">
        <v>165</v>
      </c>
      <c r="H120" s="11">
        <f>LOOKUP(G120,{0,124,129,134,139,144,149,152,155,158,161,164,167,170,173,176,179,186,193,199,205},{0,10,20,30,40,50,60,62,64,66,68,70,72,74,76,78,80,85,90,95,100})</f>
        <v>70</v>
      </c>
      <c r="I120" s="12">
        <v>43</v>
      </c>
      <c r="J120" s="11">
        <f>LOOKUP(I120,{0,14,16,18,20,22,24,26,28,30,32,34,36,38,40,42,44,47,50,52,54},{0,10,20,30,40,50,60,62,64,66,68,70,72,74,76,78,80,85,90,95,100})</f>
        <v>78</v>
      </c>
      <c r="K120" s="12"/>
      <c r="L120" s="15"/>
      <c r="M120" s="12">
        <f t="shared" si="59"/>
        <v>78</v>
      </c>
      <c r="N120" s="12">
        <v>9.4</v>
      </c>
      <c r="O120" s="12">
        <f t="shared" si="60"/>
        <v>2.6</v>
      </c>
      <c r="P120" s="11">
        <f>LOOKUP(O120,{0,0.5,0.7,0.9,1.1,1.3,1.5,1.7,1.9,2.1,2.3,2.5,2.7,2.9,3.1,3.3,3.5,3.8,4.1,4.2,4.3},{0,10,20,30,40,50,60,62,64,66,68,70,72,74,76,78,80,85,90,95,100})</f>
        <v>70</v>
      </c>
      <c r="Q120" s="12">
        <v>3.5</v>
      </c>
      <c r="R120" s="12">
        <f t="shared" si="61"/>
        <v>6.5</v>
      </c>
      <c r="S120" s="11">
        <f>LOOKUP(R120,{0,4.72,4.82,4.92,5.42,5.52,5.62,5.67,5.72,5.77,5.82,5.87,5.92,5.97,6.42,6.47,6.52,6.59,6.66,6.72,6.78},{0,10,20,30,40,50,60,62,64,66,68,70,72,74,76,78,80,85,90,95,100})</f>
        <v>78</v>
      </c>
      <c r="T120" s="12"/>
      <c r="U120" s="12"/>
      <c r="V120" s="12">
        <f t="shared" si="62"/>
        <v>78</v>
      </c>
      <c r="W120" s="12"/>
      <c r="X120" s="20">
        <f t="shared" si="63"/>
        <v>53.9</v>
      </c>
      <c r="Y120" s="20">
        <f t="shared" si="64"/>
        <v>77</v>
      </c>
    </row>
    <row r="121" ht="15.6" hidden="1" outlineLevel="2" spans="1:25">
      <c r="A121" s="12">
        <v>208</v>
      </c>
      <c r="B121" s="12">
        <v>39</v>
      </c>
      <c r="C121" s="6" t="s">
        <v>421</v>
      </c>
      <c r="D121" s="6" t="s">
        <v>53</v>
      </c>
      <c r="E121" s="12">
        <v>30</v>
      </c>
      <c r="F121" s="11">
        <f>LOOKUP(E121,{0,1,1.8,2.6,3.4,4.2,5,6.3,7.6,8.9,10.2,11.5,12.8,14.1,15.4,16.7,18,19.7,21.4,23.1,24.8},{0,10,20,30,40,50,60,62,64,66,68,70,72,74,76,78,80,85,90,95,100})</f>
        <v>100</v>
      </c>
      <c r="G121" s="12">
        <v>198</v>
      </c>
      <c r="H121" s="11">
        <f>LOOKUP(G121,{0,124,129,134,139,144,149,152,155,158,161,164,167,170,173,176,179,186,193,199,205},{0,10,20,30,40,50,60,62,64,66,68,70,72,74,76,78,80,85,90,95,100})</f>
        <v>90</v>
      </c>
      <c r="I121" s="12">
        <v>59</v>
      </c>
      <c r="J121" s="11">
        <f>LOOKUP(I121,{0,14,16,18,20,22,24,26,28,30,32,34,36,38,40,42,44,47,50,52,54},{0,10,20,30,40,50,60,62,64,66,68,70,72,74,76,78,80,85,90,95,100})</f>
        <v>100</v>
      </c>
      <c r="K121" s="12">
        <f>I121-54</f>
        <v>5</v>
      </c>
      <c r="L121" s="11">
        <f>LOOKUP(K121,{0,2,4,6,7,8,9,10,11,12,13},{0,1,2,3,4,5,6,7,8,9,10})</f>
        <v>2</v>
      </c>
      <c r="M121" s="12">
        <f t="shared" si="59"/>
        <v>102</v>
      </c>
      <c r="N121" s="12">
        <v>8.3</v>
      </c>
      <c r="O121" s="12">
        <f t="shared" si="60"/>
        <v>3.7</v>
      </c>
      <c r="P121" s="11">
        <f>LOOKUP(O121,{0,0.5,0.7,0.9,1.1,1.3,1.5,1.7,1.9,2.1,2.3,2.5,2.7,2.9,3.1,3.3,3.5,3.8,4.1,4.2,4.3},{0,10,20,30,40,50,60,62,64,66,68,70,72,74,76,78,80,85,90,95,100})</f>
        <v>80</v>
      </c>
      <c r="Q121" s="12">
        <v>3.49</v>
      </c>
      <c r="R121" s="12">
        <f t="shared" si="61"/>
        <v>6.51</v>
      </c>
      <c r="S121" s="11">
        <f>LOOKUP(R121,{0,4.72,4.82,4.92,5.42,5.52,5.62,5.67,5.72,5.77,5.82,5.87,5.92,5.97,6.42,6.47,6.52,6.59,6.66,6.72,6.78},{0,10,20,30,40,50,60,62,64,66,68,70,72,74,76,78,80,85,90,95,100})</f>
        <v>78</v>
      </c>
      <c r="T121" s="12"/>
      <c r="U121" s="12"/>
      <c r="V121" s="12">
        <f t="shared" si="62"/>
        <v>78</v>
      </c>
      <c r="W121" s="12"/>
      <c r="X121" s="20">
        <f t="shared" si="63"/>
        <v>60.6</v>
      </c>
      <c r="Y121" s="20">
        <f t="shared" si="64"/>
        <v>88.5714285714286</v>
      </c>
    </row>
    <row r="122" ht="15.6" hidden="1" outlineLevel="2" spans="1:25">
      <c r="A122" s="12">
        <v>208</v>
      </c>
      <c r="B122" s="12">
        <v>40</v>
      </c>
      <c r="C122" s="6" t="s">
        <v>422</v>
      </c>
      <c r="D122" s="6" t="s">
        <v>53</v>
      </c>
      <c r="E122" s="12">
        <v>9</v>
      </c>
      <c r="F122" s="11">
        <f>LOOKUP(E122,{0,1,1.8,2.6,3.4,4.2,5,6.3,7.6,8.9,10.2,11.5,12.8,14.1,15.4,16.7,18,19.7,21.4,23.1,24.8},{0,10,20,30,40,50,60,62,64,66,68,70,72,74,76,78,80,85,90,95,100})</f>
        <v>66</v>
      </c>
      <c r="G122" s="12">
        <v>167</v>
      </c>
      <c r="H122" s="11">
        <f>LOOKUP(G122,{0,124,129,134,139,144,149,152,155,158,161,164,167,170,173,176,179,186,193,199,205},{0,10,20,30,40,50,60,62,64,66,68,70,72,74,76,78,80,85,90,95,100})</f>
        <v>72</v>
      </c>
      <c r="I122" s="12">
        <v>46</v>
      </c>
      <c r="J122" s="11">
        <f>LOOKUP(I122,{0,14,16,18,20,22,24,26,28,30,32,34,36,38,40,42,44,47,50,52,54},{0,10,20,30,40,50,60,62,64,66,68,70,72,74,76,78,80,85,90,95,100})</f>
        <v>80</v>
      </c>
      <c r="K122" s="12"/>
      <c r="L122" s="12"/>
      <c r="M122" s="12">
        <f t="shared" si="59"/>
        <v>80</v>
      </c>
      <c r="N122" s="12">
        <v>9.7</v>
      </c>
      <c r="O122" s="12">
        <f t="shared" si="60"/>
        <v>2.3</v>
      </c>
      <c r="P122" s="11">
        <f>LOOKUP(O122,{0,0.5,0.7,0.9,1.1,1.3,1.5,1.7,1.9,2.1,2.3,2.5,2.7,2.9,3.1,3.3,3.5,3.8,4.1,4.2,4.3},{0,10,20,30,40,50,60,62,64,66,68,70,72,74,76,78,80,85,90,95,100})</f>
        <v>68</v>
      </c>
      <c r="Q122" s="12">
        <v>3.47</v>
      </c>
      <c r="R122" s="12">
        <f t="shared" si="61"/>
        <v>6.53</v>
      </c>
      <c r="S122" s="11">
        <f>LOOKUP(R122,{0,4.72,4.82,4.92,5.42,5.52,5.62,5.67,5.72,5.77,5.82,5.87,5.92,5.97,6.42,6.47,6.52,6.59,6.66,6.72,6.78},{0,10,20,30,40,50,60,62,64,66,68,70,72,74,76,78,80,85,90,95,100})</f>
        <v>80</v>
      </c>
      <c r="T122" s="12"/>
      <c r="U122" s="12"/>
      <c r="V122" s="12">
        <f t="shared" si="62"/>
        <v>80</v>
      </c>
      <c r="W122" s="12"/>
      <c r="X122" s="20">
        <f t="shared" si="63"/>
        <v>51.4</v>
      </c>
      <c r="Y122" s="20">
        <f t="shared" si="64"/>
        <v>73.4285714285714</v>
      </c>
    </row>
    <row r="123" ht="15.6" hidden="1" outlineLevel="2" spans="1:25">
      <c r="A123" s="12">
        <v>208</v>
      </c>
      <c r="B123" s="12">
        <v>41</v>
      </c>
      <c r="C123" s="6" t="s">
        <v>423</v>
      </c>
      <c r="D123" s="6" t="s">
        <v>53</v>
      </c>
      <c r="E123" s="12">
        <v>24.2</v>
      </c>
      <c r="F123" s="11">
        <f>LOOKUP(E123,{0,1,1.8,2.6,3.4,4.2,5,6.3,7.6,8.9,10.2,11.5,12.8,14.1,15.4,16.7,18,19.7,21.4,23.1,24.8},{0,10,20,30,40,50,60,62,64,66,68,70,72,74,76,78,80,85,90,95,100})</f>
        <v>95</v>
      </c>
      <c r="G123" s="12">
        <v>220</v>
      </c>
      <c r="H123" s="11">
        <f>LOOKUP(G123,{0,124,129,134,139,144,149,152,155,158,161,164,167,170,173,176,179,186,193,199,205},{0,10,20,30,40,50,60,62,64,66,68,70,72,74,76,78,80,85,90,95,100})</f>
        <v>100</v>
      </c>
      <c r="I123" s="12">
        <v>37</v>
      </c>
      <c r="J123" s="11">
        <f>LOOKUP(I123,{0,14,16,18,20,22,24,26,28,30,32,34,36,38,40,42,44,47,50,52,54},{0,10,20,30,40,50,60,62,64,66,68,70,72,74,76,78,80,85,90,95,100})</f>
        <v>72</v>
      </c>
      <c r="K123" s="12"/>
      <c r="L123" s="12"/>
      <c r="M123" s="12">
        <f t="shared" si="59"/>
        <v>72</v>
      </c>
      <c r="N123" s="12">
        <v>8.3</v>
      </c>
      <c r="O123" s="12">
        <f t="shared" si="60"/>
        <v>3.7</v>
      </c>
      <c r="P123" s="11">
        <f>LOOKUP(O123,{0,0.5,0.7,0.9,1.1,1.3,1.5,1.7,1.9,2.1,2.3,2.5,2.7,2.9,3.1,3.3,3.5,3.8,4.1,4.2,4.3},{0,10,20,30,40,50,60,62,64,66,68,70,72,74,76,78,80,85,90,95,100})</f>
        <v>80</v>
      </c>
      <c r="Q123" s="12">
        <v>3.23</v>
      </c>
      <c r="R123" s="12">
        <f t="shared" si="61"/>
        <v>6.77</v>
      </c>
      <c r="S123" s="11">
        <f>LOOKUP(R123,{0,4.72,4.82,4.92,5.42,5.52,5.62,5.67,5.72,5.77,5.82,5.87,5.92,5.97,6.42,6.47,6.52,6.59,6.66,6.72,6.78},{0,10,20,30,40,50,60,62,64,66,68,70,72,74,76,78,80,85,90,95,100})</f>
        <v>95</v>
      </c>
      <c r="T123" s="12"/>
      <c r="U123" s="12"/>
      <c r="V123" s="12">
        <f t="shared" si="62"/>
        <v>95</v>
      </c>
      <c r="W123" s="12"/>
      <c r="X123" s="20">
        <f t="shared" si="63"/>
        <v>61.7</v>
      </c>
      <c r="Y123" s="20">
        <f t="shared" si="64"/>
        <v>88.1428571428572</v>
      </c>
    </row>
    <row r="124" ht="15.6" hidden="1" outlineLevel="2" spans="1:25">
      <c r="A124" s="12">
        <v>208</v>
      </c>
      <c r="B124" s="12">
        <v>42</v>
      </c>
      <c r="C124" s="6" t="s">
        <v>424</v>
      </c>
      <c r="D124" s="6" t="s">
        <v>53</v>
      </c>
      <c r="E124" s="12">
        <v>12.5</v>
      </c>
      <c r="F124" s="11">
        <f>LOOKUP(E124,{0,1,1.8,2.6,3.4,4.2,5,6.3,7.6,8.9,10.2,11.5,12.8,14.1,15.4,16.7,18,19.7,21.4,23.1,24.8},{0,10,20,30,40,50,60,62,64,66,68,70,72,74,76,78,80,85,90,95,100})</f>
        <v>70</v>
      </c>
      <c r="G124" s="12">
        <v>191</v>
      </c>
      <c r="H124" s="11">
        <f>LOOKUP(G124,{0,124,129,134,139,144,149,152,155,158,161,164,167,170,173,176,179,186,193,199,205},{0,10,20,30,40,50,60,62,64,66,68,70,72,74,76,78,80,85,90,95,100})</f>
        <v>85</v>
      </c>
      <c r="I124" s="12">
        <v>42</v>
      </c>
      <c r="J124" s="11">
        <f>LOOKUP(I124,{0,14,16,18,20,22,24,26,28,30,32,34,36,38,40,42,44,47,50,52,54},{0,10,20,30,40,50,60,62,64,66,68,70,72,74,76,78,80,85,90,95,100})</f>
        <v>78</v>
      </c>
      <c r="K124" s="12"/>
      <c r="L124" s="15"/>
      <c r="M124" s="12">
        <f t="shared" si="59"/>
        <v>78</v>
      </c>
      <c r="N124" s="12">
        <v>8.1</v>
      </c>
      <c r="O124" s="12">
        <f t="shared" si="60"/>
        <v>3.9</v>
      </c>
      <c r="P124" s="11">
        <f>LOOKUP(O124,{0,0.5,0.7,0.9,1.1,1.3,1.5,1.7,1.9,2.1,2.3,2.5,2.7,2.9,3.1,3.3,3.5,3.8,4.1,4.2,4.3},{0,10,20,30,40,50,60,62,64,66,68,70,72,74,76,78,80,85,90,95,100})</f>
        <v>85</v>
      </c>
      <c r="Q124" s="12">
        <v>3.27</v>
      </c>
      <c r="R124" s="12">
        <f t="shared" si="61"/>
        <v>6.73</v>
      </c>
      <c r="S124" s="11">
        <f>LOOKUP(R124,{0,4.72,4.82,4.92,5.42,5.52,5.62,5.67,5.72,5.77,5.82,5.87,5.92,5.97,6.42,6.47,6.52,6.59,6.66,6.72,6.78},{0,10,20,30,40,50,60,62,64,66,68,70,72,74,76,78,80,85,90,95,100})</f>
        <v>95</v>
      </c>
      <c r="T124" s="12"/>
      <c r="U124" s="12"/>
      <c r="V124" s="12">
        <f t="shared" si="62"/>
        <v>95</v>
      </c>
      <c r="W124" s="12"/>
      <c r="X124" s="20">
        <f t="shared" si="63"/>
        <v>59.3</v>
      </c>
      <c r="Y124" s="20">
        <f t="shared" si="64"/>
        <v>84.7142857142857</v>
      </c>
    </row>
    <row r="125" s="1" customFormat="1" ht="15.6" hidden="1" outlineLevel="2" spans="1:25">
      <c r="A125" s="12">
        <v>208</v>
      </c>
      <c r="B125" s="12">
        <v>43</v>
      </c>
      <c r="C125" s="6" t="s">
        <v>425</v>
      </c>
      <c r="D125" s="6" t="s">
        <v>53</v>
      </c>
      <c r="E125" s="12">
        <v>21</v>
      </c>
      <c r="F125" s="11">
        <f>LOOKUP(E125,{0,1,1.8,2.6,3.4,4.2,5,6.3,7.6,8.9,10.2,11.5,12.8,14.1,15.4,16.7,18,19.7,21.4,23.1,24.8},{0,10,20,30,40,50,60,62,64,66,68,70,72,74,76,78,80,85,90,95,100})</f>
        <v>85</v>
      </c>
      <c r="G125" s="12">
        <v>166</v>
      </c>
      <c r="H125" s="11">
        <f>LOOKUP(G125,{0,124,129,134,139,144,149,152,155,158,161,164,167,170,173,176,179,186,193,199,205},{0,10,20,30,40,50,60,62,64,66,68,70,72,74,76,78,80,85,90,95,100})</f>
        <v>70</v>
      </c>
      <c r="I125" s="12">
        <v>45</v>
      </c>
      <c r="J125" s="11">
        <f>LOOKUP(I125,{0,14,16,18,20,22,24,26,28,30,32,34,36,38,40,42,44,47,50,52,54},{0,10,20,30,40,50,60,62,64,66,68,70,72,74,76,78,80,85,90,95,100})</f>
        <v>80</v>
      </c>
      <c r="K125" s="12"/>
      <c r="L125" s="12"/>
      <c r="M125" s="12">
        <f t="shared" si="59"/>
        <v>80</v>
      </c>
      <c r="N125" s="12">
        <v>9.3</v>
      </c>
      <c r="O125" s="12">
        <f t="shared" si="60"/>
        <v>2.7</v>
      </c>
      <c r="P125" s="11">
        <f>LOOKUP(O125,{0,0.5,0.7,0.9,1.1,1.3,1.5,1.7,1.9,2.1,2.3,2.5,2.7,2.9,3.1,3.3,3.5,3.8,4.1,4.2,4.3},{0,10,20,30,40,50,60,62,64,66,68,70,72,74,76,78,80,85,90,95,100})</f>
        <v>72</v>
      </c>
      <c r="Q125" s="12">
        <v>4.2</v>
      </c>
      <c r="R125" s="12">
        <f t="shared" si="61"/>
        <v>5.8</v>
      </c>
      <c r="S125" s="11">
        <f>LOOKUP(R125,{0,4.72,4.82,4.92,5.42,5.52,5.62,5.67,5.72,5.77,5.82,5.87,5.92,5.97,6.42,6.47,6.52,6.59,6.66,6.72,6.78},{0,10,20,30,40,50,60,62,64,66,68,70,72,74,76,78,80,85,90,95,100})</f>
        <v>66</v>
      </c>
      <c r="T125" s="12"/>
      <c r="U125" s="12"/>
      <c r="V125" s="12">
        <f t="shared" si="62"/>
        <v>66</v>
      </c>
      <c r="W125" s="12"/>
      <c r="X125" s="20">
        <f t="shared" si="63"/>
        <v>51.1</v>
      </c>
      <c r="Y125" s="20">
        <f t="shared" si="64"/>
        <v>73</v>
      </c>
    </row>
    <row r="126" ht="15.6" hidden="1" outlineLevel="2" spans="1:25">
      <c r="A126" s="12">
        <v>208</v>
      </c>
      <c r="B126" s="12">
        <v>44</v>
      </c>
      <c r="C126" s="6" t="s">
        <v>426</v>
      </c>
      <c r="D126" s="6" t="s">
        <v>53</v>
      </c>
      <c r="E126" s="12">
        <v>16</v>
      </c>
      <c r="F126" s="11">
        <f>LOOKUP(E126,{0,1,1.8,2.6,3.4,4.2,5,6.3,7.6,8.9,10.2,11.5,12.8,14.1,15.4,16.7,18,19.7,21.4,23.1,24.8},{0,10,20,30,40,50,60,62,64,66,68,70,72,74,76,78,80,85,90,95,100})</f>
        <v>76</v>
      </c>
      <c r="G126" s="12">
        <v>168</v>
      </c>
      <c r="H126" s="11">
        <f>LOOKUP(G126,{0,124,129,134,139,144,149,152,155,158,161,164,167,170,173,176,179,186,193,199,205},{0,10,20,30,40,50,60,62,64,66,68,70,72,74,76,78,80,85,90,95,100})</f>
        <v>72</v>
      </c>
      <c r="I126" s="12">
        <v>44</v>
      </c>
      <c r="J126" s="11">
        <f>LOOKUP(I126,{0,14,16,18,20,22,24,26,28,30,32,34,36,38,40,42,44,47,50,52,54},{0,10,20,30,40,50,60,62,64,66,68,70,72,74,76,78,80,85,90,95,100})</f>
        <v>80</v>
      </c>
      <c r="K126" s="12"/>
      <c r="L126" s="12"/>
      <c r="M126" s="12">
        <f t="shared" si="59"/>
        <v>80</v>
      </c>
      <c r="N126" s="12">
        <v>8.7</v>
      </c>
      <c r="O126" s="12">
        <f t="shared" si="60"/>
        <v>3.3</v>
      </c>
      <c r="P126" s="11">
        <f>LOOKUP(O126,{0,0.5,0.7,0.9,1.1,1.3,1.5,1.7,1.9,2.1,2.3,2.5,2.7,2.9,3.1,3.3,3.5,3.8,4.1,4.2,4.3},{0,10,20,30,40,50,60,62,64,66,68,70,72,74,76,78,80,85,90,95,100})</f>
        <v>78</v>
      </c>
      <c r="Q126" s="12"/>
      <c r="R126" s="12"/>
      <c r="S126" s="11"/>
      <c r="T126" s="21"/>
      <c r="U126" s="11"/>
      <c r="V126" s="12"/>
      <c r="W126" s="12"/>
      <c r="X126" s="20">
        <f t="shared" si="63"/>
        <v>38.4</v>
      </c>
      <c r="Y126" s="20">
        <f t="shared" si="64"/>
        <v>54.8571428571429</v>
      </c>
    </row>
    <row r="127" ht="15.6" hidden="1" outlineLevel="2" spans="1:25">
      <c r="A127" s="12">
        <v>208</v>
      </c>
      <c r="B127" s="12">
        <v>45</v>
      </c>
      <c r="C127" s="13" t="s">
        <v>428</v>
      </c>
      <c r="D127" s="6" t="s">
        <v>53</v>
      </c>
      <c r="E127" s="12">
        <v>13.6</v>
      </c>
      <c r="F127" s="11">
        <f>LOOKUP(E127,{0,1,1.8,2.6,3.4,4.2,5,6.3,7.6,8.9,10.2,11.5,12.8,14.1,15.4,16.7,18,19.7,21.4,23.1,24.8},{0,10,20,30,40,50,60,62,64,66,68,70,72,74,76,78,80,85,90,95,100})</f>
        <v>72</v>
      </c>
      <c r="G127" s="12">
        <v>177</v>
      </c>
      <c r="H127" s="11">
        <f>LOOKUP(G127,{0,124,129,134,139,144,149,152,155,158,161,164,167,170,173,176,179,186,193,199,205},{0,10,20,30,40,50,60,62,64,66,68,70,72,74,76,78,80,85,90,95,100})</f>
        <v>78</v>
      </c>
      <c r="I127" s="12">
        <v>48</v>
      </c>
      <c r="J127" s="11">
        <f>LOOKUP(I127,{0,14,16,18,20,22,24,26,28,30,32,34,36,38,40,42,44,47,50,52,54},{0,10,20,30,40,50,60,62,64,66,68,70,72,74,76,78,80,85,90,95,100})</f>
        <v>85</v>
      </c>
      <c r="K127" s="12"/>
      <c r="L127" s="12"/>
      <c r="M127" s="12">
        <f t="shared" si="59"/>
        <v>85</v>
      </c>
      <c r="N127" s="12">
        <v>9.1</v>
      </c>
      <c r="O127" s="12">
        <f t="shared" si="60"/>
        <v>2.9</v>
      </c>
      <c r="P127" s="11">
        <f>LOOKUP(O127,{0,0.5,0.7,0.9,1.1,1.3,1.5,1.7,1.9,2.1,2.3,2.5,2.7,2.9,3.1,3.3,3.5,3.8,4.1,4.2,4.3},{0,10,20,30,40,50,60,62,64,66,68,70,72,74,76,78,80,85,90,95,100})</f>
        <v>74</v>
      </c>
      <c r="Q127" s="12">
        <v>3.35</v>
      </c>
      <c r="R127" s="12">
        <f t="shared" ref="R127:R133" si="65">10-Q127</f>
        <v>6.65</v>
      </c>
      <c r="S127" s="11">
        <f>LOOKUP(R127,{0,4.72,4.82,4.92,5.42,5.52,5.62,5.67,5.72,5.77,5.82,5.87,5.92,5.97,6.42,6.47,6.52,6.59,6.66,6.72,6.78},{0,10,20,30,40,50,60,62,64,66,68,70,72,74,76,78,80,85,90,95,100})</f>
        <v>85</v>
      </c>
      <c r="T127" s="12"/>
      <c r="U127" s="12"/>
      <c r="V127" s="12">
        <f t="shared" ref="V127:V133" si="66">S127+U127</f>
        <v>85</v>
      </c>
      <c r="W127" s="12"/>
      <c r="X127" s="20">
        <f t="shared" si="63"/>
        <v>55.3</v>
      </c>
      <c r="Y127" s="20">
        <f t="shared" si="64"/>
        <v>79</v>
      </c>
    </row>
    <row r="128" ht="15.6" hidden="1" outlineLevel="2" spans="1:25">
      <c r="A128" s="12">
        <v>208</v>
      </c>
      <c r="B128" s="12">
        <v>46</v>
      </c>
      <c r="C128" s="6" t="s">
        <v>429</v>
      </c>
      <c r="D128" s="6" t="s">
        <v>53</v>
      </c>
      <c r="E128" s="12">
        <v>20.7</v>
      </c>
      <c r="F128" s="11">
        <f>LOOKUP(E128,{0,1,1.8,2.6,3.4,4.2,5,6.3,7.6,8.9,10.2,11.5,12.8,14.1,15.4,16.7,18,19.7,21.4,23.1,24.8},{0,10,20,30,40,50,60,62,64,66,68,70,72,74,76,78,80,85,90,95,100})</f>
        <v>85</v>
      </c>
      <c r="G128" s="12">
        <v>180</v>
      </c>
      <c r="H128" s="11">
        <f>LOOKUP(G128,{0,124,129,134,139,144,149,152,155,158,161,164,167,170,173,176,179,186,193,199,205},{0,10,20,30,40,50,60,62,64,66,68,70,72,74,76,78,80,85,90,95,100})</f>
        <v>80</v>
      </c>
      <c r="I128" s="12">
        <v>58</v>
      </c>
      <c r="J128" s="11">
        <f>LOOKUP(I128,{0,14,16,18,20,22,24,26,28,30,32,34,36,38,40,42,44,47,50,52,54},{0,10,20,30,40,50,60,62,64,66,68,70,72,74,76,78,80,85,90,95,100})</f>
        <v>100</v>
      </c>
      <c r="K128" s="12">
        <f t="shared" ref="K128:K131" si="67">I128-54</f>
        <v>4</v>
      </c>
      <c r="L128" s="11">
        <f>LOOKUP(K128,{0,2,4,6,7,8,9,10,11,12,13},{0,1,2,3,4,5,6,7,8,9,10})</f>
        <v>2</v>
      </c>
      <c r="M128" s="12">
        <f t="shared" si="59"/>
        <v>102</v>
      </c>
      <c r="N128" s="12">
        <v>8.7</v>
      </c>
      <c r="O128" s="12">
        <f t="shared" si="60"/>
        <v>3.3</v>
      </c>
      <c r="P128" s="11">
        <f>LOOKUP(O128,{0,0.5,0.7,0.9,1.1,1.3,1.5,1.7,1.9,2.1,2.3,2.5,2.7,2.9,3.1,3.3,3.5,3.8,4.1,4.2,4.3},{0,10,20,30,40,50,60,62,64,66,68,70,72,74,76,78,80,85,90,95,100})</f>
        <v>78</v>
      </c>
      <c r="Q128" s="12"/>
      <c r="R128" s="12"/>
      <c r="S128" s="11"/>
      <c r="T128" s="21"/>
      <c r="U128" s="11"/>
      <c r="V128" s="12"/>
      <c r="W128" s="12"/>
      <c r="X128" s="20">
        <f t="shared" si="63"/>
        <v>42.1</v>
      </c>
      <c r="Y128" s="20">
        <f t="shared" si="64"/>
        <v>62.1428571428571</v>
      </c>
    </row>
    <row r="129" ht="15.6" hidden="1" outlineLevel="2" spans="1:25">
      <c r="A129" s="12">
        <v>208</v>
      </c>
      <c r="B129" s="12">
        <v>47</v>
      </c>
      <c r="C129" s="6" t="s">
        <v>430</v>
      </c>
      <c r="D129" s="6" t="s">
        <v>53</v>
      </c>
      <c r="E129" s="12">
        <v>17.6</v>
      </c>
      <c r="F129" s="11">
        <f>LOOKUP(E129,{0,1,1.8,2.6,3.4,4.2,5,6.3,7.6,8.9,10.2,11.5,12.8,14.1,15.4,16.7,18,19.7,21.4,23.1,24.8},{0,10,20,30,40,50,60,62,64,66,68,70,72,74,76,78,80,85,90,95,100})</f>
        <v>78</v>
      </c>
      <c r="G129" s="12">
        <v>165</v>
      </c>
      <c r="H129" s="11">
        <f>LOOKUP(G129,{0,124,129,134,139,144,149,152,155,158,161,164,167,170,173,176,179,186,193,199,205},{0,10,20,30,40,50,60,62,64,66,68,70,72,74,76,78,80,85,90,95,100})</f>
        <v>70</v>
      </c>
      <c r="I129" s="12">
        <v>54</v>
      </c>
      <c r="J129" s="11">
        <f>LOOKUP(I129,{0,14,16,18,20,22,24,26,28,30,32,34,36,38,40,42,44,47,50,52,54},{0,10,20,30,40,50,60,62,64,66,68,70,72,74,76,78,80,85,90,95,100})</f>
        <v>100</v>
      </c>
      <c r="K129" s="12">
        <f t="shared" si="67"/>
        <v>0</v>
      </c>
      <c r="L129" s="11">
        <f>LOOKUP(K129,{0,2,4,6,7,8,9,10,11,12,13},{0,1,2,3,4,5,6,7,8,9,10})</f>
        <v>0</v>
      </c>
      <c r="M129" s="12">
        <f t="shared" si="59"/>
        <v>100</v>
      </c>
      <c r="N129" s="12">
        <v>9.1</v>
      </c>
      <c r="O129" s="12">
        <f t="shared" si="60"/>
        <v>2.9</v>
      </c>
      <c r="P129" s="11">
        <f>LOOKUP(O129,{0,0.5,0.7,0.9,1.1,1.3,1.5,1.7,1.9,2.1,2.3,2.5,2.7,2.9,3.1,3.3,3.5,3.8,4.1,4.2,4.3},{0,10,20,30,40,50,60,62,64,66,68,70,72,74,76,78,80,85,90,95,100})</f>
        <v>74</v>
      </c>
      <c r="Q129" s="12">
        <v>3.25</v>
      </c>
      <c r="R129" s="12">
        <f t="shared" si="65"/>
        <v>6.75</v>
      </c>
      <c r="S129" s="11">
        <f>LOOKUP(R129,{0,4.72,4.82,4.92,5.42,5.52,5.62,5.67,5.72,5.77,5.82,5.87,5.92,5.97,6.42,6.47,6.52,6.59,6.66,6.72,6.78},{0,10,20,30,40,50,60,62,64,66,68,70,72,74,76,78,80,85,90,95,100})</f>
        <v>95</v>
      </c>
      <c r="T129" s="12"/>
      <c r="U129" s="12"/>
      <c r="V129" s="12">
        <f t="shared" si="66"/>
        <v>95</v>
      </c>
      <c r="W129" s="12"/>
      <c r="X129" s="20">
        <f t="shared" si="63"/>
        <v>58.6</v>
      </c>
      <c r="Y129" s="20">
        <f t="shared" si="64"/>
        <v>83.7142857142857</v>
      </c>
    </row>
    <row r="130" ht="15.6" hidden="1" outlineLevel="2" spans="1:25">
      <c r="A130" s="12">
        <v>208</v>
      </c>
      <c r="B130" s="12">
        <v>48</v>
      </c>
      <c r="C130" s="6" t="s">
        <v>431</v>
      </c>
      <c r="D130" s="6" t="s">
        <v>53</v>
      </c>
      <c r="E130" s="12">
        <v>13.7</v>
      </c>
      <c r="F130" s="11">
        <f>LOOKUP(E130,{0,1,1.8,2.6,3.4,4.2,5,6.3,7.6,8.9,10.2,11.5,12.8,14.1,15.4,16.7,18,19.7,21.4,23.1,24.8},{0,10,20,30,40,50,60,62,64,66,68,70,72,74,76,78,80,85,90,95,100})</f>
        <v>72</v>
      </c>
      <c r="G130" s="12">
        <v>153</v>
      </c>
      <c r="H130" s="11">
        <f>LOOKUP(G130,{0,124,129,134,139,144,149,152,155,158,161,164,167,170,173,176,179,186,193,199,205},{0,10,20,30,40,50,60,62,64,66,68,70,72,74,76,78,80,85,90,95,100})</f>
        <v>62</v>
      </c>
      <c r="I130" s="12">
        <v>47</v>
      </c>
      <c r="J130" s="11">
        <f>LOOKUP(I130,{0,14,16,18,20,22,24,26,28,30,32,34,36,38,40,42,44,47,50,52,54},{0,10,20,30,40,50,60,62,64,66,68,70,72,74,76,78,80,85,90,95,100})</f>
        <v>85</v>
      </c>
      <c r="K130" s="12"/>
      <c r="L130" s="12"/>
      <c r="M130" s="12">
        <f t="shared" si="59"/>
        <v>85</v>
      </c>
      <c r="N130" s="12">
        <v>9.1</v>
      </c>
      <c r="O130" s="12">
        <f t="shared" si="60"/>
        <v>2.9</v>
      </c>
      <c r="P130" s="11">
        <f>LOOKUP(O130,{0,0.5,0.7,0.9,1.1,1.3,1.5,1.7,1.9,2.1,2.3,2.5,2.7,2.9,3.1,3.3,3.5,3.8,4.1,4.2,4.3},{0,10,20,30,40,50,60,62,64,66,68,70,72,74,76,78,80,85,90,95,100})</f>
        <v>74</v>
      </c>
      <c r="Q130" s="12">
        <v>3.25</v>
      </c>
      <c r="R130" s="12">
        <f t="shared" si="65"/>
        <v>6.75</v>
      </c>
      <c r="S130" s="11">
        <f>LOOKUP(R130,{0,4.72,4.82,4.92,5.42,5.52,5.62,5.67,5.72,5.77,5.82,5.87,5.92,5.97,6.42,6.47,6.52,6.59,6.66,6.72,6.78},{0,10,20,30,40,50,60,62,64,66,68,70,72,74,76,78,80,85,90,95,100})</f>
        <v>95</v>
      </c>
      <c r="T130" s="12"/>
      <c r="U130" s="12"/>
      <c r="V130" s="12">
        <f t="shared" si="66"/>
        <v>95</v>
      </c>
      <c r="W130" s="12"/>
      <c r="X130" s="20">
        <f t="shared" si="63"/>
        <v>55.7</v>
      </c>
      <c r="Y130" s="20">
        <f t="shared" si="64"/>
        <v>79.5714285714286</v>
      </c>
    </row>
    <row r="131" ht="15.6" hidden="1" outlineLevel="2" spans="1:25">
      <c r="A131" s="12">
        <v>208</v>
      </c>
      <c r="B131" s="12">
        <v>49</v>
      </c>
      <c r="C131" s="6" t="s">
        <v>432</v>
      </c>
      <c r="D131" s="6" t="s">
        <v>53</v>
      </c>
      <c r="E131" s="12">
        <v>17.1</v>
      </c>
      <c r="F131" s="11">
        <f>LOOKUP(E131,{0,1,1.8,2.6,3.4,4.2,5,6.3,7.6,8.9,10.2,11.5,12.8,14.1,15.4,16.7,18,19.7,21.4,23.1,24.8},{0,10,20,30,40,50,60,62,64,66,68,70,72,74,76,78,80,85,90,95,100})</f>
        <v>78</v>
      </c>
      <c r="G131" s="12">
        <v>165</v>
      </c>
      <c r="H131" s="11">
        <f>LOOKUP(G131,{0,124,129,134,139,144,149,152,155,158,161,164,167,170,173,176,179,186,193,199,205},{0,10,20,30,40,50,60,62,64,66,68,70,72,74,76,78,80,85,90,95,100})</f>
        <v>70</v>
      </c>
      <c r="I131" s="12">
        <v>56</v>
      </c>
      <c r="J131" s="11">
        <f>LOOKUP(I131,{0,14,16,18,20,22,24,26,28,30,32,34,36,38,40,42,44,47,50,52,54},{0,10,20,30,40,50,60,62,64,66,68,70,72,74,76,78,80,85,90,95,100})</f>
        <v>100</v>
      </c>
      <c r="K131" s="12">
        <f t="shared" si="67"/>
        <v>2</v>
      </c>
      <c r="L131" s="11">
        <f>LOOKUP(K131,{0,2,4,6,7,8,9,10,11,12,13},{0,1,2,3,4,5,6,7,8,9,10})</f>
        <v>1</v>
      </c>
      <c r="M131" s="12">
        <f t="shared" si="59"/>
        <v>101</v>
      </c>
      <c r="N131" s="12">
        <v>8.1</v>
      </c>
      <c r="O131" s="12">
        <f t="shared" si="60"/>
        <v>3.9</v>
      </c>
      <c r="P131" s="11">
        <f>LOOKUP(O131,{0,0.5,0.7,0.9,1.1,1.3,1.5,1.7,1.9,2.1,2.3,2.5,2.7,2.9,3.1,3.3,3.5,3.8,4.1,4.2,4.3},{0,10,20,30,40,50,60,62,64,66,68,70,72,74,76,78,80,85,90,95,100})</f>
        <v>85</v>
      </c>
      <c r="Q131" s="12">
        <v>3.45</v>
      </c>
      <c r="R131" s="12">
        <f t="shared" si="65"/>
        <v>6.55</v>
      </c>
      <c r="S131" s="11">
        <f>LOOKUP(R131,{0,4.72,4.82,4.92,5.42,5.52,5.62,5.67,5.72,5.77,5.82,5.87,5.92,5.97,6.42,6.47,6.52,6.59,6.66,6.72,6.78},{0,10,20,30,40,50,60,62,64,66,68,70,72,74,76,78,80,85,90,95,100})</f>
        <v>80</v>
      </c>
      <c r="T131" s="12"/>
      <c r="U131" s="12"/>
      <c r="V131" s="12">
        <f t="shared" si="66"/>
        <v>80</v>
      </c>
      <c r="W131" s="12"/>
      <c r="X131" s="20">
        <f t="shared" si="63"/>
        <v>57.8</v>
      </c>
      <c r="Y131" s="20">
        <f t="shared" si="64"/>
        <v>83.5714285714286</v>
      </c>
    </row>
    <row r="132" ht="15.6" hidden="1" outlineLevel="2" spans="1:25">
      <c r="A132" s="12">
        <v>208</v>
      </c>
      <c r="B132" s="12">
        <v>50</v>
      </c>
      <c r="C132" s="6" t="s">
        <v>433</v>
      </c>
      <c r="D132" s="6" t="s">
        <v>53</v>
      </c>
      <c r="E132" s="12">
        <v>27</v>
      </c>
      <c r="F132" s="11">
        <f>LOOKUP(E132,{0,1,1.8,2.6,3.4,4.2,5,6.3,7.6,8.9,10.2,11.5,12.8,14.1,15.4,16.7,18,19.7,21.4,23.1,24.8},{0,10,20,30,40,50,60,62,64,66,68,70,72,74,76,78,80,85,90,95,100})</f>
        <v>100</v>
      </c>
      <c r="G132" s="12">
        <v>203</v>
      </c>
      <c r="H132" s="11">
        <f>LOOKUP(G132,{0,124,129,134,139,144,149,152,155,158,161,164,167,170,173,176,179,186,193,199,205},{0,10,20,30,40,50,60,62,64,66,68,70,72,74,76,78,80,85,90,95,100})</f>
        <v>95</v>
      </c>
      <c r="I132" s="12">
        <v>51</v>
      </c>
      <c r="J132" s="11">
        <f>LOOKUP(I132,{0,14,16,18,20,22,24,26,28,30,32,34,36,38,40,42,44,47,50,52,54},{0,10,20,30,40,50,60,62,64,66,68,70,72,74,76,78,80,85,90,95,100})</f>
        <v>90</v>
      </c>
      <c r="K132" s="12"/>
      <c r="L132" s="12"/>
      <c r="M132" s="12">
        <f t="shared" si="59"/>
        <v>90</v>
      </c>
      <c r="N132" s="12">
        <v>8.2</v>
      </c>
      <c r="O132" s="12">
        <f t="shared" si="60"/>
        <v>3.8</v>
      </c>
      <c r="P132" s="11">
        <f>LOOKUP(O132,{0,0.5,0.7,0.9,1.1,1.3,1.5,1.7,1.9,2.1,2.3,2.5,2.7,2.9,3.1,3.3,3.5,3.8,4.1,4.2,4.3},{0,10,20,30,40,50,60,62,64,66,68,70,72,74,76,78,80,85,90,95,100})</f>
        <v>85</v>
      </c>
      <c r="Q132" s="12">
        <v>3.46</v>
      </c>
      <c r="R132" s="12">
        <f t="shared" si="65"/>
        <v>6.54</v>
      </c>
      <c r="S132" s="11">
        <f>LOOKUP(R132,{0,4.72,4.82,4.92,5.42,5.52,5.62,5.67,5.72,5.77,5.82,5.87,5.92,5.97,6.42,6.47,6.52,6.59,6.66,6.72,6.78},{0,10,20,30,40,50,60,62,64,66,68,70,72,74,76,78,80,85,90,95,100})</f>
        <v>80</v>
      </c>
      <c r="T132" s="12"/>
      <c r="U132" s="12"/>
      <c r="V132" s="12">
        <f t="shared" si="66"/>
        <v>80</v>
      </c>
      <c r="W132" s="12"/>
      <c r="X132" s="20">
        <f t="shared" si="63"/>
        <v>61.5</v>
      </c>
      <c r="Y132" s="20">
        <f t="shared" si="64"/>
        <v>87.8571428571429</v>
      </c>
    </row>
    <row r="133" ht="15.6" hidden="1" outlineLevel="2" spans="1:25">
      <c r="A133" s="12">
        <v>208</v>
      </c>
      <c r="B133" s="12">
        <v>51</v>
      </c>
      <c r="C133" s="6" t="s">
        <v>434</v>
      </c>
      <c r="D133" s="6" t="s">
        <v>53</v>
      </c>
      <c r="E133" s="12">
        <v>22</v>
      </c>
      <c r="F133" s="11">
        <f>LOOKUP(E133,{0,1,1.8,2.6,3.4,4.2,5,6.3,7.6,8.9,10.2,11.5,12.8,14.1,15.4,16.7,18,19.7,21.4,23.1,24.8},{0,10,20,30,40,50,60,62,64,66,68,70,72,74,76,78,80,85,90,95,100})</f>
        <v>90</v>
      </c>
      <c r="G133" s="12">
        <v>140</v>
      </c>
      <c r="H133" s="11">
        <f>LOOKUP(G133,{0,124,129,134,139,144,149,152,155,158,161,164,167,170,173,176,179,186,193,199,205},{0,10,20,30,40,50,60,62,64,66,68,70,72,74,76,78,80,85,90,95,100})</f>
        <v>40</v>
      </c>
      <c r="I133" s="12">
        <v>38</v>
      </c>
      <c r="J133" s="11">
        <f>LOOKUP(I133,{0,14,16,18,20,22,24,26,28,30,32,34,36,38,40,42,44,47,50,52,54},{0,10,20,30,40,50,60,62,64,66,68,70,72,74,76,78,80,85,90,95,100})</f>
        <v>74</v>
      </c>
      <c r="K133" s="12"/>
      <c r="L133" s="12"/>
      <c r="M133" s="12">
        <f t="shared" si="59"/>
        <v>74</v>
      </c>
      <c r="N133" s="12">
        <v>9.2</v>
      </c>
      <c r="O133" s="12">
        <f t="shared" si="60"/>
        <v>2.8</v>
      </c>
      <c r="P133" s="11">
        <f>LOOKUP(O133,{0,0.5,0.7,0.9,1.1,1.3,1.5,1.7,1.9,2.1,2.3,2.5,2.7,2.9,3.1,3.3,3.5,3.8,4.1,4.2,4.3},{0,10,20,30,40,50,60,62,64,66,68,70,72,74,76,78,80,85,90,95,100})</f>
        <v>72</v>
      </c>
      <c r="Q133" s="12">
        <v>3.34</v>
      </c>
      <c r="R133" s="12">
        <f t="shared" si="65"/>
        <v>6.66</v>
      </c>
      <c r="S133" s="11">
        <f>LOOKUP(R133,{0,4.72,4.82,4.92,5.42,5.52,5.62,5.67,5.72,5.77,5.82,5.87,5.92,5.97,6.42,6.47,6.52,6.59,6.66,6.72,6.78},{0,10,20,30,40,50,60,62,64,66,68,70,72,74,76,78,80,85,90,95,100})</f>
        <v>90</v>
      </c>
      <c r="T133" s="12"/>
      <c r="U133" s="12"/>
      <c r="V133" s="12">
        <f t="shared" si="66"/>
        <v>90</v>
      </c>
      <c r="W133" s="12"/>
      <c r="X133" s="20">
        <f t="shared" si="63"/>
        <v>52.8</v>
      </c>
      <c r="Y133" s="20">
        <f t="shared" si="64"/>
        <v>75.4285714285714</v>
      </c>
    </row>
    <row r="134" ht="15.6" outlineLevel="1" collapsed="1" spans="1:25">
      <c r="A134" s="14" t="s">
        <v>862</v>
      </c>
      <c r="B134" s="12"/>
      <c r="C134" s="6"/>
      <c r="D134" s="6"/>
      <c r="E134" s="12"/>
      <c r="F134" s="11">
        <f>SUBTOTAL(1,F119:F133)</f>
        <v>82.1333333333333</v>
      </c>
      <c r="G134" s="12"/>
      <c r="H134" s="11">
        <f>SUBTOTAL(1,H119:H133)</f>
        <v>75.9333333333333</v>
      </c>
      <c r="I134" s="12"/>
      <c r="J134" s="11">
        <f>SUBTOTAL(1,J119:J133)</f>
        <v>85.0666666666667</v>
      </c>
      <c r="K134" s="12"/>
      <c r="L134" s="12"/>
      <c r="M134" s="12">
        <f>SUBTOTAL(1,M119:M133)</f>
        <v>85.4</v>
      </c>
      <c r="N134" s="12"/>
      <c r="O134" s="12"/>
      <c r="P134" s="11">
        <f>SUBTOTAL(1,P119:P133)</f>
        <v>77</v>
      </c>
      <c r="Q134" s="12"/>
      <c r="R134" s="12"/>
      <c r="S134" s="11">
        <f>SUBTOTAL(1,S119:S133)</f>
        <v>84.7692307692308</v>
      </c>
      <c r="T134" s="12"/>
      <c r="U134" s="12"/>
      <c r="V134" s="12">
        <f>SUBTOTAL(1,V119:V133)</f>
        <v>84.7692307692308</v>
      </c>
      <c r="W134" s="12"/>
      <c r="X134" s="20">
        <f>SUBTOTAL(1,X119:X133)</f>
        <v>54.4066666666667</v>
      </c>
      <c r="Y134" s="20">
        <f>SUBTOTAL(1,Y119:Y133)</f>
        <v>78.0571428571429</v>
      </c>
    </row>
    <row r="135" ht="15.6" hidden="1" outlineLevel="2" spans="1:25">
      <c r="A135" s="12">
        <v>209</v>
      </c>
      <c r="B135" s="12">
        <v>41</v>
      </c>
      <c r="C135" s="13" t="s">
        <v>482</v>
      </c>
      <c r="D135" s="6" t="s">
        <v>53</v>
      </c>
      <c r="E135" s="12">
        <v>25.4</v>
      </c>
      <c r="F135" s="11">
        <f>LOOKUP(E135,{0,1,1.8,2.6,3.4,4.2,5,6.3,7.6,8.9,10.2,11.5,12.8,14.1,15.4,16.7,18,19.7,21.4,23.1,24.8},{0,10,20,30,40,50,60,62,64,66,68,70,72,74,76,78,80,85,90,95,100})</f>
        <v>100</v>
      </c>
      <c r="G135" s="12">
        <v>181</v>
      </c>
      <c r="H135" s="11">
        <f>LOOKUP(G135,{0,124,129,134,139,144,149,152,155,158,161,164,167,170,173,176,179,186,193,199,205},{0,10,20,30,40,50,60,62,64,66,68,70,72,74,76,78,80,85,90,95,100})</f>
        <v>80</v>
      </c>
      <c r="I135" s="12">
        <v>51</v>
      </c>
      <c r="J135" s="11">
        <f>LOOKUP(I135,{0,14,16,18,20,22,24,26,28,30,32,34,36,38,40,42,44,47,50,52,54},{0,10,20,30,40,50,60,62,64,66,68,70,72,74,76,78,80,85,90,95,100})</f>
        <v>90</v>
      </c>
      <c r="K135" s="12"/>
      <c r="L135" s="12"/>
      <c r="M135" s="12">
        <f t="shared" ref="M135:M143" si="68">J135+L135</f>
        <v>90</v>
      </c>
      <c r="N135" s="12">
        <v>8.2</v>
      </c>
      <c r="O135" s="12">
        <f t="shared" ref="O135:O141" si="69">12-N135</f>
        <v>3.8</v>
      </c>
      <c r="P135" s="11">
        <f>LOOKUP(O135,{0,0.5,0.7,0.9,1.1,1.3,1.5,1.7,1.9,2.1,2.3,2.5,2.7,2.9,3.1,3.3,3.5,3.8,4.1,4.2,4.3},{0,10,20,30,40,50,60,62,64,66,68,70,72,74,76,78,80,85,90,95,100})</f>
        <v>85</v>
      </c>
      <c r="Q135" s="12">
        <v>3.18</v>
      </c>
      <c r="R135" s="12">
        <f t="shared" ref="R135:R143" si="70">10-Q135</f>
        <v>6.82</v>
      </c>
      <c r="S135" s="11">
        <f>LOOKUP(R135,{0,4.72,4.82,4.92,5.42,5.52,5.62,5.67,5.72,5.77,5.82,5.87,5.92,5.97,6.42,6.47,6.52,6.59,6.66,6.72,6.78},{0,10,20,30,40,50,60,62,64,66,68,70,72,74,76,78,80,85,90,95,100})</f>
        <v>100</v>
      </c>
      <c r="T135" s="21">
        <f>3.22-Q135</f>
        <v>0.04</v>
      </c>
      <c r="U135" s="11">
        <f>LOOKUP(T135,{0,0.05,0.1,0.15,0.2,0.25,0.3,0.35,0.4,0.45,0.5},{0,1,2,3,4,5,6,7,8,9,10})</f>
        <v>0</v>
      </c>
      <c r="V135" s="12">
        <f t="shared" ref="V135:V143" si="71">S135+U135</f>
        <v>100</v>
      </c>
      <c r="W135" s="12"/>
      <c r="X135" s="20">
        <f t="shared" ref="X135:X145" si="72">F135*0.1+H135*0.1+J135*0.1+P135*0.2+S135*0.2</f>
        <v>64</v>
      </c>
      <c r="Y135" s="20">
        <f t="shared" ref="Y135:Y143" si="73">X135/0.7+L135+U135</f>
        <v>91.4285714285714</v>
      </c>
    </row>
    <row r="136" ht="15.6" hidden="1" outlineLevel="2" spans="1:25">
      <c r="A136" s="12">
        <v>209</v>
      </c>
      <c r="B136" s="12">
        <v>42</v>
      </c>
      <c r="C136" s="6" t="s">
        <v>483</v>
      </c>
      <c r="D136" s="6" t="s">
        <v>53</v>
      </c>
      <c r="E136" s="12">
        <v>16.9</v>
      </c>
      <c r="F136" s="11">
        <f>LOOKUP(E136,{0,1,1.8,2.6,3.4,4.2,5,6.3,7.6,8.9,10.2,11.5,12.8,14.1,15.4,16.7,18,19.7,21.4,23.1,24.8},{0,10,20,30,40,50,60,62,64,66,68,70,72,74,76,78,80,85,90,95,100})</f>
        <v>78</v>
      </c>
      <c r="G136" s="12">
        <v>185</v>
      </c>
      <c r="H136" s="11">
        <f>LOOKUP(G136,{0,124,129,134,139,144,149,152,155,158,161,164,167,170,173,176,179,186,193,199,205},{0,10,20,30,40,50,60,62,64,66,68,70,72,74,76,78,80,85,90,95,100})</f>
        <v>80</v>
      </c>
      <c r="I136" s="12">
        <v>47</v>
      </c>
      <c r="J136" s="11">
        <f>LOOKUP(I136,{0,14,16,18,20,22,24,26,28,30,32,34,36,38,40,42,44,47,50,52,54},{0,10,20,30,40,50,60,62,64,66,68,70,72,74,76,78,80,85,90,95,100})</f>
        <v>85</v>
      </c>
      <c r="K136" s="12"/>
      <c r="L136" s="12"/>
      <c r="M136" s="12">
        <f t="shared" si="68"/>
        <v>85</v>
      </c>
      <c r="N136" s="12">
        <v>8.2</v>
      </c>
      <c r="O136" s="12">
        <f t="shared" si="69"/>
        <v>3.8</v>
      </c>
      <c r="P136" s="11">
        <f>LOOKUP(O136,{0,0.5,0.7,0.9,1.1,1.3,1.5,1.7,1.9,2.1,2.3,2.5,2.7,2.9,3.1,3.3,3.5,3.8,4.1,4.2,4.3},{0,10,20,30,40,50,60,62,64,66,68,70,72,74,76,78,80,85,90,95,100})</f>
        <v>85</v>
      </c>
      <c r="Q136" s="12">
        <v>3.43</v>
      </c>
      <c r="R136" s="12">
        <f t="shared" si="70"/>
        <v>6.57</v>
      </c>
      <c r="S136" s="11">
        <f>LOOKUP(R136,{0,4.72,4.82,4.92,5.42,5.52,5.62,5.67,5.72,5.77,5.82,5.87,5.92,5.97,6.42,6.47,6.52,6.59,6.66,6.72,6.78},{0,10,20,30,40,50,60,62,64,66,68,70,72,74,76,78,80,85,90,95,100})</f>
        <v>80</v>
      </c>
      <c r="T136" s="12"/>
      <c r="U136" s="12"/>
      <c r="V136" s="12">
        <f t="shared" si="71"/>
        <v>80</v>
      </c>
      <c r="W136" s="12"/>
      <c r="X136" s="20">
        <f t="shared" si="72"/>
        <v>57.3</v>
      </c>
      <c r="Y136" s="20">
        <f t="shared" si="73"/>
        <v>81.8571428571429</v>
      </c>
    </row>
    <row r="137" ht="15.6" hidden="1" outlineLevel="2" spans="1:25">
      <c r="A137" s="12">
        <v>209</v>
      </c>
      <c r="B137" s="12">
        <v>43</v>
      </c>
      <c r="C137" s="6" t="s">
        <v>484</v>
      </c>
      <c r="D137" s="6" t="s">
        <v>53</v>
      </c>
      <c r="E137" s="12"/>
      <c r="F137" s="11"/>
      <c r="G137" s="12"/>
      <c r="H137" s="11"/>
      <c r="I137" s="12"/>
      <c r="J137" s="11"/>
      <c r="K137" s="12"/>
      <c r="L137" s="12"/>
      <c r="M137" s="12"/>
      <c r="N137" s="12">
        <v>8.5</v>
      </c>
      <c r="O137" s="12">
        <f t="shared" si="69"/>
        <v>3.5</v>
      </c>
      <c r="P137" s="11">
        <f>LOOKUP(O137,{0,0.5,0.7,0.9,1.1,1.3,1.5,1.7,1.9,2.1,2.3,2.5,2.7,2.9,3.1,3.3,3.5,3.8,4.1,4.2,4.3},{0,10,20,30,40,50,60,62,64,66,68,70,72,74,76,78,80,85,90,95,100})</f>
        <v>80</v>
      </c>
      <c r="Q137" s="12"/>
      <c r="R137" s="12"/>
      <c r="S137" s="11"/>
      <c r="T137" s="21"/>
      <c r="U137" s="11"/>
      <c r="V137" s="12"/>
      <c r="W137" s="12" t="s">
        <v>16</v>
      </c>
      <c r="X137" s="20">
        <f t="shared" si="72"/>
        <v>16</v>
      </c>
      <c r="Y137" s="20">
        <v>50</v>
      </c>
    </row>
    <row r="138" ht="15.6" hidden="1" outlineLevel="2" spans="1:25">
      <c r="A138" s="12">
        <v>209</v>
      </c>
      <c r="B138" s="12">
        <v>44</v>
      </c>
      <c r="C138" s="6" t="s">
        <v>485</v>
      </c>
      <c r="D138" s="6" t="s">
        <v>53</v>
      </c>
      <c r="E138" s="12">
        <v>17.6</v>
      </c>
      <c r="F138" s="11">
        <f>LOOKUP(E138,{0,1,1.8,2.6,3.4,4.2,5,6.3,7.6,8.9,10.2,11.5,12.8,14.1,15.4,16.7,18,19.7,21.4,23.1,24.8},{0,10,20,30,40,50,60,62,64,66,68,70,72,74,76,78,80,85,90,95,100})</f>
        <v>78</v>
      </c>
      <c r="G138" s="12">
        <v>148</v>
      </c>
      <c r="H138" s="11">
        <f>LOOKUP(G138,{0,124,129,134,139,144,149,152,155,158,161,164,167,170,173,176,179,186,193,199,205},{0,10,20,30,40,50,60,62,64,66,68,70,72,74,76,78,80,85,90,95,100})</f>
        <v>50</v>
      </c>
      <c r="I138" s="12">
        <v>53</v>
      </c>
      <c r="J138" s="11">
        <f>LOOKUP(I138,{0,14,16,18,20,22,24,26,28,30,32,34,36,38,40,42,44,47,50,52,54},{0,10,20,30,40,50,60,62,64,66,68,70,72,74,76,78,80,85,90,95,100})</f>
        <v>95</v>
      </c>
      <c r="K138" s="12"/>
      <c r="L138" s="12"/>
      <c r="M138" s="12">
        <f t="shared" si="68"/>
        <v>95</v>
      </c>
      <c r="N138" s="12">
        <v>8.7</v>
      </c>
      <c r="O138" s="12">
        <f t="shared" si="69"/>
        <v>3.3</v>
      </c>
      <c r="P138" s="11">
        <f>LOOKUP(O138,{0,0.5,0.7,0.9,1.1,1.3,1.5,1.7,1.9,2.1,2.3,2.5,2.7,2.9,3.1,3.3,3.5,3.8,4.1,4.2,4.3},{0,10,20,30,40,50,60,62,64,66,68,70,72,74,76,78,80,85,90,95,100})</f>
        <v>78</v>
      </c>
      <c r="Q138" s="12">
        <v>3.5</v>
      </c>
      <c r="R138" s="12">
        <f t="shared" si="70"/>
        <v>6.5</v>
      </c>
      <c r="S138" s="11">
        <f>LOOKUP(R138,{0,4.72,4.82,4.92,5.42,5.52,5.62,5.67,5.72,5.77,5.82,5.87,5.92,5.97,6.42,6.47,6.52,6.59,6.66,6.72,6.78},{0,10,20,30,40,50,60,62,64,66,68,70,72,74,76,78,80,85,90,95,100})</f>
        <v>78</v>
      </c>
      <c r="T138" s="12"/>
      <c r="U138" s="12"/>
      <c r="V138" s="12">
        <f t="shared" si="71"/>
        <v>78</v>
      </c>
      <c r="W138" s="12"/>
      <c r="X138" s="20">
        <f t="shared" si="72"/>
        <v>53.5</v>
      </c>
      <c r="Y138" s="20">
        <f t="shared" si="73"/>
        <v>76.4285714285714</v>
      </c>
    </row>
    <row r="139" ht="15.6" hidden="1" outlineLevel="2" spans="1:25">
      <c r="A139" s="12">
        <v>209</v>
      </c>
      <c r="B139" s="12">
        <v>45</v>
      </c>
      <c r="C139" s="6" t="s">
        <v>486</v>
      </c>
      <c r="D139" s="6" t="s">
        <v>53</v>
      </c>
      <c r="E139" s="12">
        <v>25.3</v>
      </c>
      <c r="F139" s="11">
        <f>LOOKUP(E139,{0,1,1.8,2.6,3.4,4.2,5,6.3,7.6,8.9,10.2,11.5,12.8,14.1,15.4,16.7,18,19.7,21.4,23.1,24.8},{0,10,20,30,40,50,60,62,64,66,68,70,72,74,76,78,80,85,90,95,100})</f>
        <v>100</v>
      </c>
      <c r="G139" s="12">
        <v>178</v>
      </c>
      <c r="H139" s="11">
        <f>LOOKUP(G139,{0,124,129,134,139,144,149,152,155,158,161,164,167,170,173,176,179,186,193,199,205},{0,10,20,30,40,50,60,62,64,66,68,70,72,74,76,78,80,85,90,95,100})</f>
        <v>78</v>
      </c>
      <c r="I139" s="12">
        <v>58</v>
      </c>
      <c r="J139" s="11">
        <f>LOOKUP(I139,{0,14,16,18,20,22,24,26,28,30,32,34,36,38,40,42,44,47,50,52,54},{0,10,20,30,40,50,60,62,64,66,68,70,72,74,76,78,80,85,90,95,100})</f>
        <v>100</v>
      </c>
      <c r="K139" s="12">
        <f t="shared" ref="K139:K143" si="74">I139-54</f>
        <v>4</v>
      </c>
      <c r="L139" s="16">
        <f>LOOKUP(K139,{0,2,4,6,7,8,9,10,11,12,13},{0,1,2,3,4,5,6,7,8,9,10})</f>
        <v>2</v>
      </c>
      <c r="M139" s="12">
        <f t="shared" si="68"/>
        <v>102</v>
      </c>
      <c r="N139" s="12">
        <v>8.2</v>
      </c>
      <c r="O139" s="12">
        <f t="shared" si="69"/>
        <v>3.8</v>
      </c>
      <c r="P139" s="11">
        <f>LOOKUP(O139,{0,0.5,0.7,0.9,1.1,1.3,1.5,1.7,1.9,2.1,2.3,2.5,2.7,2.9,3.1,3.3,3.5,3.8,4.1,4.2,4.3},{0,10,20,30,40,50,60,62,64,66,68,70,72,74,76,78,80,85,90,95,100})</f>
        <v>85</v>
      </c>
      <c r="Q139" s="12">
        <v>3.16</v>
      </c>
      <c r="R139" s="12">
        <f t="shared" si="70"/>
        <v>6.84</v>
      </c>
      <c r="S139" s="11">
        <f>LOOKUP(R139,{0,4.72,4.82,4.92,5.42,5.52,5.62,5.67,5.72,5.77,5.82,5.87,5.92,5.97,6.42,6.47,6.52,6.59,6.66,6.72,6.78},{0,10,20,30,40,50,60,62,64,66,68,70,72,74,76,78,80,85,90,95,100})</f>
        <v>100</v>
      </c>
      <c r="T139" s="21">
        <f t="shared" ref="T139:T143" si="75">3.22-Q139</f>
        <v>0.0600000000000001</v>
      </c>
      <c r="U139" s="11">
        <f>LOOKUP(T139,{0,0.05,0.1,0.15,0.2,0.25,0.3,0.35,0.4,0.45,0.5},{0,1,2,3,4,5,6,7,8,9,10})</f>
        <v>1</v>
      </c>
      <c r="V139" s="12">
        <f t="shared" si="71"/>
        <v>101</v>
      </c>
      <c r="W139" s="12"/>
      <c r="X139" s="20">
        <f t="shared" si="72"/>
        <v>64.8</v>
      </c>
      <c r="Y139" s="20">
        <f t="shared" si="73"/>
        <v>95.5714285714286</v>
      </c>
    </row>
    <row r="140" ht="15.6" hidden="1" outlineLevel="2" spans="1:25">
      <c r="A140" s="12">
        <v>209</v>
      </c>
      <c r="B140" s="12">
        <v>46</v>
      </c>
      <c r="C140" s="6" t="s">
        <v>487</v>
      </c>
      <c r="D140" s="6" t="s">
        <v>53</v>
      </c>
      <c r="E140" s="12">
        <v>18</v>
      </c>
      <c r="F140" s="11">
        <f>LOOKUP(E140,{0,1,1.8,2.6,3.4,4.2,5,6.3,7.6,8.9,10.2,11.5,12.8,14.1,15.4,16.7,18,19.7,21.4,23.1,24.8},{0,10,20,30,40,50,60,62,64,66,68,70,72,74,76,78,80,85,90,95,100})</f>
        <v>80</v>
      </c>
      <c r="G140" s="12">
        <v>188</v>
      </c>
      <c r="H140" s="11">
        <f>LOOKUP(G140,{0,124,129,134,139,144,149,152,155,158,161,164,167,170,173,176,179,186,193,199,205},{0,10,20,30,40,50,60,62,64,66,68,70,72,74,76,78,80,85,90,95,100})</f>
        <v>85</v>
      </c>
      <c r="I140" s="12">
        <v>61</v>
      </c>
      <c r="J140" s="11">
        <f>LOOKUP(I140,{0,14,16,18,20,22,24,26,28,30,32,34,36,38,40,42,44,47,50,52,54},{0,10,20,30,40,50,60,62,64,66,68,70,72,74,76,78,80,85,90,95,100})</f>
        <v>100</v>
      </c>
      <c r="K140" s="12">
        <f t="shared" si="74"/>
        <v>7</v>
      </c>
      <c r="L140" s="11">
        <f>LOOKUP(K140,{0,2,4,6,7,8,9,10,11,12,13},{0,1,2,3,4,5,6,7,8,9,10})</f>
        <v>4</v>
      </c>
      <c r="M140" s="12">
        <f t="shared" si="68"/>
        <v>104</v>
      </c>
      <c r="N140" s="12">
        <v>8.2</v>
      </c>
      <c r="O140" s="12">
        <f t="shared" si="69"/>
        <v>3.8</v>
      </c>
      <c r="P140" s="11">
        <f>LOOKUP(O140,{0,0.5,0.7,0.9,1.1,1.3,1.5,1.7,1.9,2.1,2.3,2.5,2.7,2.9,3.1,3.3,3.5,3.8,4.1,4.2,4.3},{0,10,20,30,40,50,60,62,64,66,68,70,72,74,76,78,80,85,90,95,100})</f>
        <v>85</v>
      </c>
      <c r="Q140" s="12">
        <v>3.34</v>
      </c>
      <c r="R140" s="12">
        <f t="shared" si="70"/>
        <v>6.66</v>
      </c>
      <c r="S140" s="11">
        <f>LOOKUP(R140,{0,4.72,4.82,4.92,5.42,5.52,5.62,5.67,5.72,5.77,5.82,5.87,5.92,5.97,6.42,6.47,6.52,6.59,6.66,6.72,6.78},{0,10,20,30,40,50,60,62,64,66,68,70,72,74,76,78,80,85,90,95,100})</f>
        <v>90</v>
      </c>
      <c r="T140" s="12"/>
      <c r="U140" s="12"/>
      <c r="V140" s="12">
        <f t="shared" si="71"/>
        <v>90</v>
      </c>
      <c r="W140" s="12"/>
      <c r="X140" s="20">
        <f t="shared" si="72"/>
        <v>61.5</v>
      </c>
      <c r="Y140" s="20">
        <f t="shared" si="73"/>
        <v>91.8571428571429</v>
      </c>
    </row>
    <row r="141" ht="15.6" hidden="1" outlineLevel="2" spans="1:25">
      <c r="A141" s="12">
        <v>209</v>
      </c>
      <c r="B141" s="12">
        <v>47</v>
      </c>
      <c r="C141" s="6" t="s">
        <v>488</v>
      </c>
      <c r="D141" s="6" t="s">
        <v>53</v>
      </c>
      <c r="E141" s="12">
        <v>24.5</v>
      </c>
      <c r="F141" s="11">
        <f>LOOKUP(E141,{0,1,1.8,2.6,3.4,4.2,5,6.3,7.6,8.9,10.2,11.5,12.8,14.1,15.4,16.7,18,19.7,21.4,23.1,24.8},{0,10,20,30,40,50,60,62,64,66,68,70,72,74,76,78,80,85,90,95,100})</f>
        <v>95</v>
      </c>
      <c r="G141" s="12">
        <v>177</v>
      </c>
      <c r="H141" s="11">
        <f>LOOKUP(G141,{0,124,129,134,139,144,149,152,155,158,161,164,167,170,173,176,179,186,193,199,205},{0,10,20,30,40,50,60,62,64,66,68,70,72,74,76,78,80,85,90,95,100})</f>
        <v>78</v>
      </c>
      <c r="I141" s="12">
        <v>50</v>
      </c>
      <c r="J141" s="11">
        <f>LOOKUP(I141,{0,14,16,18,20,22,24,26,28,30,32,34,36,38,40,42,44,47,50,52,54},{0,10,20,30,40,50,60,62,64,66,68,70,72,74,76,78,80,85,90,95,100})</f>
        <v>90</v>
      </c>
      <c r="K141" s="12"/>
      <c r="L141" s="15"/>
      <c r="M141" s="12">
        <f t="shared" si="68"/>
        <v>90</v>
      </c>
      <c r="N141" s="12">
        <v>8.4</v>
      </c>
      <c r="O141" s="12">
        <f t="shared" si="69"/>
        <v>3.6</v>
      </c>
      <c r="P141" s="11">
        <f>LOOKUP(O141,{0,0.5,0.7,0.9,1.1,1.3,1.5,1.7,1.9,2.1,2.3,2.5,2.7,2.9,3.1,3.3,3.5,3.8,4.1,4.2,4.3},{0,10,20,30,40,50,60,62,64,66,68,70,72,74,76,78,80,85,90,95,100})</f>
        <v>80</v>
      </c>
      <c r="Q141" s="12">
        <v>3.19</v>
      </c>
      <c r="R141" s="12">
        <f t="shared" si="70"/>
        <v>6.81</v>
      </c>
      <c r="S141" s="11">
        <f>LOOKUP(R141,{0,4.72,4.82,4.92,5.42,5.52,5.62,5.67,5.72,5.77,5.82,5.87,5.92,5.97,6.42,6.47,6.52,6.59,6.66,6.72,6.78},{0,10,20,30,40,50,60,62,64,66,68,70,72,74,76,78,80,85,90,95,100})</f>
        <v>100</v>
      </c>
      <c r="T141" s="21">
        <f t="shared" si="75"/>
        <v>0.0300000000000002</v>
      </c>
      <c r="U141" s="11">
        <f>LOOKUP(T141,{0,0.05,0.1,0.15,0.2,0.25,0.3,0.35,0.4,0.45,0.5},{0,1,2,3,4,5,6,7,8,9,10})</f>
        <v>0</v>
      </c>
      <c r="V141" s="12">
        <f t="shared" si="71"/>
        <v>100</v>
      </c>
      <c r="W141" s="12"/>
      <c r="X141" s="20">
        <f t="shared" si="72"/>
        <v>62.3</v>
      </c>
      <c r="Y141" s="20">
        <f t="shared" si="73"/>
        <v>89</v>
      </c>
    </row>
    <row r="142" s="3" customFormat="1" ht="15.6" hidden="1" outlineLevel="2" spans="1:25">
      <c r="A142" s="12">
        <v>209</v>
      </c>
      <c r="B142" s="12">
        <v>48</v>
      </c>
      <c r="C142" s="6" t="s">
        <v>489</v>
      </c>
      <c r="D142" s="6" t="s">
        <v>53</v>
      </c>
      <c r="E142" s="12">
        <v>24.5</v>
      </c>
      <c r="F142" s="11">
        <f>LOOKUP(E142,{0,1,1.8,2.6,3.4,4.2,5,6.3,7.6,8.9,10.2,11.5,12.8,14.1,15.4,16.7,18,19.7,21.4,23.1,24.8},{0,10,20,30,40,50,60,62,64,66,68,70,72,74,76,78,80,85,90,95,100})</f>
        <v>95</v>
      </c>
      <c r="G142" s="12">
        <v>190</v>
      </c>
      <c r="H142" s="11">
        <f>LOOKUP(G142,{0,124,129,134,139,144,149,152,155,158,161,164,167,170,173,176,179,186,193,199,205},{0,10,20,30,40,50,60,62,64,66,68,70,72,74,76,78,80,85,90,95,100})</f>
        <v>85</v>
      </c>
      <c r="I142" s="12">
        <v>40</v>
      </c>
      <c r="J142" s="11">
        <f>LOOKUP(I142,{0,14,16,18,20,22,24,26,28,30,32,34,36,38,40,42,44,47,50,52,54},{0,10,20,30,40,50,60,62,64,66,68,70,72,74,76,78,80,85,90,95,100})</f>
        <v>76</v>
      </c>
      <c r="K142" s="12"/>
      <c r="L142" s="12"/>
      <c r="M142" s="12">
        <f t="shared" si="68"/>
        <v>76</v>
      </c>
      <c r="N142" s="12"/>
      <c r="O142" s="12"/>
      <c r="P142" s="11"/>
      <c r="Q142" s="12">
        <v>4.45</v>
      </c>
      <c r="R142" s="12">
        <f t="shared" si="70"/>
        <v>5.55</v>
      </c>
      <c r="S142" s="11">
        <f>LOOKUP(R142,{0,4.72,4.82,4.92,5.42,5.52,5.62,5.67,5.72,5.77,5.82,5.87,5.92,5.97,6.42,6.47,6.52,6.59,6.66,6.72,6.78},{0,10,20,30,40,50,60,62,64,66,68,70,72,74,76,78,80,85,90,95,100})</f>
        <v>50</v>
      </c>
      <c r="T142" s="12"/>
      <c r="U142" s="12"/>
      <c r="V142" s="12">
        <f t="shared" si="71"/>
        <v>50</v>
      </c>
      <c r="W142" s="12"/>
      <c r="X142" s="20">
        <f t="shared" si="72"/>
        <v>35.6</v>
      </c>
      <c r="Y142" s="20">
        <f t="shared" si="73"/>
        <v>50.8571428571429</v>
      </c>
    </row>
    <row r="143" ht="15.6" hidden="1" outlineLevel="2" spans="1:25">
      <c r="A143" s="12">
        <v>209</v>
      </c>
      <c r="B143" s="12">
        <v>49</v>
      </c>
      <c r="C143" s="6" t="s">
        <v>490</v>
      </c>
      <c r="D143" s="6" t="s">
        <v>53</v>
      </c>
      <c r="E143" s="12">
        <v>25</v>
      </c>
      <c r="F143" s="11">
        <f>LOOKUP(E143,{0,1,1.8,2.6,3.4,4.2,5,6.3,7.6,8.9,10.2,11.5,12.8,14.1,15.4,16.7,18,19.7,21.4,23.1,24.8},{0,10,20,30,40,50,60,62,64,66,68,70,72,74,76,78,80,85,90,95,100})</f>
        <v>100</v>
      </c>
      <c r="G143" s="12">
        <v>180</v>
      </c>
      <c r="H143" s="11">
        <f>LOOKUP(G143,{0,124,129,134,139,144,149,152,155,158,161,164,167,170,173,176,179,186,193,199,205},{0,10,20,30,40,50,60,62,64,66,68,70,72,74,76,78,80,85,90,95,100})</f>
        <v>80</v>
      </c>
      <c r="I143" s="12">
        <v>54</v>
      </c>
      <c r="J143" s="11">
        <f>LOOKUP(I143,{0,14,16,18,20,22,24,26,28,30,32,34,36,38,40,42,44,47,50,52,54},{0,10,20,30,40,50,60,62,64,66,68,70,72,74,76,78,80,85,90,95,100})</f>
        <v>100</v>
      </c>
      <c r="K143" s="12">
        <f t="shared" si="74"/>
        <v>0</v>
      </c>
      <c r="L143" s="11">
        <f>LOOKUP(K143,{0,2,4,6,7,8,9,10,11,12,13},{0,1,2,3,4,5,6,7,8,9,10})</f>
        <v>0</v>
      </c>
      <c r="M143" s="12">
        <f t="shared" si="68"/>
        <v>100</v>
      </c>
      <c r="N143" s="12">
        <v>8.5</v>
      </c>
      <c r="O143" s="12">
        <f>12-N143</f>
        <v>3.5</v>
      </c>
      <c r="P143" s="11">
        <f>LOOKUP(O143,{0,0.5,0.7,0.9,1.1,1.3,1.5,1.7,1.9,2.1,2.3,2.5,2.7,2.9,3.1,3.3,3.5,3.8,4.1,4.2,4.3},{0,10,20,30,40,50,60,62,64,66,68,70,72,74,76,78,80,85,90,95,100})</f>
        <v>80</v>
      </c>
      <c r="Q143" s="12">
        <v>3.18</v>
      </c>
      <c r="R143" s="12">
        <f t="shared" si="70"/>
        <v>6.82</v>
      </c>
      <c r="S143" s="11">
        <f>LOOKUP(R143,{0,4.72,4.82,4.92,5.42,5.52,5.62,5.67,5.72,5.77,5.82,5.87,5.92,5.97,6.42,6.47,6.52,6.59,6.66,6.72,6.78},{0,10,20,30,40,50,60,62,64,66,68,70,72,74,76,78,80,85,90,95,100})</f>
        <v>100</v>
      </c>
      <c r="T143" s="21">
        <f t="shared" si="75"/>
        <v>0.04</v>
      </c>
      <c r="U143" s="11">
        <f>LOOKUP(T143,{0,0.05,0.1,0.15,0.2,0.25,0.3,0.35,0.4,0.45,0.5},{0,1,2,3,4,5,6,7,8,9,10})</f>
        <v>0</v>
      </c>
      <c r="V143" s="12">
        <f t="shared" si="71"/>
        <v>100</v>
      </c>
      <c r="W143" s="12"/>
      <c r="X143" s="20">
        <f t="shared" si="72"/>
        <v>64</v>
      </c>
      <c r="Y143" s="20">
        <f t="shared" si="73"/>
        <v>91.4285714285714</v>
      </c>
    </row>
    <row r="144" ht="15.6" hidden="1" outlineLevel="2" spans="1:25">
      <c r="A144" s="12">
        <v>209</v>
      </c>
      <c r="B144" s="12">
        <v>50</v>
      </c>
      <c r="C144" s="6" t="s">
        <v>491</v>
      </c>
      <c r="D144" s="6" t="s">
        <v>53</v>
      </c>
      <c r="E144" s="12"/>
      <c r="F144" s="11"/>
      <c r="G144" s="12"/>
      <c r="H144" s="11"/>
      <c r="I144" s="12"/>
      <c r="J144" s="11"/>
      <c r="K144" s="12"/>
      <c r="L144" s="12"/>
      <c r="M144" s="12"/>
      <c r="N144" s="12"/>
      <c r="O144" s="12"/>
      <c r="P144" s="11"/>
      <c r="Q144" s="12"/>
      <c r="R144" s="12"/>
      <c r="S144" s="11"/>
      <c r="T144" s="21"/>
      <c r="U144" s="11"/>
      <c r="V144" s="12"/>
      <c r="W144" s="12" t="s">
        <v>16</v>
      </c>
      <c r="X144" s="20">
        <f t="shared" si="72"/>
        <v>0</v>
      </c>
      <c r="Y144" s="20">
        <v>50</v>
      </c>
    </row>
    <row r="145" ht="15.6" hidden="1" outlineLevel="2" spans="1:25">
      <c r="A145" s="12">
        <v>209</v>
      </c>
      <c r="B145" s="12">
        <v>51</v>
      </c>
      <c r="C145" s="6" t="s">
        <v>492</v>
      </c>
      <c r="D145" s="6" t="s">
        <v>53</v>
      </c>
      <c r="E145" s="12">
        <v>28.9</v>
      </c>
      <c r="F145" s="11">
        <f>LOOKUP(E145,{0,1,1.8,2.6,3.4,4.2,5,6.3,7.6,8.9,10.2,11.5,12.8,14.1,15.4,16.7,18,19.7,21.4,23.1,24.8},{0,10,20,30,40,50,60,62,64,66,68,70,72,74,76,78,80,85,90,95,100})</f>
        <v>100</v>
      </c>
      <c r="G145" s="12">
        <v>205</v>
      </c>
      <c r="H145" s="11">
        <f>LOOKUP(G145,{0,124,129,134,139,144,149,152,155,158,161,164,167,170,173,176,179,186,193,199,205},{0,10,20,30,40,50,60,62,64,66,68,70,72,74,76,78,80,85,90,95,100})</f>
        <v>100</v>
      </c>
      <c r="I145" s="12">
        <v>56</v>
      </c>
      <c r="J145" s="11">
        <f>LOOKUP(I145,{0,14,16,18,20,22,24,26,28,30,32,34,36,38,40,42,44,47,50,52,54},{0,10,20,30,40,50,60,62,64,66,68,70,72,74,76,78,80,85,90,95,100})</f>
        <v>100</v>
      </c>
      <c r="K145" s="12">
        <f>I145-54</f>
        <v>2</v>
      </c>
      <c r="L145" s="11">
        <f>LOOKUP(K145,{0,2,4,6,7,8,9,10,11,12,13},{0,1,2,3,4,5,6,7,8,9,10})</f>
        <v>1</v>
      </c>
      <c r="M145" s="12">
        <f>J145+L145</f>
        <v>101</v>
      </c>
      <c r="N145" s="12">
        <v>8.6</v>
      </c>
      <c r="O145" s="12">
        <f>12-N145</f>
        <v>3.4</v>
      </c>
      <c r="P145" s="11">
        <f>LOOKUP(O145,{0,0.5,0.7,0.9,1.1,1.3,1.5,1.7,1.9,2.1,2.3,2.5,2.7,2.9,3.1,3.3,3.5,3.8,4.1,4.2,4.3},{0,10,20,30,40,50,60,62,64,66,68,70,72,74,76,78,80,85,90,95,100})</f>
        <v>78</v>
      </c>
      <c r="Q145" s="12">
        <v>3.28</v>
      </c>
      <c r="R145" s="12">
        <f>10-Q145</f>
        <v>6.72</v>
      </c>
      <c r="S145" s="11">
        <f>LOOKUP(R145,{0,4.72,4.82,4.92,5.42,5.52,5.62,5.67,5.72,5.77,5.82,5.87,5.92,5.97,6.42,6.47,6.52,6.59,6.66,6.72,6.78},{0,10,20,30,40,50,60,62,64,66,68,70,72,74,76,78,80,85,90,95,100})</f>
        <v>95</v>
      </c>
      <c r="T145" s="12"/>
      <c r="U145" s="12"/>
      <c r="V145" s="12">
        <f>S145+U145</f>
        <v>95</v>
      </c>
      <c r="W145" s="12"/>
      <c r="X145" s="20">
        <f t="shared" si="72"/>
        <v>64.6</v>
      </c>
      <c r="Y145" s="20">
        <f>X145/0.7+L145+U145</f>
        <v>93.2857142857143</v>
      </c>
    </row>
    <row r="146" ht="15.6" outlineLevel="1" collapsed="1" spans="1:25">
      <c r="A146" s="14" t="s">
        <v>863</v>
      </c>
      <c r="B146" s="12"/>
      <c r="C146" s="6"/>
      <c r="D146" s="6"/>
      <c r="E146" s="12"/>
      <c r="F146" s="11">
        <f>SUBTOTAL(1,F135:F145)</f>
        <v>91.7777777777778</v>
      </c>
      <c r="G146" s="12"/>
      <c r="H146" s="11">
        <f>SUBTOTAL(1,H135:H145)</f>
        <v>79.5555555555556</v>
      </c>
      <c r="I146" s="12"/>
      <c r="J146" s="11">
        <f>SUBTOTAL(1,J135:J145)</f>
        <v>92.8888888888889</v>
      </c>
      <c r="K146" s="12"/>
      <c r="L146" s="11"/>
      <c r="M146" s="12">
        <f>SUBTOTAL(1,M135:M145)</f>
        <v>93.6666666666667</v>
      </c>
      <c r="N146" s="12"/>
      <c r="O146" s="12"/>
      <c r="P146" s="11">
        <f>SUBTOTAL(1,P135:P145)</f>
        <v>81.7777777777778</v>
      </c>
      <c r="Q146" s="12"/>
      <c r="R146" s="12"/>
      <c r="S146" s="11">
        <f>SUBTOTAL(1,S135:S145)</f>
        <v>88.1111111111111</v>
      </c>
      <c r="T146" s="12"/>
      <c r="U146" s="12"/>
      <c r="V146" s="12">
        <f>SUBTOTAL(1,V135:V145)</f>
        <v>88.2222222222222</v>
      </c>
      <c r="W146" s="12"/>
      <c r="X146" s="20">
        <f>SUBTOTAL(1,X135:X145)</f>
        <v>49.4181818181818</v>
      </c>
      <c r="Y146" s="20">
        <f>SUBTOTAL(1,Y135:Y145)</f>
        <v>78.3376623376623</v>
      </c>
    </row>
    <row r="147" ht="15.6" hidden="1" outlineLevel="2" spans="1:25">
      <c r="A147" s="12">
        <v>210</v>
      </c>
      <c r="B147" s="12">
        <v>36</v>
      </c>
      <c r="C147" s="13" t="s">
        <v>532</v>
      </c>
      <c r="D147" s="6" t="s">
        <v>53</v>
      </c>
      <c r="E147" s="12">
        <v>21</v>
      </c>
      <c r="F147" s="11">
        <f>LOOKUP(E147,{0,1,1.8,2.6,3.4,4.2,5,6.3,7.6,8.9,10.2,11.5,12.8,14.1,15.4,16.7,18,19.7,21.4,23.1,24.8},{0,10,20,30,40,50,60,62,64,66,68,70,72,74,76,78,80,85,90,95,100})</f>
        <v>85</v>
      </c>
      <c r="G147" s="12">
        <v>166</v>
      </c>
      <c r="H147" s="11">
        <f>LOOKUP(G147,{0,124,129,134,139,144,149,152,155,158,161,164,167,170,173,176,179,186,193,199,205},{0,10,20,30,40,50,60,62,64,66,68,70,72,74,76,78,80,85,90,95,100})</f>
        <v>70</v>
      </c>
      <c r="I147" s="12">
        <v>54</v>
      </c>
      <c r="J147" s="11">
        <f>LOOKUP(I147,{0,14,16,18,20,22,24,26,28,30,32,34,36,38,40,42,44,47,50,52,54},{0,10,20,30,40,50,60,62,64,66,68,70,72,74,76,78,80,85,90,95,100})</f>
        <v>100</v>
      </c>
      <c r="K147" s="12">
        <f t="shared" ref="K147:K152" si="76">I147-54</f>
        <v>0</v>
      </c>
      <c r="L147" s="11">
        <f>LOOKUP(K147,{0,2,4,6,7,8,9,10,11,12,13},{0,1,2,3,4,5,6,7,8,9,10})</f>
        <v>0</v>
      </c>
      <c r="M147" s="12">
        <f t="shared" ref="M147:M160" si="77">J147+L147</f>
        <v>100</v>
      </c>
      <c r="N147" s="12">
        <v>9.5</v>
      </c>
      <c r="O147" s="12">
        <f t="shared" ref="O147:O160" si="78">12-N147</f>
        <v>2.5</v>
      </c>
      <c r="P147" s="11">
        <f>LOOKUP(O147,{0,0.5,0.7,0.9,1.1,1.3,1.5,1.7,1.9,2.1,2.3,2.5,2.7,2.9,3.1,3.3,3.5,3.8,4.1,4.2,4.3},{0,10,20,30,40,50,60,62,64,66,68,70,72,74,76,78,80,85,90,95,100})</f>
        <v>70</v>
      </c>
      <c r="Q147" s="12">
        <v>4.06</v>
      </c>
      <c r="R147" s="12">
        <f t="shared" ref="R147:R160" si="79">10-Q147</f>
        <v>5.94</v>
      </c>
      <c r="S147" s="11">
        <f>LOOKUP(R147,{0,4.72,4.82,4.92,5.42,5.52,5.62,5.67,5.72,5.77,5.82,5.87,5.92,5.97,6.42,6.47,6.52,6.59,6.66,6.72,6.78},{0,10,20,30,40,50,60,62,64,66,68,70,72,74,76,78,80,85,90,95,100})</f>
        <v>72</v>
      </c>
      <c r="T147" s="12"/>
      <c r="U147" s="12"/>
      <c r="V147" s="12">
        <f t="shared" ref="V147:V160" si="80">S147+U147</f>
        <v>72</v>
      </c>
      <c r="W147" s="12"/>
      <c r="X147" s="20">
        <f t="shared" ref="X147:X162" si="81">F147*0.1+H147*0.1+J147*0.1+P147*0.2+S147*0.2</f>
        <v>53.9</v>
      </c>
      <c r="Y147" s="20">
        <f t="shared" ref="Y147:Y160" si="82">X147/0.7+L147+U147</f>
        <v>77</v>
      </c>
    </row>
    <row r="148" ht="15.6" hidden="1" outlineLevel="2" spans="1:25">
      <c r="A148" s="12">
        <v>210</v>
      </c>
      <c r="B148" s="12">
        <v>37</v>
      </c>
      <c r="C148" s="6" t="s">
        <v>533</v>
      </c>
      <c r="D148" s="6" t="s">
        <v>53</v>
      </c>
      <c r="E148" s="12">
        <v>22.5</v>
      </c>
      <c r="F148" s="11">
        <f>LOOKUP(E148,{0,1,1.8,2.6,3.4,4.2,5,6.3,7.6,8.9,10.2,11.5,12.8,14.1,15.4,16.7,18,19.7,21.4,23.1,24.8},{0,10,20,30,40,50,60,62,64,66,68,70,72,74,76,78,80,85,90,95,100})</f>
        <v>90</v>
      </c>
      <c r="G148" s="12">
        <v>177</v>
      </c>
      <c r="H148" s="11">
        <f>LOOKUP(G148,{0,124,129,134,139,144,149,152,155,158,161,164,167,170,173,176,179,186,193,199,205},{0,10,20,30,40,50,60,62,64,66,68,70,72,74,76,78,80,85,90,95,100})</f>
        <v>78</v>
      </c>
      <c r="I148" s="12">
        <v>43</v>
      </c>
      <c r="J148" s="11">
        <f>LOOKUP(I148,{0,14,16,18,20,22,24,26,28,30,32,34,36,38,40,42,44,47,50,52,54},{0,10,20,30,40,50,60,62,64,66,68,70,72,74,76,78,80,85,90,95,100})</f>
        <v>78</v>
      </c>
      <c r="K148" s="12"/>
      <c r="L148" s="12"/>
      <c r="M148" s="12">
        <f t="shared" si="77"/>
        <v>78</v>
      </c>
      <c r="N148" s="12">
        <v>8.6</v>
      </c>
      <c r="O148" s="12">
        <f t="shared" si="78"/>
        <v>3.4</v>
      </c>
      <c r="P148" s="11">
        <f>LOOKUP(O148,{0,0.5,0.7,0.9,1.1,1.3,1.5,1.7,1.9,2.1,2.3,2.5,2.7,2.9,3.1,3.3,3.5,3.8,4.1,4.2,4.3},{0,10,20,30,40,50,60,62,64,66,68,70,72,74,76,78,80,85,90,95,100})</f>
        <v>78</v>
      </c>
      <c r="Q148" s="12">
        <v>3.32</v>
      </c>
      <c r="R148" s="12">
        <f t="shared" si="79"/>
        <v>6.68</v>
      </c>
      <c r="S148" s="11">
        <f>LOOKUP(R148,{0,4.72,4.82,4.92,5.42,5.52,5.62,5.67,5.72,5.77,5.82,5.87,5.92,5.97,6.42,6.47,6.52,6.59,6.66,6.72,6.78},{0,10,20,30,40,50,60,62,64,66,68,70,72,74,76,78,80,85,90,95,100})</f>
        <v>90</v>
      </c>
      <c r="T148" s="12"/>
      <c r="U148" s="12"/>
      <c r="V148" s="12">
        <f t="shared" si="80"/>
        <v>90</v>
      </c>
      <c r="W148" s="12"/>
      <c r="X148" s="20">
        <f t="shared" si="81"/>
        <v>58.2</v>
      </c>
      <c r="Y148" s="20">
        <f t="shared" si="82"/>
        <v>83.1428571428572</v>
      </c>
    </row>
    <row r="149" ht="15.6" hidden="1" outlineLevel="2" spans="1:25">
      <c r="A149" s="12">
        <v>210</v>
      </c>
      <c r="B149" s="12">
        <v>38</v>
      </c>
      <c r="C149" s="6" t="s">
        <v>534</v>
      </c>
      <c r="D149" s="6" t="s">
        <v>53</v>
      </c>
      <c r="E149" s="12">
        <v>22.5</v>
      </c>
      <c r="F149" s="11">
        <f>LOOKUP(E149,{0,1,1.8,2.6,3.4,4.2,5,6.3,7.6,8.9,10.2,11.5,12.8,14.1,15.4,16.7,18,19.7,21.4,23.1,24.8},{0,10,20,30,40,50,60,62,64,66,68,70,72,74,76,78,80,85,90,95,100})</f>
        <v>90</v>
      </c>
      <c r="G149" s="12">
        <v>182</v>
      </c>
      <c r="H149" s="11">
        <f>LOOKUP(G149,{0,124,129,134,139,144,149,152,155,158,161,164,167,170,173,176,179,186,193,199,205},{0,10,20,30,40,50,60,62,64,66,68,70,72,74,76,78,80,85,90,95,100})</f>
        <v>80</v>
      </c>
      <c r="I149" s="12">
        <v>58</v>
      </c>
      <c r="J149" s="11">
        <f>LOOKUP(I149,{0,14,16,18,20,22,24,26,28,30,32,34,36,38,40,42,44,47,50,52,54},{0,10,20,30,40,50,60,62,64,66,68,70,72,74,76,78,80,85,90,95,100})</f>
        <v>100</v>
      </c>
      <c r="K149" s="12">
        <f t="shared" si="76"/>
        <v>4</v>
      </c>
      <c r="L149" s="11">
        <f>LOOKUP(K149,{0,2,4,6,7,8,9,10,11,12,13},{0,1,2,3,4,5,6,7,8,9,10})</f>
        <v>2</v>
      </c>
      <c r="M149" s="12">
        <f t="shared" si="77"/>
        <v>102</v>
      </c>
      <c r="N149" s="12">
        <v>8.9</v>
      </c>
      <c r="O149" s="12">
        <f t="shared" si="78"/>
        <v>3.1</v>
      </c>
      <c r="P149" s="11">
        <f>LOOKUP(O149,{0,0.5,0.7,0.9,1.1,1.3,1.5,1.7,1.9,2.1,2.3,2.5,2.7,2.9,3.1,3.3,3.5,3.8,4.1,4.2,4.3},{0,10,20,30,40,50,60,62,64,66,68,70,72,74,76,78,80,85,90,95,100})</f>
        <v>76</v>
      </c>
      <c r="Q149" s="12">
        <v>3.31</v>
      </c>
      <c r="R149" s="12">
        <f t="shared" si="79"/>
        <v>6.69</v>
      </c>
      <c r="S149" s="11">
        <f>LOOKUP(R149,{0,4.72,4.82,4.92,5.42,5.52,5.62,5.67,5.72,5.77,5.82,5.87,5.92,5.97,6.42,6.47,6.52,6.59,6.66,6.72,6.78},{0,10,20,30,40,50,60,62,64,66,68,70,72,74,76,78,80,85,90,95,100})</f>
        <v>90</v>
      </c>
      <c r="T149" s="12"/>
      <c r="U149" s="15"/>
      <c r="V149" s="12">
        <f t="shared" si="80"/>
        <v>90</v>
      </c>
      <c r="W149" s="12"/>
      <c r="X149" s="20">
        <f t="shared" si="81"/>
        <v>60.2</v>
      </c>
      <c r="Y149" s="20">
        <f t="shared" si="82"/>
        <v>88</v>
      </c>
    </row>
    <row r="150" ht="15.6" hidden="1" outlineLevel="2" spans="1:25">
      <c r="A150" s="12">
        <v>210</v>
      </c>
      <c r="B150" s="12">
        <v>39</v>
      </c>
      <c r="C150" s="6" t="s">
        <v>535</v>
      </c>
      <c r="D150" s="6" t="s">
        <v>53</v>
      </c>
      <c r="E150" s="12">
        <v>22</v>
      </c>
      <c r="F150" s="11">
        <f>LOOKUP(E150,{0,1,1.8,2.6,3.4,4.2,5,6.3,7.6,8.9,10.2,11.5,12.8,14.1,15.4,16.7,18,19.7,21.4,23.1,24.8},{0,10,20,30,40,50,60,62,64,66,68,70,72,74,76,78,80,85,90,95,100})</f>
        <v>90</v>
      </c>
      <c r="G150" s="12">
        <v>187</v>
      </c>
      <c r="H150" s="11">
        <f>LOOKUP(G150,{0,124,129,134,139,144,149,152,155,158,161,164,167,170,173,176,179,186,193,199,205},{0,10,20,30,40,50,60,62,64,66,68,70,72,74,76,78,80,85,90,95,100})</f>
        <v>85</v>
      </c>
      <c r="I150" s="12">
        <v>49</v>
      </c>
      <c r="J150" s="11">
        <f>LOOKUP(I150,{0,14,16,18,20,22,24,26,28,30,32,34,36,38,40,42,44,47,50,52,54},{0,10,20,30,40,50,60,62,64,66,68,70,72,74,76,78,80,85,90,95,100})</f>
        <v>85</v>
      </c>
      <c r="K150" s="12"/>
      <c r="L150" s="12"/>
      <c r="M150" s="12">
        <f t="shared" si="77"/>
        <v>85</v>
      </c>
      <c r="N150" s="12">
        <v>8.6</v>
      </c>
      <c r="O150" s="12">
        <f t="shared" si="78"/>
        <v>3.4</v>
      </c>
      <c r="P150" s="11">
        <f>LOOKUP(O150,{0,0.5,0.7,0.9,1.1,1.3,1.5,1.7,1.9,2.1,2.3,2.5,2.7,2.9,3.1,3.3,3.5,3.8,4.1,4.2,4.3},{0,10,20,30,40,50,60,62,64,66,68,70,72,74,76,78,80,85,90,95,100})</f>
        <v>78</v>
      </c>
      <c r="Q150" s="12">
        <v>3.53</v>
      </c>
      <c r="R150" s="12">
        <f t="shared" si="79"/>
        <v>6.47</v>
      </c>
      <c r="S150" s="11">
        <f>LOOKUP(R150,{0,4.72,4.82,4.92,5.42,5.52,5.62,5.67,5.72,5.77,5.82,5.87,5.92,5.97,6.42,6.47,6.52,6.59,6.66,6.72,6.78},{0,10,20,30,40,50,60,62,64,66,68,70,72,74,76,78,80,85,90,95,100})</f>
        <v>78</v>
      </c>
      <c r="T150" s="12"/>
      <c r="U150" s="12"/>
      <c r="V150" s="12">
        <f t="shared" si="80"/>
        <v>78</v>
      </c>
      <c r="W150" s="12"/>
      <c r="X150" s="20">
        <f t="shared" si="81"/>
        <v>57.2</v>
      </c>
      <c r="Y150" s="20">
        <f t="shared" si="82"/>
        <v>81.7142857142857</v>
      </c>
    </row>
    <row r="151" ht="15.6" hidden="1" outlineLevel="2" spans="1:25">
      <c r="A151" s="12">
        <v>210</v>
      </c>
      <c r="B151" s="12">
        <v>40</v>
      </c>
      <c r="C151" s="6" t="s">
        <v>536</v>
      </c>
      <c r="D151" s="6" t="s">
        <v>53</v>
      </c>
      <c r="E151" s="12">
        <v>23.5</v>
      </c>
      <c r="F151" s="11">
        <f>LOOKUP(E151,{0,1,1.8,2.6,3.4,4.2,5,6.3,7.6,8.9,10.2,11.5,12.8,14.1,15.4,16.7,18,19.7,21.4,23.1,24.8},{0,10,20,30,40,50,60,62,64,66,68,70,72,74,76,78,80,85,90,95,100})</f>
        <v>95</v>
      </c>
      <c r="G151" s="12">
        <v>175</v>
      </c>
      <c r="H151" s="11">
        <f>LOOKUP(G151,{0,124,129,134,139,144,149,152,155,158,161,164,167,170,173,176,179,186,193,199,205},{0,10,20,30,40,50,60,62,64,66,68,70,72,74,76,78,80,85,90,95,100})</f>
        <v>76</v>
      </c>
      <c r="I151" s="12">
        <v>51</v>
      </c>
      <c r="J151" s="11">
        <f>LOOKUP(I151,{0,14,16,18,20,22,24,26,28,30,32,34,36,38,40,42,44,47,50,52,54},{0,10,20,30,40,50,60,62,64,66,68,70,72,74,76,78,80,85,90,95,100})</f>
        <v>90</v>
      </c>
      <c r="K151" s="12"/>
      <c r="L151" s="12"/>
      <c r="M151" s="12">
        <f t="shared" si="77"/>
        <v>90</v>
      </c>
      <c r="N151" s="12">
        <v>8.6</v>
      </c>
      <c r="O151" s="12">
        <f t="shared" si="78"/>
        <v>3.4</v>
      </c>
      <c r="P151" s="11">
        <f>LOOKUP(O151,{0,0.5,0.7,0.9,1.1,1.3,1.5,1.7,1.9,2.1,2.3,2.5,2.7,2.9,3.1,3.3,3.5,3.8,4.1,4.2,4.3},{0,10,20,30,40,50,60,62,64,66,68,70,72,74,76,78,80,85,90,95,100})</f>
        <v>78</v>
      </c>
      <c r="Q151" s="12">
        <v>3.5</v>
      </c>
      <c r="R151" s="12">
        <f t="shared" si="79"/>
        <v>6.5</v>
      </c>
      <c r="S151" s="11">
        <f>LOOKUP(R151,{0,4.72,4.82,4.92,5.42,5.52,5.62,5.67,5.72,5.77,5.82,5.87,5.92,5.97,6.42,6.47,6.52,6.59,6.66,6.72,6.78},{0,10,20,30,40,50,60,62,64,66,68,70,72,74,76,78,80,85,90,95,100})</f>
        <v>78</v>
      </c>
      <c r="T151" s="12"/>
      <c r="U151" s="12"/>
      <c r="V151" s="12">
        <f t="shared" si="80"/>
        <v>78</v>
      </c>
      <c r="W151" s="12"/>
      <c r="X151" s="20">
        <f t="shared" si="81"/>
        <v>57.3</v>
      </c>
      <c r="Y151" s="20">
        <f t="shared" si="82"/>
        <v>81.8571428571429</v>
      </c>
    </row>
    <row r="152" ht="15.6" hidden="1" outlineLevel="2" spans="1:25">
      <c r="A152" s="12">
        <v>210</v>
      </c>
      <c r="B152" s="12">
        <v>41</v>
      </c>
      <c r="C152" s="6" t="s">
        <v>537</v>
      </c>
      <c r="D152" s="6" t="s">
        <v>53</v>
      </c>
      <c r="E152" s="12">
        <v>26</v>
      </c>
      <c r="F152" s="11">
        <f>LOOKUP(E152,{0,1,1.8,2.6,3.4,4.2,5,6.3,7.6,8.9,10.2,11.5,12.8,14.1,15.4,16.7,18,19.7,21.4,23.1,24.8},{0,10,20,30,40,50,60,62,64,66,68,70,72,74,76,78,80,85,90,95,100})</f>
        <v>100</v>
      </c>
      <c r="G152" s="12">
        <v>170</v>
      </c>
      <c r="H152" s="11">
        <f>LOOKUP(G152,{0,124,129,134,139,144,149,152,155,158,161,164,167,170,173,176,179,186,193,199,205},{0,10,20,30,40,50,60,62,64,66,68,70,72,74,76,78,80,85,90,95,100})</f>
        <v>74</v>
      </c>
      <c r="I152" s="12">
        <v>54</v>
      </c>
      <c r="J152" s="11">
        <f>LOOKUP(I152,{0,14,16,18,20,22,24,26,28,30,32,34,36,38,40,42,44,47,50,52,54},{0,10,20,30,40,50,60,62,64,66,68,70,72,74,76,78,80,85,90,95,100})</f>
        <v>100</v>
      </c>
      <c r="K152" s="12">
        <f t="shared" si="76"/>
        <v>0</v>
      </c>
      <c r="L152" s="11">
        <f>LOOKUP(K152,{0,2,4,6,7,8,9,10,11,12,13},{0,1,2,3,4,5,6,7,8,9,10})</f>
        <v>0</v>
      </c>
      <c r="M152" s="12">
        <f t="shared" si="77"/>
        <v>100</v>
      </c>
      <c r="N152" s="12">
        <v>9</v>
      </c>
      <c r="O152" s="12">
        <f t="shared" si="78"/>
        <v>3</v>
      </c>
      <c r="P152" s="11">
        <f>LOOKUP(O152,{0,0.5,0.7,0.9,1.1,1.3,1.5,1.7,1.9,2.1,2.3,2.5,2.7,2.9,3.1,3.3,3.5,3.8,4.1,4.2,4.3},{0,10,20,30,40,50,60,62,64,66,68,70,72,74,76,78,80,85,90,95,100})</f>
        <v>74</v>
      </c>
      <c r="Q152" s="12">
        <v>3.37</v>
      </c>
      <c r="R152" s="12">
        <f t="shared" si="79"/>
        <v>6.63</v>
      </c>
      <c r="S152" s="11">
        <f>LOOKUP(R152,{0,4.72,4.82,4.92,5.42,5.52,5.62,5.67,5.72,5.77,5.82,5.87,5.92,5.97,6.42,6.47,6.52,6.59,6.66,6.72,6.78},{0,10,20,30,40,50,60,62,64,66,68,70,72,74,76,78,80,85,90,95,100})</f>
        <v>85</v>
      </c>
      <c r="T152" s="12"/>
      <c r="U152" s="12"/>
      <c r="V152" s="12">
        <f t="shared" si="80"/>
        <v>85</v>
      </c>
      <c r="W152" s="12"/>
      <c r="X152" s="20">
        <f t="shared" si="81"/>
        <v>59.2</v>
      </c>
      <c r="Y152" s="20">
        <f t="shared" si="82"/>
        <v>84.5714285714286</v>
      </c>
    </row>
    <row r="153" ht="15.6" hidden="1" outlineLevel="2" spans="1:25">
      <c r="A153" s="12">
        <v>210</v>
      </c>
      <c r="B153" s="12">
        <v>42</v>
      </c>
      <c r="C153" s="6" t="s">
        <v>538</v>
      </c>
      <c r="D153" s="6" t="s">
        <v>53</v>
      </c>
      <c r="E153" s="12">
        <v>17</v>
      </c>
      <c r="F153" s="11">
        <f>LOOKUP(E153,{0,1,1.8,2.6,3.4,4.2,5,6.3,7.6,8.9,10.2,11.5,12.8,14.1,15.4,16.7,18,19.7,21.4,23.1,24.8},{0,10,20,30,40,50,60,62,64,66,68,70,72,74,76,78,80,85,90,95,100})</f>
        <v>78</v>
      </c>
      <c r="G153" s="12">
        <v>153</v>
      </c>
      <c r="H153" s="11">
        <f>LOOKUP(G153,{0,124,129,134,139,144,149,152,155,158,161,164,167,170,173,176,179,186,193,199,205},{0,10,20,30,40,50,60,62,64,66,68,70,72,74,76,78,80,85,90,95,100})</f>
        <v>62</v>
      </c>
      <c r="I153" s="12">
        <v>43</v>
      </c>
      <c r="J153" s="11">
        <f>LOOKUP(I153,{0,14,16,18,20,22,24,26,28,30,32,34,36,38,40,42,44,47,50,52,54},{0,10,20,30,40,50,60,62,64,66,68,70,72,74,76,78,80,85,90,95,100})</f>
        <v>78</v>
      </c>
      <c r="K153" s="12"/>
      <c r="L153" s="12"/>
      <c r="M153" s="12">
        <f t="shared" si="77"/>
        <v>78</v>
      </c>
      <c r="N153" s="12">
        <v>8</v>
      </c>
      <c r="O153" s="12">
        <f t="shared" si="78"/>
        <v>4</v>
      </c>
      <c r="P153" s="11">
        <f>LOOKUP(O153,{0,0.5,0.7,0.9,1.1,1.3,1.5,1.7,1.9,2.1,2.3,2.5,2.7,2.9,3.1,3.3,3.5,3.8,4.1,4.2,4.3},{0,10,20,30,40,50,60,62,64,66,68,70,72,74,76,78,80,85,90,95,100})</f>
        <v>85</v>
      </c>
      <c r="Q153" s="12">
        <v>3.56</v>
      </c>
      <c r="R153" s="12">
        <f t="shared" si="79"/>
        <v>6.44</v>
      </c>
      <c r="S153" s="11">
        <f>LOOKUP(R153,{0,4.72,4.82,4.92,5.42,5.52,5.62,5.67,5.72,5.77,5.82,5.87,5.92,5.97,6.42,6.47,6.52,6.59,6.66,6.72,6.78},{0,10,20,30,40,50,60,62,64,66,68,70,72,74,76,78,80,85,90,95,100})</f>
        <v>76</v>
      </c>
      <c r="T153" s="12"/>
      <c r="U153" s="12"/>
      <c r="V153" s="12">
        <f t="shared" si="80"/>
        <v>76</v>
      </c>
      <c r="W153" s="12"/>
      <c r="X153" s="20">
        <f t="shared" si="81"/>
        <v>54</v>
      </c>
      <c r="Y153" s="20">
        <f t="shared" si="82"/>
        <v>77.1428571428572</v>
      </c>
    </row>
    <row r="154" s="1" customFormat="1" ht="15.6" hidden="1" outlineLevel="2" spans="1:25">
      <c r="A154" s="12">
        <v>210</v>
      </c>
      <c r="B154" s="12">
        <v>43</v>
      </c>
      <c r="C154" s="6" t="s">
        <v>539</v>
      </c>
      <c r="D154" s="6" t="s">
        <v>53</v>
      </c>
      <c r="E154" s="12">
        <v>22</v>
      </c>
      <c r="F154" s="11">
        <f>LOOKUP(E154,{0,1,1.8,2.6,3.4,4.2,5,6.3,7.6,8.9,10.2,11.5,12.8,14.1,15.4,16.7,18,19.7,21.4,23.1,24.8},{0,10,20,30,40,50,60,62,64,66,68,70,72,74,76,78,80,85,90,95,100})</f>
        <v>90</v>
      </c>
      <c r="G154" s="12">
        <v>208</v>
      </c>
      <c r="H154" s="11">
        <f>LOOKUP(G154,{0,124,129,134,139,144,149,152,155,158,161,164,167,170,173,176,179,186,193,199,205},{0,10,20,30,40,50,60,62,64,66,68,70,72,74,76,78,80,85,90,95,100})</f>
        <v>100</v>
      </c>
      <c r="I154" s="12">
        <v>60</v>
      </c>
      <c r="J154" s="11">
        <f>LOOKUP(I154,{0,14,16,18,20,22,24,26,28,30,32,34,36,38,40,42,44,47,50,52,54},{0,10,20,30,40,50,60,62,64,66,68,70,72,74,76,78,80,85,90,95,100})</f>
        <v>100</v>
      </c>
      <c r="K154" s="12">
        <f t="shared" ref="K154:K160" si="83">I154-54</f>
        <v>6</v>
      </c>
      <c r="L154" s="11">
        <f>LOOKUP(K154,{0,2,4,6,7,8,9,10,11,12,13},{0,1,2,3,4,5,6,7,8,9,10})</f>
        <v>3</v>
      </c>
      <c r="M154" s="12">
        <f t="shared" si="77"/>
        <v>103</v>
      </c>
      <c r="N154" s="12">
        <v>7.7</v>
      </c>
      <c r="O154" s="12">
        <f t="shared" si="78"/>
        <v>4.3</v>
      </c>
      <c r="P154" s="11">
        <f>LOOKUP(O154,{0,0.5,0.7,0.9,1.1,1.3,1.5,1.7,1.9,2.1,2.3,2.5,2.7,2.9,3.1,3.3,3.5,3.8,4.1,4.2,4.3},{0,10,20,30,40,50,60,62,64,66,68,70,72,74,76,78,80,85,90,95,100})</f>
        <v>100</v>
      </c>
      <c r="Q154" s="12">
        <v>3.22</v>
      </c>
      <c r="R154" s="12">
        <f t="shared" si="79"/>
        <v>6.78</v>
      </c>
      <c r="S154" s="11">
        <f>LOOKUP(R154,{0,4.72,4.82,4.92,5.42,5.52,5.62,5.67,5.72,5.77,5.82,5.87,5.92,5.97,6.42,6.47,6.52,6.59,6.66,6.72,6.78},{0,10,20,30,40,50,60,62,64,66,68,70,72,74,76,78,80,85,90,95,100})</f>
        <v>100</v>
      </c>
      <c r="T154" s="21">
        <f>3.22-Q154</f>
        <v>0</v>
      </c>
      <c r="U154" s="16">
        <f>LOOKUP(T154,{0,0.05,0.1,0.15,0.2,0.25,0.3,0.35,0.4,0.45,0.5},{0,1,2,3,4,5,6,7,8,9,10})</f>
        <v>0</v>
      </c>
      <c r="V154" s="12">
        <f t="shared" si="80"/>
        <v>100</v>
      </c>
      <c r="W154" s="12"/>
      <c r="X154" s="20">
        <f t="shared" si="81"/>
        <v>69</v>
      </c>
      <c r="Y154" s="20">
        <f t="shared" si="82"/>
        <v>101.571428571429</v>
      </c>
    </row>
    <row r="155" ht="15.6" hidden="1" outlineLevel="2" spans="1:25">
      <c r="A155" s="12">
        <v>210</v>
      </c>
      <c r="B155" s="12">
        <v>44</v>
      </c>
      <c r="C155" s="13" t="s">
        <v>541</v>
      </c>
      <c r="D155" s="6" t="s">
        <v>53</v>
      </c>
      <c r="E155" s="12">
        <v>25.6</v>
      </c>
      <c r="F155" s="11">
        <f>LOOKUP(E155,{0,1,1.8,2.6,3.4,4.2,5,6.3,7.6,8.9,10.2,11.5,12.8,14.1,15.4,16.7,18,19.7,21.4,23.1,24.8},{0,10,20,30,40,50,60,62,64,66,68,70,72,74,76,78,80,85,90,95,100})</f>
        <v>100</v>
      </c>
      <c r="G155" s="12">
        <v>156</v>
      </c>
      <c r="H155" s="11">
        <f>LOOKUP(G155,{0,124,129,134,139,144,149,152,155,158,161,164,167,170,173,176,179,186,193,199,205},{0,10,20,30,40,50,60,62,64,66,68,70,72,74,76,78,80,85,90,95,100})</f>
        <v>64</v>
      </c>
      <c r="I155" s="12">
        <v>37</v>
      </c>
      <c r="J155" s="11">
        <f>LOOKUP(I155,{0,14,16,18,20,22,24,26,28,30,32,34,36,38,40,42,44,47,50,52,54},{0,10,20,30,40,50,60,62,64,66,68,70,72,74,76,78,80,85,90,95,100})</f>
        <v>72</v>
      </c>
      <c r="K155" s="12"/>
      <c r="L155" s="12"/>
      <c r="M155" s="12">
        <f t="shared" si="77"/>
        <v>72</v>
      </c>
      <c r="N155" s="12">
        <v>9.9</v>
      </c>
      <c r="O155" s="12">
        <f t="shared" si="78"/>
        <v>2.1</v>
      </c>
      <c r="P155" s="11">
        <f>LOOKUP(O155,{0,0.5,0.7,0.9,1.1,1.3,1.5,1.7,1.9,2.1,2.3,2.5,2.7,2.9,3.1,3.3,3.5,3.8,4.1,4.2,4.3},{0,10,20,30,40,50,60,62,64,66,68,70,72,74,76,78,80,85,90,95,100})</f>
        <v>66</v>
      </c>
      <c r="Q155" s="12">
        <v>4.11</v>
      </c>
      <c r="R155" s="12">
        <f t="shared" si="79"/>
        <v>5.89</v>
      </c>
      <c r="S155" s="11">
        <f>LOOKUP(R155,{0,4.72,4.82,4.92,5.42,5.52,5.62,5.67,5.72,5.77,5.82,5.87,5.92,5.97,6.42,6.47,6.52,6.59,6.66,6.72,6.78},{0,10,20,30,40,50,60,62,64,66,68,70,72,74,76,78,80,85,90,95,100})</f>
        <v>70</v>
      </c>
      <c r="T155" s="12"/>
      <c r="U155" s="15"/>
      <c r="V155" s="12">
        <f t="shared" si="80"/>
        <v>70</v>
      </c>
      <c r="W155" s="12"/>
      <c r="X155" s="20">
        <f t="shared" si="81"/>
        <v>50.8</v>
      </c>
      <c r="Y155" s="20">
        <f t="shared" si="82"/>
        <v>72.5714285714286</v>
      </c>
    </row>
    <row r="156" ht="15.6" hidden="1" outlineLevel="2" spans="1:25">
      <c r="A156" s="12">
        <v>210</v>
      </c>
      <c r="B156" s="12">
        <v>45</v>
      </c>
      <c r="C156" s="6" t="s">
        <v>542</v>
      </c>
      <c r="D156" s="6" t="s">
        <v>53</v>
      </c>
      <c r="E156" s="12">
        <v>23</v>
      </c>
      <c r="F156" s="11">
        <f>LOOKUP(E156,{0,1,1.8,2.6,3.4,4.2,5,6.3,7.6,8.9,10.2,11.5,12.8,14.1,15.4,16.7,18,19.7,21.4,23.1,24.8},{0,10,20,30,40,50,60,62,64,66,68,70,72,74,76,78,80,85,90,95,100})</f>
        <v>90</v>
      </c>
      <c r="G156" s="12">
        <v>190</v>
      </c>
      <c r="H156" s="11">
        <f>LOOKUP(G156,{0,124,129,134,139,144,149,152,155,158,161,164,167,170,173,176,179,186,193,199,205},{0,10,20,30,40,50,60,62,64,66,68,70,72,74,76,78,80,85,90,95,100})</f>
        <v>85</v>
      </c>
      <c r="I156" s="12">
        <v>50</v>
      </c>
      <c r="J156" s="11">
        <f>LOOKUP(I156,{0,14,16,18,20,22,24,26,28,30,32,34,36,38,40,42,44,47,50,52,54},{0,10,20,30,40,50,60,62,64,66,68,70,72,74,76,78,80,85,90,95,100})</f>
        <v>90</v>
      </c>
      <c r="K156" s="12"/>
      <c r="L156" s="12"/>
      <c r="M156" s="12">
        <f t="shared" si="77"/>
        <v>90</v>
      </c>
      <c r="N156" s="12">
        <v>8.3</v>
      </c>
      <c r="O156" s="12">
        <f t="shared" si="78"/>
        <v>3.7</v>
      </c>
      <c r="P156" s="11">
        <f>LOOKUP(O156,{0,0.5,0.7,0.9,1.1,1.3,1.5,1.7,1.9,2.1,2.3,2.5,2.7,2.9,3.1,3.3,3.5,3.8,4.1,4.2,4.3},{0,10,20,30,40,50,60,62,64,66,68,70,72,74,76,78,80,85,90,95,100})</f>
        <v>80</v>
      </c>
      <c r="Q156" s="12">
        <v>3.47</v>
      </c>
      <c r="R156" s="12">
        <f t="shared" si="79"/>
        <v>6.53</v>
      </c>
      <c r="S156" s="11">
        <f>LOOKUP(R156,{0,4.72,4.82,4.92,5.42,5.52,5.62,5.67,5.72,5.77,5.82,5.87,5.92,5.97,6.42,6.47,6.52,6.59,6.66,6.72,6.78},{0,10,20,30,40,50,60,62,64,66,68,70,72,74,76,78,80,85,90,95,100})</f>
        <v>80</v>
      </c>
      <c r="T156" s="12"/>
      <c r="U156" s="12"/>
      <c r="V156" s="12">
        <f t="shared" si="80"/>
        <v>80</v>
      </c>
      <c r="W156" s="12"/>
      <c r="X156" s="20">
        <f t="shared" si="81"/>
        <v>58.5</v>
      </c>
      <c r="Y156" s="20">
        <f t="shared" si="82"/>
        <v>83.5714285714286</v>
      </c>
    </row>
    <row r="157" ht="15.6" hidden="1" outlineLevel="2" spans="1:25">
      <c r="A157" s="12">
        <v>210</v>
      </c>
      <c r="B157" s="12">
        <v>46</v>
      </c>
      <c r="C157" s="6" t="s">
        <v>543</v>
      </c>
      <c r="D157" s="6" t="s">
        <v>53</v>
      </c>
      <c r="E157" s="12">
        <v>13</v>
      </c>
      <c r="F157" s="11">
        <f>LOOKUP(E157,{0,1,1.8,2.6,3.4,4.2,5,6.3,7.6,8.9,10.2,11.5,12.8,14.1,15.4,16.7,18,19.7,21.4,23.1,24.8},{0,10,20,30,40,50,60,62,64,66,68,70,72,74,76,78,80,85,90,95,100})</f>
        <v>72</v>
      </c>
      <c r="G157" s="12">
        <v>187</v>
      </c>
      <c r="H157" s="11">
        <f>LOOKUP(G157,{0,124,129,134,139,144,149,152,155,158,161,164,167,170,173,176,179,186,193,199,205},{0,10,20,30,40,50,60,62,64,66,68,70,72,74,76,78,80,85,90,95,100})</f>
        <v>85</v>
      </c>
      <c r="I157" s="12">
        <v>49</v>
      </c>
      <c r="J157" s="11">
        <f>LOOKUP(I157,{0,14,16,18,20,22,24,26,28,30,32,34,36,38,40,42,44,47,50,52,54},{0,10,20,30,40,50,60,62,64,66,68,70,72,74,76,78,80,85,90,95,100})</f>
        <v>85</v>
      </c>
      <c r="K157" s="12"/>
      <c r="L157" s="12"/>
      <c r="M157" s="12">
        <f t="shared" si="77"/>
        <v>85</v>
      </c>
      <c r="N157" s="12">
        <v>8.5</v>
      </c>
      <c r="O157" s="12">
        <f t="shared" si="78"/>
        <v>3.5</v>
      </c>
      <c r="P157" s="11">
        <f>LOOKUP(O157,{0,0.5,0.7,0.9,1.1,1.3,1.5,1.7,1.9,2.1,2.3,2.5,2.7,2.9,3.1,3.3,3.5,3.8,4.1,4.2,4.3},{0,10,20,30,40,50,60,62,64,66,68,70,72,74,76,78,80,85,90,95,100})</f>
        <v>80</v>
      </c>
      <c r="Q157" s="12">
        <v>3.36</v>
      </c>
      <c r="R157" s="12">
        <f t="shared" si="79"/>
        <v>6.64</v>
      </c>
      <c r="S157" s="11">
        <f>LOOKUP(R157,{0,4.72,4.82,4.92,5.42,5.52,5.62,5.67,5.72,5.77,5.82,5.87,5.92,5.97,6.42,6.47,6.52,6.59,6.66,6.72,6.78},{0,10,20,30,40,50,60,62,64,66,68,70,72,74,76,78,80,85,90,95,100})</f>
        <v>85</v>
      </c>
      <c r="T157" s="12"/>
      <c r="U157" s="12"/>
      <c r="V157" s="12">
        <f t="shared" si="80"/>
        <v>85</v>
      </c>
      <c r="W157" s="12"/>
      <c r="X157" s="20">
        <f t="shared" si="81"/>
        <v>57.2</v>
      </c>
      <c r="Y157" s="20">
        <f t="shared" si="82"/>
        <v>81.7142857142857</v>
      </c>
    </row>
    <row r="158" ht="15.6" hidden="1" outlineLevel="2" spans="1:25">
      <c r="A158" s="12">
        <v>210</v>
      </c>
      <c r="B158" s="12">
        <v>47</v>
      </c>
      <c r="C158" s="6" t="s">
        <v>544</v>
      </c>
      <c r="D158" s="6" t="s">
        <v>53</v>
      </c>
      <c r="E158" s="12">
        <v>19</v>
      </c>
      <c r="F158" s="11">
        <f>LOOKUP(E158,{0,1,1.8,2.6,3.4,4.2,5,6.3,7.6,8.9,10.2,11.5,12.8,14.1,15.4,16.7,18,19.7,21.4,23.1,24.8},{0,10,20,30,40,50,60,62,64,66,68,70,72,74,76,78,80,85,90,95,100})</f>
        <v>80</v>
      </c>
      <c r="G158" s="12">
        <v>191</v>
      </c>
      <c r="H158" s="11">
        <f>LOOKUP(G158,{0,124,129,134,139,144,149,152,155,158,161,164,167,170,173,176,179,186,193,199,205},{0,10,20,30,40,50,60,62,64,66,68,70,72,74,76,78,80,85,90,95,100})</f>
        <v>85</v>
      </c>
      <c r="I158" s="12">
        <v>58</v>
      </c>
      <c r="J158" s="11">
        <f>LOOKUP(I158,{0,14,16,18,20,22,24,26,28,30,32,34,36,38,40,42,44,47,50,52,54},{0,10,20,30,40,50,60,62,64,66,68,70,72,74,76,78,80,85,90,95,100})</f>
        <v>100</v>
      </c>
      <c r="K158" s="12">
        <f t="shared" si="83"/>
        <v>4</v>
      </c>
      <c r="L158" s="11">
        <f>LOOKUP(K158,{0,2,4,6,7,8,9,10,11,12,13},{0,1,2,3,4,5,6,7,8,9,10})</f>
        <v>2</v>
      </c>
      <c r="M158" s="12">
        <f t="shared" si="77"/>
        <v>102</v>
      </c>
      <c r="N158" s="12">
        <v>7.9</v>
      </c>
      <c r="O158" s="12">
        <f t="shared" si="78"/>
        <v>4.1</v>
      </c>
      <c r="P158" s="11">
        <f>LOOKUP(O158,{0,0.5,0.7,0.9,1.1,1.3,1.5,1.7,1.9,2.1,2.3,2.5,2.7,2.9,3.1,3.3,3.5,3.8,4.1,4.2,4.3},{0,10,20,30,40,50,60,62,64,66,68,70,72,74,76,78,80,85,90,95,100})</f>
        <v>90</v>
      </c>
      <c r="Q158" s="12">
        <v>3.12</v>
      </c>
      <c r="R158" s="12">
        <f t="shared" si="79"/>
        <v>6.88</v>
      </c>
      <c r="S158" s="11">
        <f>LOOKUP(R158,{0,4.72,4.82,4.92,5.42,5.52,5.62,5.67,5.72,5.77,5.82,5.87,5.92,5.97,6.42,6.47,6.52,6.59,6.66,6.72,6.78},{0,10,20,30,40,50,60,62,64,66,68,70,72,74,76,78,80,85,90,95,100})</f>
        <v>100</v>
      </c>
      <c r="T158" s="21">
        <f t="shared" ref="T158:T162" si="84">3.22-Q158</f>
        <v>0.1</v>
      </c>
      <c r="U158" s="11">
        <f>LOOKUP(T158,{0,0.05,0.1,0.15,0.2,0.25,0.3,0.35,0.4,0.45,0.5},{0,1,2,3,4,5,6,7,8,9,10})</f>
        <v>2</v>
      </c>
      <c r="V158" s="12">
        <f t="shared" si="80"/>
        <v>102</v>
      </c>
      <c r="W158" s="12"/>
      <c r="X158" s="20">
        <f t="shared" si="81"/>
        <v>64.5</v>
      </c>
      <c r="Y158" s="20">
        <f t="shared" si="82"/>
        <v>96.1428571428572</v>
      </c>
    </row>
    <row r="159" ht="15.6" hidden="1" outlineLevel="2" spans="1:25">
      <c r="A159" s="12">
        <v>210</v>
      </c>
      <c r="B159" s="12">
        <v>48</v>
      </c>
      <c r="C159" s="6" t="s">
        <v>545</v>
      </c>
      <c r="D159" s="6" t="s">
        <v>53</v>
      </c>
      <c r="E159" s="12">
        <v>15</v>
      </c>
      <c r="F159" s="11">
        <f>LOOKUP(E159,{0,1,1.8,2.6,3.4,4.2,5,6.3,7.6,8.9,10.2,11.5,12.8,14.1,15.4,16.7,18,19.7,21.4,23.1,24.8},{0,10,20,30,40,50,60,62,64,66,68,70,72,74,76,78,80,85,90,95,100})</f>
        <v>74</v>
      </c>
      <c r="G159" s="12">
        <v>210</v>
      </c>
      <c r="H159" s="11">
        <f>LOOKUP(G159,{0,124,129,134,139,144,149,152,155,158,161,164,167,170,173,176,179,186,193,199,205},{0,10,20,30,40,50,60,62,64,66,68,70,72,74,76,78,80,85,90,95,100})</f>
        <v>100</v>
      </c>
      <c r="I159" s="12">
        <v>55</v>
      </c>
      <c r="J159" s="11">
        <f>LOOKUP(I159,{0,14,16,18,20,22,24,26,28,30,32,34,36,38,40,42,44,47,50,52,54},{0,10,20,30,40,50,60,62,64,66,68,70,72,74,76,78,80,85,90,95,100})</f>
        <v>100</v>
      </c>
      <c r="K159" s="12">
        <f t="shared" si="83"/>
        <v>1</v>
      </c>
      <c r="L159" s="11">
        <f>LOOKUP(K159,{0,2,4,6,7,8,9,10,11,12,13},{0,1,2,3,4,5,6,7,8,9,10})</f>
        <v>0</v>
      </c>
      <c r="M159" s="12">
        <f t="shared" si="77"/>
        <v>100</v>
      </c>
      <c r="N159" s="12">
        <v>8.3</v>
      </c>
      <c r="O159" s="12">
        <f t="shared" si="78"/>
        <v>3.7</v>
      </c>
      <c r="P159" s="11">
        <f>LOOKUP(O159,{0,0.5,0.7,0.9,1.1,1.3,1.5,1.7,1.9,2.1,2.3,2.5,2.7,2.9,3.1,3.3,3.5,3.8,4.1,4.2,4.3},{0,10,20,30,40,50,60,62,64,66,68,70,72,74,76,78,80,85,90,95,100})</f>
        <v>80</v>
      </c>
      <c r="Q159" s="12">
        <v>3.35</v>
      </c>
      <c r="R159" s="12">
        <f t="shared" si="79"/>
        <v>6.65</v>
      </c>
      <c r="S159" s="11">
        <f>LOOKUP(R159,{0,4.72,4.82,4.92,5.42,5.52,5.62,5.67,5.72,5.77,5.82,5.87,5.92,5.97,6.42,6.47,6.52,6.59,6.66,6.72,6.78},{0,10,20,30,40,50,60,62,64,66,68,70,72,74,76,78,80,85,90,95,100})</f>
        <v>85</v>
      </c>
      <c r="T159" s="12"/>
      <c r="U159" s="12"/>
      <c r="V159" s="12">
        <f t="shared" si="80"/>
        <v>85</v>
      </c>
      <c r="W159" s="12"/>
      <c r="X159" s="20">
        <f t="shared" si="81"/>
        <v>60.4</v>
      </c>
      <c r="Y159" s="20">
        <f t="shared" si="82"/>
        <v>86.2857142857143</v>
      </c>
    </row>
    <row r="160" ht="15.6" hidden="1" outlineLevel="2" spans="1:25">
      <c r="A160" s="12">
        <v>210</v>
      </c>
      <c r="B160" s="12">
        <v>49</v>
      </c>
      <c r="C160" s="6" t="s">
        <v>546</v>
      </c>
      <c r="D160" s="6" t="s">
        <v>53</v>
      </c>
      <c r="E160" s="12">
        <v>21</v>
      </c>
      <c r="F160" s="11">
        <f>LOOKUP(E160,{0,1,1.8,2.6,3.4,4.2,5,6.3,7.6,8.9,10.2,11.5,12.8,14.1,15.4,16.7,18,19.7,21.4,23.1,24.8},{0,10,20,30,40,50,60,62,64,66,68,70,72,74,76,78,80,85,90,95,100})</f>
        <v>85</v>
      </c>
      <c r="G160" s="12">
        <v>200</v>
      </c>
      <c r="H160" s="11">
        <f>LOOKUP(G160,{0,124,129,134,139,144,149,152,155,158,161,164,167,170,173,176,179,186,193,199,205},{0,10,20,30,40,50,60,62,64,66,68,70,72,74,76,78,80,85,90,95,100})</f>
        <v>95</v>
      </c>
      <c r="I160" s="12">
        <v>60</v>
      </c>
      <c r="J160" s="11">
        <f>LOOKUP(I160,{0,14,16,18,20,22,24,26,28,30,32,34,36,38,40,42,44,47,50,52,54},{0,10,20,30,40,50,60,62,64,66,68,70,72,74,76,78,80,85,90,95,100})</f>
        <v>100</v>
      </c>
      <c r="K160" s="12">
        <f t="shared" si="83"/>
        <v>6</v>
      </c>
      <c r="L160" s="11">
        <f>LOOKUP(K160,{0,2,4,6,7,8,9,10,11,12,13},{0,1,2,3,4,5,6,7,8,9,10})</f>
        <v>3</v>
      </c>
      <c r="M160" s="12">
        <f t="shared" si="77"/>
        <v>103</v>
      </c>
      <c r="N160" s="12">
        <v>7.5</v>
      </c>
      <c r="O160" s="12">
        <f t="shared" si="78"/>
        <v>4.5</v>
      </c>
      <c r="P160" s="11">
        <f>LOOKUP(O160,{0,0.5,0.7,0.9,1.1,1.3,1.5,1.7,1.9,2.1,2.3,2.5,2.7,2.9,3.1,3.3,3.5,3.8,4.1,4.2,4.3},{0,10,20,30,40,50,60,62,64,66,68,70,72,74,76,78,80,85,90,95,100})</f>
        <v>100</v>
      </c>
      <c r="Q160" s="12">
        <v>3</v>
      </c>
      <c r="R160" s="12">
        <f t="shared" si="79"/>
        <v>7</v>
      </c>
      <c r="S160" s="11">
        <f>LOOKUP(R160,{0,4.72,4.82,4.92,5.42,5.52,5.62,5.67,5.72,5.77,5.82,5.87,5.92,5.97,6.42,6.47,6.52,6.59,6.66,6.72,6.78},{0,10,20,30,40,50,60,62,64,66,68,70,72,74,76,78,80,85,90,95,100})</f>
        <v>100</v>
      </c>
      <c r="T160" s="21">
        <f t="shared" si="84"/>
        <v>0.22</v>
      </c>
      <c r="U160" s="11">
        <f>LOOKUP(T160,{0,0.05,0.1,0.15,0.2,0.25,0.3,0.35,0.4,0.45,0.5},{0,1,2,3,4,5,6,7,8,9,10})</f>
        <v>4</v>
      </c>
      <c r="V160" s="12">
        <f t="shared" si="80"/>
        <v>104</v>
      </c>
      <c r="W160" s="12"/>
      <c r="X160" s="20">
        <f t="shared" si="81"/>
        <v>68</v>
      </c>
      <c r="Y160" s="20">
        <f t="shared" si="82"/>
        <v>104.142857142857</v>
      </c>
    </row>
    <row r="161" ht="15.6" hidden="1" outlineLevel="2" spans="1:25">
      <c r="A161" s="12">
        <v>210</v>
      </c>
      <c r="B161" s="12">
        <v>50</v>
      </c>
      <c r="C161" s="6" t="s">
        <v>547</v>
      </c>
      <c r="D161" s="6" t="s">
        <v>53</v>
      </c>
      <c r="E161" s="12"/>
      <c r="F161" s="11"/>
      <c r="G161" s="12"/>
      <c r="H161" s="11"/>
      <c r="I161" s="12"/>
      <c r="J161" s="11"/>
      <c r="K161" s="12"/>
      <c r="L161" s="12"/>
      <c r="M161" s="12"/>
      <c r="N161" s="12"/>
      <c r="O161" s="12"/>
      <c r="P161" s="11"/>
      <c r="Q161" s="12"/>
      <c r="R161" s="12"/>
      <c r="S161" s="11"/>
      <c r="T161" s="21"/>
      <c r="U161" s="11"/>
      <c r="V161" s="12"/>
      <c r="W161" s="12" t="s">
        <v>14</v>
      </c>
      <c r="X161" s="20">
        <f t="shared" si="81"/>
        <v>0</v>
      </c>
      <c r="Y161" s="20">
        <v>50</v>
      </c>
    </row>
    <row r="162" ht="15.6" hidden="1" outlineLevel="2" spans="1:25">
      <c r="A162" s="12">
        <v>210</v>
      </c>
      <c r="B162" s="12">
        <v>51</v>
      </c>
      <c r="C162" s="6" t="s">
        <v>548</v>
      </c>
      <c r="D162" s="6" t="s">
        <v>53</v>
      </c>
      <c r="E162" s="12">
        <v>25.3</v>
      </c>
      <c r="F162" s="11">
        <f>LOOKUP(E162,{0,1,1.8,2.6,3.4,4.2,5,6.3,7.6,8.9,10.2,11.5,12.8,14.1,15.4,16.7,18,19.7,21.4,23.1,24.8},{0,10,20,30,40,50,60,62,64,66,68,70,72,74,76,78,80,85,90,95,100})</f>
        <v>100</v>
      </c>
      <c r="G162" s="12">
        <v>200</v>
      </c>
      <c r="H162" s="11">
        <f>LOOKUP(G162,{0,124,129,134,139,144,149,152,155,158,161,164,167,170,173,176,179,186,193,199,205},{0,10,20,30,40,50,60,62,64,66,68,70,72,74,76,78,80,85,90,95,100})</f>
        <v>95</v>
      </c>
      <c r="I162" s="12">
        <v>51</v>
      </c>
      <c r="J162" s="11">
        <f>LOOKUP(I162,{0,14,16,18,20,22,24,26,28,30,32,34,36,38,40,42,44,47,50,52,54},{0,10,20,30,40,50,60,62,64,66,68,70,72,74,76,78,80,85,90,95,100})</f>
        <v>90</v>
      </c>
      <c r="K162" s="12"/>
      <c r="L162" s="12"/>
      <c r="M162" s="12">
        <f>J162+L162</f>
        <v>90</v>
      </c>
      <c r="N162" s="12">
        <v>7.8</v>
      </c>
      <c r="O162" s="12">
        <f>12-N162</f>
        <v>4.2</v>
      </c>
      <c r="P162" s="11">
        <f>LOOKUP(O162,{0,0.5,0.7,0.9,1.1,1.3,1.5,1.7,1.9,2.1,2.3,2.5,2.7,2.9,3.1,3.3,3.5,3.8,4.1,4.2,4.3},{0,10,20,30,40,50,60,62,64,66,68,70,72,74,76,78,80,85,90,95,100})</f>
        <v>95</v>
      </c>
      <c r="Q162" s="12">
        <v>3.02</v>
      </c>
      <c r="R162" s="12">
        <f>10-Q162</f>
        <v>6.98</v>
      </c>
      <c r="S162" s="11">
        <f>LOOKUP(R162,{0,4.72,4.82,4.92,5.42,5.52,5.62,5.67,5.72,5.77,5.82,5.87,5.92,5.97,6.42,6.47,6.52,6.59,6.66,6.72,6.78},{0,10,20,30,40,50,60,62,64,66,68,70,72,74,76,78,80,85,90,95,100})</f>
        <v>100</v>
      </c>
      <c r="T162" s="21">
        <f t="shared" si="84"/>
        <v>0.2</v>
      </c>
      <c r="U162" s="11">
        <f>LOOKUP(T162,{0,0.05,0.1,0.15,0.2,0.25,0.3,0.35,0.4,0.45,0.5},{0,1,2,3,4,5,6,7,8,9,10})</f>
        <v>4</v>
      </c>
      <c r="V162" s="12">
        <f>S162+U162</f>
        <v>104</v>
      </c>
      <c r="W162" s="12"/>
      <c r="X162" s="20">
        <f t="shared" si="81"/>
        <v>67.5</v>
      </c>
      <c r="Y162" s="20">
        <f>X162/0.7+L162+U162</f>
        <v>100.428571428571</v>
      </c>
    </row>
    <row r="163" ht="15.6" outlineLevel="1" collapsed="1" spans="1:25">
      <c r="A163" s="14" t="s">
        <v>864</v>
      </c>
      <c r="B163" s="12"/>
      <c r="C163" s="6"/>
      <c r="D163" s="6"/>
      <c r="E163" s="12"/>
      <c r="F163" s="11">
        <f>SUBTOTAL(1,F147:F162)</f>
        <v>87.9333333333333</v>
      </c>
      <c r="G163" s="12"/>
      <c r="H163" s="11">
        <f>SUBTOTAL(1,H147:H162)</f>
        <v>82.2666666666667</v>
      </c>
      <c r="I163" s="12"/>
      <c r="J163" s="11">
        <f>SUBTOTAL(1,J147:J162)</f>
        <v>91.2</v>
      </c>
      <c r="K163" s="12"/>
      <c r="L163" s="12"/>
      <c r="M163" s="12">
        <f>SUBTOTAL(1,M147:M162)</f>
        <v>91.8666666666667</v>
      </c>
      <c r="N163" s="12"/>
      <c r="O163" s="12"/>
      <c r="P163" s="11">
        <f>SUBTOTAL(1,P147:P162)</f>
        <v>82</v>
      </c>
      <c r="Q163" s="12"/>
      <c r="R163" s="12"/>
      <c r="S163" s="11">
        <f>SUBTOTAL(1,S147:S162)</f>
        <v>85.9333333333333</v>
      </c>
      <c r="T163" s="21"/>
      <c r="U163" s="11"/>
      <c r="V163" s="12">
        <f>SUBTOTAL(1,V147:V162)</f>
        <v>86.6</v>
      </c>
      <c r="W163" s="12"/>
      <c r="X163" s="20">
        <f>SUBTOTAL(1,X147:X162)</f>
        <v>55.99375</v>
      </c>
      <c r="Y163" s="20">
        <f>SUBTOTAL(1,Y147:Y162)</f>
        <v>84.3660714285714</v>
      </c>
    </row>
    <row r="164" ht="15.6" hidden="1" outlineLevel="2" spans="1:25">
      <c r="A164" s="12">
        <v>211</v>
      </c>
      <c r="B164" s="12">
        <v>33</v>
      </c>
      <c r="C164" s="13" t="s">
        <v>586</v>
      </c>
      <c r="D164" s="6" t="s">
        <v>53</v>
      </c>
      <c r="E164" s="12">
        <v>22.2</v>
      </c>
      <c r="F164" s="11">
        <f>LOOKUP(E164,{0,1,1.8,2.6,3.4,4.2,5,6.3,7.6,8.9,10.2,11.5,12.8,14.1,15.4,16.7,18,19.7,21.4,23.1,24.8},{0,10,20,30,40,50,60,62,64,66,68,70,72,74,76,78,80,85,90,95,100})</f>
        <v>90</v>
      </c>
      <c r="G164" s="12">
        <v>150</v>
      </c>
      <c r="H164" s="11">
        <f>LOOKUP(G164,{0,124,129,134,139,144,149,152,155,158,161,164,167,170,173,176,179,186,193,199,205},{0,10,20,30,40,50,60,62,64,66,68,70,72,74,76,78,80,85,90,95,100})</f>
        <v>60</v>
      </c>
      <c r="I164" s="12">
        <v>35</v>
      </c>
      <c r="J164" s="11">
        <f>LOOKUP(I164,{0,14,16,18,20,22,24,26,28,30,32,34,36,38,40,42,44,47,50,52,54},{0,10,20,30,40,50,60,62,64,66,68,70,72,74,76,78,80,85,90,95,100})</f>
        <v>70</v>
      </c>
      <c r="K164" s="12"/>
      <c r="L164" s="12"/>
      <c r="M164" s="12">
        <f t="shared" ref="M164:M182" si="85">J164+L164</f>
        <v>70</v>
      </c>
      <c r="N164" s="12">
        <v>9.2</v>
      </c>
      <c r="O164" s="12">
        <f t="shared" ref="O164:O182" si="86">12-N164</f>
        <v>2.8</v>
      </c>
      <c r="P164" s="11">
        <f>LOOKUP(O164,{0,0.5,0.7,0.9,1.1,1.3,1.5,1.7,1.9,2.1,2.3,2.5,2.7,2.9,3.1,3.3,3.5,3.8,4.1,4.2,4.3},{0,10,20,30,40,50,60,62,64,66,68,70,72,74,76,78,80,85,90,95,100})</f>
        <v>72</v>
      </c>
      <c r="Q164" s="12">
        <v>3.45</v>
      </c>
      <c r="R164" s="12">
        <f t="shared" ref="R164:R182" si="87">10-Q164</f>
        <v>6.55</v>
      </c>
      <c r="S164" s="11">
        <f>LOOKUP(R164,{0,4.72,4.82,4.92,5.42,5.52,5.62,5.67,5.72,5.77,5.82,5.87,5.92,5.97,6.42,6.47,6.52,6.59,6.66,6.72,6.78},{0,10,20,30,40,50,60,62,64,66,68,70,72,74,76,78,80,85,90,95,100})</f>
        <v>80</v>
      </c>
      <c r="T164" s="12"/>
      <c r="U164" s="12"/>
      <c r="V164" s="12">
        <f t="shared" ref="V164:V182" si="88">S164+U164</f>
        <v>80</v>
      </c>
      <c r="W164" s="12"/>
      <c r="X164" s="20">
        <f t="shared" ref="X164:X182" si="89">F164*0.1+H164*0.1+J164*0.1+P164*0.2+S164*0.2</f>
        <v>52.4</v>
      </c>
      <c r="Y164" s="20">
        <f t="shared" ref="Y164:Y182" si="90">X164/0.7+L164+U164</f>
        <v>74.8571428571429</v>
      </c>
    </row>
    <row r="165" ht="15.6" hidden="1" outlineLevel="2" spans="1:25">
      <c r="A165" s="12">
        <v>211</v>
      </c>
      <c r="B165" s="12">
        <v>34</v>
      </c>
      <c r="C165" s="6" t="s">
        <v>587</v>
      </c>
      <c r="D165" s="6" t="s">
        <v>53</v>
      </c>
      <c r="E165" s="12">
        <v>16</v>
      </c>
      <c r="F165" s="11">
        <f>LOOKUP(E165,{0,1,1.8,2.6,3.4,4.2,5,6.3,7.6,8.9,10.2,11.5,12.8,14.1,15.4,16.7,18,19.7,21.4,23.1,24.8},{0,10,20,30,40,50,60,62,64,66,68,70,72,74,76,78,80,85,90,95,100})</f>
        <v>76</v>
      </c>
      <c r="G165" s="12">
        <v>189</v>
      </c>
      <c r="H165" s="11">
        <f>LOOKUP(G165,{0,124,129,134,139,144,149,152,155,158,161,164,167,170,173,176,179,186,193,199,205},{0,10,20,30,40,50,60,62,64,66,68,70,72,74,76,78,80,85,90,95,100})</f>
        <v>85</v>
      </c>
      <c r="I165" s="12">
        <v>52</v>
      </c>
      <c r="J165" s="11">
        <f>LOOKUP(I165,{0,14,16,18,20,22,24,26,28,30,32,34,36,38,40,42,44,47,50,52,54},{0,10,20,30,40,50,60,62,64,66,68,70,72,74,76,78,80,85,90,95,100})</f>
        <v>95</v>
      </c>
      <c r="K165" s="12"/>
      <c r="L165" s="12"/>
      <c r="M165" s="12">
        <f t="shared" si="85"/>
        <v>95</v>
      </c>
      <c r="N165" s="12">
        <v>8.2</v>
      </c>
      <c r="O165" s="12">
        <f t="shared" si="86"/>
        <v>3.8</v>
      </c>
      <c r="P165" s="11">
        <f>LOOKUP(O165,{0,0.5,0.7,0.9,1.1,1.3,1.5,1.7,1.9,2.1,2.3,2.5,2.7,2.9,3.1,3.3,3.5,3.8,4.1,4.2,4.3},{0,10,20,30,40,50,60,62,64,66,68,70,72,74,76,78,80,85,90,95,100})</f>
        <v>85</v>
      </c>
      <c r="Q165" s="12">
        <v>3.19</v>
      </c>
      <c r="R165" s="12">
        <f t="shared" si="87"/>
        <v>6.81</v>
      </c>
      <c r="S165" s="11">
        <f>LOOKUP(R165,{0,4.72,4.82,4.92,5.42,5.52,5.62,5.67,5.72,5.77,5.82,5.87,5.92,5.97,6.42,6.47,6.52,6.59,6.66,6.72,6.78},{0,10,20,30,40,50,60,62,64,66,68,70,72,74,76,78,80,85,90,95,100})</f>
        <v>100</v>
      </c>
      <c r="T165" s="21">
        <f>3.22-Q165</f>
        <v>0.0300000000000002</v>
      </c>
      <c r="U165" s="11">
        <f>LOOKUP(T165,{0,0.05,0.1,0.15,0.2,0.25,0.3,0.35,0.4,0.45,0.5},{0,1,2,3,4,5,6,7,8,9,10})</f>
        <v>0</v>
      </c>
      <c r="V165" s="12">
        <f t="shared" si="88"/>
        <v>100</v>
      </c>
      <c r="W165" s="12"/>
      <c r="X165" s="20">
        <f t="shared" si="89"/>
        <v>62.6</v>
      </c>
      <c r="Y165" s="20">
        <f t="shared" si="90"/>
        <v>89.4285714285714</v>
      </c>
    </row>
    <row r="166" ht="15.6" hidden="1" outlineLevel="2" spans="1:25">
      <c r="A166" s="12">
        <v>211</v>
      </c>
      <c r="B166" s="12">
        <v>35</v>
      </c>
      <c r="C166" s="6" t="s">
        <v>588</v>
      </c>
      <c r="D166" s="6" t="s">
        <v>53</v>
      </c>
      <c r="E166" s="12">
        <v>21</v>
      </c>
      <c r="F166" s="11">
        <f>LOOKUP(E166,{0,1,1.8,2.6,3.4,4.2,5,6.3,7.6,8.9,10.2,11.5,12.8,14.1,15.4,16.7,18,19.7,21.4,23.1,24.8},{0,10,20,30,40,50,60,62,64,66,68,70,72,74,76,78,80,85,90,95,100})</f>
        <v>85</v>
      </c>
      <c r="G166" s="12">
        <v>168</v>
      </c>
      <c r="H166" s="11">
        <f>LOOKUP(G166,{0,124,129,134,139,144,149,152,155,158,161,164,167,170,173,176,179,186,193,199,205},{0,10,20,30,40,50,60,62,64,66,68,70,72,74,76,78,80,85,90,95,100})</f>
        <v>72</v>
      </c>
      <c r="I166" s="12">
        <v>52</v>
      </c>
      <c r="J166" s="11">
        <f>LOOKUP(I166,{0,14,16,18,20,22,24,26,28,30,32,34,36,38,40,42,44,47,50,52,54},{0,10,20,30,40,50,60,62,64,66,68,70,72,74,76,78,80,85,90,95,100})</f>
        <v>95</v>
      </c>
      <c r="K166" s="12"/>
      <c r="L166" s="12"/>
      <c r="M166" s="12">
        <f t="shared" si="85"/>
        <v>95</v>
      </c>
      <c r="N166" s="12">
        <v>8.9</v>
      </c>
      <c r="O166" s="12">
        <f t="shared" si="86"/>
        <v>3.1</v>
      </c>
      <c r="P166" s="11">
        <f>LOOKUP(O166,{0,0.5,0.7,0.9,1.1,1.3,1.5,1.7,1.9,2.1,2.3,2.5,2.7,2.9,3.1,3.3,3.5,3.8,4.1,4.2,4.3},{0,10,20,30,40,50,60,62,64,66,68,70,72,74,76,78,80,85,90,95,100})</f>
        <v>76</v>
      </c>
      <c r="Q166" s="12">
        <v>4.04</v>
      </c>
      <c r="R166" s="12">
        <f t="shared" si="87"/>
        <v>5.96</v>
      </c>
      <c r="S166" s="11">
        <f>LOOKUP(R166,{0,4.72,4.82,4.92,5.42,5.52,5.62,5.67,5.72,5.77,5.82,5.87,5.92,5.97,6.42,6.47,6.52,6.59,6.66,6.72,6.78},{0,10,20,30,40,50,60,62,64,66,68,70,72,74,76,78,80,85,90,95,100})</f>
        <v>72</v>
      </c>
      <c r="T166" s="12"/>
      <c r="U166" s="12"/>
      <c r="V166" s="12">
        <f t="shared" si="88"/>
        <v>72</v>
      </c>
      <c r="W166" s="12"/>
      <c r="X166" s="20">
        <f t="shared" si="89"/>
        <v>54.8</v>
      </c>
      <c r="Y166" s="20">
        <f t="shared" si="90"/>
        <v>78.2857142857143</v>
      </c>
    </row>
    <row r="167" ht="15.6" hidden="1" outlineLevel="2" spans="1:25">
      <c r="A167" s="12">
        <v>211</v>
      </c>
      <c r="B167" s="12">
        <v>36</v>
      </c>
      <c r="C167" s="6" t="s">
        <v>589</v>
      </c>
      <c r="D167" s="6" t="s">
        <v>53</v>
      </c>
      <c r="E167" s="12">
        <v>21</v>
      </c>
      <c r="F167" s="11">
        <f>LOOKUP(E167,{0,1,1.8,2.6,3.4,4.2,5,6.3,7.6,8.9,10.2,11.5,12.8,14.1,15.4,16.7,18,19.7,21.4,23.1,24.8},{0,10,20,30,40,50,60,62,64,66,68,70,72,74,76,78,80,85,90,95,100})</f>
        <v>85</v>
      </c>
      <c r="G167" s="12">
        <v>210</v>
      </c>
      <c r="H167" s="11">
        <f>LOOKUP(G167,{0,124,129,134,139,144,149,152,155,158,161,164,167,170,173,176,179,186,193,199,205},{0,10,20,30,40,50,60,62,64,66,68,70,72,74,76,78,80,85,90,95,100})</f>
        <v>100</v>
      </c>
      <c r="I167" s="12">
        <v>58</v>
      </c>
      <c r="J167" s="11">
        <f>LOOKUP(I167,{0,14,16,18,20,22,24,26,28,30,32,34,36,38,40,42,44,47,50,52,54},{0,10,20,30,40,50,60,62,64,66,68,70,72,74,76,78,80,85,90,95,100})</f>
        <v>100</v>
      </c>
      <c r="K167" s="12">
        <f>I167-54</f>
        <v>4</v>
      </c>
      <c r="L167" s="11">
        <f>LOOKUP(K167,{0,2,4,6,7,8,9,10,11,12,13},{0,1,2,3,4,5,6,7,8,9,10})</f>
        <v>2</v>
      </c>
      <c r="M167" s="12">
        <f t="shared" si="85"/>
        <v>102</v>
      </c>
      <c r="N167" s="12">
        <v>8.2</v>
      </c>
      <c r="O167" s="12">
        <f t="shared" si="86"/>
        <v>3.8</v>
      </c>
      <c r="P167" s="11">
        <f>LOOKUP(O167,{0,0.5,0.7,0.9,1.1,1.3,1.5,1.7,1.9,2.1,2.3,2.5,2.7,2.9,3.1,3.3,3.5,3.8,4.1,4.2,4.3},{0,10,20,30,40,50,60,62,64,66,68,70,72,74,76,78,80,85,90,95,100})</f>
        <v>85</v>
      </c>
      <c r="Q167" s="12">
        <v>3.16</v>
      </c>
      <c r="R167" s="12">
        <f t="shared" si="87"/>
        <v>6.84</v>
      </c>
      <c r="S167" s="11">
        <f>LOOKUP(R167,{0,4.72,4.82,4.92,5.42,5.52,5.62,5.67,5.72,5.77,5.82,5.87,5.92,5.97,6.42,6.47,6.52,6.59,6.66,6.72,6.78},{0,10,20,30,40,50,60,62,64,66,68,70,72,74,76,78,80,85,90,95,100})</f>
        <v>100</v>
      </c>
      <c r="T167" s="21">
        <f>3.22-Q167</f>
        <v>0.0600000000000001</v>
      </c>
      <c r="U167" s="11">
        <f>LOOKUP(T167,{0,0.05,0.1,0.15,0.2,0.25,0.3,0.35,0.4,0.45,0.5},{0,1,2,3,4,5,6,7,8,9,10})</f>
        <v>1</v>
      </c>
      <c r="V167" s="12">
        <f t="shared" si="88"/>
        <v>101</v>
      </c>
      <c r="W167" s="12"/>
      <c r="X167" s="20">
        <f t="shared" si="89"/>
        <v>65.5</v>
      </c>
      <c r="Y167" s="20">
        <f t="shared" si="90"/>
        <v>96.5714285714286</v>
      </c>
    </row>
    <row r="168" ht="15.6" hidden="1" outlineLevel="2" spans="1:25">
      <c r="A168" s="12">
        <v>211</v>
      </c>
      <c r="B168" s="12">
        <v>37</v>
      </c>
      <c r="C168" s="6" t="s">
        <v>590</v>
      </c>
      <c r="D168" s="6" t="s">
        <v>53</v>
      </c>
      <c r="E168" s="12">
        <v>29</v>
      </c>
      <c r="F168" s="11">
        <f>LOOKUP(E168,{0,1,1.8,2.6,3.4,4.2,5,6.3,7.6,8.9,10.2,11.5,12.8,14.1,15.4,16.7,18,19.7,21.4,23.1,24.8},{0,10,20,30,40,50,60,62,64,66,68,70,72,74,76,78,80,85,90,95,100})</f>
        <v>100</v>
      </c>
      <c r="G168" s="12">
        <v>225</v>
      </c>
      <c r="H168" s="11">
        <f>LOOKUP(G168,{0,124,129,134,139,144,149,152,155,158,161,164,167,170,173,176,179,186,193,199,205},{0,10,20,30,40,50,60,62,64,66,68,70,72,74,76,78,80,85,90,95,100})</f>
        <v>100</v>
      </c>
      <c r="I168" s="12">
        <v>42</v>
      </c>
      <c r="J168" s="11">
        <f>LOOKUP(I168,{0,14,16,18,20,22,24,26,28,30,32,34,36,38,40,42,44,47,50,52,54},{0,10,20,30,40,50,60,62,64,66,68,70,72,74,76,78,80,85,90,95,100})</f>
        <v>78</v>
      </c>
      <c r="K168" s="12"/>
      <c r="L168" s="12"/>
      <c r="M168" s="12">
        <f t="shared" si="85"/>
        <v>78</v>
      </c>
      <c r="N168" s="12">
        <v>8.6</v>
      </c>
      <c r="O168" s="12">
        <f t="shared" si="86"/>
        <v>3.4</v>
      </c>
      <c r="P168" s="11">
        <f>LOOKUP(O168,{0,0.5,0.7,0.9,1.1,1.3,1.5,1.7,1.9,2.1,2.3,2.5,2.7,2.9,3.1,3.3,3.5,3.8,4.1,4.2,4.3},{0,10,20,30,40,50,60,62,64,66,68,70,72,74,76,78,80,85,90,95,100})</f>
        <v>78</v>
      </c>
      <c r="Q168" s="12">
        <v>3.35</v>
      </c>
      <c r="R168" s="12">
        <f t="shared" si="87"/>
        <v>6.65</v>
      </c>
      <c r="S168" s="11">
        <f>LOOKUP(R168,{0,4.72,4.82,4.92,5.42,5.52,5.62,5.67,5.72,5.77,5.82,5.87,5.92,5.97,6.42,6.47,6.52,6.59,6.66,6.72,6.78},{0,10,20,30,40,50,60,62,64,66,68,70,72,74,76,78,80,85,90,95,100})</f>
        <v>85</v>
      </c>
      <c r="T168" s="12"/>
      <c r="U168" s="12"/>
      <c r="V168" s="12">
        <f t="shared" si="88"/>
        <v>85</v>
      </c>
      <c r="W168" s="12"/>
      <c r="X168" s="20">
        <f t="shared" si="89"/>
        <v>60.4</v>
      </c>
      <c r="Y168" s="20">
        <f t="shared" si="90"/>
        <v>86.2857142857143</v>
      </c>
    </row>
    <row r="169" ht="15.6" hidden="1" outlineLevel="2" spans="1:25">
      <c r="A169" s="12">
        <v>211</v>
      </c>
      <c r="B169" s="12">
        <v>38</v>
      </c>
      <c r="C169" s="6" t="s">
        <v>591</v>
      </c>
      <c r="D169" s="6" t="s">
        <v>53</v>
      </c>
      <c r="E169" s="12">
        <v>30</v>
      </c>
      <c r="F169" s="11">
        <f>LOOKUP(E169,{0,1,1.8,2.6,3.4,4.2,5,6.3,7.6,8.9,10.2,11.5,12.8,14.1,15.4,16.7,18,19.7,21.4,23.1,24.8},{0,10,20,30,40,50,60,62,64,66,68,70,72,74,76,78,80,85,90,95,100})</f>
        <v>100</v>
      </c>
      <c r="G169" s="12">
        <v>178</v>
      </c>
      <c r="H169" s="11">
        <f>LOOKUP(G169,{0,124,129,134,139,144,149,152,155,158,161,164,167,170,173,176,179,186,193,199,205},{0,10,20,30,40,50,60,62,64,66,68,70,72,74,76,78,80,85,90,95,100})</f>
        <v>78</v>
      </c>
      <c r="I169" s="12">
        <v>50</v>
      </c>
      <c r="J169" s="11">
        <f>LOOKUP(I169,{0,14,16,18,20,22,24,26,28,30,32,34,36,38,40,42,44,47,50,52,54},{0,10,20,30,40,50,60,62,64,66,68,70,72,74,76,78,80,85,90,95,100})</f>
        <v>90</v>
      </c>
      <c r="K169" s="12"/>
      <c r="L169" s="12"/>
      <c r="M169" s="12">
        <f t="shared" si="85"/>
        <v>90</v>
      </c>
      <c r="N169" s="12">
        <v>8.6</v>
      </c>
      <c r="O169" s="12">
        <f t="shared" si="86"/>
        <v>3.4</v>
      </c>
      <c r="P169" s="11">
        <f>LOOKUP(O169,{0,0.5,0.7,0.9,1.1,1.3,1.5,1.7,1.9,2.1,2.3,2.5,2.7,2.9,3.1,3.3,3.5,3.8,4.1,4.2,4.3},{0,10,20,30,40,50,60,62,64,66,68,70,72,74,76,78,80,85,90,95,100})</f>
        <v>78</v>
      </c>
      <c r="Q169" s="12">
        <v>3.4</v>
      </c>
      <c r="R169" s="12">
        <f t="shared" si="87"/>
        <v>6.6</v>
      </c>
      <c r="S169" s="11">
        <f>LOOKUP(R169,{0,4.72,4.82,4.92,5.42,5.52,5.62,5.67,5.72,5.77,5.82,5.87,5.92,5.97,6.42,6.47,6.52,6.59,6.66,6.72,6.78},{0,10,20,30,40,50,60,62,64,66,68,70,72,74,76,78,80,85,90,95,100})</f>
        <v>85</v>
      </c>
      <c r="T169" s="12"/>
      <c r="U169" s="12"/>
      <c r="V169" s="12">
        <f t="shared" si="88"/>
        <v>85</v>
      </c>
      <c r="W169" s="12"/>
      <c r="X169" s="20">
        <f t="shared" si="89"/>
        <v>59.4</v>
      </c>
      <c r="Y169" s="20">
        <f t="shared" si="90"/>
        <v>84.8571428571429</v>
      </c>
    </row>
    <row r="170" ht="15.6" hidden="1" outlineLevel="2" spans="1:25">
      <c r="A170" s="12">
        <v>211</v>
      </c>
      <c r="B170" s="12">
        <v>39</v>
      </c>
      <c r="C170" s="6" t="s">
        <v>592</v>
      </c>
      <c r="D170" s="6" t="s">
        <v>53</v>
      </c>
      <c r="E170" s="12">
        <v>14</v>
      </c>
      <c r="F170" s="11">
        <f>LOOKUP(E170,{0,1,1.8,2.6,3.4,4.2,5,6.3,7.6,8.9,10.2,11.5,12.8,14.1,15.4,16.7,18,19.7,21.4,23.1,24.8},{0,10,20,30,40,50,60,62,64,66,68,70,72,74,76,78,80,85,90,95,100})</f>
        <v>72</v>
      </c>
      <c r="G170" s="12">
        <v>180</v>
      </c>
      <c r="H170" s="11">
        <f>LOOKUP(G170,{0,124,129,134,139,144,149,152,155,158,161,164,167,170,173,176,179,186,193,199,205},{0,10,20,30,40,50,60,62,64,66,68,70,72,74,76,78,80,85,90,95,100})</f>
        <v>80</v>
      </c>
      <c r="I170" s="12">
        <v>49</v>
      </c>
      <c r="J170" s="11">
        <f>LOOKUP(I170,{0,14,16,18,20,22,24,26,28,30,32,34,36,38,40,42,44,47,50,52,54},{0,10,20,30,40,50,60,62,64,66,68,70,72,74,76,78,80,85,90,95,100})</f>
        <v>85</v>
      </c>
      <c r="K170" s="12"/>
      <c r="L170" s="12"/>
      <c r="M170" s="12">
        <f t="shared" si="85"/>
        <v>85</v>
      </c>
      <c r="N170" s="12">
        <v>8.5</v>
      </c>
      <c r="O170" s="12">
        <f t="shared" si="86"/>
        <v>3.5</v>
      </c>
      <c r="P170" s="11">
        <f>LOOKUP(O170,{0,0.5,0.7,0.9,1.1,1.3,1.5,1.7,1.9,2.1,2.3,2.5,2.7,2.9,3.1,3.3,3.5,3.8,4.1,4.2,4.3},{0,10,20,30,40,50,60,62,64,66,68,70,72,74,76,78,80,85,90,95,100})</f>
        <v>80</v>
      </c>
      <c r="Q170" s="12">
        <v>3.29</v>
      </c>
      <c r="R170" s="12">
        <f t="shared" si="87"/>
        <v>6.71</v>
      </c>
      <c r="S170" s="11">
        <f>LOOKUP(R170,{0,4.72,4.82,4.92,5.42,5.52,5.62,5.67,5.72,5.77,5.82,5.87,5.92,5.97,6.42,6.47,6.52,6.59,6.66,6.72,6.78},{0,10,20,30,40,50,60,62,64,66,68,70,72,74,76,78,80,85,90,95,100})</f>
        <v>90</v>
      </c>
      <c r="T170" s="12"/>
      <c r="U170" s="12"/>
      <c r="V170" s="12">
        <f t="shared" si="88"/>
        <v>90</v>
      </c>
      <c r="W170" s="12"/>
      <c r="X170" s="20">
        <f t="shared" si="89"/>
        <v>57.7</v>
      </c>
      <c r="Y170" s="20">
        <f t="shared" si="90"/>
        <v>82.4285714285714</v>
      </c>
    </row>
    <row r="171" ht="15.6" hidden="1" outlineLevel="2" spans="1:25">
      <c r="A171" s="12">
        <v>211</v>
      </c>
      <c r="B171" s="12">
        <v>40</v>
      </c>
      <c r="C171" s="6" t="s">
        <v>593</v>
      </c>
      <c r="D171" s="6" t="s">
        <v>53</v>
      </c>
      <c r="E171" s="12">
        <v>14</v>
      </c>
      <c r="F171" s="11">
        <f>LOOKUP(E171,{0,1,1.8,2.6,3.4,4.2,5,6.3,7.6,8.9,10.2,11.5,12.8,14.1,15.4,16.7,18,19.7,21.4,23.1,24.8},{0,10,20,30,40,50,60,62,64,66,68,70,72,74,76,78,80,85,90,95,100})</f>
        <v>72</v>
      </c>
      <c r="G171" s="12">
        <v>203</v>
      </c>
      <c r="H171" s="11">
        <f>LOOKUP(G171,{0,124,129,134,139,144,149,152,155,158,161,164,167,170,173,176,179,186,193,199,205},{0,10,20,30,40,50,60,62,64,66,68,70,72,74,76,78,80,85,90,95,100})</f>
        <v>95</v>
      </c>
      <c r="I171" s="12">
        <v>50</v>
      </c>
      <c r="J171" s="11">
        <f>LOOKUP(I171,{0,14,16,18,20,22,24,26,28,30,32,34,36,38,40,42,44,47,50,52,54},{0,10,20,30,40,50,60,62,64,66,68,70,72,74,76,78,80,85,90,95,100})</f>
        <v>90</v>
      </c>
      <c r="K171" s="12"/>
      <c r="L171" s="12"/>
      <c r="M171" s="12">
        <f t="shared" si="85"/>
        <v>90</v>
      </c>
      <c r="N171" s="12">
        <v>7.9</v>
      </c>
      <c r="O171" s="12">
        <f t="shared" si="86"/>
        <v>4.1</v>
      </c>
      <c r="P171" s="11">
        <f>LOOKUP(O171,{0,0.5,0.7,0.9,1.1,1.3,1.5,1.7,1.9,2.1,2.3,2.5,2.7,2.9,3.1,3.3,3.5,3.8,4.1,4.2,4.3},{0,10,20,30,40,50,60,62,64,66,68,70,72,74,76,78,80,85,90,95,100})</f>
        <v>90</v>
      </c>
      <c r="Q171" s="12">
        <v>3.26</v>
      </c>
      <c r="R171" s="12">
        <f t="shared" si="87"/>
        <v>6.74</v>
      </c>
      <c r="S171" s="11">
        <f>LOOKUP(R171,{0,4.72,4.82,4.92,5.42,5.52,5.62,5.67,5.72,5.77,5.82,5.87,5.92,5.97,6.42,6.47,6.52,6.59,6.66,6.72,6.78},{0,10,20,30,40,50,60,62,64,66,68,70,72,74,76,78,80,85,90,95,100})</f>
        <v>95</v>
      </c>
      <c r="T171" s="12"/>
      <c r="U171" s="12"/>
      <c r="V171" s="12">
        <f t="shared" si="88"/>
        <v>95</v>
      </c>
      <c r="W171" s="12"/>
      <c r="X171" s="20">
        <f t="shared" si="89"/>
        <v>62.7</v>
      </c>
      <c r="Y171" s="20">
        <f t="shared" si="90"/>
        <v>89.5714285714286</v>
      </c>
    </row>
    <row r="172" s="1" customFormat="1" ht="15.6" hidden="1" outlineLevel="2" spans="1:25">
      <c r="A172" s="12">
        <v>211</v>
      </c>
      <c r="B172" s="12">
        <v>41</v>
      </c>
      <c r="C172" s="6" t="s">
        <v>594</v>
      </c>
      <c r="D172" s="6" t="s">
        <v>53</v>
      </c>
      <c r="E172" s="12">
        <v>19</v>
      </c>
      <c r="F172" s="11">
        <f>LOOKUP(E172,{0,1,1.8,2.6,3.4,4.2,5,6.3,7.6,8.9,10.2,11.5,12.8,14.1,15.4,16.7,18,19.7,21.4,23.1,24.8},{0,10,20,30,40,50,60,62,64,66,68,70,72,74,76,78,80,85,90,95,100})</f>
        <v>80</v>
      </c>
      <c r="G172" s="12">
        <v>177</v>
      </c>
      <c r="H172" s="11">
        <f>LOOKUP(G172,{0,124,129,134,139,144,149,152,155,158,161,164,167,170,173,176,179,186,193,199,205},{0,10,20,30,40,50,60,62,64,66,68,70,72,74,76,78,80,85,90,95,100})</f>
        <v>78</v>
      </c>
      <c r="I172" s="12">
        <v>57</v>
      </c>
      <c r="J172" s="11">
        <f>LOOKUP(I172,{0,14,16,18,20,22,24,26,28,30,32,34,36,38,40,42,44,47,50,52,54},{0,10,20,30,40,50,60,62,64,66,68,70,72,74,76,78,80,85,90,95,100})</f>
        <v>100</v>
      </c>
      <c r="K172" s="12">
        <f t="shared" ref="K172:K177" si="91">I172-54</f>
        <v>3</v>
      </c>
      <c r="L172" s="11">
        <f>LOOKUP(K172,{0,2,4,6,7,8,9,10,11,12,13},{0,1,2,3,4,5,6,7,8,9,10})</f>
        <v>1</v>
      </c>
      <c r="M172" s="12">
        <f t="shared" si="85"/>
        <v>101</v>
      </c>
      <c r="N172" s="12">
        <v>9.7</v>
      </c>
      <c r="O172" s="12">
        <f t="shared" si="86"/>
        <v>2.3</v>
      </c>
      <c r="P172" s="11">
        <f>LOOKUP(O172,{0,0.5,0.7,0.9,1.1,1.3,1.5,1.7,1.9,2.1,2.3,2.5,2.7,2.9,3.1,3.3,3.5,3.8,4.1,4.2,4.3},{0,10,20,30,40,50,60,62,64,66,68,70,72,74,76,78,80,85,90,95,100})</f>
        <v>68</v>
      </c>
      <c r="Q172" s="12">
        <v>4.21</v>
      </c>
      <c r="R172" s="12">
        <f t="shared" si="87"/>
        <v>5.79</v>
      </c>
      <c r="S172" s="11">
        <f>LOOKUP(R172,{0,4.72,4.82,4.92,5.42,5.52,5.62,5.67,5.72,5.77,5.82,5.87,5.92,5.97,6.42,6.47,6.52,6.59,6.66,6.72,6.78},{0,10,20,30,40,50,60,62,64,66,68,70,72,74,76,78,80,85,90,95,100})</f>
        <v>66</v>
      </c>
      <c r="T172" s="12"/>
      <c r="U172" s="12"/>
      <c r="V172" s="12">
        <f t="shared" si="88"/>
        <v>66</v>
      </c>
      <c r="W172" s="12"/>
      <c r="X172" s="20">
        <f t="shared" si="89"/>
        <v>52.6</v>
      </c>
      <c r="Y172" s="20">
        <f t="shared" si="90"/>
        <v>76.1428571428572</v>
      </c>
    </row>
    <row r="173" ht="15.6" hidden="1" outlineLevel="2" spans="1:25">
      <c r="A173" s="12">
        <v>211</v>
      </c>
      <c r="B173" s="12">
        <v>42</v>
      </c>
      <c r="C173" s="6" t="s">
        <v>595</v>
      </c>
      <c r="D173" s="6" t="s">
        <v>53</v>
      </c>
      <c r="E173" s="12">
        <v>20.5</v>
      </c>
      <c r="F173" s="11">
        <f>LOOKUP(E173,{0,1,1.8,2.6,3.4,4.2,5,6.3,7.6,8.9,10.2,11.5,12.8,14.1,15.4,16.7,18,19.7,21.4,23.1,24.8},{0,10,20,30,40,50,60,62,64,66,68,70,72,74,76,78,80,85,90,95,100})</f>
        <v>85</v>
      </c>
      <c r="G173" s="12">
        <v>201</v>
      </c>
      <c r="H173" s="11">
        <f>LOOKUP(G173,{0,124,129,134,139,144,149,152,155,158,161,164,167,170,173,176,179,186,193,199,205},{0,10,20,30,40,50,60,62,64,66,68,70,72,74,76,78,80,85,90,95,100})</f>
        <v>95</v>
      </c>
      <c r="I173" s="12">
        <v>66</v>
      </c>
      <c r="J173" s="11">
        <f>LOOKUP(I173,{0,14,16,18,20,22,24,26,28,30,32,34,36,38,40,42,44,47,50,52,54},{0,10,20,30,40,50,60,62,64,66,68,70,72,74,76,78,80,85,90,95,100})</f>
        <v>100</v>
      </c>
      <c r="K173" s="12">
        <f t="shared" si="91"/>
        <v>12</v>
      </c>
      <c r="L173" s="11">
        <f>LOOKUP(K173,{0,2,4,6,7,8,9,10,11,12,13},{0,1,2,3,4,5,6,7,8,9,10})</f>
        <v>9</v>
      </c>
      <c r="M173" s="12">
        <f t="shared" si="85"/>
        <v>109</v>
      </c>
      <c r="N173" s="12">
        <v>8.2</v>
      </c>
      <c r="O173" s="12">
        <f t="shared" si="86"/>
        <v>3.8</v>
      </c>
      <c r="P173" s="11">
        <f>LOOKUP(O173,{0,0.5,0.7,0.9,1.1,1.3,1.5,1.7,1.9,2.1,2.3,2.5,2.7,2.9,3.1,3.3,3.5,3.8,4.1,4.2,4.3},{0,10,20,30,40,50,60,62,64,66,68,70,72,74,76,78,80,85,90,95,100})</f>
        <v>85</v>
      </c>
      <c r="Q173" s="12">
        <v>3.29</v>
      </c>
      <c r="R173" s="12">
        <f t="shared" si="87"/>
        <v>6.71</v>
      </c>
      <c r="S173" s="11">
        <f>LOOKUP(R173,{0,4.72,4.82,4.92,5.42,5.52,5.62,5.67,5.72,5.77,5.82,5.87,5.92,5.97,6.42,6.47,6.52,6.59,6.66,6.72,6.78},{0,10,20,30,40,50,60,62,64,66,68,70,72,74,76,78,80,85,90,95,100})</f>
        <v>90</v>
      </c>
      <c r="T173" s="12"/>
      <c r="U173" s="15"/>
      <c r="V173" s="12">
        <f t="shared" si="88"/>
        <v>90</v>
      </c>
      <c r="W173" s="12"/>
      <c r="X173" s="20">
        <f t="shared" si="89"/>
        <v>63</v>
      </c>
      <c r="Y173" s="20">
        <f t="shared" si="90"/>
        <v>99</v>
      </c>
    </row>
    <row r="174" ht="15.6" hidden="1" outlineLevel="2" spans="1:25">
      <c r="A174" s="12">
        <v>211</v>
      </c>
      <c r="B174" s="12">
        <v>43</v>
      </c>
      <c r="C174" s="13" t="s">
        <v>597</v>
      </c>
      <c r="D174" s="6" t="s">
        <v>53</v>
      </c>
      <c r="E174" s="12">
        <v>16</v>
      </c>
      <c r="F174" s="11">
        <f>LOOKUP(E174,{0,1,1.8,2.6,3.4,4.2,5,6.3,7.6,8.9,10.2,11.5,12.8,14.1,15.4,16.7,18,19.7,21.4,23.1,24.8},{0,10,20,30,40,50,60,62,64,66,68,70,72,74,76,78,80,85,90,95,100})</f>
        <v>76</v>
      </c>
      <c r="G174" s="12">
        <v>207</v>
      </c>
      <c r="H174" s="11">
        <f>LOOKUP(G174,{0,124,129,134,139,144,149,152,155,158,161,164,167,170,173,176,179,186,193,199,205},{0,10,20,30,40,50,60,62,64,66,68,70,72,74,76,78,80,85,90,95,100})</f>
        <v>100</v>
      </c>
      <c r="I174" s="12">
        <v>44</v>
      </c>
      <c r="J174" s="11">
        <f>LOOKUP(I174,{0,14,16,18,20,22,24,26,28,30,32,34,36,38,40,42,44,47,50,52,54},{0,10,20,30,40,50,60,62,64,66,68,70,72,74,76,78,80,85,90,95,100})</f>
        <v>80</v>
      </c>
      <c r="K174" s="12"/>
      <c r="L174" s="12"/>
      <c r="M174" s="12">
        <f t="shared" si="85"/>
        <v>80</v>
      </c>
      <c r="N174" s="12">
        <v>9.6</v>
      </c>
      <c r="O174" s="12">
        <f t="shared" si="86"/>
        <v>2.4</v>
      </c>
      <c r="P174" s="11">
        <f>LOOKUP(O174,{0,0.5,0.7,0.9,1.1,1.3,1.5,1.7,1.9,2.1,2.3,2.5,2.7,2.9,3.1,3.3,3.5,3.8,4.1,4.2,4.3},{0,10,20,30,40,50,60,62,64,66,68,70,72,74,76,78,80,85,90,95,100})</f>
        <v>68</v>
      </c>
      <c r="Q174" s="12">
        <v>3.28</v>
      </c>
      <c r="R174" s="12">
        <f t="shared" si="87"/>
        <v>6.72</v>
      </c>
      <c r="S174" s="11">
        <f>LOOKUP(R174,{0,4.72,4.82,4.92,5.42,5.52,5.62,5.67,5.72,5.77,5.82,5.87,5.92,5.97,6.42,6.47,6.52,6.59,6.66,6.72,6.78},{0,10,20,30,40,50,60,62,64,66,68,70,72,74,76,78,80,85,90,95,100})</f>
        <v>95</v>
      </c>
      <c r="T174" s="12"/>
      <c r="U174" s="12"/>
      <c r="V174" s="12">
        <f t="shared" si="88"/>
        <v>95</v>
      </c>
      <c r="W174" s="12"/>
      <c r="X174" s="20">
        <f t="shared" si="89"/>
        <v>58.2</v>
      </c>
      <c r="Y174" s="20">
        <f t="shared" si="90"/>
        <v>83.1428571428572</v>
      </c>
    </row>
    <row r="175" ht="15.6" hidden="1" outlineLevel="2" spans="1:25">
      <c r="A175" s="12">
        <v>211</v>
      </c>
      <c r="B175" s="12">
        <v>44</v>
      </c>
      <c r="C175" s="6" t="s">
        <v>598</v>
      </c>
      <c r="D175" s="6" t="s">
        <v>53</v>
      </c>
      <c r="E175" s="12">
        <v>13</v>
      </c>
      <c r="F175" s="11">
        <f>LOOKUP(E175,{0,1,1.8,2.6,3.4,4.2,5,6.3,7.6,8.9,10.2,11.5,12.8,14.1,15.4,16.7,18,19.7,21.4,23.1,24.8},{0,10,20,30,40,50,60,62,64,66,68,70,72,74,76,78,80,85,90,95,100})</f>
        <v>72</v>
      </c>
      <c r="G175" s="12">
        <v>167</v>
      </c>
      <c r="H175" s="11">
        <f>LOOKUP(G175,{0,124,129,134,139,144,149,152,155,158,161,164,167,170,173,176,179,186,193,199,205},{0,10,20,30,40,50,60,62,64,66,68,70,72,74,76,78,80,85,90,95,100})</f>
        <v>72</v>
      </c>
      <c r="I175" s="12">
        <v>41</v>
      </c>
      <c r="J175" s="11">
        <f>LOOKUP(I175,{0,14,16,18,20,22,24,26,28,30,32,34,36,38,40,42,44,47,50,52,54},{0,10,20,30,40,50,60,62,64,66,68,70,72,74,76,78,80,85,90,95,100})</f>
        <v>76</v>
      </c>
      <c r="K175" s="12"/>
      <c r="L175" s="12"/>
      <c r="M175" s="12">
        <f t="shared" si="85"/>
        <v>76</v>
      </c>
      <c r="N175" s="12">
        <v>8</v>
      </c>
      <c r="O175" s="12">
        <f t="shared" si="86"/>
        <v>4</v>
      </c>
      <c r="P175" s="11">
        <f>LOOKUP(O175,{0,0.5,0.7,0.9,1.1,1.3,1.5,1.7,1.9,2.1,2.3,2.5,2.7,2.9,3.1,3.3,3.5,3.8,4.1,4.2,4.3},{0,10,20,30,40,50,60,62,64,66,68,70,72,74,76,78,80,85,90,95,100})</f>
        <v>85</v>
      </c>
      <c r="Q175" s="12">
        <v>4.02</v>
      </c>
      <c r="R175" s="12">
        <f t="shared" si="87"/>
        <v>5.98</v>
      </c>
      <c r="S175" s="11">
        <f>LOOKUP(R175,{0,4.72,4.82,4.92,5.42,5.52,5.62,5.67,5.72,5.77,5.82,5.87,5.92,5.97,6.42,6.47,6.52,6.59,6.66,6.72,6.78},{0,10,20,30,40,50,60,62,64,66,68,70,72,74,76,78,80,85,90,95,100})</f>
        <v>74</v>
      </c>
      <c r="T175" s="12"/>
      <c r="U175" s="15"/>
      <c r="V175" s="12">
        <f t="shared" si="88"/>
        <v>74</v>
      </c>
      <c r="W175" s="12"/>
      <c r="X175" s="20">
        <f t="shared" si="89"/>
        <v>53.8</v>
      </c>
      <c r="Y175" s="20">
        <f t="shared" si="90"/>
        <v>76.8571428571429</v>
      </c>
    </row>
    <row r="176" ht="15.6" hidden="1" outlineLevel="2" spans="1:25">
      <c r="A176" s="12">
        <v>211</v>
      </c>
      <c r="B176" s="12">
        <v>45</v>
      </c>
      <c r="C176" s="6" t="s">
        <v>599</v>
      </c>
      <c r="D176" s="6" t="s">
        <v>53</v>
      </c>
      <c r="E176" s="12">
        <v>17.4</v>
      </c>
      <c r="F176" s="11">
        <f>LOOKUP(E176,{0,1,1.8,2.6,3.4,4.2,5,6.3,7.6,8.9,10.2,11.5,12.8,14.1,15.4,16.7,18,19.7,21.4,23.1,24.8},{0,10,20,30,40,50,60,62,64,66,68,70,72,74,76,78,80,85,90,95,100})</f>
        <v>78</v>
      </c>
      <c r="G176" s="12">
        <v>187</v>
      </c>
      <c r="H176" s="11">
        <f>LOOKUP(G176,{0,124,129,134,139,144,149,152,155,158,161,164,167,170,173,176,179,186,193,199,205},{0,10,20,30,40,50,60,62,64,66,68,70,72,74,76,78,80,85,90,95,100})</f>
        <v>85</v>
      </c>
      <c r="I176" s="12">
        <v>50</v>
      </c>
      <c r="J176" s="11">
        <f>LOOKUP(I176,{0,14,16,18,20,22,24,26,28,30,32,34,36,38,40,42,44,47,50,52,54},{0,10,20,30,40,50,60,62,64,66,68,70,72,74,76,78,80,85,90,95,100})</f>
        <v>90</v>
      </c>
      <c r="K176" s="12"/>
      <c r="L176" s="12"/>
      <c r="M176" s="12">
        <f t="shared" si="85"/>
        <v>90</v>
      </c>
      <c r="N176" s="12">
        <v>8.1</v>
      </c>
      <c r="O176" s="12">
        <f t="shared" si="86"/>
        <v>3.9</v>
      </c>
      <c r="P176" s="11">
        <f>LOOKUP(O176,{0,0.5,0.7,0.9,1.1,1.3,1.5,1.7,1.9,2.1,2.3,2.5,2.7,2.9,3.1,3.3,3.5,3.8,4.1,4.2,4.3},{0,10,20,30,40,50,60,62,64,66,68,70,72,74,76,78,80,85,90,95,100})</f>
        <v>85</v>
      </c>
      <c r="Q176" s="12">
        <v>3.47</v>
      </c>
      <c r="R176" s="12">
        <f t="shared" si="87"/>
        <v>6.53</v>
      </c>
      <c r="S176" s="11">
        <f>LOOKUP(R176,{0,4.72,4.82,4.92,5.42,5.52,5.62,5.67,5.72,5.77,5.82,5.87,5.92,5.97,6.42,6.47,6.52,6.59,6.66,6.72,6.78},{0,10,20,30,40,50,60,62,64,66,68,70,72,74,76,78,80,85,90,95,100})</f>
        <v>80</v>
      </c>
      <c r="T176" s="12"/>
      <c r="U176" s="12"/>
      <c r="V176" s="12">
        <f t="shared" si="88"/>
        <v>80</v>
      </c>
      <c r="W176" s="12"/>
      <c r="X176" s="20">
        <f t="shared" si="89"/>
        <v>58.3</v>
      </c>
      <c r="Y176" s="20">
        <f t="shared" si="90"/>
        <v>83.2857142857143</v>
      </c>
    </row>
    <row r="177" ht="15.6" hidden="1" outlineLevel="2" spans="1:25">
      <c r="A177" s="12">
        <v>211</v>
      </c>
      <c r="B177" s="12">
        <v>46</v>
      </c>
      <c r="C177" s="6" t="s">
        <v>600</v>
      </c>
      <c r="D177" s="6" t="s">
        <v>53</v>
      </c>
      <c r="E177" s="12">
        <v>27</v>
      </c>
      <c r="F177" s="11">
        <f>LOOKUP(E177,{0,1,1.8,2.6,3.4,4.2,5,6.3,7.6,8.9,10.2,11.5,12.8,14.1,15.4,16.7,18,19.7,21.4,23.1,24.8},{0,10,20,30,40,50,60,62,64,66,68,70,72,74,76,78,80,85,90,95,100})</f>
        <v>100</v>
      </c>
      <c r="G177" s="12">
        <v>193</v>
      </c>
      <c r="H177" s="11">
        <f>LOOKUP(G177,{0,124,129,134,139,144,149,152,155,158,161,164,167,170,173,176,179,186,193,199,205},{0,10,20,30,40,50,60,62,64,66,68,70,72,74,76,78,80,85,90,95,100})</f>
        <v>90</v>
      </c>
      <c r="I177" s="12">
        <v>60</v>
      </c>
      <c r="J177" s="11">
        <f>LOOKUP(I177,{0,14,16,18,20,22,24,26,28,30,32,34,36,38,40,42,44,47,50,52,54},{0,10,20,30,40,50,60,62,64,66,68,70,72,74,76,78,80,85,90,95,100})</f>
        <v>100</v>
      </c>
      <c r="K177" s="12">
        <f t="shared" si="91"/>
        <v>6</v>
      </c>
      <c r="L177" s="11">
        <f>LOOKUP(K177,{0,2,4,6,7,8,9,10,11,12,13},{0,1,2,3,4,5,6,7,8,9,10})</f>
        <v>3</v>
      </c>
      <c r="M177" s="12">
        <f t="shared" si="85"/>
        <v>103</v>
      </c>
      <c r="N177" s="12">
        <v>8.1</v>
      </c>
      <c r="O177" s="12">
        <f t="shared" si="86"/>
        <v>3.9</v>
      </c>
      <c r="P177" s="11">
        <f>LOOKUP(O177,{0,0.5,0.7,0.9,1.1,1.3,1.5,1.7,1.9,2.1,2.3,2.5,2.7,2.9,3.1,3.3,3.5,3.8,4.1,4.2,4.3},{0,10,20,30,40,50,60,62,64,66,68,70,72,74,76,78,80,85,90,95,100})</f>
        <v>85</v>
      </c>
      <c r="Q177" s="12">
        <v>3.55</v>
      </c>
      <c r="R177" s="12">
        <f t="shared" si="87"/>
        <v>6.45</v>
      </c>
      <c r="S177" s="11">
        <f>LOOKUP(R177,{0,4.72,4.82,4.92,5.42,5.52,5.62,5.67,5.72,5.77,5.82,5.87,5.92,5.97,6.42,6.47,6.52,6.59,6.66,6.72,6.78},{0,10,20,30,40,50,60,62,64,66,68,70,72,74,76,78,80,85,90,95,100})</f>
        <v>76</v>
      </c>
      <c r="T177" s="12"/>
      <c r="U177" s="12"/>
      <c r="V177" s="12">
        <f t="shared" si="88"/>
        <v>76</v>
      </c>
      <c r="W177" s="12"/>
      <c r="X177" s="20">
        <f t="shared" si="89"/>
        <v>61.2</v>
      </c>
      <c r="Y177" s="20">
        <f t="shared" si="90"/>
        <v>90.4285714285714</v>
      </c>
    </row>
    <row r="178" ht="15.6" hidden="1" outlineLevel="2" spans="1:25">
      <c r="A178" s="12">
        <v>211</v>
      </c>
      <c r="B178" s="12">
        <v>47</v>
      </c>
      <c r="C178" s="6" t="s">
        <v>601</v>
      </c>
      <c r="D178" s="6" t="s">
        <v>53</v>
      </c>
      <c r="E178" s="12">
        <v>18.2</v>
      </c>
      <c r="F178" s="11">
        <f>LOOKUP(E178,{0,1,1.8,2.6,3.4,4.2,5,6.3,7.6,8.9,10.2,11.5,12.8,14.1,15.4,16.7,18,19.7,21.4,23.1,24.8},{0,10,20,30,40,50,60,62,64,66,68,70,72,74,76,78,80,85,90,95,100})</f>
        <v>80</v>
      </c>
      <c r="G178" s="12">
        <v>155</v>
      </c>
      <c r="H178" s="11">
        <f>LOOKUP(G178,{0,124,129,134,139,144,149,152,155,158,161,164,167,170,173,176,179,186,193,199,205},{0,10,20,30,40,50,60,62,64,66,68,70,72,74,76,78,80,85,90,95,100})</f>
        <v>64</v>
      </c>
      <c r="I178" s="12">
        <v>36</v>
      </c>
      <c r="J178" s="11">
        <f>LOOKUP(I178,{0,14,16,18,20,22,24,26,28,30,32,34,36,38,40,42,44,47,50,52,54},{0,10,20,30,40,50,60,62,64,66,68,70,72,74,76,78,80,85,90,95,100})</f>
        <v>72</v>
      </c>
      <c r="K178" s="12"/>
      <c r="L178" s="12"/>
      <c r="M178" s="12">
        <f t="shared" si="85"/>
        <v>72</v>
      </c>
      <c r="N178" s="12">
        <v>10.3</v>
      </c>
      <c r="O178" s="12">
        <f t="shared" si="86"/>
        <v>1.7</v>
      </c>
      <c r="P178" s="11">
        <f>LOOKUP(O178,{0,0.5,0.7,0.9,1.1,1.3,1.5,1.7,1.9,2.1,2.3,2.5,2.7,2.9,3.1,3.3,3.5,3.8,4.1,4.2,4.3},{0,10,20,30,40,50,60,62,64,66,68,70,72,74,76,78,80,85,90,95,100})</f>
        <v>62</v>
      </c>
      <c r="Q178" s="12">
        <v>4.39</v>
      </c>
      <c r="R178" s="12">
        <f t="shared" si="87"/>
        <v>5.61</v>
      </c>
      <c r="S178" s="11">
        <f>LOOKUP(R178,{0,4.72,4.82,4.92,5.42,5.52,5.62,5.67,5.72,5.77,5.82,5.87,5.92,5.97,6.42,6.47,6.52,6.59,6.66,6.72,6.78},{0,10,20,30,40,50,60,62,64,66,68,70,72,74,76,78,80,85,90,95,100})</f>
        <v>50</v>
      </c>
      <c r="T178" s="12"/>
      <c r="U178" s="12"/>
      <c r="V178" s="12">
        <f t="shared" si="88"/>
        <v>50</v>
      </c>
      <c r="W178" s="12"/>
      <c r="X178" s="20">
        <f t="shared" si="89"/>
        <v>44</v>
      </c>
      <c r="Y178" s="20">
        <f t="shared" si="90"/>
        <v>62.8571428571429</v>
      </c>
    </row>
    <row r="179" ht="15.6" hidden="1" outlineLevel="2" spans="1:25">
      <c r="A179" s="12">
        <v>211</v>
      </c>
      <c r="B179" s="12">
        <v>48</v>
      </c>
      <c r="C179" s="6" t="s">
        <v>602</v>
      </c>
      <c r="D179" s="6" t="s">
        <v>53</v>
      </c>
      <c r="E179" s="12">
        <v>22.5</v>
      </c>
      <c r="F179" s="11">
        <f>LOOKUP(E179,{0,1,1.8,2.6,3.4,4.2,5,6.3,7.6,8.9,10.2,11.5,12.8,14.1,15.4,16.7,18,19.7,21.4,23.1,24.8},{0,10,20,30,40,50,60,62,64,66,68,70,72,74,76,78,80,85,90,95,100})</f>
        <v>90</v>
      </c>
      <c r="G179" s="12">
        <v>202</v>
      </c>
      <c r="H179" s="11">
        <f>LOOKUP(G179,{0,124,129,134,139,144,149,152,155,158,161,164,167,170,173,176,179,186,193,199,205},{0,10,20,30,40,50,60,62,64,66,68,70,72,74,76,78,80,85,90,95,100})</f>
        <v>95</v>
      </c>
      <c r="I179" s="12">
        <v>42</v>
      </c>
      <c r="J179" s="11">
        <f>LOOKUP(I179,{0,14,16,18,20,22,24,26,28,30,32,34,36,38,40,42,44,47,50,52,54},{0,10,20,30,40,50,60,62,64,66,68,70,72,74,76,78,80,85,90,95,100})</f>
        <v>78</v>
      </c>
      <c r="K179" s="12"/>
      <c r="L179" s="12"/>
      <c r="M179" s="12">
        <f t="shared" si="85"/>
        <v>78</v>
      </c>
      <c r="N179" s="12">
        <v>8.1</v>
      </c>
      <c r="O179" s="12">
        <f t="shared" si="86"/>
        <v>3.9</v>
      </c>
      <c r="P179" s="11">
        <f>LOOKUP(O179,{0,0.5,0.7,0.9,1.1,1.3,1.5,1.7,1.9,2.1,2.3,2.5,2.7,2.9,3.1,3.3,3.5,3.8,4.1,4.2,4.3},{0,10,20,30,40,50,60,62,64,66,68,70,72,74,76,78,80,85,90,95,100})</f>
        <v>85</v>
      </c>
      <c r="Q179" s="12">
        <v>3.44</v>
      </c>
      <c r="R179" s="12">
        <f t="shared" si="87"/>
        <v>6.56</v>
      </c>
      <c r="S179" s="11">
        <f>LOOKUP(R179,{0,4.72,4.82,4.92,5.42,5.52,5.62,5.67,5.72,5.77,5.82,5.87,5.92,5.97,6.42,6.47,6.52,6.59,6.66,6.72,6.78},{0,10,20,30,40,50,60,62,64,66,68,70,72,74,76,78,80,85,90,95,100})</f>
        <v>80</v>
      </c>
      <c r="T179" s="12"/>
      <c r="U179" s="12"/>
      <c r="V179" s="12">
        <f t="shared" si="88"/>
        <v>80</v>
      </c>
      <c r="W179" s="12"/>
      <c r="X179" s="20">
        <f t="shared" si="89"/>
        <v>59.3</v>
      </c>
      <c r="Y179" s="20">
        <f t="shared" si="90"/>
        <v>84.7142857142857</v>
      </c>
    </row>
    <row r="180" ht="15.6" hidden="1" outlineLevel="2" spans="1:25">
      <c r="A180" s="12">
        <v>211</v>
      </c>
      <c r="B180" s="12">
        <v>49</v>
      </c>
      <c r="C180" s="6" t="s">
        <v>603</v>
      </c>
      <c r="D180" s="6" t="s">
        <v>53</v>
      </c>
      <c r="E180" s="12">
        <v>22</v>
      </c>
      <c r="F180" s="11">
        <f>LOOKUP(E180,{0,1,1.8,2.6,3.4,4.2,5,6.3,7.6,8.9,10.2,11.5,12.8,14.1,15.4,16.7,18,19.7,21.4,23.1,24.8},{0,10,20,30,40,50,60,62,64,66,68,70,72,74,76,78,80,85,90,95,100})</f>
        <v>90</v>
      </c>
      <c r="G180" s="12">
        <v>190</v>
      </c>
      <c r="H180" s="11">
        <f>LOOKUP(G180,{0,124,129,134,139,144,149,152,155,158,161,164,167,170,173,176,179,186,193,199,205},{0,10,20,30,40,50,60,62,64,66,68,70,72,74,76,78,80,85,90,95,100})</f>
        <v>85</v>
      </c>
      <c r="I180" s="12">
        <v>41</v>
      </c>
      <c r="J180" s="11">
        <f>LOOKUP(I180,{0,14,16,18,20,22,24,26,28,30,32,34,36,38,40,42,44,47,50,52,54},{0,10,20,30,40,50,60,62,64,66,68,70,72,74,76,78,80,85,90,95,100})</f>
        <v>76</v>
      </c>
      <c r="K180" s="12"/>
      <c r="L180" s="12"/>
      <c r="M180" s="12">
        <f t="shared" si="85"/>
        <v>76</v>
      </c>
      <c r="N180" s="12">
        <v>8.7</v>
      </c>
      <c r="O180" s="12">
        <f t="shared" si="86"/>
        <v>3.3</v>
      </c>
      <c r="P180" s="11">
        <f>LOOKUP(O180,{0,0.5,0.7,0.9,1.1,1.3,1.5,1.7,1.9,2.1,2.3,2.5,2.7,2.9,3.1,3.3,3.5,3.8,4.1,4.2,4.3},{0,10,20,30,40,50,60,62,64,66,68,70,72,74,76,78,80,85,90,95,100})</f>
        <v>78</v>
      </c>
      <c r="Q180" s="12">
        <v>3.27</v>
      </c>
      <c r="R180" s="12">
        <f t="shared" si="87"/>
        <v>6.73</v>
      </c>
      <c r="S180" s="11">
        <f>LOOKUP(R180,{0,4.72,4.82,4.92,5.42,5.52,5.62,5.67,5.72,5.77,5.82,5.87,5.92,5.97,6.42,6.47,6.52,6.59,6.66,6.72,6.78},{0,10,20,30,40,50,60,62,64,66,68,70,72,74,76,78,80,85,90,95,100})</f>
        <v>95</v>
      </c>
      <c r="T180" s="12"/>
      <c r="U180" s="12"/>
      <c r="V180" s="12">
        <f t="shared" si="88"/>
        <v>95</v>
      </c>
      <c r="W180" s="12"/>
      <c r="X180" s="20">
        <f t="shared" si="89"/>
        <v>59.7</v>
      </c>
      <c r="Y180" s="20">
        <f t="shared" si="90"/>
        <v>85.2857142857143</v>
      </c>
    </row>
    <row r="181" ht="15.6" hidden="1" outlineLevel="2" spans="1:25">
      <c r="A181" s="12">
        <v>211</v>
      </c>
      <c r="B181" s="12">
        <v>50</v>
      </c>
      <c r="C181" s="6" t="s">
        <v>604</v>
      </c>
      <c r="D181" s="6" t="s">
        <v>53</v>
      </c>
      <c r="E181" s="12">
        <v>12.1</v>
      </c>
      <c r="F181" s="11">
        <f>LOOKUP(E181,{0,1,1.8,2.6,3.4,4.2,5,6.3,7.6,8.9,10.2,11.5,12.8,14.1,15.4,16.7,18,19.7,21.4,23.1,24.8},{0,10,20,30,40,50,60,62,64,66,68,70,72,74,76,78,80,85,90,95,100})</f>
        <v>70</v>
      </c>
      <c r="G181" s="12">
        <v>165</v>
      </c>
      <c r="H181" s="11">
        <f>LOOKUP(G181,{0,124,129,134,139,144,149,152,155,158,161,164,167,170,173,176,179,186,193,199,205},{0,10,20,30,40,50,60,62,64,66,68,70,72,74,76,78,80,85,90,95,100})</f>
        <v>70</v>
      </c>
      <c r="I181" s="12">
        <v>44</v>
      </c>
      <c r="J181" s="11">
        <f>LOOKUP(I181,{0,14,16,18,20,22,24,26,28,30,32,34,36,38,40,42,44,47,50,52,54},{0,10,20,30,40,50,60,62,64,66,68,70,72,74,76,78,80,85,90,95,100})</f>
        <v>80</v>
      </c>
      <c r="K181" s="12"/>
      <c r="L181" s="12"/>
      <c r="M181" s="12">
        <f t="shared" si="85"/>
        <v>80</v>
      </c>
      <c r="N181" s="12">
        <v>8.9</v>
      </c>
      <c r="O181" s="12">
        <f t="shared" si="86"/>
        <v>3.1</v>
      </c>
      <c r="P181" s="11">
        <f>LOOKUP(O181,{0,0.5,0.7,0.9,1.1,1.3,1.5,1.7,1.9,2.1,2.3,2.5,2.7,2.9,3.1,3.3,3.5,3.8,4.1,4.2,4.3},{0,10,20,30,40,50,60,62,64,66,68,70,72,74,76,78,80,85,90,95,100})</f>
        <v>76</v>
      </c>
      <c r="Q181" s="12">
        <v>3.44</v>
      </c>
      <c r="R181" s="12">
        <f t="shared" si="87"/>
        <v>6.56</v>
      </c>
      <c r="S181" s="11">
        <f>LOOKUP(R181,{0,4.72,4.82,4.92,5.42,5.52,5.62,5.67,5.72,5.77,5.82,5.87,5.92,5.97,6.42,6.47,6.52,6.59,6.66,6.72,6.78},{0,10,20,30,40,50,60,62,64,66,68,70,72,74,76,78,80,85,90,95,100})</f>
        <v>80</v>
      </c>
      <c r="T181" s="12"/>
      <c r="U181" s="12"/>
      <c r="V181" s="12">
        <f t="shared" si="88"/>
        <v>80</v>
      </c>
      <c r="W181" s="12"/>
      <c r="X181" s="20">
        <f t="shared" si="89"/>
        <v>53.2</v>
      </c>
      <c r="Y181" s="20">
        <f t="shared" si="90"/>
        <v>76</v>
      </c>
    </row>
    <row r="182" ht="15.6" hidden="1" outlineLevel="2" spans="1:25">
      <c r="A182" s="12">
        <v>211</v>
      </c>
      <c r="B182" s="12">
        <v>51</v>
      </c>
      <c r="C182" s="6" t="s">
        <v>605</v>
      </c>
      <c r="D182" s="6" t="s">
        <v>53</v>
      </c>
      <c r="E182" s="12">
        <v>17.3</v>
      </c>
      <c r="F182" s="11">
        <f>LOOKUP(E182,{0,1,1.8,2.6,3.4,4.2,5,6.3,7.6,8.9,10.2,11.5,12.8,14.1,15.4,16.7,18,19.7,21.4,23.1,24.8},{0,10,20,30,40,50,60,62,64,66,68,70,72,74,76,78,80,85,90,95,100})</f>
        <v>78</v>
      </c>
      <c r="G182" s="12">
        <v>155</v>
      </c>
      <c r="H182" s="11">
        <f>LOOKUP(G182,{0,124,129,134,139,144,149,152,155,158,161,164,167,170,173,176,179,186,193,199,205},{0,10,20,30,40,50,60,62,64,66,68,70,72,74,76,78,80,85,90,95,100})</f>
        <v>64</v>
      </c>
      <c r="I182" s="12">
        <v>39</v>
      </c>
      <c r="J182" s="11">
        <f>LOOKUP(I182,{0,14,16,18,20,22,24,26,28,30,32,34,36,38,40,42,44,47,50,52,54},{0,10,20,30,40,50,60,62,64,66,68,70,72,74,76,78,80,85,90,95,100})</f>
        <v>74</v>
      </c>
      <c r="K182" s="12"/>
      <c r="L182" s="12"/>
      <c r="M182" s="12">
        <f t="shared" si="85"/>
        <v>74</v>
      </c>
      <c r="N182" s="12">
        <v>10</v>
      </c>
      <c r="O182" s="12">
        <f t="shared" si="86"/>
        <v>2</v>
      </c>
      <c r="P182" s="11">
        <f>LOOKUP(O182,{0,0.5,0.7,0.9,1.1,1.3,1.5,1.7,1.9,2.1,2.3,2.5,2.7,2.9,3.1,3.3,3.5,3.8,4.1,4.2,4.3},{0,10,20,30,40,50,60,62,64,66,68,70,72,74,76,78,80,85,90,95,100})</f>
        <v>64</v>
      </c>
      <c r="Q182" s="12">
        <v>4.28</v>
      </c>
      <c r="R182" s="12">
        <f t="shared" si="87"/>
        <v>5.72</v>
      </c>
      <c r="S182" s="11">
        <f>LOOKUP(R182,{0,4.72,4.82,4.92,5.42,5.52,5.62,5.67,5.72,5.77,5.82,5.87,5.92,5.97,6.42,6.47,6.52,6.59,6.66,6.72,6.78},{0,10,20,30,40,50,60,62,64,66,68,70,72,74,76,78,80,85,90,95,100})</f>
        <v>64</v>
      </c>
      <c r="T182" s="12"/>
      <c r="U182" s="12"/>
      <c r="V182" s="12">
        <f t="shared" si="88"/>
        <v>64</v>
      </c>
      <c r="W182" s="12"/>
      <c r="X182" s="20">
        <f t="shared" si="89"/>
        <v>47.2</v>
      </c>
      <c r="Y182" s="20">
        <f t="shared" si="90"/>
        <v>67.4285714285714</v>
      </c>
    </row>
    <row r="183" ht="15.6" outlineLevel="1" collapsed="1" spans="1:25">
      <c r="A183" s="14" t="s">
        <v>865</v>
      </c>
      <c r="B183" s="12"/>
      <c r="C183" s="6"/>
      <c r="D183" s="6"/>
      <c r="E183" s="12"/>
      <c r="F183" s="11">
        <f>SUBTOTAL(1,F164:F182)</f>
        <v>83.1052631578947</v>
      </c>
      <c r="G183" s="12"/>
      <c r="H183" s="11">
        <f>SUBTOTAL(1,H164:H182)</f>
        <v>82.5263157894737</v>
      </c>
      <c r="I183" s="12"/>
      <c r="J183" s="11">
        <f>SUBTOTAL(1,J164:J182)</f>
        <v>85.7368421052632</v>
      </c>
      <c r="K183" s="12"/>
      <c r="L183" s="12"/>
      <c r="M183" s="12">
        <f>SUBTOTAL(1,M164:M182)</f>
        <v>86.5263157894737</v>
      </c>
      <c r="N183" s="12"/>
      <c r="O183" s="12"/>
      <c r="P183" s="11">
        <f>SUBTOTAL(1,P164:P182)</f>
        <v>78.1578947368421</v>
      </c>
      <c r="Q183" s="12"/>
      <c r="R183" s="12"/>
      <c r="S183" s="11">
        <f>SUBTOTAL(1,S164:S182)</f>
        <v>81.9473684210526</v>
      </c>
      <c r="T183" s="12"/>
      <c r="U183" s="12"/>
      <c r="V183" s="12">
        <f>SUBTOTAL(1,V164:V182)</f>
        <v>82</v>
      </c>
      <c r="W183" s="12"/>
      <c r="X183" s="20">
        <f>SUBTOTAL(1,X164:X182)</f>
        <v>57.1578947368421</v>
      </c>
      <c r="Y183" s="20">
        <f>SUBTOTAL(1,Y164:Y182)</f>
        <v>82.4962406015038</v>
      </c>
    </row>
    <row r="184" ht="15.6" hidden="1" outlineLevel="2" spans="1:25">
      <c r="A184" s="12">
        <v>212</v>
      </c>
      <c r="B184" s="12">
        <v>31</v>
      </c>
      <c r="C184" s="13" t="s">
        <v>641</v>
      </c>
      <c r="D184" s="6" t="s">
        <v>53</v>
      </c>
      <c r="E184" s="12">
        <v>18.4</v>
      </c>
      <c r="F184" s="11">
        <f>LOOKUP(E184,{0,1,1.8,2.6,3.4,4.2,5,6.3,7.6,8.9,10.2,11.5,12.8,14.1,15.4,16.7,18,19.7,21.4,23.1,24.8},{0,10,20,30,40,50,60,62,64,66,68,70,72,74,76,78,80,85,90,95,100})</f>
        <v>80</v>
      </c>
      <c r="G184" s="12">
        <v>194</v>
      </c>
      <c r="H184" s="11">
        <f>LOOKUP(G184,{0,124,129,134,139,144,149,152,155,158,161,164,167,170,173,176,179,186,193,199,205},{0,10,20,30,40,50,60,62,64,66,68,70,72,74,76,78,80,85,90,95,100})</f>
        <v>90</v>
      </c>
      <c r="I184" s="12">
        <v>48</v>
      </c>
      <c r="J184" s="11">
        <f>LOOKUP(I184,{0,14,16,18,20,22,24,26,28,30,32,34,36,38,40,42,44,47,50,52,54},{0,10,20,30,40,50,60,62,64,66,68,70,72,74,76,78,80,85,90,95,100})</f>
        <v>85</v>
      </c>
      <c r="K184" s="12"/>
      <c r="L184" s="12"/>
      <c r="M184" s="12">
        <f t="shared" ref="M184:M190" si="92">J184+L184</f>
        <v>85</v>
      </c>
      <c r="N184" s="12">
        <v>7.8</v>
      </c>
      <c r="O184" s="12">
        <f t="shared" ref="O184:O203" si="93">12-N184</f>
        <v>4.2</v>
      </c>
      <c r="P184" s="11">
        <f>LOOKUP(O184,{0,0.5,0.7,0.9,1.1,1.3,1.5,1.7,1.9,2.1,2.3,2.5,2.7,2.9,3.1,3.3,3.5,3.8,4.1,4.2,4.3},{0,10,20,30,40,50,60,62,64,66,68,70,72,74,76,78,80,85,90,95,100})</f>
        <v>95</v>
      </c>
      <c r="Q184" s="12">
        <v>3.11</v>
      </c>
      <c r="R184" s="12">
        <f t="shared" ref="R184:R190" si="94">10-Q184</f>
        <v>6.89</v>
      </c>
      <c r="S184" s="11">
        <f>LOOKUP(R184,{0,4.72,4.82,4.92,5.42,5.52,5.62,5.67,5.72,5.77,5.82,5.87,5.92,5.97,6.42,6.47,6.52,6.59,6.66,6.72,6.78},{0,10,20,30,40,50,60,62,64,66,68,70,72,74,76,78,80,85,90,95,100})</f>
        <v>100</v>
      </c>
      <c r="T184" s="21">
        <f>3.22-Q184</f>
        <v>0.11</v>
      </c>
      <c r="U184" s="11">
        <f>LOOKUP(T184,{0,0.05,0.1,0.15,0.2,0.25,0.3,0.35,0.4,0.45,0.5},{0,1,2,3,4,5,6,7,8,9,10})</f>
        <v>2</v>
      </c>
      <c r="V184" s="12">
        <f t="shared" ref="V184:V190" si="95">S184+U184</f>
        <v>102</v>
      </c>
      <c r="W184" s="12"/>
      <c r="X184" s="20">
        <f t="shared" ref="X184:X204" si="96">F184*0.1+H184*0.1+J184*0.1+P184*0.2+S184*0.2</f>
        <v>64.5</v>
      </c>
      <c r="Y184" s="20">
        <f t="shared" ref="Y184:Y190" si="97">X184/0.7+L184+U184</f>
        <v>94.1428571428572</v>
      </c>
    </row>
    <row r="185" ht="15.6" hidden="1" outlineLevel="2" spans="1:25">
      <c r="A185" s="12">
        <v>212</v>
      </c>
      <c r="B185" s="12">
        <v>32</v>
      </c>
      <c r="C185" s="6" t="s">
        <v>642</v>
      </c>
      <c r="D185" s="6" t="s">
        <v>53</v>
      </c>
      <c r="E185" s="12">
        <v>23.5</v>
      </c>
      <c r="F185" s="11">
        <f>LOOKUP(E185,{0,1,1.8,2.6,3.4,4.2,5,6.3,7.6,8.9,10.2,11.5,12.8,14.1,15.4,16.7,18,19.7,21.4,23.1,24.8},{0,10,20,30,40,50,60,62,64,66,68,70,72,74,76,78,80,85,90,95,100})</f>
        <v>95</v>
      </c>
      <c r="G185" s="12">
        <v>171</v>
      </c>
      <c r="H185" s="11">
        <f>LOOKUP(G185,{0,124,129,134,139,144,149,152,155,158,161,164,167,170,173,176,179,186,193,199,205},{0,10,20,30,40,50,60,62,64,66,68,70,72,74,76,78,80,85,90,95,100})</f>
        <v>74</v>
      </c>
      <c r="I185" s="12">
        <v>48</v>
      </c>
      <c r="J185" s="11">
        <f>LOOKUP(I185,{0,14,16,18,20,22,24,26,28,30,32,34,36,38,40,42,44,47,50,52,54},{0,10,20,30,40,50,60,62,64,66,68,70,72,74,76,78,80,85,90,95,100})</f>
        <v>85</v>
      </c>
      <c r="K185" s="12"/>
      <c r="L185" s="12"/>
      <c r="M185" s="12">
        <f t="shared" si="92"/>
        <v>85</v>
      </c>
      <c r="N185" s="12">
        <v>8.4</v>
      </c>
      <c r="O185" s="12">
        <f t="shared" si="93"/>
        <v>3.6</v>
      </c>
      <c r="P185" s="11">
        <f>LOOKUP(O185,{0,0.5,0.7,0.9,1.1,1.3,1.5,1.7,1.9,2.1,2.3,2.5,2.7,2.9,3.1,3.3,3.5,3.8,4.1,4.2,4.3},{0,10,20,30,40,50,60,62,64,66,68,70,72,74,76,78,80,85,90,95,100})</f>
        <v>80</v>
      </c>
      <c r="Q185" s="12">
        <v>3.46</v>
      </c>
      <c r="R185" s="12">
        <f t="shared" si="94"/>
        <v>6.54</v>
      </c>
      <c r="S185" s="11">
        <f>LOOKUP(R185,{0,4.72,4.82,4.92,5.42,5.52,5.62,5.67,5.72,5.77,5.82,5.87,5.92,5.97,6.42,6.47,6.52,6.59,6.66,6.72,6.78},{0,10,20,30,40,50,60,62,64,66,68,70,72,74,76,78,80,85,90,95,100})</f>
        <v>80</v>
      </c>
      <c r="T185" s="12"/>
      <c r="U185" s="12"/>
      <c r="V185" s="12">
        <f t="shared" si="95"/>
        <v>80</v>
      </c>
      <c r="W185" s="12"/>
      <c r="X185" s="20">
        <f t="shared" si="96"/>
        <v>57.4</v>
      </c>
      <c r="Y185" s="20">
        <f t="shared" si="97"/>
        <v>82</v>
      </c>
    </row>
    <row r="186" ht="15.6" hidden="1" outlineLevel="2" spans="1:25">
      <c r="A186" s="12">
        <v>212</v>
      </c>
      <c r="B186" s="12">
        <v>33</v>
      </c>
      <c r="C186" s="6" t="s">
        <v>643</v>
      </c>
      <c r="D186" s="6" t="s">
        <v>53</v>
      </c>
      <c r="E186" s="12">
        <v>21.4</v>
      </c>
      <c r="F186" s="11">
        <f>LOOKUP(E186,{0,1,1.8,2.6,3.4,4.2,5,6.3,7.6,8.9,10.2,11.5,12.8,14.1,15.4,16.7,18,19.7,21.4,23.1,24.8},{0,10,20,30,40,50,60,62,64,66,68,70,72,74,76,78,80,85,90,95,100})</f>
        <v>90</v>
      </c>
      <c r="G186" s="12">
        <v>175</v>
      </c>
      <c r="H186" s="11">
        <f>LOOKUP(G186,{0,124,129,134,139,144,149,152,155,158,161,164,167,170,173,176,179,186,193,199,205},{0,10,20,30,40,50,60,62,64,66,68,70,72,74,76,78,80,85,90,95,100})</f>
        <v>76</v>
      </c>
      <c r="I186" s="12">
        <v>51</v>
      </c>
      <c r="J186" s="11">
        <f>LOOKUP(I186,{0,14,16,18,20,22,24,26,28,30,32,34,36,38,40,42,44,47,50,52,54},{0,10,20,30,40,50,60,62,64,66,68,70,72,74,76,78,80,85,90,95,100})</f>
        <v>90</v>
      </c>
      <c r="K186" s="12"/>
      <c r="L186" s="12"/>
      <c r="M186" s="12">
        <f t="shared" si="92"/>
        <v>90</v>
      </c>
      <c r="N186" s="12">
        <v>8.5</v>
      </c>
      <c r="O186" s="12">
        <f t="shared" si="93"/>
        <v>3.5</v>
      </c>
      <c r="P186" s="11">
        <f>LOOKUP(O186,{0,0.5,0.7,0.9,1.1,1.3,1.5,1.7,1.9,2.1,2.3,2.5,2.7,2.9,3.1,3.3,3.5,3.8,4.1,4.2,4.3},{0,10,20,30,40,50,60,62,64,66,68,70,72,74,76,78,80,85,90,95,100})</f>
        <v>80</v>
      </c>
      <c r="Q186" s="12">
        <v>3.29</v>
      </c>
      <c r="R186" s="12">
        <f t="shared" si="94"/>
        <v>6.71</v>
      </c>
      <c r="S186" s="11">
        <f>LOOKUP(R186,{0,4.72,4.82,4.92,5.42,5.52,5.62,5.67,5.72,5.77,5.82,5.87,5.92,5.97,6.42,6.47,6.52,6.59,6.66,6.72,6.78},{0,10,20,30,40,50,60,62,64,66,68,70,72,74,76,78,80,85,90,95,100})</f>
        <v>90</v>
      </c>
      <c r="T186" s="12"/>
      <c r="U186" s="12"/>
      <c r="V186" s="12">
        <f t="shared" si="95"/>
        <v>90</v>
      </c>
      <c r="W186" s="12"/>
      <c r="X186" s="20">
        <f t="shared" si="96"/>
        <v>59.6</v>
      </c>
      <c r="Y186" s="20">
        <f t="shared" si="97"/>
        <v>85.1428571428572</v>
      </c>
    </row>
    <row r="187" ht="15.6" hidden="1" outlineLevel="2" spans="1:25">
      <c r="A187" s="12">
        <v>212</v>
      </c>
      <c r="B187" s="12">
        <v>34</v>
      </c>
      <c r="C187" s="6" t="s">
        <v>644</v>
      </c>
      <c r="D187" s="6" t="s">
        <v>53</v>
      </c>
      <c r="E187" s="12">
        <v>15.5</v>
      </c>
      <c r="F187" s="11">
        <f>LOOKUP(E187,{0,1,1.8,2.6,3.4,4.2,5,6.3,7.6,8.9,10.2,11.5,12.8,14.1,15.4,16.7,18,19.7,21.4,23.1,24.8},{0,10,20,30,40,50,60,62,64,66,68,70,72,74,76,78,80,85,90,95,100})</f>
        <v>76</v>
      </c>
      <c r="G187" s="12">
        <v>165</v>
      </c>
      <c r="H187" s="11">
        <f>LOOKUP(G187,{0,124,129,134,139,144,149,152,155,158,161,164,167,170,173,176,179,186,193,199,205},{0,10,20,30,40,50,60,62,64,66,68,70,72,74,76,78,80,85,90,95,100})</f>
        <v>70</v>
      </c>
      <c r="I187" s="12">
        <v>35</v>
      </c>
      <c r="J187" s="11">
        <f>LOOKUP(I187,{0,14,16,18,20,22,24,26,28,30,32,34,36,38,40,42,44,47,50,52,54},{0,10,20,30,40,50,60,62,64,66,68,70,72,74,76,78,80,85,90,95,100})</f>
        <v>70</v>
      </c>
      <c r="K187" s="12"/>
      <c r="L187" s="12"/>
      <c r="M187" s="12">
        <f t="shared" si="92"/>
        <v>70</v>
      </c>
      <c r="N187" s="12">
        <v>8.9</v>
      </c>
      <c r="O187" s="12">
        <f t="shared" si="93"/>
        <v>3.1</v>
      </c>
      <c r="P187" s="11">
        <f>LOOKUP(O187,{0,0.5,0.7,0.9,1.1,1.3,1.5,1.7,1.9,2.1,2.3,2.5,2.7,2.9,3.1,3.3,3.5,3.8,4.1,4.2,4.3},{0,10,20,30,40,50,60,62,64,66,68,70,72,74,76,78,80,85,90,95,100})</f>
        <v>76</v>
      </c>
      <c r="Q187" s="12">
        <v>3.38</v>
      </c>
      <c r="R187" s="12">
        <f t="shared" si="94"/>
        <v>6.62</v>
      </c>
      <c r="S187" s="11">
        <f>LOOKUP(R187,{0,4.72,4.82,4.92,5.42,5.52,5.62,5.67,5.72,5.77,5.82,5.87,5.92,5.97,6.42,6.47,6.52,6.59,6.66,6.72,6.78},{0,10,20,30,40,50,60,62,64,66,68,70,72,74,76,78,80,85,90,95,100})</f>
        <v>85</v>
      </c>
      <c r="T187" s="12"/>
      <c r="U187" s="12"/>
      <c r="V187" s="12">
        <f t="shared" si="95"/>
        <v>85</v>
      </c>
      <c r="W187" s="12"/>
      <c r="X187" s="20">
        <f t="shared" si="96"/>
        <v>53.8</v>
      </c>
      <c r="Y187" s="20">
        <f t="shared" si="97"/>
        <v>76.8571428571429</v>
      </c>
    </row>
    <row r="188" ht="15.6" hidden="1" outlineLevel="2" spans="1:25">
      <c r="A188" s="12">
        <v>212</v>
      </c>
      <c r="B188" s="12">
        <v>35</v>
      </c>
      <c r="C188" s="6" t="s">
        <v>645</v>
      </c>
      <c r="D188" s="6" t="s">
        <v>53</v>
      </c>
      <c r="E188" s="12">
        <v>22</v>
      </c>
      <c r="F188" s="11">
        <f>LOOKUP(E188,{0,1,1.8,2.6,3.4,4.2,5,6.3,7.6,8.9,10.2,11.5,12.8,14.1,15.4,16.7,18,19.7,21.4,23.1,24.8},{0,10,20,30,40,50,60,62,64,66,68,70,72,74,76,78,80,85,90,95,100})</f>
        <v>90</v>
      </c>
      <c r="G188" s="12">
        <v>190</v>
      </c>
      <c r="H188" s="11">
        <f>LOOKUP(G188,{0,124,129,134,139,144,149,152,155,158,161,164,167,170,173,176,179,186,193,199,205},{0,10,20,30,40,50,60,62,64,66,68,70,72,74,76,78,80,85,90,95,100})</f>
        <v>85</v>
      </c>
      <c r="I188" s="12">
        <v>47</v>
      </c>
      <c r="J188" s="11">
        <f>LOOKUP(I188,{0,14,16,18,20,22,24,26,28,30,32,34,36,38,40,42,44,47,50,52,54},{0,10,20,30,40,50,60,62,64,66,68,70,72,74,76,78,80,85,90,95,100})</f>
        <v>85</v>
      </c>
      <c r="K188" s="12"/>
      <c r="L188" s="12"/>
      <c r="M188" s="12">
        <f t="shared" si="92"/>
        <v>85</v>
      </c>
      <c r="N188" s="12">
        <v>8.5</v>
      </c>
      <c r="O188" s="12">
        <f t="shared" si="93"/>
        <v>3.5</v>
      </c>
      <c r="P188" s="11">
        <f>LOOKUP(O188,{0,0.5,0.7,0.9,1.1,1.3,1.5,1.7,1.9,2.1,2.3,2.5,2.7,2.9,3.1,3.3,3.5,3.8,4.1,4.2,4.3},{0,10,20,30,40,50,60,62,64,66,68,70,72,74,76,78,80,85,90,95,100})</f>
        <v>80</v>
      </c>
      <c r="Q188" s="12">
        <v>4.03</v>
      </c>
      <c r="R188" s="12">
        <f t="shared" si="94"/>
        <v>5.97</v>
      </c>
      <c r="S188" s="11">
        <f>LOOKUP(R188,{0,4.72,4.82,4.92,5.42,5.52,5.62,5.67,5.72,5.77,5.82,5.87,5.92,5.97,6.42,6.47,6.52,6.59,6.66,6.72,6.78},{0,10,20,30,40,50,60,62,64,66,68,70,72,74,76,78,80,85,90,95,100})</f>
        <v>74</v>
      </c>
      <c r="T188" s="12"/>
      <c r="U188" s="12"/>
      <c r="V188" s="12">
        <f t="shared" si="95"/>
        <v>74</v>
      </c>
      <c r="W188" s="12"/>
      <c r="X188" s="20">
        <f t="shared" si="96"/>
        <v>56.8</v>
      </c>
      <c r="Y188" s="20">
        <f t="shared" si="97"/>
        <v>81.1428571428571</v>
      </c>
    </row>
    <row r="189" ht="15.6" hidden="1" outlineLevel="2" spans="1:25">
      <c r="A189" s="12">
        <v>212</v>
      </c>
      <c r="B189" s="12">
        <v>36</v>
      </c>
      <c r="C189" s="6" t="s">
        <v>646</v>
      </c>
      <c r="D189" s="6" t="s">
        <v>53</v>
      </c>
      <c r="E189" s="12">
        <v>23.3</v>
      </c>
      <c r="F189" s="11">
        <f>LOOKUP(E189,{0,1,1.8,2.6,3.4,4.2,5,6.3,7.6,8.9,10.2,11.5,12.8,14.1,15.4,16.7,18,19.7,21.4,23.1,24.8},{0,10,20,30,40,50,60,62,64,66,68,70,72,74,76,78,80,85,90,95,100})</f>
        <v>95</v>
      </c>
      <c r="G189" s="12">
        <v>180</v>
      </c>
      <c r="H189" s="11">
        <f>LOOKUP(G189,{0,124,129,134,139,144,149,152,155,158,161,164,167,170,173,176,179,186,193,199,205},{0,10,20,30,40,50,60,62,64,66,68,70,72,74,76,78,80,85,90,95,100})</f>
        <v>80</v>
      </c>
      <c r="I189" s="12">
        <v>47</v>
      </c>
      <c r="J189" s="11">
        <f>LOOKUP(I189,{0,14,16,18,20,22,24,26,28,30,32,34,36,38,40,42,44,47,50,52,54},{0,10,20,30,40,50,60,62,64,66,68,70,72,74,76,78,80,85,90,95,100})</f>
        <v>85</v>
      </c>
      <c r="K189" s="12"/>
      <c r="L189" s="12"/>
      <c r="M189" s="12">
        <f t="shared" si="92"/>
        <v>85</v>
      </c>
      <c r="N189" s="12">
        <v>8.2</v>
      </c>
      <c r="O189" s="12">
        <f t="shared" si="93"/>
        <v>3.8</v>
      </c>
      <c r="P189" s="11">
        <f>LOOKUP(O189,{0,0.5,0.7,0.9,1.1,1.3,1.5,1.7,1.9,2.1,2.3,2.5,2.7,2.9,3.1,3.3,3.5,3.8,4.1,4.2,4.3},{0,10,20,30,40,50,60,62,64,66,68,70,72,74,76,78,80,85,90,95,100})</f>
        <v>85</v>
      </c>
      <c r="Q189" s="12">
        <v>3.33</v>
      </c>
      <c r="R189" s="12">
        <f t="shared" si="94"/>
        <v>6.67</v>
      </c>
      <c r="S189" s="11">
        <f>LOOKUP(R189,{0,4.72,4.82,4.92,5.42,5.52,5.62,5.67,5.72,5.77,5.82,5.87,5.92,5.97,6.42,6.47,6.52,6.59,6.66,6.72,6.78},{0,10,20,30,40,50,60,62,64,66,68,70,72,74,76,78,80,85,90,95,100})</f>
        <v>90</v>
      </c>
      <c r="T189" s="12"/>
      <c r="U189" s="12"/>
      <c r="V189" s="12">
        <f t="shared" si="95"/>
        <v>90</v>
      </c>
      <c r="W189" s="12"/>
      <c r="X189" s="20">
        <f t="shared" si="96"/>
        <v>61</v>
      </c>
      <c r="Y189" s="20">
        <f t="shared" si="97"/>
        <v>87.1428571428572</v>
      </c>
    </row>
    <row r="190" s="1" customFormat="1" ht="15.6" hidden="1" outlineLevel="2" spans="1:25">
      <c r="A190" s="12">
        <v>212</v>
      </c>
      <c r="B190" s="12">
        <v>37</v>
      </c>
      <c r="C190" s="6" t="s">
        <v>647</v>
      </c>
      <c r="D190" s="6" t="s">
        <v>53</v>
      </c>
      <c r="E190" s="12">
        <v>17</v>
      </c>
      <c r="F190" s="11">
        <f>LOOKUP(E190,{0,1,1.8,2.6,3.4,4.2,5,6.3,7.6,8.9,10.2,11.5,12.8,14.1,15.4,16.7,18,19.7,21.4,23.1,24.8},{0,10,20,30,40,50,60,62,64,66,68,70,72,74,76,78,80,85,90,95,100})</f>
        <v>78</v>
      </c>
      <c r="G190" s="12">
        <v>173</v>
      </c>
      <c r="H190" s="11">
        <f>LOOKUP(G190,{0,124,129,134,139,144,149,152,155,158,161,164,167,170,173,176,179,186,193,199,205},{0,10,20,30,40,50,60,62,64,66,68,70,72,74,76,78,80,85,90,95,100})</f>
        <v>76</v>
      </c>
      <c r="I190" s="12">
        <v>47</v>
      </c>
      <c r="J190" s="11">
        <f>LOOKUP(I190,{0,14,16,18,20,22,24,26,28,30,32,34,36,38,40,42,44,47,50,52,54},{0,10,20,30,40,50,60,62,64,66,68,70,72,74,76,78,80,85,90,95,100})</f>
        <v>85</v>
      </c>
      <c r="K190" s="12"/>
      <c r="L190" s="12"/>
      <c r="M190" s="12">
        <f t="shared" si="92"/>
        <v>85</v>
      </c>
      <c r="N190" s="12">
        <v>8.6</v>
      </c>
      <c r="O190" s="12">
        <f t="shared" si="93"/>
        <v>3.4</v>
      </c>
      <c r="P190" s="11">
        <f>LOOKUP(O190,{0,0.5,0.7,0.9,1.1,1.3,1.5,1.7,1.9,2.1,2.3,2.5,2.7,2.9,3.1,3.3,3.5,3.8,4.1,4.2,4.3},{0,10,20,30,40,50,60,62,64,66,68,70,72,74,76,78,80,85,90,95,100})</f>
        <v>78</v>
      </c>
      <c r="Q190" s="12">
        <v>3.53</v>
      </c>
      <c r="R190" s="12">
        <f t="shared" si="94"/>
        <v>6.47</v>
      </c>
      <c r="S190" s="11">
        <f>LOOKUP(R190,{0,4.72,4.82,4.92,5.42,5.52,5.62,5.67,5.72,5.77,5.82,5.87,5.92,5.97,6.42,6.47,6.52,6.59,6.66,6.72,6.78},{0,10,20,30,40,50,60,62,64,66,68,70,72,74,76,78,80,85,90,95,100})</f>
        <v>78</v>
      </c>
      <c r="T190" s="12"/>
      <c r="U190" s="12"/>
      <c r="V190" s="12">
        <f t="shared" si="95"/>
        <v>78</v>
      </c>
      <c r="W190" s="12"/>
      <c r="X190" s="20">
        <f t="shared" si="96"/>
        <v>55.1</v>
      </c>
      <c r="Y190" s="20">
        <f t="shared" si="97"/>
        <v>78.7142857142857</v>
      </c>
    </row>
    <row r="191" ht="15.6" hidden="1" outlineLevel="2" spans="1:25">
      <c r="A191" s="12">
        <v>212</v>
      </c>
      <c r="B191" s="12">
        <v>38</v>
      </c>
      <c r="C191" s="6" t="s">
        <v>648</v>
      </c>
      <c r="D191" s="6" t="s">
        <v>53</v>
      </c>
      <c r="E191" s="12"/>
      <c r="F191" s="11"/>
      <c r="G191" s="12"/>
      <c r="H191" s="11"/>
      <c r="I191" s="12"/>
      <c r="J191" s="11"/>
      <c r="K191" s="12"/>
      <c r="L191" s="12"/>
      <c r="M191" s="12"/>
      <c r="N191" s="12">
        <v>8.8</v>
      </c>
      <c r="O191" s="12">
        <f t="shared" si="93"/>
        <v>3.2</v>
      </c>
      <c r="P191" s="11">
        <f>LOOKUP(O191,{0,0.5,0.7,0.9,1.1,1.3,1.5,1.7,1.9,2.1,2.3,2.5,2.7,2.9,3.1,3.3,3.5,3.8,4.1,4.2,4.3},{0,10,20,30,40,50,60,62,64,66,68,70,72,74,76,78,80,85,90,95,100})</f>
        <v>76</v>
      </c>
      <c r="Q191" s="12"/>
      <c r="R191" s="12"/>
      <c r="S191" s="11"/>
      <c r="T191" s="21"/>
      <c r="U191" s="16"/>
      <c r="V191" s="12"/>
      <c r="W191" s="12" t="s">
        <v>617</v>
      </c>
      <c r="X191" s="20">
        <f t="shared" si="96"/>
        <v>15.2</v>
      </c>
      <c r="Y191" s="20">
        <v>50</v>
      </c>
    </row>
    <row r="192" ht="15.6" hidden="1" outlineLevel="2" spans="1:25">
      <c r="A192" s="12">
        <v>212</v>
      </c>
      <c r="B192" s="12">
        <v>39</v>
      </c>
      <c r="C192" s="6" t="s">
        <v>649</v>
      </c>
      <c r="D192" s="6" t="s">
        <v>53</v>
      </c>
      <c r="E192" s="12">
        <v>10.5</v>
      </c>
      <c r="F192" s="11">
        <f>LOOKUP(E192,{0,1,1.8,2.6,3.4,4.2,5,6.3,7.6,8.9,10.2,11.5,12.8,14.1,15.4,16.7,18,19.7,21.4,23.1,24.8},{0,10,20,30,40,50,60,62,64,66,68,70,72,74,76,78,80,85,90,95,100})</f>
        <v>68</v>
      </c>
      <c r="G192" s="12">
        <v>145</v>
      </c>
      <c r="H192" s="11">
        <f>LOOKUP(G192,{0,124,129,134,139,144,149,152,155,158,161,164,167,170,173,176,179,186,193,199,205},{0,10,20,30,40,50,60,62,64,66,68,70,72,74,76,78,80,85,90,95,100})</f>
        <v>50</v>
      </c>
      <c r="I192" s="12">
        <v>53</v>
      </c>
      <c r="J192" s="11">
        <f>LOOKUP(I192,{0,14,16,18,20,22,24,26,28,30,32,34,36,38,40,42,44,47,50,52,54},{0,10,20,30,40,50,60,62,64,66,68,70,72,74,76,78,80,85,90,95,100})</f>
        <v>95</v>
      </c>
      <c r="K192" s="12"/>
      <c r="L192" s="12"/>
      <c r="M192" s="12">
        <f t="shared" ref="M192:M196" si="98">J192+L192</f>
        <v>95</v>
      </c>
      <c r="N192" s="12">
        <v>8.9</v>
      </c>
      <c r="O192" s="12">
        <f t="shared" si="93"/>
        <v>3.1</v>
      </c>
      <c r="P192" s="11">
        <f>LOOKUP(O192,{0,0.5,0.7,0.9,1.1,1.3,1.5,1.7,1.9,2.1,2.3,2.5,2.7,2.9,3.1,3.3,3.5,3.8,4.1,4.2,4.3},{0,10,20,30,40,50,60,62,64,66,68,70,72,74,76,78,80,85,90,95,100})</f>
        <v>76</v>
      </c>
      <c r="Q192" s="12">
        <v>3.3</v>
      </c>
      <c r="R192" s="12">
        <f t="shared" ref="R192:R196" si="99">10-Q192</f>
        <v>6.7</v>
      </c>
      <c r="S192" s="11">
        <f>LOOKUP(R192,{0,4.72,4.82,4.92,5.42,5.52,5.62,5.67,5.72,5.77,5.82,5.87,5.92,5.97,6.42,6.47,6.52,6.59,6.66,6.72,6.78},{0,10,20,30,40,50,60,62,64,66,68,70,72,74,76,78,80,85,90,95,100})</f>
        <v>90</v>
      </c>
      <c r="T192" s="12"/>
      <c r="U192" s="12"/>
      <c r="V192" s="12">
        <f t="shared" ref="V192:V196" si="100">S192+U192</f>
        <v>90</v>
      </c>
      <c r="W192" s="12"/>
      <c r="X192" s="20">
        <f t="shared" si="96"/>
        <v>54.5</v>
      </c>
      <c r="Y192" s="20">
        <f t="shared" ref="Y192:Y196" si="101">X192/0.7+L192+U192</f>
        <v>77.8571428571429</v>
      </c>
    </row>
    <row r="193" ht="15.6" hidden="1" outlineLevel="2" spans="1:25">
      <c r="A193" s="12">
        <v>212</v>
      </c>
      <c r="B193" s="12">
        <v>40</v>
      </c>
      <c r="C193" s="6" t="s">
        <v>650</v>
      </c>
      <c r="D193" s="6" t="s">
        <v>53</v>
      </c>
      <c r="E193" s="12">
        <v>10.5</v>
      </c>
      <c r="F193" s="11">
        <f>LOOKUP(E193,{0,1,1.8,2.6,3.4,4.2,5,6.3,7.6,8.9,10.2,11.5,12.8,14.1,15.4,16.7,18,19.7,21.4,23.1,24.8},{0,10,20,30,40,50,60,62,64,66,68,70,72,74,76,78,80,85,90,95,100})</f>
        <v>68</v>
      </c>
      <c r="G193" s="12">
        <v>210</v>
      </c>
      <c r="H193" s="11">
        <f>LOOKUP(G193,{0,124,129,134,139,144,149,152,155,158,161,164,167,170,173,176,179,186,193,199,205},{0,10,20,30,40,50,60,62,64,66,68,70,72,74,76,78,80,85,90,95,100})</f>
        <v>100</v>
      </c>
      <c r="I193" s="12">
        <v>40</v>
      </c>
      <c r="J193" s="11">
        <f>LOOKUP(I193,{0,14,16,18,20,22,24,26,28,30,32,34,36,38,40,42,44,47,50,52,54},{0,10,20,30,40,50,60,62,64,66,68,70,72,74,76,78,80,85,90,95,100})</f>
        <v>76</v>
      </c>
      <c r="K193" s="12"/>
      <c r="L193" s="12"/>
      <c r="M193" s="12">
        <f t="shared" si="98"/>
        <v>76</v>
      </c>
      <c r="N193" s="12">
        <v>8.3</v>
      </c>
      <c r="O193" s="12">
        <f t="shared" si="93"/>
        <v>3.7</v>
      </c>
      <c r="P193" s="11">
        <f>LOOKUP(O193,{0,0.5,0.7,0.9,1.1,1.3,1.5,1.7,1.9,2.1,2.3,2.5,2.7,2.9,3.1,3.3,3.5,3.8,4.1,4.2,4.3},{0,10,20,30,40,50,60,62,64,66,68,70,72,74,76,78,80,85,90,95,100})</f>
        <v>80</v>
      </c>
      <c r="Q193" s="12">
        <v>4.01</v>
      </c>
      <c r="R193" s="12">
        <f t="shared" si="99"/>
        <v>5.99</v>
      </c>
      <c r="S193" s="11">
        <f>LOOKUP(R193,{0,4.72,4.82,4.92,5.42,5.52,5.62,5.67,5.72,5.77,5.82,5.87,5.92,5.97,6.42,6.47,6.52,6.59,6.66,6.72,6.78},{0,10,20,30,40,50,60,62,64,66,68,70,72,74,76,78,80,85,90,95,100})</f>
        <v>74</v>
      </c>
      <c r="T193" s="12"/>
      <c r="U193" s="12"/>
      <c r="V193" s="12">
        <f t="shared" si="100"/>
        <v>74</v>
      </c>
      <c r="W193" s="12"/>
      <c r="X193" s="20">
        <f t="shared" si="96"/>
        <v>55.2</v>
      </c>
      <c r="Y193" s="20">
        <f t="shared" si="101"/>
        <v>78.8571428571429</v>
      </c>
    </row>
    <row r="194" ht="15.6" hidden="1" outlineLevel="2" spans="1:25">
      <c r="A194" s="12">
        <v>212</v>
      </c>
      <c r="B194" s="12">
        <v>41</v>
      </c>
      <c r="C194" s="6" t="s">
        <v>651</v>
      </c>
      <c r="D194" s="6" t="s">
        <v>53</v>
      </c>
      <c r="E194" s="12">
        <v>11</v>
      </c>
      <c r="F194" s="11">
        <f>LOOKUP(E194,{0,1,1.8,2.6,3.4,4.2,5,6.3,7.6,8.9,10.2,11.5,12.8,14.1,15.4,16.7,18,19.7,21.4,23.1,24.8},{0,10,20,30,40,50,60,62,64,66,68,70,72,74,76,78,80,85,90,95,100})</f>
        <v>68</v>
      </c>
      <c r="G194" s="12">
        <v>165</v>
      </c>
      <c r="H194" s="11">
        <f>LOOKUP(G194,{0,124,129,134,139,144,149,152,155,158,161,164,167,170,173,176,179,186,193,199,205},{0,10,20,30,40,50,60,62,64,66,68,70,72,74,76,78,80,85,90,95,100})</f>
        <v>70</v>
      </c>
      <c r="I194" s="12">
        <v>42</v>
      </c>
      <c r="J194" s="11">
        <f>LOOKUP(I194,{0,14,16,18,20,22,24,26,28,30,32,34,36,38,40,42,44,47,50,52,54},{0,10,20,30,40,50,60,62,64,66,68,70,72,74,76,78,80,85,90,95,100})</f>
        <v>78</v>
      </c>
      <c r="K194" s="12"/>
      <c r="L194" s="12"/>
      <c r="M194" s="12">
        <f t="shared" si="98"/>
        <v>78</v>
      </c>
      <c r="N194" s="12">
        <v>9</v>
      </c>
      <c r="O194" s="12">
        <f t="shared" si="93"/>
        <v>3</v>
      </c>
      <c r="P194" s="11">
        <f>LOOKUP(O194,{0,0.5,0.7,0.9,1.1,1.3,1.5,1.7,1.9,2.1,2.3,2.5,2.7,2.9,3.1,3.3,3.5,3.8,4.1,4.2,4.3},{0,10,20,30,40,50,60,62,64,66,68,70,72,74,76,78,80,85,90,95,100})</f>
        <v>74</v>
      </c>
      <c r="Q194" s="12">
        <v>3.49</v>
      </c>
      <c r="R194" s="12">
        <f t="shared" si="99"/>
        <v>6.51</v>
      </c>
      <c r="S194" s="11">
        <f>LOOKUP(R194,{0,4.72,4.82,4.92,5.42,5.52,5.62,5.67,5.72,5.77,5.82,5.87,5.92,5.97,6.42,6.47,6.52,6.59,6.66,6.72,6.78},{0,10,20,30,40,50,60,62,64,66,68,70,72,74,76,78,80,85,90,95,100})</f>
        <v>78</v>
      </c>
      <c r="T194" s="12"/>
      <c r="U194" s="12"/>
      <c r="V194" s="12">
        <f t="shared" si="100"/>
        <v>78</v>
      </c>
      <c r="W194" s="12"/>
      <c r="X194" s="20">
        <f t="shared" si="96"/>
        <v>52</v>
      </c>
      <c r="Y194" s="20">
        <f t="shared" si="101"/>
        <v>74.2857142857143</v>
      </c>
    </row>
    <row r="195" ht="15.6" hidden="1" outlineLevel="2" spans="1:25">
      <c r="A195" s="12">
        <v>212</v>
      </c>
      <c r="B195" s="12">
        <v>42</v>
      </c>
      <c r="C195" s="13" t="s">
        <v>653</v>
      </c>
      <c r="D195" s="6" t="s">
        <v>53</v>
      </c>
      <c r="E195" s="12">
        <v>23.1</v>
      </c>
      <c r="F195" s="11">
        <f>LOOKUP(E195,{0,1,1.8,2.6,3.4,4.2,5,6.3,7.6,8.9,10.2,11.5,12.8,14.1,15.4,16.7,18,19.7,21.4,23.1,24.8},{0,10,20,30,40,50,60,62,64,66,68,70,72,74,76,78,80,85,90,95,100})</f>
        <v>95</v>
      </c>
      <c r="G195" s="12">
        <v>196</v>
      </c>
      <c r="H195" s="11">
        <f>LOOKUP(G195,{0,124,129,134,139,144,149,152,155,158,161,164,167,170,173,176,179,186,193,199,205},{0,10,20,30,40,50,60,62,64,66,68,70,72,74,76,78,80,85,90,95,100})</f>
        <v>90</v>
      </c>
      <c r="I195" s="12">
        <v>62</v>
      </c>
      <c r="J195" s="11">
        <f>LOOKUP(I195,{0,14,16,18,20,22,24,26,28,30,32,34,36,38,40,42,44,47,50,52,54},{0,10,20,30,40,50,60,62,64,66,68,70,72,74,76,78,80,85,90,95,100})</f>
        <v>100</v>
      </c>
      <c r="K195" s="12">
        <f>I195-54</f>
        <v>8</v>
      </c>
      <c r="L195" s="11">
        <f>LOOKUP(K195,{0,2,4,6,7,8,9,10,11,12,13},{0,1,2,3,4,5,6,7,8,9,10})</f>
        <v>5</v>
      </c>
      <c r="M195" s="12">
        <f t="shared" si="98"/>
        <v>105</v>
      </c>
      <c r="N195" s="12">
        <v>7.8</v>
      </c>
      <c r="O195" s="12">
        <f t="shared" si="93"/>
        <v>4.2</v>
      </c>
      <c r="P195" s="11">
        <f>LOOKUP(O195,{0,0.5,0.7,0.9,1.1,1.3,1.5,1.7,1.9,2.1,2.3,2.5,2.7,2.9,3.1,3.3,3.5,3.8,4.1,4.2,4.3},{0,10,20,30,40,50,60,62,64,66,68,70,72,74,76,78,80,85,90,95,100})</f>
        <v>95</v>
      </c>
      <c r="Q195" s="12">
        <v>3.35</v>
      </c>
      <c r="R195" s="12">
        <f t="shared" si="99"/>
        <v>6.65</v>
      </c>
      <c r="S195" s="11">
        <f>LOOKUP(R195,{0,4.72,4.82,4.92,5.42,5.52,5.62,5.67,5.72,5.77,5.82,5.87,5.92,5.97,6.42,6.47,6.52,6.59,6.66,6.72,6.78},{0,10,20,30,40,50,60,62,64,66,68,70,72,74,76,78,80,85,90,95,100})</f>
        <v>85</v>
      </c>
      <c r="T195" s="12"/>
      <c r="U195" s="15"/>
      <c r="V195" s="12">
        <f t="shared" si="100"/>
        <v>85</v>
      </c>
      <c r="W195" s="12"/>
      <c r="X195" s="20">
        <f t="shared" si="96"/>
        <v>64.5</v>
      </c>
      <c r="Y195" s="20">
        <f t="shared" si="101"/>
        <v>97.1428571428572</v>
      </c>
    </row>
    <row r="196" ht="15.6" hidden="1" outlineLevel="2" spans="1:25">
      <c r="A196" s="12">
        <v>212</v>
      </c>
      <c r="B196" s="12">
        <v>43</v>
      </c>
      <c r="C196" s="6" t="s">
        <v>654</v>
      </c>
      <c r="D196" s="6" t="s">
        <v>53</v>
      </c>
      <c r="E196" s="12">
        <v>23</v>
      </c>
      <c r="F196" s="11">
        <f>LOOKUP(E196,{0,1,1.8,2.6,3.4,4.2,5,6.3,7.6,8.9,10.2,11.5,12.8,14.1,15.4,16.7,18,19.7,21.4,23.1,24.8},{0,10,20,30,40,50,60,62,64,66,68,70,72,74,76,78,80,85,90,95,100})</f>
        <v>90</v>
      </c>
      <c r="G196" s="12">
        <v>157</v>
      </c>
      <c r="H196" s="11">
        <f>LOOKUP(G196,{0,124,129,134,139,144,149,152,155,158,161,164,167,170,173,176,179,186,193,199,205},{0,10,20,30,40,50,60,62,64,66,68,70,72,74,76,78,80,85,90,95,100})</f>
        <v>64</v>
      </c>
      <c r="I196" s="12">
        <v>29</v>
      </c>
      <c r="J196" s="11">
        <f>LOOKUP(I196,{0,14,16,18,20,22,24,26,28,30,32,34,36,38,40,42,44,47,50,52,54},{0,10,20,30,40,50,60,62,64,66,68,70,72,74,76,78,80,85,90,95,100})</f>
        <v>64</v>
      </c>
      <c r="K196" s="12"/>
      <c r="L196" s="12"/>
      <c r="M196" s="12">
        <f t="shared" si="98"/>
        <v>64</v>
      </c>
      <c r="N196" s="12">
        <v>9.3</v>
      </c>
      <c r="O196" s="12">
        <f t="shared" si="93"/>
        <v>2.7</v>
      </c>
      <c r="P196" s="11">
        <f>LOOKUP(O196,{0,0.5,0.7,0.9,1.1,1.3,1.5,1.7,1.9,2.1,2.3,2.5,2.7,2.9,3.1,3.3,3.5,3.8,4.1,4.2,4.3},{0,10,20,30,40,50,60,62,64,66,68,70,72,74,76,78,80,85,90,95,100})</f>
        <v>72</v>
      </c>
      <c r="Q196" s="12">
        <v>4</v>
      </c>
      <c r="R196" s="12">
        <f t="shared" si="99"/>
        <v>6</v>
      </c>
      <c r="S196" s="11">
        <f>LOOKUP(R196,{0,4.72,4.82,4.92,5.42,5.52,5.62,5.67,5.72,5.77,5.82,5.87,5.92,5.97,6.42,6.47,6.52,6.59,6.66,6.72,6.78},{0,10,20,30,40,50,60,62,64,66,68,70,72,74,76,78,80,85,90,95,100})</f>
        <v>74</v>
      </c>
      <c r="T196" s="12"/>
      <c r="U196" s="12"/>
      <c r="V196" s="12">
        <f t="shared" si="100"/>
        <v>74</v>
      </c>
      <c r="W196" s="12"/>
      <c r="X196" s="20">
        <f t="shared" si="96"/>
        <v>51</v>
      </c>
      <c r="Y196" s="20">
        <f t="shared" si="101"/>
        <v>72.8571428571429</v>
      </c>
    </row>
    <row r="197" ht="15.6" hidden="1" outlineLevel="2" spans="1:25">
      <c r="A197" s="12">
        <v>212</v>
      </c>
      <c r="B197" s="12">
        <v>44</v>
      </c>
      <c r="C197" s="6" t="s">
        <v>655</v>
      </c>
      <c r="D197" s="6" t="s">
        <v>53</v>
      </c>
      <c r="E197" s="12"/>
      <c r="F197" s="11"/>
      <c r="G197" s="12"/>
      <c r="H197" s="11"/>
      <c r="I197" s="12"/>
      <c r="J197" s="11"/>
      <c r="K197" s="12"/>
      <c r="L197" s="12"/>
      <c r="M197" s="12"/>
      <c r="N197" s="12">
        <v>11.1</v>
      </c>
      <c r="O197" s="12">
        <f t="shared" si="93"/>
        <v>0.9</v>
      </c>
      <c r="P197" s="11">
        <f>LOOKUP(O197,{0,0.5,0.7,0.9,1.1,1.3,1.5,1.7,1.9,2.1,2.3,2.5,2.7,2.9,3.1,3.3,3.5,3.8,4.1,4.2,4.3},{0,10,20,30,40,50,60,62,64,66,68,70,72,74,76,78,80,85,90,95,100})</f>
        <v>30</v>
      </c>
      <c r="Q197" s="12"/>
      <c r="R197" s="12"/>
      <c r="S197" s="11"/>
      <c r="T197" s="21"/>
      <c r="U197" s="16"/>
      <c r="V197" s="12"/>
      <c r="W197" s="12" t="s">
        <v>617</v>
      </c>
      <c r="X197" s="20">
        <f t="shared" si="96"/>
        <v>6</v>
      </c>
      <c r="Y197" s="20">
        <v>50</v>
      </c>
    </row>
    <row r="198" ht="15.6" hidden="1" outlineLevel="2" spans="1:25">
      <c r="A198" s="12">
        <v>212</v>
      </c>
      <c r="B198" s="12">
        <v>45</v>
      </c>
      <c r="C198" s="6" t="s">
        <v>656</v>
      </c>
      <c r="D198" s="6" t="s">
        <v>53</v>
      </c>
      <c r="E198" s="12">
        <v>11.4</v>
      </c>
      <c r="F198" s="11">
        <f>LOOKUP(E198,{0,1,1.8,2.6,3.4,4.2,5,6.3,7.6,8.9,10.2,11.5,12.8,14.1,15.4,16.7,18,19.7,21.4,23.1,24.8},{0,10,20,30,40,50,60,62,64,66,68,70,72,74,76,78,80,85,90,95,100})</f>
        <v>68</v>
      </c>
      <c r="G198" s="12">
        <v>178</v>
      </c>
      <c r="H198" s="11">
        <f>LOOKUP(G198,{0,124,129,134,139,144,149,152,155,158,161,164,167,170,173,176,179,186,193,199,205},{0,10,20,30,40,50,60,62,64,66,68,70,72,74,76,78,80,85,90,95,100})</f>
        <v>78</v>
      </c>
      <c r="I198" s="12">
        <v>50</v>
      </c>
      <c r="J198" s="11">
        <f>LOOKUP(I198,{0,14,16,18,20,22,24,26,28,30,32,34,36,38,40,42,44,47,50,52,54},{0,10,20,30,40,50,60,62,64,66,68,70,72,74,76,78,80,85,90,95,100})</f>
        <v>90</v>
      </c>
      <c r="K198" s="12"/>
      <c r="L198" s="12"/>
      <c r="M198" s="12">
        <f t="shared" ref="M198:M203" si="102">J198+L198</f>
        <v>90</v>
      </c>
      <c r="N198" s="12">
        <v>8.6</v>
      </c>
      <c r="O198" s="12">
        <f t="shared" si="93"/>
        <v>3.4</v>
      </c>
      <c r="P198" s="11">
        <f>LOOKUP(O198,{0,0.5,0.7,0.9,1.1,1.3,1.5,1.7,1.9,2.1,2.3,2.5,2.7,2.9,3.1,3.3,3.5,3.8,4.1,4.2,4.3},{0,10,20,30,40,50,60,62,64,66,68,70,72,74,76,78,80,85,90,95,100})</f>
        <v>78</v>
      </c>
      <c r="Q198" s="12">
        <v>3.39</v>
      </c>
      <c r="R198" s="12">
        <f t="shared" ref="R198:R203" si="103">10-Q198</f>
        <v>6.61</v>
      </c>
      <c r="S198" s="11">
        <f>LOOKUP(R198,{0,4.72,4.82,4.92,5.42,5.52,5.62,5.67,5.72,5.77,5.82,5.87,5.92,5.97,6.42,6.47,6.52,6.59,6.66,6.72,6.78},{0,10,20,30,40,50,60,62,64,66,68,70,72,74,76,78,80,85,90,95,100})</f>
        <v>85</v>
      </c>
      <c r="T198" s="12"/>
      <c r="U198" s="15"/>
      <c r="V198" s="12">
        <f t="shared" ref="V198:V203" si="104">S198+U198</f>
        <v>85</v>
      </c>
      <c r="W198" s="12"/>
      <c r="X198" s="20">
        <f t="shared" si="96"/>
        <v>56.2</v>
      </c>
      <c r="Y198" s="20">
        <f t="shared" ref="Y198:Y203" si="105">X198/0.7+L198+U198</f>
        <v>80.2857142857143</v>
      </c>
    </row>
    <row r="199" ht="15.6" hidden="1" outlineLevel="2" spans="1:25">
      <c r="A199" s="12">
        <v>212</v>
      </c>
      <c r="B199" s="12">
        <v>46</v>
      </c>
      <c r="C199" s="6" t="s">
        <v>657</v>
      </c>
      <c r="D199" s="6" t="s">
        <v>53</v>
      </c>
      <c r="E199" s="12">
        <v>11.5</v>
      </c>
      <c r="F199" s="11">
        <f>LOOKUP(E199,{0,1,1.8,2.6,3.4,4.2,5,6.3,7.6,8.9,10.2,11.5,12.8,14.1,15.4,16.7,18,19.7,21.4,23.1,24.8},{0,10,20,30,40,50,60,62,64,66,68,70,72,74,76,78,80,85,90,95,100})</f>
        <v>70</v>
      </c>
      <c r="G199" s="12">
        <v>197</v>
      </c>
      <c r="H199" s="11">
        <f>LOOKUP(G199,{0,124,129,134,139,144,149,152,155,158,161,164,167,170,173,176,179,186,193,199,205},{0,10,20,30,40,50,60,62,64,66,68,70,72,74,76,78,80,85,90,95,100})</f>
        <v>90</v>
      </c>
      <c r="I199" s="12">
        <v>45</v>
      </c>
      <c r="J199" s="11">
        <f>LOOKUP(I199,{0,14,16,18,20,22,24,26,28,30,32,34,36,38,40,42,44,47,50,52,54},{0,10,20,30,40,50,60,62,64,66,68,70,72,74,76,78,80,85,90,95,100})</f>
        <v>80</v>
      </c>
      <c r="K199" s="12"/>
      <c r="L199" s="12"/>
      <c r="M199" s="12">
        <f t="shared" si="102"/>
        <v>80</v>
      </c>
      <c r="N199" s="12">
        <v>7.9</v>
      </c>
      <c r="O199" s="12">
        <f t="shared" si="93"/>
        <v>4.1</v>
      </c>
      <c r="P199" s="11">
        <f>LOOKUP(O199,{0,0.5,0.7,0.9,1.1,1.3,1.5,1.7,1.9,2.1,2.3,2.5,2.7,2.9,3.1,3.3,3.5,3.8,4.1,4.2,4.3},{0,10,20,30,40,50,60,62,64,66,68,70,72,74,76,78,80,85,90,95,100})</f>
        <v>90</v>
      </c>
      <c r="Q199" s="12">
        <v>3.26</v>
      </c>
      <c r="R199" s="12">
        <f t="shared" si="103"/>
        <v>6.74</v>
      </c>
      <c r="S199" s="11">
        <f>LOOKUP(R199,{0,4.72,4.82,4.92,5.42,5.52,5.62,5.67,5.72,5.77,5.82,5.87,5.92,5.97,6.42,6.47,6.52,6.59,6.66,6.72,6.78},{0,10,20,30,40,50,60,62,64,66,68,70,72,74,76,78,80,85,90,95,100})</f>
        <v>95</v>
      </c>
      <c r="T199" s="12"/>
      <c r="U199" s="15"/>
      <c r="V199" s="12">
        <f t="shared" si="104"/>
        <v>95</v>
      </c>
      <c r="W199" s="12"/>
      <c r="X199" s="20">
        <f t="shared" si="96"/>
        <v>61</v>
      </c>
      <c r="Y199" s="20">
        <f t="shared" si="105"/>
        <v>87.1428571428572</v>
      </c>
    </row>
    <row r="200" ht="15.6" hidden="1" outlineLevel="2" spans="1:25">
      <c r="A200" s="12">
        <v>212</v>
      </c>
      <c r="B200" s="12">
        <v>47</v>
      </c>
      <c r="C200" s="6" t="s">
        <v>658</v>
      </c>
      <c r="D200" s="6" t="s">
        <v>53</v>
      </c>
      <c r="E200" s="12">
        <v>31</v>
      </c>
      <c r="F200" s="11">
        <f>LOOKUP(E200,{0,1,1.8,2.6,3.4,4.2,5,6.3,7.6,8.9,10.2,11.5,12.8,14.1,15.4,16.7,18,19.7,21.4,23.1,24.8},{0,10,20,30,40,50,60,62,64,66,68,70,72,74,76,78,80,85,90,95,100})</f>
        <v>100</v>
      </c>
      <c r="G200" s="12">
        <v>192</v>
      </c>
      <c r="H200" s="11">
        <f>LOOKUP(G200,{0,124,129,134,139,144,149,152,155,158,161,164,167,170,173,176,179,186,193,199,205},{0,10,20,30,40,50,60,62,64,66,68,70,72,74,76,78,80,85,90,95,100})</f>
        <v>85</v>
      </c>
      <c r="I200" s="12">
        <v>46</v>
      </c>
      <c r="J200" s="11">
        <f>LOOKUP(I200,{0,14,16,18,20,22,24,26,28,30,32,34,36,38,40,42,44,47,50,52,54},{0,10,20,30,40,50,60,62,64,66,68,70,72,74,76,78,80,85,90,95,100})</f>
        <v>80</v>
      </c>
      <c r="K200" s="12"/>
      <c r="L200" s="12"/>
      <c r="M200" s="12">
        <f t="shared" si="102"/>
        <v>80</v>
      </c>
      <c r="N200" s="12">
        <v>8.8</v>
      </c>
      <c r="O200" s="12">
        <f t="shared" si="93"/>
        <v>3.2</v>
      </c>
      <c r="P200" s="11">
        <f>LOOKUP(O200,{0,0.5,0.7,0.9,1.1,1.3,1.5,1.7,1.9,2.1,2.3,2.5,2.7,2.9,3.1,3.3,3.5,3.8,4.1,4.2,4.3},{0,10,20,30,40,50,60,62,64,66,68,70,72,74,76,78,80,85,90,95,100})</f>
        <v>76</v>
      </c>
      <c r="Q200" s="12"/>
      <c r="R200" s="12"/>
      <c r="S200" s="11"/>
      <c r="T200" s="21"/>
      <c r="U200" s="11"/>
      <c r="V200" s="12"/>
      <c r="W200" s="12"/>
      <c r="X200" s="20">
        <f t="shared" si="96"/>
        <v>41.7</v>
      </c>
      <c r="Y200" s="20">
        <f t="shared" si="105"/>
        <v>59.5714285714286</v>
      </c>
    </row>
    <row r="201" s="1" customFormat="1" ht="15.6" hidden="1" outlineLevel="2" spans="1:25">
      <c r="A201" s="12">
        <v>212</v>
      </c>
      <c r="B201" s="12">
        <v>49</v>
      </c>
      <c r="C201" s="6" t="s">
        <v>661</v>
      </c>
      <c r="D201" s="6" t="s">
        <v>53</v>
      </c>
      <c r="E201" s="12">
        <v>15.5</v>
      </c>
      <c r="F201" s="11">
        <f>LOOKUP(E201,{0,1,1.8,2.6,3.4,4.2,5,6.3,7.6,8.9,10.2,11.5,12.8,14.1,15.4,16.7,18,19.7,21.4,23.1,24.8},{0,10,20,30,40,50,60,62,64,66,68,70,72,74,76,78,80,85,90,95,100})</f>
        <v>76</v>
      </c>
      <c r="G201" s="12">
        <v>169</v>
      </c>
      <c r="H201" s="11">
        <f>LOOKUP(G201,{0,124,129,134,139,144,149,152,155,158,161,164,167,170,173,176,179,186,193,199,205},{0,10,20,30,40,50,60,62,64,66,68,70,72,74,76,78,80,85,90,95,100})</f>
        <v>72</v>
      </c>
      <c r="I201" s="12">
        <v>50</v>
      </c>
      <c r="J201" s="11">
        <f>LOOKUP(I201,{0,14,16,18,20,22,24,26,28,30,32,34,36,38,40,42,44,47,50,52,54},{0,10,20,30,40,50,60,62,64,66,68,70,72,74,76,78,80,85,90,95,100})</f>
        <v>90</v>
      </c>
      <c r="K201" s="12"/>
      <c r="L201" s="12"/>
      <c r="M201" s="12">
        <f t="shared" si="102"/>
        <v>90</v>
      </c>
      <c r="N201" s="12">
        <v>8.6</v>
      </c>
      <c r="O201" s="12">
        <f t="shared" si="93"/>
        <v>3.4</v>
      </c>
      <c r="P201" s="11">
        <f>LOOKUP(O201,{0,0.5,0.7,0.9,1.1,1.3,1.5,1.7,1.9,2.1,2.3,2.5,2.7,2.9,3.1,3.3,3.5,3.8,4.1,4.2,4.3},{0,10,20,30,40,50,60,62,64,66,68,70,72,74,76,78,80,85,90,95,100})</f>
        <v>78</v>
      </c>
      <c r="Q201" s="12">
        <v>3.28</v>
      </c>
      <c r="R201" s="12">
        <f t="shared" si="103"/>
        <v>6.72</v>
      </c>
      <c r="S201" s="11">
        <f>LOOKUP(R201,{0,4.72,4.82,4.92,5.42,5.52,5.62,5.67,5.72,5.77,5.82,5.87,5.92,5.97,6.42,6.47,6.52,6.59,6.66,6.72,6.78},{0,10,20,30,40,50,60,62,64,66,68,70,72,74,76,78,80,85,90,95,100})</f>
        <v>95</v>
      </c>
      <c r="T201" s="12"/>
      <c r="U201" s="12"/>
      <c r="V201" s="12">
        <f t="shared" si="104"/>
        <v>95</v>
      </c>
      <c r="W201" s="12"/>
      <c r="X201" s="20">
        <f t="shared" si="96"/>
        <v>58.4</v>
      </c>
      <c r="Y201" s="20">
        <f t="shared" si="105"/>
        <v>83.4285714285714</v>
      </c>
    </row>
    <row r="202" ht="15.6" hidden="1" outlineLevel="2" spans="1:25">
      <c r="A202" s="12">
        <v>212</v>
      </c>
      <c r="B202" s="12">
        <v>50</v>
      </c>
      <c r="C202" s="6" t="s">
        <v>662</v>
      </c>
      <c r="D202" s="6" t="s">
        <v>53</v>
      </c>
      <c r="E202" s="12">
        <v>22.5</v>
      </c>
      <c r="F202" s="11">
        <f>LOOKUP(E202,{0,1,1.8,2.6,3.4,4.2,5,6.3,7.6,8.9,10.2,11.5,12.8,14.1,15.4,16.7,18,19.7,21.4,23.1,24.8},{0,10,20,30,40,50,60,62,64,66,68,70,72,74,76,78,80,85,90,95,100})</f>
        <v>90</v>
      </c>
      <c r="G202" s="12">
        <v>169</v>
      </c>
      <c r="H202" s="11">
        <f>LOOKUP(G202,{0,124,129,134,139,144,149,152,155,158,161,164,167,170,173,176,179,186,193,199,205},{0,10,20,30,40,50,60,62,64,66,68,70,72,74,76,78,80,85,90,95,100})</f>
        <v>72</v>
      </c>
      <c r="I202" s="12">
        <v>45</v>
      </c>
      <c r="J202" s="11">
        <f>LOOKUP(I202,{0,14,16,18,20,22,24,26,28,30,32,34,36,38,40,42,44,47,50,52,54},{0,10,20,30,40,50,60,62,64,66,68,70,72,74,76,78,80,85,90,95,100})</f>
        <v>80</v>
      </c>
      <c r="K202" s="12"/>
      <c r="L202" s="12"/>
      <c r="M202" s="12">
        <f t="shared" si="102"/>
        <v>80</v>
      </c>
      <c r="N202" s="12">
        <v>8.9</v>
      </c>
      <c r="O202" s="12">
        <f t="shared" si="93"/>
        <v>3.1</v>
      </c>
      <c r="P202" s="11">
        <f>LOOKUP(O202,{0,0.5,0.7,0.9,1.1,1.3,1.5,1.7,1.9,2.1,2.3,2.5,2.7,2.9,3.1,3.3,3.5,3.8,4.1,4.2,4.3},{0,10,20,30,40,50,60,62,64,66,68,70,72,74,76,78,80,85,90,95,100})</f>
        <v>76</v>
      </c>
      <c r="Q202" s="12">
        <v>3.42</v>
      </c>
      <c r="R202" s="12">
        <f t="shared" si="103"/>
        <v>6.58</v>
      </c>
      <c r="S202" s="11">
        <f>LOOKUP(R202,{0,4.72,4.82,4.92,5.42,5.52,5.62,5.67,5.72,5.77,5.82,5.87,5.92,5.97,6.42,6.47,6.52,6.59,6.66,6.72,6.78},{0,10,20,30,40,50,60,62,64,66,68,70,72,74,76,78,80,85,90,95,100})</f>
        <v>80</v>
      </c>
      <c r="T202" s="12"/>
      <c r="U202" s="15"/>
      <c r="V202" s="12">
        <f t="shared" si="104"/>
        <v>80</v>
      </c>
      <c r="W202" s="12"/>
      <c r="X202" s="20">
        <f t="shared" si="96"/>
        <v>55.4</v>
      </c>
      <c r="Y202" s="20">
        <f t="shared" si="105"/>
        <v>79.1428571428571</v>
      </c>
    </row>
    <row r="203" ht="15.6" hidden="1" outlineLevel="2" spans="1:25">
      <c r="A203" s="12">
        <v>212</v>
      </c>
      <c r="B203" s="12">
        <v>51</v>
      </c>
      <c r="C203" s="6" t="s">
        <v>663</v>
      </c>
      <c r="D203" s="6" t="s">
        <v>53</v>
      </c>
      <c r="E203" s="12">
        <v>8.5</v>
      </c>
      <c r="F203" s="11">
        <f>LOOKUP(E203,{0,1,1.8,2.6,3.4,4.2,5,6.3,7.6,8.9,10.2,11.5,12.8,14.1,15.4,16.7,18,19.7,21.4,23.1,24.8},{0,10,20,30,40,50,60,62,64,66,68,70,72,74,76,78,80,85,90,95,100})</f>
        <v>64</v>
      </c>
      <c r="G203" s="12">
        <v>170</v>
      </c>
      <c r="H203" s="11">
        <f>LOOKUP(G203,{0,124,129,134,139,144,149,152,155,158,161,164,167,170,173,176,179,186,193,199,205},{0,10,20,30,40,50,60,62,64,66,68,70,72,74,76,78,80,85,90,95,100})</f>
        <v>74</v>
      </c>
      <c r="I203" s="12">
        <v>50</v>
      </c>
      <c r="J203" s="11">
        <f>LOOKUP(I203,{0,14,16,18,20,22,24,26,28,30,32,34,36,38,40,42,44,47,50,52,54},{0,10,20,30,40,50,60,62,64,66,68,70,72,74,76,78,80,85,90,95,100})</f>
        <v>90</v>
      </c>
      <c r="K203" s="12"/>
      <c r="L203" s="12"/>
      <c r="M203" s="12">
        <f t="shared" si="102"/>
        <v>90</v>
      </c>
      <c r="N203" s="12">
        <v>8.9</v>
      </c>
      <c r="O203" s="12">
        <f t="shared" si="93"/>
        <v>3.1</v>
      </c>
      <c r="P203" s="11">
        <f>LOOKUP(O203,{0,0.5,0.7,0.9,1.1,1.3,1.5,1.7,1.9,2.1,2.3,2.5,2.7,2.9,3.1,3.3,3.5,3.8,4.1,4.2,4.3},{0,10,20,30,40,50,60,62,64,66,68,70,72,74,76,78,80,85,90,95,100})</f>
        <v>76</v>
      </c>
      <c r="Q203" s="12">
        <v>3.57</v>
      </c>
      <c r="R203" s="12">
        <f t="shared" si="103"/>
        <v>6.43</v>
      </c>
      <c r="S203" s="11">
        <f>LOOKUP(R203,{0,4.72,4.82,4.92,5.42,5.52,5.62,5.67,5.72,5.77,5.82,5.87,5.92,5.97,6.42,6.47,6.52,6.59,6.66,6.72,6.78},{0,10,20,30,40,50,60,62,64,66,68,70,72,74,76,78,80,85,90,95,100})</f>
        <v>76</v>
      </c>
      <c r="T203" s="12"/>
      <c r="U203" s="12"/>
      <c r="V203" s="12">
        <f t="shared" si="104"/>
        <v>76</v>
      </c>
      <c r="W203" s="12"/>
      <c r="X203" s="20">
        <f t="shared" si="96"/>
        <v>53.2</v>
      </c>
      <c r="Y203" s="20">
        <f t="shared" si="105"/>
        <v>76</v>
      </c>
    </row>
    <row r="204" ht="15.6" hidden="1" outlineLevel="2" spans="1:25">
      <c r="A204" s="12">
        <v>212</v>
      </c>
      <c r="B204" s="12">
        <v>52</v>
      </c>
      <c r="C204" s="6" t="s">
        <v>664</v>
      </c>
      <c r="D204" s="6" t="s">
        <v>53</v>
      </c>
      <c r="E204" s="12"/>
      <c r="F204" s="11"/>
      <c r="G204" s="12"/>
      <c r="H204" s="11"/>
      <c r="I204" s="12"/>
      <c r="J204" s="11"/>
      <c r="K204" s="12"/>
      <c r="L204" s="12"/>
      <c r="M204" s="12"/>
      <c r="N204" s="12"/>
      <c r="O204" s="12"/>
      <c r="P204" s="11"/>
      <c r="Q204" s="12"/>
      <c r="R204" s="12"/>
      <c r="S204" s="11"/>
      <c r="T204" s="21"/>
      <c r="U204" s="11"/>
      <c r="V204" s="12"/>
      <c r="W204" s="12" t="s">
        <v>617</v>
      </c>
      <c r="X204" s="20">
        <f t="shared" si="96"/>
        <v>0</v>
      </c>
      <c r="Y204" s="20">
        <v>50</v>
      </c>
    </row>
    <row r="205" ht="15.6" outlineLevel="1" collapsed="1" spans="1:25">
      <c r="A205" s="14" t="s">
        <v>866</v>
      </c>
      <c r="B205" s="12"/>
      <c r="C205" s="6"/>
      <c r="D205" s="6"/>
      <c r="E205" s="12"/>
      <c r="F205" s="11">
        <f>SUBTOTAL(1,F184:F204)</f>
        <v>81.1666666666667</v>
      </c>
      <c r="G205" s="12"/>
      <c r="H205" s="11">
        <f>SUBTOTAL(1,H184:H204)</f>
        <v>77.5555555555556</v>
      </c>
      <c r="I205" s="12"/>
      <c r="J205" s="11">
        <f>SUBTOTAL(1,J184:J204)</f>
        <v>83.7777777777778</v>
      </c>
      <c r="K205" s="12"/>
      <c r="L205" s="12"/>
      <c r="M205" s="12">
        <f>SUBTOTAL(1,M184:M204)</f>
        <v>84.0555555555556</v>
      </c>
      <c r="N205" s="12"/>
      <c r="O205" s="12"/>
      <c r="P205" s="11">
        <f>SUBTOTAL(1,P184:P204)</f>
        <v>77.55</v>
      </c>
      <c r="Q205" s="12"/>
      <c r="R205" s="12"/>
      <c r="S205" s="11">
        <f>SUBTOTAL(1,S184:S204)</f>
        <v>84.0588235294118</v>
      </c>
      <c r="T205" s="21"/>
      <c r="U205" s="11"/>
      <c r="V205" s="12">
        <f>SUBTOTAL(1,V184:V204)</f>
        <v>84.1764705882353</v>
      </c>
      <c r="W205" s="12"/>
      <c r="X205" s="20">
        <f>SUBTOTAL(1,X184:X204)</f>
        <v>49.1666666666667</v>
      </c>
      <c r="Y205" s="20">
        <f>SUBTOTAL(1,Y184:Y204)</f>
        <v>76.2721088435374</v>
      </c>
    </row>
    <row r="206" ht="15.6" hidden="1" outlineLevel="2" spans="1:25">
      <c r="A206" s="12">
        <v>213</v>
      </c>
      <c r="B206" s="12">
        <v>10</v>
      </c>
      <c r="C206" s="13" t="s">
        <v>676</v>
      </c>
      <c r="D206" s="6" t="s">
        <v>53</v>
      </c>
      <c r="E206" s="12">
        <v>26.3</v>
      </c>
      <c r="F206" s="11">
        <f>LOOKUP(E206,{0,1,1.8,2.6,3.4,4.2,5,6.3,7.6,8.9,10.2,11.5,12.8,14.1,15.4,16.7,18,19.7,21.4,23.1,24.8},{0,10,20,30,40,50,60,62,64,66,68,70,72,74,76,78,80,85,90,95,100})</f>
        <v>100</v>
      </c>
      <c r="G206" s="12">
        <v>177</v>
      </c>
      <c r="H206" s="11">
        <f>LOOKUP(G206,{0,124,129,134,139,144,149,152,155,158,161,164,167,170,173,176,179,186,193,199,205},{0,10,20,30,40,50,60,62,64,66,68,70,72,74,76,78,80,85,90,95,100})</f>
        <v>78</v>
      </c>
      <c r="I206" s="12">
        <v>46</v>
      </c>
      <c r="J206" s="11">
        <f>LOOKUP(I206,{0,14,16,18,20,22,24,26,28,30,32,34,36,38,40,42,44,47,50,52,54},{0,10,20,30,40,50,60,62,64,66,68,70,72,74,76,78,80,85,90,95,100})</f>
        <v>80</v>
      </c>
      <c r="K206" s="12"/>
      <c r="L206" s="12"/>
      <c r="M206" s="12">
        <f t="shared" ref="M206:M210" si="106">J206+L206</f>
        <v>80</v>
      </c>
      <c r="N206" s="12">
        <v>8.5</v>
      </c>
      <c r="O206" s="12">
        <f t="shared" ref="O206:O210" si="107">12-N206</f>
        <v>3.5</v>
      </c>
      <c r="P206" s="11">
        <f>LOOKUP(O206,{0,0.5,0.7,0.9,1.1,1.3,1.5,1.7,1.9,2.1,2.3,2.5,2.7,2.9,3.1,3.3,3.5,3.8,4.1,4.2,4.3},{0,10,20,30,40,50,60,62,64,66,68,70,72,74,76,78,80,85,90,95,100})</f>
        <v>80</v>
      </c>
      <c r="Q206" s="12">
        <v>3.54</v>
      </c>
      <c r="R206" s="12">
        <f t="shared" ref="R206:R210" si="108">10-Q206</f>
        <v>6.46</v>
      </c>
      <c r="S206" s="11">
        <f>LOOKUP(R206,{0,4.72,4.82,4.92,5.42,5.52,5.62,5.67,5.72,5.77,5.82,5.87,5.92,5.97,6.42,6.47,6.52,6.59,6.66,6.72,6.78},{0,10,20,30,40,50,60,62,64,66,68,70,72,74,76,78,80,85,90,95,100})</f>
        <v>76</v>
      </c>
      <c r="T206" s="12"/>
      <c r="U206" s="12"/>
      <c r="V206" s="12">
        <f t="shared" ref="V206:V210" si="109">S206+U206</f>
        <v>76</v>
      </c>
      <c r="W206" s="12"/>
      <c r="X206" s="20">
        <f t="shared" ref="X206:X252" si="110">F206*0.1+H206*0.1+J206*0.1+P206*0.2+S206*0.2</f>
        <v>57</v>
      </c>
      <c r="Y206" s="20">
        <f t="shared" ref="Y206:Y210" si="111">X206/0.7+L206+U206</f>
        <v>81.4285714285714</v>
      </c>
    </row>
    <row r="207" ht="15.6" hidden="1" outlineLevel="2" spans="1:25">
      <c r="A207" s="12">
        <v>213</v>
      </c>
      <c r="B207" s="12">
        <v>11</v>
      </c>
      <c r="C207" s="6" t="s">
        <v>677</v>
      </c>
      <c r="D207" s="6" t="s">
        <v>53</v>
      </c>
      <c r="E207" s="12">
        <v>18</v>
      </c>
      <c r="F207" s="11">
        <f>LOOKUP(E207,{0,1,1.8,2.6,3.4,4.2,5,6.3,7.6,8.9,10.2,11.5,12.8,14.1,15.4,16.7,18,19.7,21.4,23.1,24.8},{0,10,20,30,40,50,60,62,64,66,68,70,72,74,76,78,80,85,90,95,100})</f>
        <v>80</v>
      </c>
      <c r="G207" s="12">
        <v>196</v>
      </c>
      <c r="H207" s="11">
        <f>LOOKUP(G207,{0,124,129,134,139,144,149,152,155,158,161,164,167,170,173,176,179,186,193,199,205},{0,10,20,30,40,50,60,62,64,66,68,70,72,74,76,78,80,85,90,95,100})</f>
        <v>90</v>
      </c>
      <c r="I207" s="12">
        <v>46</v>
      </c>
      <c r="J207" s="11">
        <f>LOOKUP(I207,{0,14,16,18,20,22,24,26,28,30,32,34,36,38,40,42,44,47,50,52,54},{0,10,20,30,40,50,60,62,64,66,68,70,72,74,76,78,80,85,90,95,100})</f>
        <v>80</v>
      </c>
      <c r="K207" s="12"/>
      <c r="L207" s="12"/>
      <c r="M207" s="12">
        <f t="shared" si="106"/>
        <v>80</v>
      </c>
      <c r="N207" s="12">
        <v>8.7</v>
      </c>
      <c r="O207" s="12">
        <f t="shared" si="107"/>
        <v>3.3</v>
      </c>
      <c r="P207" s="11">
        <f>LOOKUP(O207,{0,0.5,0.7,0.9,1.1,1.3,1.5,1.7,1.9,2.1,2.3,2.5,2.7,2.9,3.1,3.3,3.5,3.8,4.1,4.2,4.3},{0,10,20,30,40,50,60,62,64,66,68,70,72,74,76,78,80,85,90,95,100})</f>
        <v>78</v>
      </c>
      <c r="Q207" s="12">
        <v>3.41</v>
      </c>
      <c r="R207" s="12">
        <f t="shared" si="108"/>
        <v>6.59</v>
      </c>
      <c r="S207" s="11">
        <f>LOOKUP(R207,{0,4.72,4.82,4.92,5.42,5.52,5.62,5.67,5.72,5.77,5.82,5.87,5.92,5.97,6.42,6.47,6.52,6.59,6.66,6.72,6.78},{0,10,20,30,40,50,60,62,64,66,68,70,72,74,76,78,80,85,90,95,100})</f>
        <v>85</v>
      </c>
      <c r="T207" s="12"/>
      <c r="U207" s="12"/>
      <c r="V207" s="12">
        <f t="shared" si="109"/>
        <v>85</v>
      </c>
      <c r="W207" s="12"/>
      <c r="X207" s="20">
        <f t="shared" si="110"/>
        <v>57.6</v>
      </c>
      <c r="Y207" s="20">
        <f t="shared" si="111"/>
        <v>82.2857142857143</v>
      </c>
    </row>
    <row r="208" ht="15.6" hidden="1" outlineLevel="2" spans="1:25">
      <c r="A208" s="12">
        <v>213</v>
      </c>
      <c r="B208" s="12">
        <v>12</v>
      </c>
      <c r="C208" s="6" t="s">
        <v>678</v>
      </c>
      <c r="D208" s="6" t="s">
        <v>53</v>
      </c>
      <c r="E208" s="12">
        <v>14.5</v>
      </c>
      <c r="F208" s="11">
        <f>LOOKUP(E208,{0,1,1.8,2.6,3.4,4.2,5,6.3,7.6,8.9,10.2,11.5,12.8,14.1,15.4,16.7,18,19.7,21.4,23.1,24.8},{0,10,20,30,40,50,60,62,64,66,68,70,72,74,76,78,80,85,90,95,100})</f>
        <v>74</v>
      </c>
      <c r="G208" s="12">
        <v>160</v>
      </c>
      <c r="H208" s="11">
        <f>LOOKUP(G208,{0,124,129,134,139,144,149,152,155,158,161,164,167,170,173,176,179,186,193,199,205},{0,10,20,30,40,50,60,62,64,66,68,70,72,74,76,78,80,85,90,95,100})</f>
        <v>66</v>
      </c>
      <c r="I208" s="12">
        <v>44</v>
      </c>
      <c r="J208" s="11">
        <f>LOOKUP(I208,{0,14,16,18,20,22,24,26,28,30,32,34,36,38,40,42,44,47,50,52,54},{0,10,20,30,40,50,60,62,64,66,68,70,72,74,76,78,80,85,90,95,100})</f>
        <v>80</v>
      </c>
      <c r="K208" s="12"/>
      <c r="L208" s="12"/>
      <c r="M208" s="12">
        <f t="shared" si="106"/>
        <v>80</v>
      </c>
      <c r="N208" s="12">
        <v>8.4</v>
      </c>
      <c r="O208" s="12">
        <f t="shared" si="107"/>
        <v>3.6</v>
      </c>
      <c r="P208" s="11">
        <f>LOOKUP(O208,{0,0.5,0.7,0.9,1.1,1.3,1.5,1.7,1.9,2.1,2.3,2.5,2.7,2.9,3.1,3.3,3.5,3.8,4.1,4.2,4.3},{0,10,20,30,40,50,60,62,64,66,68,70,72,74,76,78,80,85,90,95,100})</f>
        <v>80</v>
      </c>
      <c r="Q208" s="12">
        <v>3.26</v>
      </c>
      <c r="R208" s="12">
        <f t="shared" si="108"/>
        <v>6.74</v>
      </c>
      <c r="S208" s="11">
        <f>LOOKUP(R208,{0,4.72,4.82,4.92,5.42,5.52,5.62,5.67,5.72,5.77,5.82,5.87,5.92,5.97,6.42,6.47,6.52,6.59,6.66,6.72,6.78},{0,10,20,30,40,50,60,62,64,66,68,70,72,74,76,78,80,85,90,95,100})</f>
        <v>95</v>
      </c>
      <c r="T208" s="12"/>
      <c r="U208" s="12"/>
      <c r="V208" s="12">
        <f t="shared" si="109"/>
        <v>95</v>
      </c>
      <c r="W208" s="12"/>
      <c r="X208" s="20">
        <f t="shared" si="110"/>
        <v>57</v>
      </c>
      <c r="Y208" s="20">
        <f t="shared" si="111"/>
        <v>81.4285714285714</v>
      </c>
    </row>
    <row r="209" ht="15.6" hidden="1" outlineLevel="2" spans="1:25">
      <c r="A209" s="12">
        <v>213</v>
      </c>
      <c r="B209" s="12">
        <v>13</v>
      </c>
      <c r="C209" s="6" t="s">
        <v>679</v>
      </c>
      <c r="D209" s="6" t="s">
        <v>53</v>
      </c>
      <c r="E209" s="12">
        <v>20</v>
      </c>
      <c r="F209" s="11">
        <f>LOOKUP(E209,{0,1,1.8,2.6,3.4,4.2,5,6.3,7.6,8.9,10.2,11.5,12.8,14.1,15.4,16.7,18,19.7,21.4,23.1,24.8},{0,10,20,30,40,50,60,62,64,66,68,70,72,74,76,78,80,85,90,95,100})</f>
        <v>85</v>
      </c>
      <c r="G209" s="12">
        <v>180</v>
      </c>
      <c r="H209" s="11">
        <f>LOOKUP(G209,{0,124,129,134,139,144,149,152,155,158,161,164,167,170,173,176,179,186,193,199,205},{0,10,20,30,40,50,60,62,64,66,68,70,72,74,76,78,80,85,90,95,100})</f>
        <v>80</v>
      </c>
      <c r="I209" s="12">
        <v>48</v>
      </c>
      <c r="J209" s="11">
        <f>LOOKUP(I209,{0,14,16,18,20,22,24,26,28,30,32,34,36,38,40,42,44,47,50,52,54},{0,10,20,30,40,50,60,62,64,66,68,70,72,74,76,78,80,85,90,95,100})</f>
        <v>85</v>
      </c>
      <c r="K209" s="12"/>
      <c r="L209" s="12"/>
      <c r="M209" s="12">
        <f t="shared" si="106"/>
        <v>85</v>
      </c>
      <c r="N209" s="12">
        <v>9</v>
      </c>
      <c r="O209" s="12">
        <f t="shared" si="107"/>
        <v>3</v>
      </c>
      <c r="P209" s="11">
        <f>LOOKUP(O209,{0,0.5,0.7,0.9,1.1,1.3,1.5,1.7,1.9,2.1,2.3,2.5,2.7,2.9,3.1,3.3,3.5,3.8,4.1,4.2,4.3},{0,10,20,30,40,50,60,62,64,66,68,70,72,74,76,78,80,85,90,95,100})</f>
        <v>74</v>
      </c>
      <c r="Q209" s="12">
        <v>3.45</v>
      </c>
      <c r="R209" s="12">
        <f t="shared" si="108"/>
        <v>6.55</v>
      </c>
      <c r="S209" s="11">
        <f>LOOKUP(R209,{0,4.72,4.82,4.92,5.42,5.52,5.62,5.67,5.72,5.77,5.82,5.87,5.92,5.97,6.42,6.47,6.52,6.59,6.66,6.72,6.78},{0,10,20,30,40,50,60,62,64,66,68,70,72,74,76,78,80,85,90,95,100})</f>
        <v>80</v>
      </c>
      <c r="T209" s="12"/>
      <c r="U209" s="12"/>
      <c r="V209" s="12">
        <f t="shared" si="109"/>
        <v>80</v>
      </c>
      <c r="W209" s="12"/>
      <c r="X209" s="20">
        <f t="shared" si="110"/>
        <v>55.8</v>
      </c>
      <c r="Y209" s="20">
        <f t="shared" si="111"/>
        <v>79.7142857142857</v>
      </c>
    </row>
    <row r="210" ht="15.6" hidden="1" outlineLevel="2" spans="1:25">
      <c r="A210" s="12">
        <v>213</v>
      </c>
      <c r="B210" s="12">
        <v>14</v>
      </c>
      <c r="C210" s="6" t="s">
        <v>680</v>
      </c>
      <c r="D210" s="6" t="s">
        <v>53</v>
      </c>
      <c r="E210" s="12">
        <v>16</v>
      </c>
      <c r="F210" s="11">
        <f>LOOKUP(E210,{0,1,1.8,2.6,3.4,4.2,5,6.3,7.6,8.9,10.2,11.5,12.8,14.1,15.4,16.7,18,19.7,21.4,23.1,24.8},{0,10,20,30,40,50,60,62,64,66,68,70,72,74,76,78,80,85,90,95,100})</f>
        <v>76</v>
      </c>
      <c r="G210" s="12">
        <v>184</v>
      </c>
      <c r="H210" s="11">
        <f>LOOKUP(G210,{0,124,129,134,139,144,149,152,155,158,161,164,167,170,173,176,179,186,193,199,205},{0,10,20,30,40,50,60,62,64,66,68,70,72,74,76,78,80,85,90,95,100})</f>
        <v>80</v>
      </c>
      <c r="I210" s="12">
        <v>42</v>
      </c>
      <c r="J210" s="11">
        <f>LOOKUP(I210,{0,14,16,18,20,22,24,26,28,30,32,34,36,38,40,42,44,47,50,52,54},{0,10,20,30,40,50,60,62,64,66,68,70,72,74,76,78,80,85,90,95,100})</f>
        <v>78</v>
      </c>
      <c r="K210" s="12"/>
      <c r="L210" s="12"/>
      <c r="M210" s="12">
        <f t="shared" si="106"/>
        <v>78</v>
      </c>
      <c r="N210" s="12">
        <v>8.8</v>
      </c>
      <c r="O210" s="12">
        <f t="shared" si="107"/>
        <v>3.2</v>
      </c>
      <c r="P210" s="11">
        <f>LOOKUP(O210,{0,0.5,0.7,0.9,1.1,1.3,1.5,1.7,1.9,2.1,2.3,2.5,2.7,2.9,3.1,3.3,3.5,3.8,4.1,4.2,4.3},{0,10,20,30,40,50,60,62,64,66,68,70,72,74,76,78,80,85,90,95,100})</f>
        <v>76</v>
      </c>
      <c r="Q210" s="12">
        <v>3.38</v>
      </c>
      <c r="R210" s="12">
        <f t="shared" si="108"/>
        <v>6.62</v>
      </c>
      <c r="S210" s="11">
        <f>LOOKUP(R210,{0,4.72,4.82,4.92,5.42,5.52,5.62,5.67,5.72,5.77,5.82,5.87,5.92,5.97,6.42,6.47,6.52,6.59,6.66,6.72,6.78},{0,10,20,30,40,50,60,62,64,66,68,70,72,74,76,78,80,85,90,95,100})</f>
        <v>85</v>
      </c>
      <c r="T210" s="12"/>
      <c r="U210" s="15"/>
      <c r="V210" s="12">
        <f t="shared" si="109"/>
        <v>85</v>
      </c>
      <c r="W210" s="12"/>
      <c r="X210" s="20">
        <f t="shared" si="110"/>
        <v>55.6</v>
      </c>
      <c r="Y210" s="20">
        <f t="shared" si="111"/>
        <v>79.4285714285714</v>
      </c>
    </row>
    <row r="211" ht="15.6" hidden="1" outlineLevel="2" spans="1:25">
      <c r="A211" s="12">
        <v>213</v>
      </c>
      <c r="B211" s="12">
        <v>15</v>
      </c>
      <c r="C211" s="6" t="s">
        <v>681</v>
      </c>
      <c r="D211" s="6" t="s">
        <v>53</v>
      </c>
      <c r="E211" s="12"/>
      <c r="F211" s="11"/>
      <c r="G211" s="12"/>
      <c r="H211" s="11"/>
      <c r="I211" s="12"/>
      <c r="J211" s="11"/>
      <c r="K211" s="12"/>
      <c r="L211" s="12"/>
      <c r="M211" s="12"/>
      <c r="N211" s="12"/>
      <c r="O211" s="12"/>
      <c r="P211" s="11"/>
      <c r="Q211" s="12"/>
      <c r="R211" s="12"/>
      <c r="S211" s="11"/>
      <c r="T211" s="21"/>
      <c r="U211" s="11"/>
      <c r="V211" s="12"/>
      <c r="W211" s="12"/>
      <c r="X211" s="20">
        <f t="shared" si="110"/>
        <v>0</v>
      </c>
      <c r="Y211" s="23">
        <v>50</v>
      </c>
    </row>
    <row r="212" ht="15.6" hidden="1" outlineLevel="2" spans="1:25">
      <c r="A212" s="12">
        <v>213</v>
      </c>
      <c r="B212" s="12">
        <v>16</v>
      </c>
      <c r="C212" s="6" t="s">
        <v>682</v>
      </c>
      <c r="D212" s="6" t="s">
        <v>53</v>
      </c>
      <c r="E212" s="12">
        <v>26</v>
      </c>
      <c r="F212" s="11">
        <f>LOOKUP(E212,{0,1,1.8,2.6,3.4,4.2,5,6.3,7.6,8.9,10.2,11.5,12.8,14.1,15.4,16.7,18,19.7,21.4,23.1,24.8},{0,10,20,30,40,50,60,62,64,66,68,70,72,74,76,78,80,85,90,95,100})</f>
        <v>100</v>
      </c>
      <c r="G212" s="12">
        <v>164</v>
      </c>
      <c r="H212" s="11">
        <f>LOOKUP(G212,{0,124,129,134,139,144,149,152,155,158,161,164,167,170,173,176,179,186,193,199,205},{0,10,20,30,40,50,60,62,64,66,68,70,72,74,76,78,80,85,90,95,100})</f>
        <v>70</v>
      </c>
      <c r="I212" s="12">
        <v>54</v>
      </c>
      <c r="J212" s="11">
        <f>LOOKUP(I212,{0,14,16,18,20,22,24,26,28,30,32,34,36,38,40,42,44,47,50,52,54},{0,10,20,30,40,50,60,62,64,66,68,70,72,74,76,78,80,85,90,95,100})</f>
        <v>100</v>
      </c>
      <c r="K212" s="12">
        <f t="shared" ref="K212:K214" si="112">I212-54</f>
        <v>0</v>
      </c>
      <c r="L212" s="11">
        <f>LOOKUP(K212,{0,2,4,6,7,8,9,10,11,12,13},{0,1,2,3,4,5,6,7,8,9,10})</f>
        <v>0</v>
      </c>
      <c r="M212" s="12">
        <f t="shared" ref="M212:M217" si="113">J212+L212</f>
        <v>100</v>
      </c>
      <c r="N212" s="12">
        <v>8.6</v>
      </c>
      <c r="O212" s="12">
        <f t="shared" ref="O212:O217" si="114">12-N212</f>
        <v>3.4</v>
      </c>
      <c r="P212" s="11">
        <f>LOOKUP(O212,{0,0.5,0.7,0.9,1.1,1.3,1.5,1.7,1.9,2.1,2.3,2.5,2.7,2.9,3.1,3.3,3.5,3.8,4.1,4.2,4.3},{0,10,20,30,40,50,60,62,64,66,68,70,72,74,76,78,80,85,90,95,100})</f>
        <v>78</v>
      </c>
      <c r="Q212" s="12">
        <v>3.37</v>
      </c>
      <c r="R212" s="12">
        <f t="shared" ref="R212:R217" si="115">10-Q212</f>
        <v>6.63</v>
      </c>
      <c r="S212" s="11">
        <f>LOOKUP(R212,{0,4.72,4.82,4.92,5.42,5.52,5.62,5.67,5.72,5.77,5.82,5.87,5.92,5.97,6.42,6.47,6.52,6.59,6.66,6.72,6.78},{0,10,20,30,40,50,60,62,64,66,68,70,72,74,76,78,80,85,90,95,100})</f>
        <v>85</v>
      </c>
      <c r="T212" s="12"/>
      <c r="U212" s="12"/>
      <c r="V212" s="12">
        <f t="shared" ref="V212:V217" si="116">S212+U212</f>
        <v>85</v>
      </c>
      <c r="W212" s="12"/>
      <c r="X212" s="20">
        <f t="shared" si="110"/>
        <v>59.6</v>
      </c>
      <c r="Y212" s="20">
        <f t="shared" ref="Y212:Y217" si="117">X212/0.7+L212+U212</f>
        <v>85.1428571428572</v>
      </c>
    </row>
    <row r="213" ht="15.6" hidden="1" outlineLevel="2" spans="1:25">
      <c r="A213" s="12">
        <v>213</v>
      </c>
      <c r="B213" s="12">
        <v>17</v>
      </c>
      <c r="C213" s="6" t="s">
        <v>683</v>
      </c>
      <c r="D213" s="6" t="s">
        <v>53</v>
      </c>
      <c r="E213" s="12">
        <v>12</v>
      </c>
      <c r="F213" s="11">
        <f>LOOKUP(E213,{0,1,1.8,2.6,3.4,4.2,5,6.3,7.6,8.9,10.2,11.5,12.8,14.1,15.4,16.7,18,19.7,21.4,23.1,24.8},{0,10,20,30,40,50,60,62,64,66,68,70,72,74,76,78,80,85,90,95,100})</f>
        <v>70</v>
      </c>
      <c r="G213" s="12">
        <v>145</v>
      </c>
      <c r="H213" s="11">
        <f>LOOKUP(G213,{0,124,129,134,139,144,149,152,155,158,161,164,167,170,173,176,179,186,193,199,205},{0,10,20,30,40,50,60,62,64,66,68,70,72,74,76,78,80,85,90,95,100})</f>
        <v>50</v>
      </c>
      <c r="I213" s="12">
        <v>59</v>
      </c>
      <c r="J213" s="11">
        <f>LOOKUP(I213,{0,14,16,18,20,22,24,26,28,30,32,34,36,38,40,42,44,47,50,52,54},{0,10,20,30,40,50,60,62,64,66,68,70,72,74,76,78,80,85,90,95,100})</f>
        <v>100</v>
      </c>
      <c r="K213" s="12">
        <f t="shared" si="112"/>
        <v>5</v>
      </c>
      <c r="L213" s="11">
        <f>LOOKUP(K213,{0,2,4,6,7,8,9,10,11,12,13},{0,1,2,3,4,5,6,7,8,9,10})</f>
        <v>2</v>
      </c>
      <c r="M213" s="12">
        <f t="shared" si="113"/>
        <v>102</v>
      </c>
      <c r="N213" s="12">
        <v>9.9</v>
      </c>
      <c r="O213" s="12">
        <f t="shared" si="114"/>
        <v>2.1</v>
      </c>
      <c r="P213" s="11">
        <f>LOOKUP(O213,{0,0.5,0.7,0.9,1.1,1.3,1.5,1.7,1.9,2.1,2.3,2.5,2.7,2.9,3.1,3.3,3.5,3.8,4.1,4.2,4.3},{0,10,20,30,40,50,60,62,64,66,68,70,72,74,76,78,80,85,90,95,100})</f>
        <v>66</v>
      </c>
      <c r="Q213" s="12">
        <v>3.57</v>
      </c>
      <c r="R213" s="12">
        <f t="shared" si="115"/>
        <v>6.43</v>
      </c>
      <c r="S213" s="11">
        <f>LOOKUP(R213,{0,4.72,4.82,4.92,5.42,5.52,5.62,5.67,5.72,5.77,5.82,5.87,5.92,5.97,6.42,6.47,6.52,6.59,6.66,6.72,6.78},{0,10,20,30,40,50,60,62,64,66,68,70,72,74,76,78,80,85,90,95,100})</f>
        <v>76</v>
      </c>
      <c r="T213" s="12"/>
      <c r="U213" s="12"/>
      <c r="V213" s="12">
        <f t="shared" si="116"/>
        <v>76</v>
      </c>
      <c r="W213" s="12"/>
      <c r="X213" s="20">
        <f t="shared" si="110"/>
        <v>50.4</v>
      </c>
      <c r="Y213" s="20">
        <f t="shared" si="117"/>
        <v>74</v>
      </c>
    </row>
    <row r="214" ht="15.6" hidden="1" outlineLevel="2" spans="1:25">
      <c r="A214" s="12">
        <v>213</v>
      </c>
      <c r="B214" s="12">
        <v>18</v>
      </c>
      <c r="C214" s="6" t="s">
        <v>684</v>
      </c>
      <c r="D214" s="6" t="s">
        <v>53</v>
      </c>
      <c r="E214" s="12">
        <v>10</v>
      </c>
      <c r="F214" s="11">
        <f>LOOKUP(E214,{0,1,1.8,2.6,3.4,4.2,5,6.3,7.6,8.9,10.2,11.5,12.8,14.1,15.4,16.7,18,19.7,21.4,23.1,24.8},{0,10,20,30,40,50,60,62,64,66,68,70,72,74,76,78,80,85,90,95,100})</f>
        <v>66</v>
      </c>
      <c r="G214" s="12">
        <v>212</v>
      </c>
      <c r="H214" s="11">
        <f>LOOKUP(G214,{0,124,129,134,139,144,149,152,155,158,161,164,167,170,173,176,179,186,193,199,205},{0,10,20,30,40,50,60,62,64,66,68,70,72,74,76,78,80,85,90,95,100})</f>
        <v>100</v>
      </c>
      <c r="I214" s="12">
        <v>55</v>
      </c>
      <c r="J214" s="11">
        <f>LOOKUP(I214,{0,14,16,18,20,22,24,26,28,30,32,34,36,38,40,42,44,47,50,52,54},{0,10,20,30,40,50,60,62,64,66,68,70,72,74,76,78,80,85,90,95,100})</f>
        <v>100</v>
      </c>
      <c r="K214" s="12">
        <f t="shared" si="112"/>
        <v>1</v>
      </c>
      <c r="L214" s="11">
        <f>LOOKUP(K214,{0,2,4,6,7,8,9,10,11,12,13},{0,1,2,3,4,5,6,7,8,9,10})</f>
        <v>0</v>
      </c>
      <c r="M214" s="12">
        <f t="shared" si="113"/>
        <v>100</v>
      </c>
      <c r="N214" s="12">
        <v>8.8</v>
      </c>
      <c r="O214" s="12">
        <f t="shared" si="114"/>
        <v>3.2</v>
      </c>
      <c r="P214" s="11">
        <f>LOOKUP(O214,{0,0.5,0.7,0.9,1.1,1.3,1.5,1.7,1.9,2.1,2.3,2.5,2.7,2.9,3.1,3.3,3.5,3.8,4.1,4.2,4.3},{0,10,20,30,40,50,60,62,64,66,68,70,72,74,76,78,80,85,90,95,100})</f>
        <v>76</v>
      </c>
      <c r="Q214" s="12">
        <v>3.4</v>
      </c>
      <c r="R214" s="12">
        <f t="shared" si="115"/>
        <v>6.6</v>
      </c>
      <c r="S214" s="11">
        <f>LOOKUP(R214,{0,4.72,4.82,4.92,5.42,5.52,5.62,5.67,5.72,5.77,5.82,5.87,5.92,5.97,6.42,6.47,6.52,6.59,6.66,6.72,6.78},{0,10,20,30,40,50,60,62,64,66,68,70,72,74,76,78,80,85,90,95,100})</f>
        <v>85</v>
      </c>
      <c r="T214" s="12"/>
      <c r="U214" s="12"/>
      <c r="V214" s="12">
        <f t="shared" si="116"/>
        <v>85</v>
      </c>
      <c r="W214" s="12"/>
      <c r="X214" s="20">
        <f t="shared" si="110"/>
        <v>58.8</v>
      </c>
      <c r="Y214" s="20">
        <f t="shared" si="117"/>
        <v>84</v>
      </c>
    </row>
    <row r="215" ht="15.6" hidden="1" outlineLevel="2" spans="1:25">
      <c r="A215" s="12">
        <v>213</v>
      </c>
      <c r="B215" s="12">
        <v>19</v>
      </c>
      <c r="C215" s="6" t="s">
        <v>685</v>
      </c>
      <c r="D215" s="6" t="s">
        <v>53</v>
      </c>
      <c r="E215" s="12">
        <v>14</v>
      </c>
      <c r="F215" s="11">
        <f>LOOKUP(E215,{0,1,1.8,2.6,3.4,4.2,5,6.3,7.6,8.9,10.2,11.5,12.8,14.1,15.4,16.7,18,19.7,21.4,23.1,24.8},{0,10,20,30,40,50,60,62,64,66,68,70,72,74,76,78,80,85,90,95,100})</f>
        <v>72</v>
      </c>
      <c r="G215" s="12">
        <v>175</v>
      </c>
      <c r="H215" s="11">
        <f>LOOKUP(G215,{0,124,129,134,139,144,149,152,155,158,161,164,167,170,173,176,179,186,193,199,205},{0,10,20,30,40,50,60,62,64,66,68,70,72,74,76,78,80,85,90,95,100})</f>
        <v>76</v>
      </c>
      <c r="I215" s="12">
        <v>41</v>
      </c>
      <c r="J215" s="11">
        <f>LOOKUP(I215,{0,14,16,18,20,22,24,26,28,30,32,34,36,38,40,42,44,47,50,52,54},{0,10,20,30,40,50,60,62,64,66,68,70,72,74,76,78,80,85,90,95,100})</f>
        <v>76</v>
      </c>
      <c r="K215" s="12"/>
      <c r="L215" s="12"/>
      <c r="M215" s="12">
        <f t="shared" si="113"/>
        <v>76</v>
      </c>
      <c r="N215" s="12">
        <v>8.7</v>
      </c>
      <c r="O215" s="12">
        <f t="shared" si="114"/>
        <v>3.3</v>
      </c>
      <c r="P215" s="11">
        <f>LOOKUP(O215,{0,0.5,0.7,0.9,1.1,1.3,1.5,1.7,1.9,2.1,2.3,2.5,2.7,2.9,3.1,3.3,3.5,3.8,4.1,4.2,4.3},{0,10,20,30,40,50,60,62,64,66,68,70,72,74,76,78,80,85,90,95,100})</f>
        <v>78</v>
      </c>
      <c r="Q215" s="12">
        <v>4.23</v>
      </c>
      <c r="R215" s="12">
        <f t="shared" si="115"/>
        <v>5.77</v>
      </c>
      <c r="S215" s="11">
        <f>LOOKUP(R215,{0,4.72,4.82,4.92,5.42,5.52,5.62,5.67,5.72,5.77,5.82,5.87,5.92,5.97,6.42,6.47,6.52,6.59,6.66,6.72,6.78},{0,10,20,30,40,50,60,62,64,66,68,70,72,74,76,78,80,85,90,95,100})</f>
        <v>66</v>
      </c>
      <c r="T215" s="12"/>
      <c r="U215" s="12"/>
      <c r="V215" s="12">
        <f t="shared" si="116"/>
        <v>66</v>
      </c>
      <c r="W215" s="12"/>
      <c r="X215" s="20">
        <f t="shared" si="110"/>
        <v>51.2</v>
      </c>
      <c r="Y215" s="20">
        <f t="shared" si="117"/>
        <v>73.1428571428572</v>
      </c>
    </row>
    <row r="216" ht="15.6" hidden="1" outlineLevel="2" spans="1:25">
      <c r="A216" s="12">
        <v>213</v>
      </c>
      <c r="B216" s="12">
        <v>20</v>
      </c>
      <c r="C216" s="6" t="s">
        <v>686</v>
      </c>
      <c r="D216" s="6" t="s">
        <v>53</v>
      </c>
      <c r="E216" s="12">
        <v>20</v>
      </c>
      <c r="F216" s="11">
        <f>LOOKUP(E216,{0,1,1.8,2.6,3.4,4.2,5,6.3,7.6,8.9,10.2,11.5,12.8,14.1,15.4,16.7,18,19.7,21.4,23.1,24.8},{0,10,20,30,40,50,60,62,64,66,68,70,72,74,76,78,80,85,90,95,100})</f>
        <v>85</v>
      </c>
      <c r="G216" s="12">
        <v>182</v>
      </c>
      <c r="H216" s="11">
        <f>LOOKUP(G216,{0,124,129,134,139,144,149,152,155,158,161,164,167,170,173,176,179,186,193,199,205},{0,10,20,30,40,50,60,62,64,66,68,70,72,74,76,78,80,85,90,95,100})</f>
        <v>80</v>
      </c>
      <c r="I216" s="12">
        <v>43</v>
      </c>
      <c r="J216" s="11">
        <f>LOOKUP(I216,{0,14,16,18,20,22,24,26,28,30,32,34,36,38,40,42,44,47,50,52,54},{0,10,20,30,40,50,60,62,64,66,68,70,72,74,76,78,80,85,90,95,100})</f>
        <v>78</v>
      </c>
      <c r="K216" s="12"/>
      <c r="L216" s="12"/>
      <c r="M216" s="12">
        <f t="shared" si="113"/>
        <v>78</v>
      </c>
      <c r="N216" s="12">
        <v>8.5</v>
      </c>
      <c r="O216" s="12">
        <f t="shared" si="114"/>
        <v>3.5</v>
      </c>
      <c r="P216" s="11">
        <f>LOOKUP(O216,{0,0.5,0.7,0.9,1.1,1.3,1.5,1.7,1.9,2.1,2.3,2.5,2.7,2.9,3.1,3.3,3.5,3.8,4.1,4.2,4.3},{0,10,20,30,40,50,60,62,64,66,68,70,72,74,76,78,80,85,90,95,100})</f>
        <v>80</v>
      </c>
      <c r="Q216" s="12">
        <v>3.52</v>
      </c>
      <c r="R216" s="12">
        <f t="shared" si="115"/>
        <v>6.48</v>
      </c>
      <c r="S216" s="11">
        <f>LOOKUP(R216,{0,4.72,4.82,4.92,5.42,5.52,5.62,5.67,5.72,5.77,5.82,5.87,5.92,5.97,6.42,6.47,6.52,6.59,6.66,6.72,6.78},{0,10,20,30,40,50,60,62,64,66,68,70,72,74,76,78,80,85,90,95,100})</f>
        <v>78</v>
      </c>
      <c r="T216" s="12"/>
      <c r="U216" s="12"/>
      <c r="V216" s="12">
        <f t="shared" si="116"/>
        <v>78</v>
      </c>
      <c r="W216" s="12"/>
      <c r="X216" s="20">
        <f t="shared" si="110"/>
        <v>55.9</v>
      </c>
      <c r="Y216" s="20">
        <f t="shared" si="117"/>
        <v>79.8571428571429</v>
      </c>
    </row>
    <row r="217" ht="15.6" hidden="1" outlineLevel="2" spans="1:25">
      <c r="A217" s="12">
        <v>213</v>
      </c>
      <c r="B217" s="12">
        <v>21</v>
      </c>
      <c r="C217" s="6" t="s">
        <v>687</v>
      </c>
      <c r="D217" s="6" t="s">
        <v>53</v>
      </c>
      <c r="E217" s="12">
        <v>14.3</v>
      </c>
      <c r="F217" s="11">
        <f>LOOKUP(E217,{0,1,1.8,2.6,3.4,4.2,5,6.3,7.6,8.9,10.2,11.5,12.8,14.1,15.4,16.7,18,19.7,21.4,23.1,24.8},{0,10,20,30,40,50,60,62,64,66,68,70,72,74,76,78,80,85,90,95,100})</f>
        <v>74</v>
      </c>
      <c r="G217" s="12">
        <v>176</v>
      </c>
      <c r="H217" s="11">
        <f>LOOKUP(G217,{0,124,129,134,139,144,149,152,155,158,161,164,167,170,173,176,179,186,193,199,205},{0,10,20,30,40,50,60,62,64,66,68,70,72,74,76,78,80,85,90,95,100})</f>
        <v>78</v>
      </c>
      <c r="I217" s="12">
        <v>41</v>
      </c>
      <c r="J217" s="11">
        <f>LOOKUP(I217,{0,14,16,18,20,22,24,26,28,30,32,34,36,38,40,42,44,47,50,52,54},{0,10,20,30,40,50,60,62,64,66,68,70,72,74,76,78,80,85,90,95,100})</f>
        <v>76</v>
      </c>
      <c r="K217" s="12"/>
      <c r="L217" s="12"/>
      <c r="M217" s="12">
        <f t="shared" si="113"/>
        <v>76</v>
      </c>
      <c r="N217" s="12">
        <v>8.8</v>
      </c>
      <c r="O217" s="12">
        <f t="shared" si="114"/>
        <v>3.2</v>
      </c>
      <c r="P217" s="11">
        <f>LOOKUP(O217,{0,0.5,0.7,0.9,1.1,1.3,1.5,1.7,1.9,2.1,2.3,2.5,2.7,2.9,3.1,3.3,3.5,3.8,4.1,4.2,4.3},{0,10,20,30,40,50,60,62,64,66,68,70,72,74,76,78,80,85,90,95,100})</f>
        <v>76</v>
      </c>
      <c r="Q217" s="12">
        <v>3.53</v>
      </c>
      <c r="R217" s="12">
        <f t="shared" si="115"/>
        <v>6.47</v>
      </c>
      <c r="S217" s="11">
        <f>LOOKUP(R217,{0,4.72,4.82,4.92,5.42,5.52,5.62,5.67,5.72,5.77,5.82,5.87,5.92,5.97,6.42,6.47,6.52,6.59,6.66,6.72,6.78},{0,10,20,30,40,50,60,62,64,66,68,70,72,74,76,78,80,85,90,95,100})</f>
        <v>78</v>
      </c>
      <c r="T217" s="12"/>
      <c r="U217" s="15"/>
      <c r="V217" s="12">
        <f t="shared" si="116"/>
        <v>78</v>
      </c>
      <c r="W217" s="12"/>
      <c r="X217" s="20">
        <f t="shared" si="110"/>
        <v>53.6</v>
      </c>
      <c r="Y217" s="20">
        <f t="shared" si="117"/>
        <v>76.5714285714286</v>
      </c>
    </row>
    <row r="218" ht="15.6" hidden="1" outlineLevel="2" spans="1:25">
      <c r="A218" s="12">
        <v>213</v>
      </c>
      <c r="B218" s="12">
        <v>22</v>
      </c>
      <c r="C218" s="13" t="s">
        <v>689</v>
      </c>
      <c r="D218" s="6" t="s">
        <v>53</v>
      </c>
      <c r="E218" s="12"/>
      <c r="F218" s="11"/>
      <c r="G218" s="12"/>
      <c r="H218" s="11"/>
      <c r="I218" s="12"/>
      <c r="J218" s="11"/>
      <c r="K218" s="12"/>
      <c r="L218" s="12"/>
      <c r="M218" s="12"/>
      <c r="N218" s="12"/>
      <c r="O218" s="12"/>
      <c r="P218" s="11"/>
      <c r="Q218" s="12"/>
      <c r="R218" s="12"/>
      <c r="S218" s="11"/>
      <c r="T218" s="21"/>
      <c r="U218" s="11"/>
      <c r="V218" s="12"/>
      <c r="W218" s="12" t="s">
        <v>617</v>
      </c>
      <c r="X218" s="20">
        <f t="shared" si="110"/>
        <v>0</v>
      </c>
      <c r="Y218" s="20">
        <v>50</v>
      </c>
    </row>
    <row r="219" ht="15.6" hidden="1" outlineLevel="2" spans="1:25">
      <c r="A219" s="12">
        <v>213</v>
      </c>
      <c r="B219" s="12">
        <v>23</v>
      </c>
      <c r="C219" s="6" t="s">
        <v>690</v>
      </c>
      <c r="D219" s="6" t="s">
        <v>53</v>
      </c>
      <c r="E219" s="12">
        <v>6.5</v>
      </c>
      <c r="F219" s="11">
        <f>LOOKUP(E219,{0,1,1.8,2.6,3.4,4.2,5,6.3,7.6,8.9,10.2,11.5,12.8,14.1,15.4,16.7,18,19.7,21.4,23.1,24.8},{0,10,20,30,40,50,60,62,64,66,68,70,72,74,76,78,80,85,90,95,100})</f>
        <v>62</v>
      </c>
      <c r="G219" s="12">
        <v>170</v>
      </c>
      <c r="H219" s="11">
        <f>LOOKUP(G219,{0,124,129,134,139,144,149,152,155,158,161,164,167,170,173,176,179,186,193,199,205},{0,10,20,30,40,50,60,62,64,66,68,70,72,74,76,78,80,85,90,95,100})</f>
        <v>74</v>
      </c>
      <c r="I219" s="12">
        <v>38</v>
      </c>
      <c r="J219" s="11">
        <f>LOOKUP(I219,{0,14,16,18,20,22,24,26,28,30,32,34,36,38,40,42,44,47,50,52,54},{0,10,20,30,40,50,60,62,64,66,68,70,72,74,76,78,80,85,90,95,100})</f>
        <v>74</v>
      </c>
      <c r="K219" s="12"/>
      <c r="L219" s="12"/>
      <c r="M219" s="12">
        <f t="shared" ref="M219:M222" si="118">J219+L219</f>
        <v>74</v>
      </c>
      <c r="N219" s="12">
        <v>8.8</v>
      </c>
      <c r="O219" s="12">
        <f t="shared" ref="O219:O222" si="119">12-N219</f>
        <v>3.2</v>
      </c>
      <c r="P219" s="11">
        <f>LOOKUP(O219,{0,0.5,0.7,0.9,1.1,1.3,1.5,1.7,1.9,2.1,2.3,2.5,2.7,2.9,3.1,3.3,3.5,3.8,4.1,4.2,4.3},{0,10,20,30,40,50,60,62,64,66,68,70,72,74,76,78,80,85,90,95,100})</f>
        <v>76</v>
      </c>
      <c r="Q219" s="12">
        <v>3.45</v>
      </c>
      <c r="R219" s="12">
        <f t="shared" ref="R219:R222" si="120">10-Q219</f>
        <v>6.55</v>
      </c>
      <c r="S219" s="11">
        <f>LOOKUP(R219,{0,4.72,4.82,4.92,5.42,5.52,5.62,5.67,5.72,5.77,5.82,5.87,5.92,5.97,6.42,6.47,6.52,6.59,6.66,6.72,6.78},{0,10,20,30,40,50,60,62,64,66,68,70,72,74,76,78,80,85,90,95,100})</f>
        <v>80</v>
      </c>
      <c r="T219" s="12"/>
      <c r="U219" s="12"/>
      <c r="V219" s="12">
        <f t="shared" ref="V219:V222" si="121">S219+U219</f>
        <v>80</v>
      </c>
      <c r="W219" s="12"/>
      <c r="X219" s="20">
        <f t="shared" si="110"/>
        <v>52.2</v>
      </c>
      <c r="Y219" s="20">
        <f t="shared" ref="Y219:Y222" si="122">X219/0.7+L219+U219</f>
        <v>74.5714285714286</v>
      </c>
    </row>
    <row r="220" ht="15.6" hidden="1" outlineLevel="2" spans="1:25">
      <c r="A220" s="12">
        <v>213</v>
      </c>
      <c r="B220" s="12">
        <v>24</v>
      </c>
      <c r="C220" s="6" t="s">
        <v>691</v>
      </c>
      <c r="D220" s="6" t="s">
        <v>53</v>
      </c>
      <c r="E220" s="12">
        <v>9.9</v>
      </c>
      <c r="F220" s="11">
        <f>LOOKUP(E220,{0,1,1.8,2.6,3.4,4.2,5,6.3,7.6,8.9,10.2,11.5,12.8,14.1,15.4,16.7,18,19.7,21.4,23.1,24.8},{0,10,20,30,40,50,60,62,64,66,68,70,72,74,76,78,80,85,90,95,100})</f>
        <v>66</v>
      </c>
      <c r="G220" s="12">
        <v>185</v>
      </c>
      <c r="H220" s="11">
        <f>LOOKUP(G220,{0,124,129,134,139,144,149,152,155,158,161,164,167,170,173,176,179,186,193,199,205},{0,10,20,30,40,50,60,62,64,66,68,70,72,74,76,78,80,85,90,95,100})</f>
        <v>80</v>
      </c>
      <c r="I220" s="12">
        <v>38</v>
      </c>
      <c r="J220" s="11">
        <f>LOOKUP(I220,{0,14,16,18,20,22,24,26,28,30,32,34,36,38,40,42,44,47,50,52,54},{0,10,20,30,40,50,60,62,64,66,68,70,72,74,76,78,80,85,90,95,100})</f>
        <v>74</v>
      </c>
      <c r="K220" s="12"/>
      <c r="L220" s="12"/>
      <c r="M220" s="12">
        <f t="shared" si="118"/>
        <v>74</v>
      </c>
      <c r="N220" s="12">
        <v>7.9</v>
      </c>
      <c r="O220" s="12">
        <f t="shared" si="119"/>
        <v>4.1</v>
      </c>
      <c r="P220" s="11">
        <f>LOOKUP(O220,{0,0.5,0.7,0.9,1.1,1.3,1.5,1.7,1.9,2.1,2.3,2.5,2.7,2.9,3.1,3.3,3.5,3.8,4.1,4.2,4.3},{0,10,20,30,40,50,60,62,64,66,68,70,72,74,76,78,80,85,90,95,100})</f>
        <v>90</v>
      </c>
      <c r="Q220" s="12">
        <v>3.34</v>
      </c>
      <c r="R220" s="12">
        <f t="shared" si="120"/>
        <v>6.66</v>
      </c>
      <c r="S220" s="11">
        <f>LOOKUP(R220,{0,4.72,4.82,4.92,5.42,5.52,5.62,5.67,5.72,5.77,5.82,5.87,5.92,5.97,6.42,6.47,6.52,6.59,6.66,6.72,6.78},{0,10,20,30,40,50,60,62,64,66,68,70,72,74,76,78,80,85,90,95,100})</f>
        <v>90</v>
      </c>
      <c r="T220" s="12"/>
      <c r="U220" s="12"/>
      <c r="V220" s="12">
        <f t="shared" si="121"/>
        <v>90</v>
      </c>
      <c r="W220" s="12"/>
      <c r="X220" s="20">
        <f t="shared" si="110"/>
        <v>58</v>
      </c>
      <c r="Y220" s="20">
        <f t="shared" si="122"/>
        <v>82.8571428571429</v>
      </c>
    </row>
    <row r="221" ht="15.6" hidden="1" outlineLevel="2" spans="1:25">
      <c r="A221" s="12">
        <v>213</v>
      </c>
      <c r="B221" s="12">
        <v>25</v>
      </c>
      <c r="C221" s="6" t="s">
        <v>692</v>
      </c>
      <c r="D221" s="6" t="s">
        <v>53</v>
      </c>
      <c r="E221" s="12">
        <v>18.5</v>
      </c>
      <c r="F221" s="11">
        <f>LOOKUP(E221,{0,1,1.8,2.6,3.4,4.2,5,6.3,7.6,8.9,10.2,11.5,12.8,14.1,15.4,16.7,18,19.7,21.4,23.1,24.8},{0,10,20,30,40,50,60,62,64,66,68,70,72,74,76,78,80,85,90,95,100})</f>
        <v>80</v>
      </c>
      <c r="G221" s="12">
        <v>169</v>
      </c>
      <c r="H221" s="11">
        <f>LOOKUP(G221,{0,124,129,134,139,144,149,152,155,158,161,164,167,170,173,176,179,186,193,199,205},{0,10,20,30,40,50,60,62,64,66,68,70,72,74,76,78,80,85,90,95,100})</f>
        <v>72</v>
      </c>
      <c r="I221" s="12">
        <v>54</v>
      </c>
      <c r="J221" s="11">
        <f>LOOKUP(I221,{0,14,16,18,20,22,24,26,28,30,32,34,36,38,40,42,44,47,50,52,54},{0,10,20,30,40,50,60,62,64,66,68,70,72,74,76,78,80,85,90,95,100})</f>
        <v>100</v>
      </c>
      <c r="K221" s="12">
        <f>I221-54</f>
        <v>0</v>
      </c>
      <c r="L221" s="11">
        <f>LOOKUP(K221,{0,2,4,6,7,8,9,10,11,12,13},{0,1,2,3,4,5,6,7,8,9,10})</f>
        <v>0</v>
      </c>
      <c r="M221" s="12">
        <f t="shared" si="118"/>
        <v>100</v>
      </c>
      <c r="N221" s="12">
        <v>8.9</v>
      </c>
      <c r="O221" s="12">
        <f t="shared" si="119"/>
        <v>3.1</v>
      </c>
      <c r="P221" s="11">
        <f>LOOKUP(O221,{0,0.5,0.7,0.9,1.1,1.3,1.5,1.7,1.9,2.1,2.3,2.5,2.7,2.9,3.1,3.3,3.5,3.8,4.1,4.2,4.3},{0,10,20,30,40,50,60,62,64,66,68,70,72,74,76,78,80,85,90,95,100})</f>
        <v>76</v>
      </c>
      <c r="Q221" s="12">
        <v>4.52</v>
      </c>
      <c r="R221" s="12">
        <f t="shared" si="120"/>
        <v>5.48</v>
      </c>
      <c r="S221" s="11">
        <f>LOOKUP(R221,{0,4.72,4.82,4.92,5.42,5.52,5.62,5.67,5.72,5.77,5.82,5.87,5.92,5.97,6.42,6.47,6.52,6.59,6.66,6.72,6.78},{0,10,20,30,40,50,60,62,64,66,68,70,72,74,76,78,80,85,90,95,100})</f>
        <v>40</v>
      </c>
      <c r="T221" s="12"/>
      <c r="U221" s="12"/>
      <c r="V221" s="12">
        <f t="shared" si="121"/>
        <v>40</v>
      </c>
      <c r="W221" s="12"/>
      <c r="X221" s="20">
        <f t="shared" si="110"/>
        <v>48.4</v>
      </c>
      <c r="Y221" s="20">
        <f t="shared" si="122"/>
        <v>69.1428571428571</v>
      </c>
    </row>
    <row r="222" ht="15.6" hidden="1" outlineLevel="2" spans="1:25">
      <c r="A222" s="12">
        <v>213</v>
      </c>
      <c r="B222" s="12">
        <v>26</v>
      </c>
      <c r="C222" s="6" t="s">
        <v>693</v>
      </c>
      <c r="D222" s="6" t="s">
        <v>53</v>
      </c>
      <c r="E222" s="12">
        <v>11.5</v>
      </c>
      <c r="F222" s="11">
        <f>LOOKUP(E222,{0,1,1.8,2.6,3.4,4.2,5,6.3,7.6,8.9,10.2,11.5,12.8,14.1,15.4,16.7,18,19.7,21.4,23.1,24.8},{0,10,20,30,40,50,60,62,64,66,68,70,72,74,76,78,80,85,90,95,100})</f>
        <v>70</v>
      </c>
      <c r="G222" s="12">
        <v>156</v>
      </c>
      <c r="H222" s="11">
        <f>LOOKUP(G222,{0,124,129,134,139,144,149,152,155,158,161,164,167,170,173,176,179,186,193,199,205},{0,10,20,30,40,50,60,62,64,66,68,70,72,74,76,78,80,85,90,95,100})</f>
        <v>64</v>
      </c>
      <c r="I222" s="12">
        <v>60</v>
      </c>
      <c r="J222" s="11">
        <f>LOOKUP(I222,{0,14,16,18,20,22,24,26,28,30,32,34,36,38,40,42,44,47,50,52,54},{0,10,20,30,40,50,60,62,64,66,68,70,72,74,76,78,80,85,90,95,100})</f>
        <v>100</v>
      </c>
      <c r="K222" s="12">
        <f>I222-54</f>
        <v>6</v>
      </c>
      <c r="L222" s="11">
        <f>LOOKUP(K222,{0,2,4,6,7,8,9,10,11,12,13},{0,1,2,3,4,5,6,7,8,9,10})</f>
        <v>3</v>
      </c>
      <c r="M222" s="12">
        <f t="shared" si="118"/>
        <v>103</v>
      </c>
      <c r="N222" s="12">
        <v>9.1</v>
      </c>
      <c r="O222" s="12">
        <f t="shared" si="119"/>
        <v>2.9</v>
      </c>
      <c r="P222" s="11">
        <f>LOOKUP(O222,{0,0.5,0.7,0.9,1.1,1.3,1.5,1.7,1.9,2.1,2.3,2.5,2.7,2.9,3.1,3.3,3.5,3.8,4.1,4.2,4.3},{0,10,20,30,40,50,60,62,64,66,68,70,72,74,76,78,80,85,90,95,100})</f>
        <v>74</v>
      </c>
      <c r="Q222" s="12">
        <v>3.54</v>
      </c>
      <c r="R222" s="12">
        <f t="shared" si="120"/>
        <v>6.46</v>
      </c>
      <c r="S222" s="11">
        <f>LOOKUP(R222,{0,4.72,4.82,4.92,5.42,5.52,5.62,5.67,5.72,5.77,5.82,5.87,5.92,5.97,6.42,6.47,6.52,6.59,6.66,6.72,6.78},{0,10,20,30,40,50,60,62,64,66,68,70,72,74,76,78,80,85,90,95,100})</f>
        <v>76</v>
      </c>
      <c r="T222" s="12"/>
      <c r="U222" s="12"/>
      <c r="V222" s="12">
        <f t="shared" si="121"/>
        <v>76</v>
      </c>
      <c r="W222" s="12"/>
      <c r="X222" s="20">
        <f t="shared" si="110"/>
        <v>53.4</v>
      </c>
      <c r="Y222" s="20">
        <f t="shared" si="122"/>
        <v>79.2857142857143</v>
      </c>
    </row>
    <row r="223" ht="15.6" hidden="1" outlineLevel="2" spans="1:25">
      <c r="A223" s="12">
        <v>213</v>
      </c>
      <c r="B223" s="12">
        <v>27</v>
      </c>
      <c r="C223" s="6" t="s">
        <v>694</v>
      </c>
      <c r="D223" s="6" t="s">
        <v>53</v>
      </c>
      <c r="E223" s="12"/>
      <c r="F223" s="11"/>
      <c r="G223" s="12"/>
      <c r="H223" s="11"/>
      <c r="I223" s="12"/>
      <c r="J223" s="11"/>
      <c r="K223" s="12"/>
      <c r="L223" s="12"/>
      <c r="M223" s="12"/>
      <c r="N223" s="12"/>
      <c r="O223" s="12"/>
      <c r="P223" s="11"/>
      <c r="Q223" s="12"/>
      <c r="R223" s="12"/>
      <c r="S223" s="11"/>
      <c r="T223" s="21"/>
      <c r="U223" s="16"/>
      <c r="V223" s="12"/>
      <c r="W223" s="12" t="s">
        <v>617</v>
      </c>
      <c r="X223" s="20">
        <f t="shared" si="110"/>
        <v>0</v>
      </c>
      <c r="Y223" s="20">
        <v>50</v>
      </c>
    </row>
    <row r="224" ht="15.6" hidden="1" outlineLevel="2" spans="1:25">
      <c r="A224" s="12">
        <v>213</v>
      </c>
      <c r="B224" s="12">
        <v>28</v>
      </c>
      <c r="C224" s="6" t="s">
        <v>695</v>
      </c>
      <c r="D224" s="6" t="s">
        <v>53</v>
      </c>
      <c r="E224" s="12">
        <v>22.5</v>
      </c>
      <c r="F224" s="11">
        <f>LOOKUP(E224,{0,1,1.8,2.6,3.4,4.2,5,6.3,7.6,8.9,10.2,11.5,12.8,14.1,15.4,16.7,18,19.7,21.4,23.1,24.8},{0,10,20,30,40,50,60,62,64,66,68,70,72,74,76,78,80,85,90,95,100})</f>
        <v>90</v>
      </c>
      <c r="G224" s="12">
        <v>200</v>
      </c>
      <c r="H224" s="11">
        <f>LOOKUP(G224,{0,124,129,134,139,144,149,152,155,158,161,164,167,170,173,176,179,186,193,199,205},{0,10,20,30,40,50,60,62,64,66,68,70,72,74,76,78,80,85,90,95,100})</f>
        <v>95</v>
      </c>
      <c r="I224" s="12">
        <v>25</v>
      </c>
      <c r="J224" s="11">
        <f>LOOKUP(I224,{0,14,16,18,20,22,24,26,28,30,32,34,36,38,40,42,44,47,50,52,54},{0,10,20,30,40,50,60,62,64,66,68,70,72,74,76,78,80,85,90,95,100})</f>
        <v>60</v>
      </c>
      <c r="K224" s="12"/>
      <c r="L224" s="12"/>
      <c r="M224" s="12">
        <f t="shared" ref="M224:M228" si="123">J224+L224</f>
        <v>60</v>
      </c>
      <c r="N224" s="12">
        <v>8.3</v>
      </c>
      <c r="O224" s="12">
        <f t="shared" ref="O224:O228" si="124">12-N224</f>
        <v>3.7</v>
      </c>
      <c r="P224" s="11">
        <f>LOOKUP(O224,{0,0.5,0.7,0.9,1.1,1.3,1.5,1.7,1.9,2.1,2.3,2.5,2.7,2.9,3.1,3.3,3.5,3.8,4.1,4.2,4.3},{0,10,20,30,40,50,60,62,64,66,68,70,72,74,76,78,80,85,90,95,100})</f>
        <v>80</v>
      </c>
      <c r="Q224" s="12">
        <v>3.39</v>
      </c>
      <c r="R224" s="12">
        <f t="shared" ref="R224:R228" si="125">10-Q224</f>
        <v>6.61</v>
      </c>
      <c r="S224" s="11">
        <f>LOOKUP(R224,{0,4.72,4.82,4.92,5.42,5.52,5.62,5.67,5.72,5.77,5.82,5.87,5.92,5.97,6.42,6.47,6.52,6.59,6.66,6.72,6.78},{0,10,20,30,40,50,60,62,64,66,68,70,72,74,76,78,80,85,90,95,100})</f>
        <v>85</v>
      </c>
      <c r="T224" s="12"/>
      <c r="U224" s="12"/>
      <c r="V224" s="12">
        <f t="shared" ref="V224:V228" si="126">S224+U224</f>
        <v>85</v>
      </c>
      <c r="W224" s="12"/>
      <c r="X224" s="20">
        <f t="shared" si="110"/>
        <v>57.5</v>
      </c>
      <c r="Y224" s="20">
        <f t="shared" ref="Y224:Y228" si="127">X224/0.7+L224+U224</f>
        <v>82.1428571428572</v>
      </c>
    </row>
    <row r="225" s="1" customFormat="1" ht="15.6" hidden="1" outlineLevel="2" spans="1:25">
      <c r="A225" s="12">
        <v>213</v>
      </c>
      <c r="B225" s="12">
        <v>29</v>
      </c>
      <c r="C225" s="6" t="s">
        <v>696</v>
      </c>
      <c r="D225" s="6" t="s">
        <v>53</v>
      </c>
      <c r="E225" s="12">
        <v>13.5</v>
      </c>
      <c r="F225" s="11">
        <f>LOOKUP(E225,{0,1,1.8,2.6,3.4,4.2,5,6.3,7.6,8.9,10.2,11.5,12.8,14.1,15.4,16.7,18,19.7,21.4,23.1,24.8},{0,10,20,30,40,50,60,62,64,66,68,70,72,74,76,78,80,85,90,95,100})</f>
        <v>72</v>
      </c>
      <c r="G225" s="12">
        <v>170</v>
      </c>
      <c r="H225" s="11">
        <f>LOOKUP(G225,{0,124,129,134,139,144,149,152,155,158,161,164,167,170,173,176,179,186,193,199,205},{0,10,20,30,40,50,60,62,64,66,68,70,72,74,76,78,80,85,90,95,100})</f>
        <v>74</v>
      </c>
      <c r="I225" s="12">
        <v>50</v>
      </c>
      <c r="J225" s="11">
        <f>LOOKUP(I225,{0,14,16,18,20,22,24,26,28,30,32,34,36,38,40,42,44,47,50,52,54},{0,10,20,30,40,50,60,62,64,66,68,70,72,74,76,78,80,85,90,95,100})</f>
        <v>90</v>
      </c>
      <c r="K225" s="12"/>
      <c r="L225" s="12"/>
      <c r="M225" s="12">
        <f t="shared" si="123"/>
        <v>90</v>
      </c>
      <c r="N225" s="12">
        <v>8.6</v>
      </c>
      <c r="O225" s="12">
        <f t="shared" si="124"/>
        <v>3.4</v>
      </c>
      <c r="P225" s="11">
        <f>LOOKUP(O225,{0,0.5,0.7,0.9,1.1,1.3,1.5,1.7,1.9,2.1,2.3,2.5,2.7,2.9,3.1,3.3,3.5,3.8,4.1,4.2,4.3},{0,10,20,30,40,50,60,62,64,66,68,70,72,74,76,78,80,85,90,95,100})</f>
        <v>78</v>
      </c>
      <c r="Q225" s="12">
        <v>3.25</v>
      </c>
      <c r="R225" s="12">
        <f t="shared" si="125"/>
        <v>6.75</v>
      </c>
      <c r="S225" s="11">
        <f>LOOKUP(R225,{0,4.72,4.82,4.92,5.42,5.52,5.62,5.67,5.72,5.77,5.82,5.87,5.92,5.97,6.42,6.47,6.52,6.59,6.66,6.72,6.78},{0,10,20,30,40,50,60,62,64,66,68,70,72,74,76,78,80,85,90,95,100})</f>
        <v>95</v>
      </c>
      <c r="T225" s="12"/>
      <c r="U225" s="12"/>
      <c r="V225" s="12">
        <f t="shared" si="126"/>
        <v>95</v>
      </c>
      <c r="W225" s="12"/>
      <c r="X225" s="20">
        <f t="shared" si="110"/>
        <v>58.2</v>
      </c>
      <c r="Y225" s="20">
        <f t="shared" si="127"/>
        <v>83.1428571428572</v>
      </c>
    </row>
    <row r="226" ht="15.6" hidden="1" outlineLevel="2" spans="1:25">
      <c r="A226" s="12">
        <v>213</v>
      </c>
      <c r="B226" s="12">
        <v>30</v>
      </c>
      <c r="C226" s="6" t="s">
        <v>697</v>
      </c>
      <c r="D226" s="6" t="s">
        <v>53</v>
      </c>
      <c r="E226" s="12">
        <v>23.2</v>
      </c>
      <c r="F226" s="11">
        <f>LOOKUP(E226,{0,1,1.8,2.6,3.4,4.2,5,6.3,7.6,8.9,10.2,11.5,12.8,14.1,15.4,16.7,18,19.7,21.4,23.1,24.8},{0,10,20,30,40,50,60,62,64,66,68,70,72,74,76,78,80,85,90,95,100})</f>
        <v>95</v>
      </c>
      <c r="G226" s="12">
        <v>180</v>
      </c>
      <c r="H226" s="11">
        <f>LOOKUP(G226,{0,124,129,134,139,144,149,152,155,158,161,164,167,170,173,176,179,186,193,199,205},{0,10,20,30,40,50,60,62,64,66,68,70,72,74,76,78,80,85,90,95,100})</f>
        <v>80</v>
      </c>
      <c r="I226" s="12">
        <v>51</v>
      </c>
      <c r="J226" s="11">
        <f>LOOKUP(I226,{0,14,16,18,20,22,24,26,28,30,32,34,36,38,40,42,44,47,50,52,54},{0,10,20,30,40,50,60,62,64,66,68,70,72,74,76,78,80,85,90,95,100})</f>
        <v>90</v>
      </c>
      <c r="K226" s="12"/>
      <c r="L226" s="12"/>
      <c r="M226" s="12">
        <f t="shared" si="123"/>
        <v>90</v>
      </c>
      <c r="N226" s="12">
        <v>7.6</v>
      </c>
      <c r="O226" s="12">
        <f t="shared" si="124"/>
        <v>4.4</v>
      </c>
      <c r="P226" s="11">
        <f>LOOKUP(O226,{0,0.5,0.7,0.9,1.1,1.3,1.5,1.7,1.9,2.1,2.3,2.5,2.7,2.9,3.1,3.3,3.5,3.8,4.1,4.2,4.3},{0,10,20,30,40,50,60,62,64,66,68,70,72,74,76,78,80,85,90,95,100})</f>
        <v>100</v>
      </c>
      <c r="Q226" s="12">
        <v>3.13</v>
      </c>
      <c r="R226" s="12">
        <f t="shared" si="125"/>
        <v>6.87</v>
      </c>
      <c r="S226" s="11">
        <f>LOOKUP(R226,{0,4.72,4.82,4.92,5.42,5.52,5.62,5.67,5.72,5.77,5.82,5.87,5.92,5.97,6.42,6.47,6.52,6.59,6.66,6.72,6.78},{0,10,20,30,40,50,60,62,64,66,68,70,72,74,76,78,80,85,90,95,100})</f>
        <v>100</v>
      </c>
      <c r="T226" s="21">
        <f t="shared" ref="T226:T232" si="128">3.22-Q226</f>
        <v>0.0900000000000003</v>
      </c>
      <c r="U226" s="16">
        <f>LOOKUP(T226,{0,0.05,0.1,0.15,0.2,0.25,0.3,0.35,0.4,0.45,0.5},{0,1,2,3,4,5,6,7,8,9,10})</f>
        <v>1</v>
      </c>
      <c r="V226" s="12">
        <f t="shared" si="126"/>
        <v>101</v>
      </c>
      <c r="W226" s="12"/>
      <c r="X226" s="20">
        <f t="shared" si="110"/>
        <v>66.5</v>
      </c>
      <c r="Y226" s="20">
        <f t="shared" si="127"/>
        <v>96</v>
      </c>
    </row>
    <row r="227" ht="15.6" hidden="1" outlineLevel="2" spans="1:25">
      <c r="A227" s="12">
        <v>213</v>
      </c>
      <c r="B227" s="12">
        <v>31</v>
      </c>
      <c r="C227" s="6" t="s">
        <v>698</v>
      </c>
      <c r="D227" s="6" t="s">
        <v>53</v>
      </c>
      <c r="E227" s="12">
        <v>19</v>
      </c>
      <c r="F227" s="11">
        <f>LOOKUP(E227,{0,1,1.8,2.6,3.4,4.2,5,6.3,7.6,8.9,10.2,11.5,12.8,14.1,15.4,16.7,18,19.7,21.4,23.1,24.8},{0,10,20,30,40,50,60,62,64,66,68,70,72,74,76,78,80,85,90,95,100})</f>
        <v>80</v>
      </c>
      <c r="G227" s="12">
        <v>206</v>
      </c>
      <c r="H227" s="11">
        <f>LOOKUP(G227,{0,124,129,134,139,144,149,152,155,158,161,164,167,170,173,176,179,186,193,199,205},{0,10,20,30,40,50,60,62,64,66,68,70,72,74,76,78,80,85,90,95,100})</f>
        <v>100</v>
      </c>
      <c r="I227" s="12">
        <v>55</v>
      </c>
      <c r="J227" s="11">
        <f>LOOKUP(I227,{0,14,16,18,20,22,24,26,28,30,32,34,36,38,40,42,44,47,50,52,54},{0,10,20,30,40,50,60,62,64,66,68,70,72,74,76,78,80,85,90,95,100})</f>
        <v>100</v>
      </c>
      <c r="K227" s="12">
        <f>I227-54</f>
        <v>1</v>
      </c>
      <c r="L227" s="11">
        <f>LOOKUP(K227,{0,2,4,6,7,8,9,10,11,12,13},{0,1,2,3,4,5,6,7,8,9,10})</f>
        <v>0</v>
      </c>
      <c r="M227" s="12">
        <f t="shared" si="123"/>
        <v>100</v>
      </c>
      <c r="N227" s="12">
        <v>8.1</v>
      </c>
      <c r="O227" s="12">
        <f t="shared" si="124"/>
        <v>3.9</v>
      </c>
      <c r="P227" s="11">
        <f>LOOKUP(O227,{0,0.5,0.7,0.9,1.1,1.3,1.5,1.7,1.9,2.1,2.3,2.5,2.7,2.9,3.1,3.3,3.5,3.8,4.1,4.2,4.3},{0,10,20,30,40,50,60,62,64,66,68,70,72,74,76,78,80,85,90,95,100})</f>
        <v>85</v>
      </c>
      <c r="Q227" s="12">
        <v>3.21</v>
      </c>
      <c r="R227" s="12">
        <f t="shared" si="125"/>
        <v>6.79</v>
      </c>
      <c r="S227" s="11">
        <f>LOOKUP(R227,{0,4.72,4.82,4.92,5.42,5.52,5.62,5.67,5.72,5.77,5.82,5.87,5.92,5.97,6.42,6.47,6.52,6.59,6.66,6.72,6.78},{0,10,20,30,40,50,60,62,64,66,68,70,72,74,76,78,80,85,90,95,100})</f>
        <v>100</v>
      </c>
      <c r="T227" s="21">
        <f t="shared" si="128"/>
        <v>0.0100000000000002</v>
      </c>
      <c r="U227" s="16">
        <f>LOOKUP(T227,{0,0.05,0.1,0.15,0.2,0.25,0.3,0.35,0.4,0.45,0.5},{0,1,2,3,4,5,6,7,8,9,10})</f>
        <v>0</v>
      </c>
      <c r="V227" s="12">
        <f t="shared" si="126"/>
        <v>100</v>
      </c>
      <c r="W227" s="12"/>
      <c r="X227" s="20">
        <f t="shared" si="110"/>
        <v>65</v>
      </c>
      <c r="Y227" s="20">
        <f t="shared" si="127"/>
        <v>92.8571428571429</v>
      </c>
    </row>
    <row r="228" ht="15.6" hidden="1" outlineLevel="2" spans="1:25">
      <c r="A228" s="12">
        <v>213</v>
      </c>
      <c r="B228" s="12">
        <v>32</v>
      </c>
      <c r="C228" s="6" t="s">
        <v>699</v>
      </c>
      <c r="D228" s="6" t="s">
        <v>53</v>
      </c>
      <c r="E228" s="12">
        <v>14.2</v>
      </c>
      <c r="F228" s="11">
        <f>LOOKUP(E228,{0,1,1.8,2.6,3.4,4.2,5,6.3,7.6,8.9,10.2,11.5,12.8,14.1,15.4,16.7,18,19.7,21.4,23.1,24.8},{0,10,20,30,40,50,60,62,64,66,68,70,72,74,76,78,80,85,90,95,100})</f>
        <v>74</v>
      </c>
      <c r="G228" s="12">
        <v>185</v>
      </c>
      <c r="H228" s="11">
        <f>LOOKUP(G228,{0,124,129,134,139,144,149,152,155,158,161,164,167,170,173,176,179,186,193,199,205},{0,10,20,30,40,50,60,62,64,66,68,70,72,74,76,78,80,85,90,95,100})</f>
        <v>80</v>
      </c>
      <c r="I228" s="12">
        <v>40</v>
      </c>
      <c r="J228" s="11">
        <f>LOOKUP(I228,{0,14,16,18,20,22,24,26,28,30,32,34,36,38,40,42,44,47,50,52,54},{0,10,20,30,40,50,60,62,64,66,68,70,72,74,76,78,80,85,90,95,100})</f>
        <v>76</v>
      </c>
      <c r="K228" s="12"/>
      <c r="L228" s="12"/>
      <c r="M228" s="12">
        <f t="shared" si="123"/>
        <v>76</v>
      </c>
      <c r="N228" s="12">
        <v>8.7</v>
      </c>
      <c r="O228" s="12">
        <f t="shared" si="124"/>
        <v>3.3</v>
      </c>
      <c r="P228" s="11">
        <f>LOOKUP(O228,{0,0.5,0.7,0.9,1.1,1.3,1.5,1.7,1.9,2.1,2.3,2.5,2.7,2.9,3.1,3.3,3.5,3.8,4.1,4.2,4.3},{0,10,20,30,40,50,60,62,64,66,68,70,72,74,76,78,80,85,90,95,100})</f>
        <v>78</v>
      </c>
      <c r="Q228" s="12">
        <v>3.48</v>
      </c>
      <c r="R228" s="12">
        <f t="shared" si="125"/>
        <v>6.52</v>
      </c>
      <c r="S228" s="11">
        <f>LOOKUP(R228,{0,4.72,4.82,4.92,5.42,5.52,5.62,5.67,5.72,5.77,5.82,5.87,5.92,5.97,6.42,6.47,6.52,6.59,6.66,6.72,6.78},{0,10,20,30,40,50,60,62,64,66,68,70,72,74,76,78,80,85,90,95,100})</f>
        <v>80</v>
      </c>
      <c r="T228" s="12"/>
      <c r="U228" s="12"/>
      <c r="V228" s="12">
        <f t="shared" si="126"/>
        <v>80</v>
      </c>
      <c r="W228" s="12"/>
      <c r="X228" s="20">
        <f t="shared" si="110"/>
        <v>54.6</v>
      </c>
      <c r="Y228" s="20">
        <f t="shared" si="127"/>
        <v>78</v>
      </c>
    </row>
    <row r="229" ht="15.6" hidden="1" outlineLevel="2" spans="1:25">
      <c r="A229" s="12">
        <v>213</v>
      </c>
      <c r="B229" s="12">
        <v>33</v>
      </c>
      <c r="C229" s="6" t="s">
        <v>700</v>
      </c>
      <c r="D229" s="6" t="s">
        <v>53</v>
      </c>
      <c r="E229" s="12"/>
      <c r="F229" s="11"/>
      <c r="G229" s="12"/>
      <c r="H229" s="11"/>
      <c r="I229" s="12"/>
      <c r="J229" s="11"/>
      <c r="K229" s="12"/>
      <c r="L229" s="12"/>
      <c r="M229" s="12"/>
      <c r="N229" s="12"/>
      <c r="O229" s="12"/>
      <c r="P229" s="11"/>
      <c r="Q229" s="12"/>
      <c r="R229" s="12"/>
      <c r="S229" s="11"/>
      <c r="T229" s="21"/>
      <c r="U229" s="11"/>
      <c r="V229" s="12"/>
      <c r="W229" s="12" t="s">
        <v>617</v>
      </c>
      <c r="X229" s="20">
        <f t="shared" si="110"/>
        <v>0</v>
      </c>
      <c r="Y229" s="20">
        <v>50</v>
      </c>
    </row>
    <row r="230" ht="15.6" hidden="1" outlineLevel="2" spans="1:25">
      <c r="A230" s="12">
        <v>213</v>
      </c>
      <c r="B230" s="12">
        <v>34</v>
      </c>
      <c r="C230" s="13" t="s">
        <v>702</v>
      </c>
      <c r="D230" s="6" t="s">
        <v>53</v>
      </c>
      <c r="E230" s="12">
        <v>21.4</v>
      </c>
      <c r="F230" s="11">
        <f>LOOKUP(E230,{0,1,1.8,2.6,3.4,4.2,5,6.3,7.6,8.9,10.2,11.5,12.8,14.1,15.4,16.7,18,19.7,21.4,23.1,24.8},{0,10,20,30,40,50,60,62,64,66,68,70,72,74,76,78,80,85,90,95,100})</f>
        <v>90</v>
      </c>
      <c r="G230" s="12">
        <v>167</v>
      </c>
      <c r="H230" s="11">
        <f>LOOKUP(G230,{0,124,129,134,139,144,149,152,155,158,161,164,167,170,173,176,179,186,193,199,205},{0,10,20,30,40,50,60,62,64,66,68,70,72,74,76,78,80,85,90,95,100})</f>
        <v>72</v>
      </c>
      <c r="I230" s="12">
        <v>53</v>
      </c>
      <c r="J230" s="11">
        <f>LOOKUP(I230,{0,14,16,18,20,22,24,26,28,30,32,34,36,38,40,42,44,47,50,52,54},{0,10,20,30,40,50,60,62,64,66,68,70,72,74,76,78,80,85,90,95,100})</f>
        <v>95</v>
      </c>
      <c r="K230" s="12"/>
      <c r="L230" s="12"/>
      <c r="M230" s="12">
        <f t="shared" ref="M230:M233" si="129">J230+L230</f>
        <v>95</v>
      </c>
      <c r="N230" s="12">
        <v>9.4</v>
      </c>
      <c r="O230" s="12">
        <f t="shared" ref="O230:O233" si="130">12-N230</f>
        <v>2.6</v>
      </c>
      <c r="P230" s="11">
        <f>LOOKUP(O230,{0,0.5,0.7,0.9,1.1,1.3,1.5,1.7,1.9,2.1,2.3,2.5,2.7,2.9,3.1,3.3,3.5,3.8,4.1,4.2,4.3},{0,10,20,30,40,50,60,62,64,66,68,70,72,74,76,78,80,85,90,95,100})</f>
        <v>70</v>
      </c>
      <c r="Q230" s="12">
        <v>3.32</v>
      </c>
      <c r="R230" s="12">
        <f t="shared" ref="R230:R233" si="131">10-Q230</f>
        <v>6.68</v>
      </c>
      <c r="S230" s="11">
        <f>LOOKUP(R230,{0,4.72,4.82,4.92,5.42,5.52,5.62,5.67,5.72,5.77,5.82,5.87,5.92,5.97,6.42,6.47,6.52,6.59,6.66,6.72,6.78},{0,10,20,30,40,50,60,62,64,66,68,70,72,74,76,78,80,85,90,95,100})</f>
        <v>90</v>
      </c>
      <c r="T230" s="12"/>
      <c r="U230" s="12"/>
      <c r="V230" s="12">
        <f t="shared" ref="V230:V233" si="132">S230+U230</f>
        <v>90</v>
      </c>
      <c r="W230" s="12"/>
      <c r="X230" s="20">
        <f t="shared" si="110"/>
        <v>57.7</v>
      </c>
      <c r="Y230" s="20">
        <f t="shared" ref="Y230:Y233" si="133">X230/0.7+L230+U230</f>
        <v>82.4285714285714</v>
      </c>
    </row>
    <row r="231" ht="15.6" hidden="1" outlineLevel="2" spans="1:25">
      <c r="A231" s="12">
        <v>213</v>
      </c>
      <c r="B231" s="12">
        <v>35</v>
      </c>
      <c r="C231" s="6" t="s">
        <v>703</v>
      </c>
      <c r="D231" s="6" t="s">
        <v>53</v>
      </c>
      <c r="E231" s="12">
        <v>12.4</v>
      </c>
      <c r="F231" s="11">
        <f>LOOKUP(E231,{0,1,1.8,2.6,3.4,4.2,5,6.3,7.6,8.9,10.2,11.5,12.8,14.1,15.4,16.7,18,19.7,21.4,23.1,24.8},{0,10,20,30,40,50,60,62,64,66,68,70,72,74,76,78,80,85,90,95,100})</f>
        <v>70</v>
      </c>
      <c r="G231" s="12">
        <v>215</v>
      </c>
      <c r="H231" s="11">
        <f>LOOKUP(G231,{0,124,129,134,139,144,149,152,155,158,161,164,167,170,173,176,179,186,193,199,205},{0,10,20,30,40,50,60,62,64,66,68,70,72,74,76,78,80,85,90,95,100})</f>
        <v>100</v>
      </c>
      <c r="I231" s="12">
        <v>55</v>
      </c>
      <c r="J231" s="11">
        <f>LOOKUP(I231,{0,14,16,18,20,22,24,26,28,30,32,34,36,38,40,42,44,47,50,52,54},{0,10,20,30,40,50,60,62,64,66,68,70,72,74,76,78,80,85,90,95,100})</f>
        <v>100</v>
      </c>
      <c r="K231" s="12">
        <f>I231-54</f>
        <v>1</v>
      </c>
      <c r="L231" s="11">
        <f>LOOKUP(K231,{0,2,4,6,7,8,9,10,11,12,13},{0,1,2,3,4,5,6,7,8,9,10})</f>
        <v>0</v>
      </c>
      <c r="M231" s="12">
        <f t="shared" si="129"/>
        <v>100</v>
      </c>
      <c r="N231" s="12">
        <v>7.9</v>
      </c>
      <c r="O231" s="12">
        <f t="shared" si="130"/>
        <v>4.1</v>
      </c>
      <c r="P231" s="11">
        <f>LOOKUP(O231,{0,0.5,0.7,0.9,1.1,1.3,1.5,1.7,1.9,2.1,2.3,2.5,2.7,2.9,3.1,3.3,3.5,3.8,4.1,4.2,4.3},{0,10,20,30,40,50,60,62,64,66,68,70,72,74,76,78,80,85,90,95,100})</f>
        <v>90</v>
      </c>
      <c r="Q231" s="12">
        <v>3.13</v>
      </c>
      <c r="R231" s="12">
        <f t="shared" si="131"/>
        <v>6.87</v>
      </c>
      <c r="S231" s="11">
        <f>LOOKUP(R231,{0,4.72,4.82,4.92,5.42,5.52,5.62,5.67,5.72,5.77,5.82,5.87,5.92,5.97,6.42,6.47,6.52,6.59,6.66,6.72,6.78},{0,10,20,30,40,50,60,62,64,66,68,70,72,74,76,78,80,85,90,95,100})</f>
        <v>100</v>
      </c>
      <c r="T231" s="21">
        <f t="shared" si="128"/>
        <v>0.0900000000000003</v>
      </c>
      <c r="U231" s="16">
        <f>LOOKUP(T231,{0,0.05,0.1,0.15,0.2,0.25,0.3,0.35,0.4,0.45,0.5},{0,1,2,3,4,5,6,7,8,9,10})</f>
        <v>1</v>
      </c>
      <c r="V231" s="12">
        <f t="shared" si="132"/>
        <v>101</v>
      </c>
      <c r="W231" s="12"/>
      <c r="X231" s="20">
        <f t="shared" si="110"/>
        <v>65</v>
      </c>
      <c r="Y231" s="20">
        <f t="shared" si="133"/>
        <v>93.8571428571429</v>
      </c>
    </row>
    <row r="232" ht="15.6" hidden="1" outlineLevel="2" spans="1:25">
      <c r="A232" s="12">
        <v>213</v>
      </c>
      <c r="B232" s="12">
        <v>36</v>
      </c>
      <c r="C232" s="6" t="s">
        <v>704</v>
      </c>
      <c r="D232" s="6" t="s">
        <v>53</v>
      </c>
      <c r="E232" s="12">
        <v>20.5</v>
      </c>
      <c r="F232" s="11">
        <f>LOOKUP(E232,{0,1,1.8,2.6,3.4,4.2,5,6.3,7.6,8.9,10.2,11.5,12.8,14.1,15.4,16.7,18,19.7,21.4,23.1,24.8},{0,10,20,30,40,50,60,62,64,66,68,70,72,74,76,78,80,85,90,95,100})</f>
        <v>85</v>
      </c>
      <c r="G232" s="12">
        <v>202</v>
      </c>
      <c r="H232" s="11">
        <f>LOOKUP(G232,{0,124,129,134,139,144,149,152,155,158,161,164,167,170,173,176,179,186,193,199,205},{0,10,20,30,40,50,60,62,64,66,68,70,72,74,76,78,80,85,90,95,100})</f>
        <v>95</v>
      </c>
      <c r="I232" s="12">
        <v>46</v>
      </c>
      <c r="J232" s="11">
        <f>LOOKUP(I232,{0,14,16,18,20,22,24,26,28,30,32,34,36,38,40,42,44,47,50,52,54},{0,10,20,30,40,50,60,62,64,66,68,70,72,74,76,78,80,85,90,95,100})</f>
        <v>80</v>
      </c>
      <c r="K232" s="12"/>
      <c r="L232" s="12"/>
      <c r="M232" s="12">
        <f t="shared" si="129"/>
        <v>80</v>
      </c>
      <c r="N232" s="12">
        <v>8</v>
      </c>
      <c r="O232" s="12">
        <f t="shared" si="130"/>
        <v>4</v>
      </c>
      <c r="P232" s="11">
        <f>LOOKUP(O232,{0,0.5,0.7,0.9,1.1,1.3,1.5,1.7,1.9,2.1,2.3,2.5,2.7,2.9,3.1,3.3,3.5,3.8,4.1,4.2,4.3},{0,10,20,30,40,50,60,62,64,66,68,70,72,74,76,78,80,85,90,95,100})</f>
        <v>85</v>
      </c>
      <c r="Q232" s="12">
        <v>3.14</v>
      </c>
      <c r="R232" s="12">
        <f t="shared" si="131"/>
        <v>6.86</v>
      </c>
      <c r="S232" s="11">
        <f>LOOKUP(R232,{0,4.72,4.82,4.92,5.42,5.52,5.62,5.67,5.72,5.77,5.82,5.87,5.92,5.97,6.42,6.47,6.52,6.59,6.66,6.72,6.78},{0,10,20,30,40,50,60,62,64,66,68,70,72,74,76,78,80,85,90,95,100})</f>
        <v>100</v>
      </c>
      <c r="T232" s="21">
        <f t="shared" si="128"/>
        <v>0.0800000000000001</v>
      </c>
      <c r="U232" s="11">
        <f>LOOKUP(T232,{0,0.05,0.1,0.15,0.2,0.25,0.3,0.35,0.4,0.45,0.5},{0,1,2,3,4,5,6,7,8,9,10})</f>
        <v>1</v>
      </c>
      <c r="V232" s="12">
        <f t="shared" si="132"/>
        <v>101</v>
      </c>
      <c r="W232" s="12"/>
      <c r="X232" s="20">
        <f t="shared" si="110"/>
        <v>63</v>
      </c>
      <c r="Y232" s="20">
        <f t="shared" si="133"/>
        <v>91</v>
      </c>
    </row>
    <row r="233" ht="15.6" hidden="1" outlineLevel="2" spans="1:25">
      <c r="A233" s="12">
        <v>213</v>
      </c>
      <c r="B233" s="12">
        <v>37</v>
      </c>
      <c r="C233" s="6" t="s">
        <v>705</v>
      </c>
      <c r="D233" s="6" t="s">
        <v>53</v>
      </c>
      <c r="E233" s="12">
        <v>26</v>
      </c>
      <c r="F233" s="11">
        <f>LOOKUP(E233,{0,1,1.8,2.6,3.4,4.2,5,6.3,7.6,8.9,10.2,11.5,12.8,14.1,15.4,16.7,18,19.7,21.4,23.1,24.8},{0,10,20,30,40,50,60,62,64,66,68,70,72,74,76,78,80,85,90,95,100})</f>
        <v>100</v>
      </c>
      <c r="G233" s="12">
        <v>146</v>
      </c>
      <c r="H233" s="11">
        <f>LOOKUP(G233,{0,124,129,134,139,144,149,152,155,158,161,164,167,170,173,176,179,186,193,199,205},{0,10,20,30,40,50,60,62,64,66,68,70,72,74,76,78,80,85,90,95,100})</f>
        <v>50</v>
      </c>
      <c r="I233" s="12">
        <v>42</v>
      </c>
      <c r="J233" s="11">
        <f>LOOKUP(I233,{0,14,16,18,20,22,24,26,28,30,32,34,36,38,40,42,44,47,50,52,54},{0,10,20,30,40,50,60,62,64,66,68,70,72,74,76,78,80,85,90,95,100})</f>
        <v>78</v>
      </c>
      <c r="K233" s="12"/>
      <c r="L233" s="12"/>
      <c r="M233" s="12">
        <f t="shared" si="129"/>
        <v>78</v>
      </c>
      <c r="N233" s="12">
        <v>9.7</v>
      </c>
      <c r="O233" s="12">
        <f t="shared" si="130"/>
        <v>2.3</v>
      </c>
      <c r="P233" s="11">
        <f>LOOKUP(O233,{0,0.5,0.7,0.9,1.1,1.3,1.5,1.7,1.9,2.1,2.3,2.5,2.7,2.9,3.1,3.3,3.5,3.8,4.1,4.2,4.3},{0,10,20,30,40,50,60,62,64,66,68,70,72,74,76,78,80,85,90,95,100})</f>
        <v>68</v>
      </c>
      <c r="Q233" s="12">
        <v>3.44</v>
      </c>
      <c r="R233" s="12">
        <f t="shared" si="131"/>
        <v>6.56</v>
      </c>
      <c r="S233" s="11">
        <f>LOOKUP(R233,{0,4.72,4.82,4.92,5.42,5.52,5.62,5.67,5.72,5.77,5.82,5.87,5.92,5.97,6.42,6.47,6.52,6.59,6.66,6.72,6.78},{0,10,20,30,40,50,60,62,64,66,68,70,72,74,76,78,80,85,90,95,100})</f>
        <v>80</v>
      </c>
      <c r="T233" s="12"/>
      <c r="U233" s="12"/>
      <c r="V233" s="12">
        <f t="shared" si="132"/>
        <v>80</v>
      </c>
      <c r="W233" s="12"/>
      <c r="X233" s="20">
        <f t="shared" si="110"/>
        <v>52.4</v>
      </c>
      <c r="Y233" s="20">
        <f t="shared" si="133"/>
        <v>74.8571428571429</v>
      </c>
    </row>
    <row r="234" ht="15.6" hidden="1" outlineLevel="2" spans="1:25">
      <c r="A234" s="12">
        <v>213</v>
      </c>
      <c r="B234" s="12">
        <v>38</v>
      </c>
      <c r="C234" s="6" t="s">
        <v>706</v>
      </c>
      <c r="D234" s="6" t="s">
        <v>53</v>
      </c>
      <c r="E234" s="12"/>
      <c r="F234" s="11"/>
      <c r="G234" s="12"/>
      <c r="H234" s="11"/>
      <c r="I234" s="12"/>
      <c r="J234" s="11"/>
      <c r="K234" s="12"/>
      <c r="L234" s="12"/>
      <c r="M234" s="12"/>
      <c r="N234" s="12"/>
      <c r="O234" s="12"/>
      <c r="P234" s="11"/>
      <c r="Q234" s="12"/>
      <c r="R234" s="12"/>
      <c r="S234" s="11"/>
      <c r="T234" s="21"/>
      <c r="U234" s="11"/>
      <c r="V234" s="12"/>
      <c r="W234" s="12" t="s">
        <v>617</v>
      </c>
      <c r="X234" s="20">
        <f t="shared" si="110"/>
        <v>0</v>
      </c>
      <c r="Y234" s="20">
        <v>50</v>
      </c>
    </row>
    <row r="235" ht="15.6" hidden="1" outlineLevel="2" spans="1:25">
      <c r="A235" s="12">
        <v>213</v>
      </c>
      <c r="B235" s="12">
        <v>39</v>
      </c>
      <c r="C235" s="6" t="s">
        <v>707</v>
      </c>
      <c r="D235" s="6" t="s">
        <v>53</v>
      </c>
      <c r="E235" s="12">
        <v>17.7</v>
      </c>
      <c r="F235" s="11">
        <f>LOOKUP(E235,{0,1,1.8,2.6,3.4,4.2,5,6.3,7.6,8.9,10.2,11.5,12.8,14.1,15.4,16.7,18,19.7,21.4,23.1,24.8},{0,10,20,30,40,50,60,62,64,66,68,70,72,74,76,78,80,85,90,95,100})</f>
        <v>78</v>
      </c>
      <c r="G235" s="12">
        <v>200</v>
      </c>
      <c r="H235" s="11">
        <f>LOOKUP(G235,{0,124,129,134,139,144,149,152,155,158,161,164,167,170,173,176,179,186,193,199,205},{0,10,20,30,40,50,60,62,64,66,68,70,72,74,76,78,80,85,90,95,100})</f>
        <v>95</v>
      </c>
      <c r="I235" s="12">
        <v>49</v>
      </c>
      <c r="J235" s="11">
        <f>LOOKUP(I235,{0,14,16,18,20,22,24,26,28,30,32,34,36,38,40,42,44,47,50,52,54},{0,10,20,30,40,50,60,62,64,66,68,70,72,74,76,78,80,85,90,95,100})</f>
        <v>85</v>
      </c>
      <c r="K235" s="12"/>
      <c r="L235" s="12"/>
      <c r="M235" s="12">
        <f t="shared" ref="M235:M238" si="134">J235+L235</f>
        <v>85</v>
      </c>
      <c r="N235" s="12">
        <v>7.9</v>
      </c>
      <c r="O235" s="12">
        <f t="shared" ref="O235:O238" si="135">12-N235</f>
        <v>4.1</v>
      </c>
      <c r="P235" s="11">
        <f>LOOKUP(O235,{0,0.5,0.7,0.9,1.1,1.3,1.5,1.7,1.9,2.1,2.3,2.5,2.7,2.9,3.1,3.3,3.5,3.8,4.1,4.2,4.3},{0,10,20,30,40,50,60,62,64,66,68,70,72,74,76,78,80,85,90,95,100})</f>
        <v>90</v>
      </c>
      <c r="Q235" s="12">
        <v>3.2</v>
      </c>
      <c r="R235" s="12">
        <f t="shared" ref="R235:R238" si="136">10-Q235</f>
        <v>6.8</v>
      </c>
      <c r="S235" s="11">
        <f>LOOKUP(R235,{0,4.72,4.82,4.92,5.42,5.52,5.62,5.67,5.72,5.77,5.82,5.87,5.92,5.97,6.42,6.47,6.52,6.59,6.66,6.72,6.78},{0,10,20,30,40,50,60,62,64,66,68,70,72,74,76,78,80,85,90,95,100})</f>
        <v>100</v>
      </c>
      <c r="T235" s="21">
        <f>3.22-Q235</f>
        <v>0.02</v>
      </c>
      <c r="U235" s="11">
        <f>LOOKUP(T235,{0,0.05,0.1,0.15,0.2,0.25,0.3,0.35,0.4,0.45,0.5},{0,1,2,3,4,5,6,7,8,9,10})</f>
        <v>0</v>
      </c>
      <c r="V235" s="12">
        <f t="shared" ref="V235:V238" si="137">S235+U235</f>
        <v>100</v>
      </c>
      <c r="W235" s="12"/>
      <c r="X235" s="20">
        <f t="shared" si="110"/>
        <v>63.8</v>
      </c>
      <c r="Y235" s="20">
        <f t="shared" ref="Y235:Y238" si="138">X235/0.7+L235+U235</f>
        <v>91.1428571428571</v>
      </c>
    </row>
    <row r="236" ht="15.6" hidden="1" outlineLevel="2" spans="1:25">
      <c r="A236" s="12">
        <v>213</v>
      </c>
      <c r="B236" s="12">
        <v>40</v>
      </c>
      <c r="C236" s="6" t="s">
        <v>708</v>
      </c>
      <c r="D236" s="6" t="s">
        <v>53</v>
      </c>
      <c r="E236" s="12">
        <v>23</v>
      </c>
      <c r="F236" s="11">
        <f>LOOKUP(E236,{0,1,1.8,2.6,3.4,4.2,5,6.3,7.6,8.9,10.2,11.5,12.8,14.1,15.4,16.7,18,19.7,21.4,23.1,24.8},{0,10,20,30,40,50,60,62,64,66,68,70,72,74,76,78,80,85,90,95,100})</f>
        <v>90</v>
      </c>
      <c r="G236" s="12">
        <v>160</v>
      </c>
      <c r="H236" s="11">
        <f>LOOKUP(G236,{0,124,129,134,139,144,149,152,155,158,161,164,167,170,173,176,179,186,193,199,205},{0,10,20,30,40,50,60,62,64,66,68,70,72,74,76,78,80,85,90,95,100})</f>
        <v>66</v>
      </c>
      <c r="I236" s="12">
        <v>47</v>
      </c>
      <c r="J236" s="11">
        <f>LOOKUP(I236,{0,14,16,18,20,22,24,26,28,30,32,34,36,38,40,42,44,47,50,52,54},{0,10,20,30,40,50,60,62,64,66,68,70,72,74,76,78,80,85,90,95,100})</f>
        <v>85</v>
      </c>
      <c r="K236" s="12"/>
      <c r="L236" s="12"/>
      <c r="M236" s="12">
        <f t="shared" si="134"/>
        <v>85</v>
      </c>
      <c r="N236" s="12">
        <v>8.9</v>
      </c>
      <c r="O236" s="12">
        <f t="shared" si="135"/>
        <v>3.1</v>
      </c>
      <c r="P236" s="11">
        <f>LOOKUP(O236,{0,0.5,0.7,0.9,1.1,1.3,1.5,1.7,1.9,2.1,2.3,2.5,2.7,2.9,3.1,3.3,3.5,3.8,4.1,4.2,4.3},{0,10,20,30,40,50,60,62,64,66,68,70,72,74,76,78,80,85,90,95,100})</f>
        <v>76</v>
      </c>
      <c r="Q236" s="12">
        <v>4.21</v>
      </c>
      <c r="R236" s="12">
        <f t="shared" si="136"/>
        <v>5.79</v>
      </c>
      <c r="S236" s="11">
        <f>LOOKUP(R236,{0,4.72,4.82,4.92,5.42,5.52,5.62,5.67,5.72,5.77,5.82,5.87,5.92,5.97,6.42,6.47,6.52,6.59,6.66,6.72,6.78},{0,10,20,30,40,50,60,62,64,66,68,70,72,74,76,78,80,85,90,95,100})</f>
        <v>66</v>
      </c>
      <c r="T236" s="12"/>
      <c r="U236" s="12"/>
      <c r="V236" s="12">
        <f t="shared" si="137"/>
        <v>66</v>
      </c>
      <c r="W236" s="12"/>
      <c r="X236" s="20">
        <f t="shared" si="110"/>
        <v>52.5</v>
      </c>
      <c r="Y236" s="20">
        <f t="shared" si="138"/>
        <v>75</v>
      </c>
    </row>
    <row r="237" ht="15.6" hidden="1" outlineLevel="2" spans="1:25">
      <c r="A237" s="12">
        <v>213</v>
      </c>
      <c r="B237" s="12">
        <v>41</v>
      </c>
      <c r="C237" s="6" t="s">
        <v>709</v>
      </c>
      <c r="D237" s="6" t="s">
        <v>53</v>
      </c>
      <c r="E237" s="12"/>
      <c r="F237" s="11"/>
      <c r="G237" s="12"/>
      <c r="H237" s="11"/>
      <c r="I237" s="12"/>
      <c r="J237" s="11"/>
      <c r="K237" s="12"/>
      <c r="L237" s="12"/>
      <c r="M237" s="12"/>
      <c r="N237" s="12"/>
      <c r="O237" s="12"/>
      <c r="P237" s="11"/>
      <c r="Q237" s="12"/>
      <c r="R237" s="12"/>
      <c r="S237" s="11"/>
      <c r="T237" s="21"/>
      <c r="U237" s="16"/>
      <c r="V237" s="12"/>
      <c r="W237" s="12" t="s">
        <v>617</v>
      </c>
      <c r="X237" s="20">
        <f t="shared" si="110"/>
        <v>0</v>
      </c>
      <c r="Y237" s="20">
        <v>50</v>
      </c>
    </row>
    <row r="238" ht="15.6" hidden="1" outlineLevel="2" spans="1:25">
      <c r="A238" s="12">
        <v>213</v>
      </c>
      <c r="B238" s="12">
        <v>42</v>
      </c>
      <c r="C238" s="6" t="s">
        <v>710</v>
      </c>
      <c r="D238" s="6" t="s">
        <v>53</v>
      </c>
      <c r="E238" s="12">
        <v>9.1</v>
      </c>
      <c r="F238" s="11">
        <f>LOOKUP(E238,{0,1,1.8,2.6,3.4,4.2,5,6.3,7.6,8.9,10.2,11.5,12.8,14.1,15.4,16.7,18,19.7,21.4,23.1,24.8},{0,10,20,30,40,50,60,62,64,66,68,70,72,74,76,78,80,85,90,95,100})</f>
        <v>66</v>
      </c>
      <c r="G238" s="12">
        <v>175</v>
      </c>
      <c r="H238" s="11">
        <f>LOOKUP(G238,{0,124,129,134,139,144,149,152,155,158,161,164,167,170,173,176,179,186,193,199,205},{0,10,20,30,40,50,60,62,64,66,68,70,72,74,76,78,80,85,90,95,100})</f>
        <v>76</v>
      </c>
      <c r="I238" s="12">
        <v>49</v>
      </c>
      <c r="J238" s="11">
        <f>LOOKUP(I238,{0,14,16,18,20,22,24,26,28,30,32,34,36,38,40,42,44,47,50,52,54},{0,10,20,30,40,50,60,62,64,66,68,70,72,74,76,78,80,85,90,95,100})</f>
        <v>85</v>
      </c>
      <c r="K238" s="12"/>
      <c r="L238" s="12"/>
      <c r="M238" s="12">
        <f t="shared" si="134"/>
        <v>85</v>
      </c>
      <c r="N238" s="12">
        <v>8.6</v>
      </c>
      <c r="O238" s="12">
        <f t="shared" si="135"/>
        <v>3.4</v>
      </c>
      <c r="P238" s="11">
        <f>LOOKUP(O238,{0,0.5,0.7,0.9,1.1,1.3,1.5,1.7,1.9,2.1,2.3,2.5,2.7,2.9,3.1,3.3,3.5,3.8,4.1,4.2,4.3},{0,10,20,30,40,50,60,62,64,66,68,70,72,74,76,78,80,85,90,95,100})</f>
        <v>78</v>
      </c>
      <c r="Q238" s="12">
        <v>3.5</v>
      </c>
      <c r="R238" s="12">
        <f t="shared" si="136"/>
        <v>6.5</v>
      </c>
      <c r="S238" s="11">
        <f>LOOKUP(R238,{0,4.72,4.82,4.92,5.42,5.52,5.62,5.67,5.72,5.77,5.82,5.87,5.92,5.97,6.42,6.47,6.52,6.59,6.66,6.72,6.78},{0,10,20,30,40,50,60,62,64,66,68,70,72,74,76,78,80,85,90,95,100})</f>
        <v>78</v>
      </c>
      <c r="T238" s="12"/>
      <c r="U238" s="12"/>
      <c r="V238" s="12">
        <f t="shared" si="137"/>
        <v>78</v>
      </c>
      <c r="W238" s="12"/>
      <c r="X238" s="20">
        <f t="shared" si="110"/>
        <v>53.9</v>
      </c>
      <c r="Y238" s="20">
        <f t="shared" si="138"/>
        <v>77</v>
      </c>
    </row>
    <row r="239" s="1" customFormat="1" ht="15.6" hidden="1" outlineLevel="2" spans="1:25">
      <c r="A239" s="12">
        <v>213</v>
      </c>
      <c r="B239" s="12">
        <v>43</v>
      </c>
      <c r="C239" s="6" t="s">
        <v>711</v>
      </c>
      <c r="D239" s="6" t="s">
        <v>53</v>
      </c>
      <c r="E239" s="12"/>
      <c r="F239" s="11"/>
      <c r="G239" s="12"/>
      <c r="H239" s="11"/>
      <c r="I239" s="12"/>
      <c r="J239" s="11"/>
      <c r="K239" s="12"/>
      <c r="L239" s="12"/>
      <c r="M239" s="12"/>
      <c r="N239" s="12"/>
      <c r="O239" s="12"/>
      <c r="P239" s="11"/>
      <c r="Q239" s="12"/>
      <c r="R239" s="12"/>
      <c r="S239" s="11"/>
      <c r="T239" s="21"/>
      <c r="U239" s="11"/>
      <c r="V239" s="12"/>
      <c r="W239" s="12" t="s">
        <v>617</v>
      </c>
      <c r="X239" s="20">
        <f t="shared" si="110"/>
        <v>0</v>
      </c>
      <c r="Y239" s="20">
        <v>50</v>
      </c>
    </row>
    <row r="240" ht="15.6" hidden="1" outlineLevel="2" spans="1:25">
      <c r="A240" s="12">
        <v>213</v>
      </c>
      <c r="B240" s="12">
        <v>44</v>
      </c>
      <c r="C240" s="6" t="s">
        <v>712</v>
      </c>
      <c r="D240" s="6" t="s">
        <v>53</v>
      </c>
      <c r="E240" s="12">
        <v>23</v>
      </c>
      <c r="F240" s="11">
        <f>LOOKUP(E240,{0,1,1.8,2.6,3.4,4.2,5,6.3,7.6,8.9,10.2,11.5,12.8,14.1,15.4,16.7,18,19.7,21.4,23.1,24.8},{0,10,20,30,40,50,60,62,64,66,68,70,72,74,76,78,80,85,90,95,100})</f>
        <v>90</v>
      </c>
      <c r="G240" s="12">
        <v>154</v>
      </c>
      <c r="H240" s="11">
        <f>LOOKUP(G240,{0,124,129,134,139,144,149,152,155,158,161,164,167,170,173,176,179,186,193,199,205},{0,10,20,30,40,50,60,62,64,66,68,70,72,74,76,78,80,85,90,95,100})</f>
        <v>62</v>
      </c>
      <c r="I240" s="12">
        <v>39</v>
      </c>
      <c r="J240" s="11">
        <f>LOOKUP(I240,{0,14,16,18,20,22,24,26,28,30,32,34,36,38,40,42,44,47,50,52,54},{0,10,20,30,40,50,60,62,64,66,68,70,72,74,76,78,80,85,90,95,100})</f>
        <v>74</v>
      </c>
      <c r="K240" s="12"/>
      <c r="L240" s="12"/>
      <c r="M240" s="12">
        <f t="shared" ref="M240:M244" si="139">J240+L240</f>
        <v>74</v>
      </c>
      <c r="N240" s="12">
        <v>10.2</v>
      </c>
      <c r="O240" s="12">
        <f t="shared" ref="O240:O244" si="140">12-N240</f>
        <v>1.8</v>
      </c>
      <c r="P240" s="11">
        <f>LOOKUP(O240,{0,0.5,0.7,0.9,1.1,1.3,1.5,1.7,1.9,2.1,2.3,2.5,2.7,2.9,3.1,3.3,3.5,3.8,4.1,4.2,4.3},{0,10,20,30,40,50,60,62,64,66,68,70,72,74,76,78,80,85,90,95,100})</f>
        <v>62</v>
      </c>
      <c r="Q240" s="12">
        <v>5.03</v>
      </c>
      <c r="R240" s="12">
        <f t="shared" ref="R240:R244" si="141">10-Q240</f>
        <v>4.97</v>
      </c>
      <c r="S240" s="11">
        <f>LOOKUP(R240,{0,4.72,4.82,4.92,5.42,5.52,5.62,5.67,5.72,5.77,5.82,5.87,5.92,5.97,6.42,6.47,6.52,6.59,6.66,6.72,6.78},{0,10,20,30,40,50,60,62,64,66,68,70,72,74,76,78,80,85,90,95,100})</f>
        <v>30</v>
      </c>
      <c r="T240" s="12"/>
      <c r="U240" s="12"/>
      <c r="V240" s="12">
        <f t="shared" ref="V240:V244" si="142">S240+U240</f>
        <v>30</v>
      </c>
      <c r="W240" s="12"/>
      <c r="X240" s="20">
        <f t="shared" si="110"/>
        <v>41</v>
      </c>
      <c r="Y240" s="20">
        <f t="shared" ref="Y240:Y244" si="143">X240/0.7+L240+U240</f>
        <v>58.5714285714286</v>
      </c>
    </row>
    <row r="241" ht="15.6" hidden="1" outlineLevel="2" spans="1:25">
      <c r="A241" s="12">
        <v>213</v>
      </c>
      <c r="B241" s="12">
        <v>45</v>
      </c>
      <c r="C241" s="6" t="s">
        <v>713</v>
      </c>
      <c r="D241" s="6" t="s">
        <v>53</v>
      </c>
      <c r="E241" s="12">
        <v>16.8</v>
      </c>
      <c r="F241" s="11">
        <f>LOOKUP(E241,{0,1,1.8,2.6,3.4,4.2,5,6.3,7.6,8.9,10.2,11.5,12.8,14.1,15.4,16.7,18,19.7,21.4,23.1,24.8},{0,10,20,30,40,50,60,62,64,66,68,70,72,74,76,78,80,85,90,95,100})</f>
        <v>78</v>
      </c>
      <c r="G241" s="12">
        <v>180</v>
      </c>
      <c r="H241" s="11">
        <f>LOOKUP(G241,{0,124,129,134,139,144,149,152,155,158,161,164,167,170,173,176,179,186,193,199,205},{0,10,20,30,40,50,60,62,64,66,68,70,72,74,76,78,80,85,90,95,100})</f>
        <v>80</v>
      </c>
      <c r="I241" s="12">
        <v>52</v>
      </c>
      <c r="J241" s="11">
        <f>LOOKUP(I241,{0,14,16,18,20,22,24,26,28,30,32,34,36,38,40,42,44,47,50,52,54},{0,10,20,30,40,50,60,62,64,66,68,70,72,74,76,78,80,85,90,95,100})</f>
        <v>95</v>
      </c>
      <c r="K241" s="12"/>
      <c r="L241" s="12"/>
      <c r="M241" s="12">
        <f t="shared" si="139"/>
        <v>95</v>
      </c>
      <c r="N241" s="12">
        <v>9.4</v>
      </c>
      <c r="O241" s="12">
        <f t="shared" si="140"/>
        <v>2.6</v>
      </c>
      <c r="P241" s="11">
        <f>LOOKUP(O241,{0,0.5,0.7,0.9,1.1,1.3,1.5,1.7,1.9,2.1,2.3,2.5,2.7,2.9,3.1,3.3,3.5,3.8,4.1,4.2,4.3},{0,10,20,30,40,50,60,62,64,66,68,70,72,74,76,78,80,85,90,95,100})</f>
        <v>70</v>
      </c>
      <c r="Q241" s="12">
        <v>3.32</v>
      </c>
      <c r="R241" s="12">
        <f t="shared" si="141"/>
        <v>6.68</v>
      </c>
      <c r="S241" s="11">
        <f>LOOKUP(R241,{0,4.72,4.82,4.92,5.42,5.52,5.62,5.67,5.72,5.77,5.82,5.87,5.92,5.97,6.42,6.47,6.52,6.59,6.66,6.72,6.78},{0,10,20,30,40,50,60,62,64,66,68,70,72,74,76,78,80,85,90,95,100})</f>
        <v>90</v>
      </c>
      <c r="T241" s="12"/>
      <c r="U241" s="12"/>
      <c r="V241" s="12">
        <f t="shared" si="142"/>
        <v>90</v>
      </c>
      <c r="W241" s="12"/>
      <c r="X241" s="20">
        <f t="shared" si="110"/>
        <v>57.3</v>
      </c>
      <c r="Y241" s="20">
        <f t="shared" si="143"/>
        <v>81.8571428571429</v>
      </c>
    </row>
    <row r="242" ht="15.6" hidden="1" outlineLevel="2" spans="1:25">
      <c r="A242" s="12">
        <v>213</v>
      </c>
      <c r="B242" s="12">
        <v>46</v>
      </c>
      <c r="C242" s="13" t="s">
        <v>715</v>
      </c>
      <c r="D242" s="6" t="s">
        <v>53</v>
      </c>
      <c r="E242" s="12">
        <v>17</v>
      </c>
      <c r="F242" s="11">
        <f>LOOKUP(E242,{0,1,1.8,2.6,3.4,4.2,5,6.3,7.6,8.9,10.2,11.5,12.8,14.1,15.4,16.7,18,19.7,21.4,23.1,24.8},{0,10,20,30,40,50,60,62,64,66,68,70,72,74,76,78,80,85,90,95,100})</f>
        <v>78</v>
      </c>
      <c r="G242" s="12">
        <v>175</v>
      </c>
      <c r="H242" s="11">
        <f>LOOKUP(G242,{0,124,129,134,139,144,149,152,155,158,161,164,167,170,173,176,179,186,193,199,205},{0,10,20,30,40,50,60,62,64,66,68,70,72,74,76,78,80,85,90,95,100})</f>
        <v>76</v>
      </c>
      <c r="I242" s="12">
        <v>50</v>
      </c>
      <c r="J242" s="11">
        <f>LOOKUP(I242,{0,14,16,18,20,22,24,26,28,30,32,34,36,38,40,42,44,47,50,52,54},{0,10,20,30,40,50,60,62,64,66,68,70,72,74,76,78,80,85,90,95,100})</f>
        <v>90</v>
      </c>
      <c r="K242" s="12"/>
      <c r="L242" s="12"/>
      <c r="M242" s="12">
        <f t="shared" si="139"/>
        <v>90</v>
      </c>
      <c r="N242" s="12">
        <v>8.4</v>
      </c>
      <c r="O242" s="12">
        <f t="shared" si="140"/>
        <v>3.6</v>
      </c>
      <c r="P242" s="11">
        <f>LOOKUP(O242,{0,0.5,0.7,0.9,1.1,1.3,1.5,1.7,1.9,2.1,2.3,2.5,2.7,2.9,3.1,3.3,3.5,3.8,4.1,4.2,4.3},{0,10,20,30,40,50,60,62,64,66,68,70,72,74,76,78,80,85,90,95,100})</f>
        <v>80</v>
      </c>
      <c r="Q242" s="12">
        <v>3.37</v>
      </c>
      <c r="R242" s="12">
        <f t="shared" si="141"/>
        <v>6.63</v>
      </c>
      <c r="S242" s="11">
        <f>LOOKUP(R242,{0,4.72,4.82,4.92,5.42,5.52,5.62,5.67,5.72,5.77,5.82,5.87,5.92,5.97,6.42,6.47,6.52,6.59,6.66,6.72,6.78},{0,10,20,30,40,50,60,62,64,66,68,70,72,74,76,78,80,85,90,95,100})</f>
        <v>85</v>
      </c>
      <c r="T242" s="12"/>
      <c r="U242" s="12"/>
      <c r="V242" s="12">
        <f t="shared" si="142"/>
        <v>85</v>
      </c>
      <c r="W242" s="12"/>
      <c r="X242" s="20">
        <f t="shared" si="110"/>
        <v>57.4</v>
      </c>
      <c r="Y242" s="20">
        <f t="shared" si="143"/>
        <v>82</v>
      </c>
    </row>
    <row r="243" ht="15.6" hidden="1" outlineLevel="2" spans="1:25">
      <c r="A243" s="12">
        <v>213</v>
      </c>
      <c r="B243" s="12">
        <v>47</v>
      </c>
      <c r="C243" s="6" t="s">
        <v>716</v>
      </c>
      <c r="D243" s="6" t="s">
        <v>53</v>
      </c>
      <c r="E243" s="12">
        <v>16.5</v>
      </c>
      <c r="F243" s="11">
        <f>LOOKUP(E243,{0,1,1.8,2.6,3.4,4.2,5,6.3,7.6,8.9,10.2,11.5,12.8,14.1,15.4,16.7,18,19.7,21.4,23.1,24.8},{0,10,20,30,40,50,60,62,64,66,68,70,72,74,76,78,80,85,90,95,100})</f>
        <v>76</v>
      </c>
      <c r="G243" s="12">
        <v>170</v>
      </c>
      <c r="H243" s="11">
        <f>LOOKUP(G243,{0,124,129,134,139,144,149,152,155,158,161,164,167,170,173,176,179,186,193,199,205},{0,10,20,30,40,50,60,62,64,66,68,70,72,74,76,78,80,85,90,95,100})</f>
        <v>74</v>
      </c>
      <c r="I243" s="12">
        <v>46</v>
      </c>
      <c r="J243" s="11">
        <f>LOOKUP(I243,{0,14,16,18,20,22,24,26,28,30,32,34,36,38,40,42,44,47,50,52,54},{0,10,20,30,40,50,60,62,64,66,68,70,72,74,76,78,80,85,90,95,100})</f>
        <v>80</v>
      </c>
      <c r="K243" s="12"/>
      <c r="L243" s="12"/>
      <c r="M243" s="12">
        <f t="shared" si="139"/>
        <v>80</v>
      </c>
      <c r="N243" s="12">
        <v>8.7</v>
      </c>
      <c r="O243" s="12">
        <f t="shared" si="140"/>
        <v>3.3</v>
      </c>
      <c r="P243" s="11">
        <f>LOOKUP(O243,{0,0.5,0.7,0.9,1.1,1.3,1.5,1.7,1.9,2.1,2.3,2.5,2.7,2.9,3.1,3.3,3.5,3.8,4.1,4.2,4.3},{0,10,20,30,40,50,60,62,64,66,68,70,72,74,76,78,80,85,90,95,100})</f>
        <v>78</v>
      </c>
      <c r="Q243" s="12">
        <v>4</v>
      </c>
      <c r="R243" s="12">
        <f t="shared" si="141"/>
        <v>6</v>
      </c>
      <c r="S243" s="11">
        <f>LOOKUP(R243,{0,4.72,4.82,4.92,5.42,5.52,5.62,5.67,5.72,5.77,5.82,5.87,5.92,5.97,6.42,6.47,6.52,6.59,6.66,6.72,6.78},{0,10,20,30,40,50,60,62,64,66,68,70,72,74,76,78,80,85,90,95,100})</f>
        <v>74</v>
      </c>
      <c r="T243" s="12"/>
      <c r="U243" s="12"/>
      <c r="V243" s="12">
        <f t="shared" si="142"/>
        <v>74</v>
      </c>
      <c r="W243" s="12"/>
      <c r="X243" s="20">
        <f t="shared" si="110"/>
        <v>53.4</v>
      </c>
      <c r="Y243" s="20">
        <f t="shared" si="143"/>
        <v>76.2857142857143</v>
      </c>
    </row>
    <row r="244" ht="15.6" hidden="1" outlineLevel="2" spans="1:25">
      <c r="A244" s="12">
        <v>213</v>
      </c>
      <c r="B244" s="12">
        <v>48</v>
      </c>
      <c r="C244" s="6" t="s">
        <v>717</v>
      </c>
      <c r="D244" s="6" t="s">
        <v>53</v>
      </c>
      <c r="E244" s="12">
        <v>31.5</v>
      </c>
      <c r="F244" s="11">
        <f>LOOKUP(E244,{0,1,1.8,2.6,3.4,4.2,5,6.3,7.6,8.9,10.2,11.5,12.8,14.1,15.4,16.7,18,19.7,21.4,23.1,24.8},{0,10,20,30,40,50,60,62,64,66,68,70,72,74,76,78,80,85,90,95,100})</f>
        <v>100</v>
      </c>
      <c r="G244" s="12">
        <v>193</v>
      </c>
      <c r="H244" s="11">
        <f>LOOKUP(G244,{0,124,129,134,139,144,149,152,155,158,161,164,167,170,173,176,179,186,193,199,205},{0,10,20,30,40,50,60,62,64,66,68,70,72,74,76,78,80,85,90,95,100})</f>
        <v>90</v>
      </c>
      <c r="I244" s="12">
        <v>49</v>
      </c>
      <c r="J244" s="11">
        <f>LOOKUP(I244,{0,14,16,18,20,22,24,26,28,30,32,34,36,38,40,42,44,47,50,52,54},{0,10,20,30,40,50,60,62,64,66,68,70,72,74,76,78,80,85,90,95,100})</f>
        <v>85</v>
      </c>
      <c r="K244" s="12"/>
      <c r="L244" s="12"/>
      <c r="M244" s="12">
        <f t="shared" si="139"/>
        <v>85</v>
      </c>
      <c r="N244" s="12">
        <v>8.6</v>
      </c>
      <c r="O244" s="12">
        <f t="shared" si="140"/>
        <v>3.4</v>
      </c>
      <c r="P244" s="11">
        <f>LOOKUP(O244,{0,0.5,0.7,0.9,1.1,1.3,1.5,1.7,1.9,2.1,2.3,2.5,2.7,2.9,3.1,3.3,3.5,3.8,4.1,4.2,4.3},{0,10,20,30,40,50,60,62,64,66,68,70,72,74,76,78,80,85,90,95,100})</f>
        <v>78</v>
      </c>
      <c r="Q244" s="12">
        <v>3.31</v>
      </c>
      <c r="R244" s="12">
        <f t="shared" si="141"/>
        <v>6.69</v>
      </c>
      <c r="S244" s="11">
        <f>LOOKUP(R244,{0,4.72,4.82,4.92,5.42,5.52,5.62,5.67,5.72,5.77,5.82,5.87,5.92,5.97,6.42,6.47,6.52,6.59,6.66,6.72,6.78},{0,10,20,30,40,50,60,62,64,66,68,70,72,74,76,78,80,85,90,95,100})</f>
        <v>90</v>
      </c>
      <c r="T244" s="12"/>
      <c r="U244" s="15"/>
      <c r="V244" s="12">
        <f t="shared" si="142"/>
        <v>90</v>
      </c>
      <c r="W244" s="12"/>
      <c r="X244" s="20">
        <f t="shared" si="110"/>
        <v>61.1</v>
      </c>
      <c r="Y244" s="20">
        <f t="shared" si="143"/>
        <v>87.2857142857143</v>
      </c>
    </row>
    <row r="245" ht="15.6" hidden="1" outlineLevel="2" spans="1:25">
      <c r="A245" s="12">
        <v>213</v>
      </c>
      <c r="B245" s="12">
        <v>49</v>
      </c>
      <c r="C245" s="6" t="s">
        <v>718</v>
      </c>
      <c r="D245" s="6" t="s">
        <v>53</v>
      </c>
      <c r="E245" s="12"/>
      <c r="F245" s="11"/>
      <c r="G245" s="12"/>
      <c r="H245" s="11"/>
      <c r="I245" s="12"/>
      <c r="J245" s="11"/>
      <c r="K245" s="12"/>
      <c r="L245" s="12"/>
      <c r="M245" s="12"/>
      <c r="N245" s="12"/>
      <c r="O245" s="12"/>
      <c r="P245" s="11"/>
      <c r="Q245" s="12"/>
      <c r="R245" s="12"/>
      <c r="S245" s="11"/>
      <c r="T245" s="21"/>
      <c r="U245" s="11"/>
      <c r="V245" s="12"/>
      <c r="W245" s="12"/>
      <c r="X245" s="20">
        <f t="shared" si="110"/>
        <v>0</v>
      </c>
      <c r="Y245" s="23">
        <v>50</v>
      </c>
    </row>
    <row r="246" ht="15.6" hidden="1" outlineLevel="2" spans="1:25">
      <c r="A246" s="12">
        <v>213</v>
      </c>
      <c r="B246" s="12">
        <v>50</v>
      </c>
      <c r="C246" s="6" t="s">
        <v>719</v>
      </c>
      <c r="D246" s="6" t="s">
        <v>53</v>
      </c>
      <c r="E246" s="12">
        <v>15.6</v>
      </c>
      <c r="F246" s="11">
        <f>LOOKUP(E246,{0,1,1.8,2.6,3.4,4.2,5,6.3,7.6,8.9,10.2,11.5,12.8,14.1,15.4,16.7,18,19.7,21.4,23.1,24.8},{0,10,20,30,40,50,60,62,64,66,68,70,72,74,76,78,80,85,90,95,100})</f>
        <v>76</v>
      </c>
      <c r="G246" s="12">
        <v>175</v>
      </c>
      <c r="H246" s="11">
        <f>LOOKUP(G246,{0,124,129,134,139,144,149,152,155,158,161,164,167,170,173,176,179,186,193,199,205},{0,10,20,30,40,50,60,62,64,66,68,70,72,74,76,78,80,85,90,95,100})</f>
        <v>76</v>
      </c>
      <c r="I246" s="12">
        <v>46</v>
      </c>
      <c r="J246" s="11">
        <f>LOOKUP(I246,{0,14,16,18,20,22,24,26,28,30,32,34,36,38,40,42,44,47,50,52,54},{0,10,20,30,40,50,60,62,64,66,68,70,72,74,76,78,80,85,90,95,100})</f>
        <v>80</v>
      </c>
      <c r="K246" s="12"/>
      <c r="L246" s="12"/>
      <c r="M246" s="12">
        <f t="shared" ref="M246:M252" si="144">J246+L246</f>
        <v>80</v>
      </c>
      <c r="N246" s="12">
        <v>8.7</v>
      </c>
      <c r="O246" s="12">
        <f t="shared" ref="O246:O252" si="145">12-N246</f>
        <v>3.3</v>
      </c>
      <c r="P246" s="11">
        <f>LOOKUP(O246,{0,0.5,0.7,0.9,1.1,1.3,1.5,1.7,1.9,2.1,2.3,2.5,2.7,2.9,3.1,3.3,3.5,3.8,4.1,4.2,4.3},{0,10,20,30,40,50,60,62,64,66,68,70,72,74,76,78,80,85,90,95,100})</f>
        <v>78</v>
      </c>
      <c r="Q246" s="12">
        <v>4.01</v>
      </c>
      <c r="R246" s="12">
        <f t="shared" ref="R246:R252" si="146">10-Q246</f>
        <v>5.99</v>
      </c>
      <c r="S246" s="11">
        <f>LOOKUP(R246,{0,4.72,4.82,4.92,5.42,5.52,5.62,5.67,5.72,5.77,5.82,5.87,5.92,5.97,6.42,6.47,6.52,6.59,6.66,6.72,6.78},{0,10,20,30,40,50,60,62,64,66,68,70,72,74,76,78,80,85,90,95,100})</f>
        <v>74</v>
      </c>
      <c r="T246" s="12"/>
      <c r="U246" s="12"/>
      <c r="V246" s="12">
        <f t="shared" ref="V246:V252" si="147">S246+U246</f>
        <v>74</v>
      </c>
      <c r="W246" s="12"/>
      <c r="X246" s="20">
        <f t="shared" si="110"/>
        <v>53.6</v>
      </c>
      <c r="Y246" s="20">
        <f t="shared" ref="Y246:Y252" si="148">X246/0.7+L246+U246</f>
        <v>76.5714285714286</v>
      </c>
    </row>
    <row r="247" ht="15.6" hidden="1" outlineLevel="2" spans="1:25">
      <c r="A247" s="12">
        <v>213</v>
      </c>
      <c r="B247" s="12">
        <v>51</v>
      </c>
      <c r="C247" s="6" t="s">
        <v>720</v>
      </c>
      <c r="D247" s="6" t="s">
        <v>53</v>
      </c>
      <c r="E247" s="12">
        <v>26.5</v>
      </c>
      <c r="F247" s="11">
        <f>LOOKUP(E247,{0,1,1.8,2.6,3.4,4.2,5,6.3,7.6,8.9,10.2,11.5,12.8,14.1,15.4,16.7,18,19.7,21.4,23.1,24.8},{0,10,20,30,40,50,60,62,64,66,68,70,72,74,76,78,80,85,90,95,100})</f>
        <v>100</v>
      </c>
      <c r="G247" s="12">
        <v>180</v>
      </c>
      <c r="H247" s="11">
        <f>LOOKUP(G247,{0,124,129,134,139,144,149,152,155,158,161,164,167,170,173,176,179,186,193,199,205},{0,10,20,30,40,50,60,62,64,66,68,70,72,74,76,78,80,85,90,95,100})</f>
        <v>80</v>
      </c>
      <c r="I247" s="12">
        <v>48</v>
      </c>
      <c r="J247" s="11">
        <f>LOOKUP(I247,{0,14,16,18,20,22,24,26,28,30,32,34,36,38,40,42,44,47,50,52,54},{0,10,20,30,40,50,60,62,64,66,68,70,72,74,76,78,80,85,90,95,100})</f>
        <v>85</v>
      </c>
      <c r="K247" s="12"/>
      <c r="L247" s="12"/>
      <c r="M247" s="12">
        <f t="shared" si="144"/>
        <v>85</v>
      </c>
      <c r="N247" s="12">
        <v>8.8</v>
      </c>
      <c r="O247" s="12">
        <f t="shared" si="145"/>
        <v>3.2</v>
      </c>
      <c r="P247" s="11">
        <f>LOOKUP(O247,{0,0.5,0.7,0.9,1.1,1.3,1.5,1.7,1.9,2.1,2.3,2.5,2.7,2.9,3.1,3.3,3.5,3.8,4.1,4.2,4.3},{0,10,20,30,40,50,60,62,64,66,68,70,72,74,76,78,80,85,90,95,100})</f>
        <v>76</v>
      </c>
      <c r="Q247" s="12">
        <v>3.24</v>
      </c>
      <c r="R247" s="12">
        <f t="shared" si="146"/>
        <v>6.76</v>
      </c>
      <c r="S247" s="11">
        <f>LOOKUP(R247,{0,4.72,4.82,4.92,5.42,5.52,5.62,5.67,5.72,5.77,5.82,5.87,5.92,5.97,6.42,6.47,6.52,6.59,6.66,6.72,6.78},{0,10,20,30,40,50,60,62,64,66,68,70,72,74,76,78,80,85,90,95,100})</f>
        <v>95</v>
      </c>
      <c r="T247" s="12"/>
      <c r="U247" s="12"/>
      <c r="V247" s="12">
        <f t="shared" si="147"/>
        <v>95</v>
      </c>
      <c r="W247" s="12"/>
      <c r="X247" s="20">
        <f t="shared" si="110"/>
        <v>60.7</v>
      </c>
      <c r="Y247" s="20">
        <f t="shared" si="148"/>
        <v>86.7142857142857</v>
      </c>
    </row>
    <row r="248" ht="15.6" hidden="1" outlineLevel="2" spans="1:25">
      <c r="A248" s="12">
        <v>213</v>
      </c>
      <c r="B248" s="12">
        <v>52</v>
      </c>
      <c r="C248" s="6" t="s">
        <v>721</v>
      </c>
      <c r="D248" s="6" t="s">
        <v>53</v>
      </c>
      <c r="E248" s="12">
        <v>19.7</v>
      </c>
      <c r="F248" s="11">
        <f>LOOKUP(E248,{0,1,1.8,2.6,3.4,4.2,5,6.3,7.6,8.9,10.2,11.5,12.8,14.1,15.4,16.7,18,19.7,21.4,23.1,24.8},{0,10,20,30,40,50,60,62,64,66,68,70,72,74,76,78,80,85,90,95,100})</f>
        <v>85</v>
      </c>
      <c r="G248" s="12">
        <v>203</v>
      </c>
      <c r="H248" s="11">
        <f>LOOKUP(G248,{0,124,129,134,139,144,149,152,155,158,161,164,167,170,173,176,179,186,193,199,205},{0,10,20,30,40,50,60,62,64,66,68,70,72,74,76,78,80,85,90,95,100})</f>
        <v>95</v>
      </c>
      <c r="I248" s="12">
        <v>57</v>
      </c>
      <c r="J248" s="11">
        <f>LOOKUP(I248,{0,14,16,18,20,22,24,26,28,30,32,34,36,38,40,42,44,47,50,52,54},{0,10,20,30,40,50,60,62,64,66,68,70,72,74,76,78,80,85,90,95,100})</f>
        <v>100</v>
      </c>
      <c r="K248" s="12">
        <f>I248-54</f>
        <v>3</v>
      </c>
      <c r="L248" s="11">
        <f>LOOKUP(K248,{0,2,4,6,7,8,9,10,11,12,13},{0,1,2,3,4,5,6,7,8,9,10})</f>
        <v>1</v>
      </c>
      <c r="M248" s="12">
        <f t="shared" si="144"/>
        <v>101</v>
      </c>
      <c r="N248" s="12"/>
      <c r="O248" s="12"/>
      <c r="P248" s="11"/>
      <c r="Q248" s="12">
        <v>4</v>
      </c>
      <c r="R248" s="12">
        <f t="shared" si="146"/>
        <v>6</v>
      </c>
      <c r="S248" s="11">
        <f>LOOKUP(R248,{0,4.72,4.82,4.92,5.42,5.52,5.62,5.67,5.72,5.77,5.82,5.87,5.92,5.97,6.42,6.47,6.52,6.59,6.66,6.72,6.78},{0,10,20,30,40,50,60,62,64,66,68,70,72,74,76,78,80,85,90,95,100})</f>
        <v>74</v>
      </c>
      <c r="T248" s="12"/>
      <c r="U248" s="12"/>
      <c r="V248" s="12">
        <f t="shared" si="147"/>
        <v>74</v>
      </c>
      <c r="W248" s="12"/>
      <c r="X248" s="20">
        <f t="shared" si="110"/>
        <v>42.8</v>
      </c>
      <c r="Y248" s="20">
        <f t="shared" si="148"/>
        <v>62.1428571428571</v>
      </c>
    </row>
    <row r="249" ht="15.6" hidden="1" outlineLevel="2" spans="1:25">
      <c r="A249" s="12">
        <v>213</v>
      </c>
      <c r="B249" s="12">
        <v>53</v>
      </c>
      <c r="C249" s="6" t="s">
        <v>722</v>
      </c>
      <c r="D249" s="6" t="s">
        <v>53</v>
      </c>
      <c r="E249" s="12">
        <v>11.2</v>
      </c>
      <c r="F249" s="11">
        <f>LOOKUP(E249,{0,1,1.8,2.6,3.4,4.2,5,6.3,7.6,8.9,10.2,11.5,12.8,14.1,15.4,16.7,18,19.7,21.4,23.1,24.8},{0,10,20,30,40,50,60,62,64,66,68,70,72,74,76,78,80,85,90,95,100})</f>
        <v>68</v>
      </c>
      <c r="G249" s="12">
        <v>197</v>
      </c>
      <c r="H249" s="11">
        <f>LOOKUP(G249,{0,124,129,134,139,144,149,152,155,158,161,164,167,170,173,176,179,186,193,199,205},{0,10,20,30,40,50,60,62,64,66,68,70,72,74,76,78,80,85,90,95,100})</f>
        <v>90</v>
      </c>
      <c r="I249" s="12">
        <v>50</v>
      </c>
      <c r="J249" s="11">
        <f>LOOKUP(I249,{0,14,16,18,20,22,24,26,28,30,32,34,36,38,40,42,44,47,50,52,54},{0,10,20,30,40,50,60,62,64,66,68,70,72,74,76,78,80,85,90,95,100})</f>
        <v>90</v>
      </c>
      <c r="K249" s="12"/>
      <c r="L249" s="12"/>
      <c r="M249" s="12">
        <f t="shared" si="144"/>
        <v>90</v>
      </c>
      <c r="N249" s="12">
        <v>8.2</v>
      </c>
      <c r="O249" s="12">
        <f t="shared" si="145"/>
        <v>3.8</v>
      </c>
      <c r="P249" s="11">
        <f>LOOKUP(O249,{0,0.5,0.7,0.9,1.1,1.3,1.5,1.7,1.9,2.1,2.3,2.5,2.7,2.9,3.1,3.3,3.5,3.8,4.1,4.2,4.3},{0,10,20,30,40,50,60,62,64,66,68,70,72,74,76,78,80,85,90,95,100})</f>
        <v>85</v>
      </c>
      <c r="Q249" s="12">
        <v>3.26</v>
      </c>
      <c r="R249" s="12">
        <f t="shared" si="146"/>
        <v>6.74</v>
      </c>
      <c r="S249" s="11">
        <f>LOOKUP(R249,{0,4.72,4.82,4.92,5.42,5.52,5.62,5.67,5.72,5.77,5.82,5.87,5.92,5.97,6.42,6.47,6.52,6.59,6.66,6.72,6.78},{0,10,20,30,40,50,60,62,64,66,68,70,72,74,76,78,80,85,90,95,100})</f>
        <v>95</v>
      </c>
      <c r="T249" s="12"/>
      <c r="U249" s="15"/>
      <c r="V249" s="12">
        <f t="shared" si="147"/>
        <v>95</v>
      </c>
      <c r="W249" s="12"/>
      <c r="X249" s="20">
        <f t="shared" si="110"/>
        <v>60.8</v>
      </c>
      <c r="Y249" s="20">
        <f t="shared" si="148"/>
        <v>86.8571428571429</v>
      </c>
    </row>
    <row r="250" ht="15.6" hidden="1" outlineLevel="2" spans="1:25">
      <c r="A250" s="12">
        <v>213</v>
      </c>
      <c r="B250" s="12">
        <v>54</v>
      </c>
      <c r="C250" s="6" t="s">
        <v>723</v>
      </c>
      <c r="D250" s="6" t="s">
        <v>53</v>
      </c>
      <c r="E250" s="12">
        <v>8.6</v>
      </c>
      <c r="F250" s="11">
        <f>LOOKUP(E250,{0,1,1.8,2.6,3.4,4.2,5,6.3,7.6,8.9,10.2,11.5,12.8,14.1,15.4,16.7,18,19.7,21.4,23.1,24.8},{0,10,20,30,40,50,60,62,64,66,68,70,72,74,76,78,80,85,90,95,100})</f>
        <v>64</v>
      </c>
      <c r="G250" s="12">
        <v>190</v>
      </c>
      <c r="H250" s="11">
        <f>LOOKUP(G250,{0,124,129,134,139,144,149,152,155,158,161,164,167,170,173,176,179,186,193,199,205},{0,10,20,30,40,50,60,62,64,66,68,70,72,74,76,78,80,85,90,95,100})</f>
        <v>85</v>
      </c>
      <c r="I250" s="12">
        <v>49</v>
      </c>
      <c r="J250" s="11">
        <f>LOOKUP(I250,{0,14,16,18,20,22,24,26,28,30,32,34,36,38,40,42,44,47,50,52,54},{0,10,20,30,40,50,60,62,64,66,68,70,72,74,76,78,80,85,90,95,100})</f>
        <v>85</v>
      </c>
      <c r="K250" s="12"/>
      <c r="L250" s="12"/>
      <c r="M250" s="12">
        <f t="shared" si="144"/>
        <v>85</v>
      </c>
      <c r="N250" s="12">
        <v>7.9</v>
      </c>
      <c r="O250" s="12">
        <f t="shared" si="145"/>
        <v>4.1</v>
      </c>
      <c r="P250" s="11">
        <f>LOOKUP(O250,{0,0.5,0.7,0.9,1.1,1.3,1.5,1.7,1.9,2.1,2.3,2.5,2.7,2.9,3.1,3.3,3.5,3.8,4.1,4.2,4.3},{0,10,20,30,40,50,60,62,64,66,68,70,72,74,76,78,80,85,90,95,100})</f>
        <v>90</v>
      </c>
      <c r="Q250" s="12">
        <v>3.29</v>
      </c>
      <c r="R250" s="12">
        <f t="shared" si="146"/>
        <v>6.71</v>
      </c>
      <c r="S250" s="11">
        <f>LOOKUP(R250,{0,4.72,4.82,4.92,5.42,5.52,5.62,5.67,5.72,5.77,5.82,5.87,5.92,5.97,6.42,6.47,6.52,6.59,6.66,6.72,6.78},{0,10,20,30,40,50,60,62,64,66,68,70,72,74,76,78,80,85,90,95,100})</f>
        <v>90</v>
      </c>
      <c r="T250" s="12"/>
      <c r="U250" s="12"/>
      <c r="V250" s="12">
        <f t="shared" si="147"/>
        <v>90</v>
      </c>
      <c r="W250" s="12"/>
      <c r="X250" s="20">
        <f t="shared" si="110"/>
        <v>59.4</v>
      </c>
      <c r="Y250" s="20">
        <f t="shared" si="148"/>
        <v>84.8571428571429</v>
      </c>
    </row>
    <row r="251" ht="15.6" hidden="1" outlineLevel="2" spans="1:25">
      <c r="A251" s="12">
        <v>213</v>
      </c>
      <c r="B251" s="12">
        <v>55</v>
      </c>
      <c r="C251" s="6" t="s">
        <v>724</v>
      </c>
      <c r="D251" s="6" t="s">
        <v>53</v>
      </c>
      <c r="E251" s="12">
        <v>19.5</v>
      </c>
      <c r="F251" s="11">
        <f>LOOKUP(E251,{0,1,1.8,2.6,3.4,4.2,5,6.3,7.6,8.9,10.2,11.5,12.8,14.1,15.4,16.7,18,19.7,21.4,23.1,24.8},{0,10,20,30,40,50,60,62,64,66,68,70,72,74,76,78,80,85,90,95,100})</f>
        <v>80</v>
      </c>
      <c r="G251" s="12">
        <v>190</v>
      </c>
      <c r="H251" s="11">
        <f>LOOKUP(G251,{0,124,129,134,139,144,149,152,155,158,161,164,167,170,173,176,179,186,193,199,205},{0,10,20,30,40,50,60,62,64,66,68,70,72,74,76,78,80,85,90,95,100})</f>
        <v>85</v>
      </c>
      <c r="I251" s="12">
        <v>49</v>
      </c>
      <c r="J251" s="11">
        <f>LOOKUP(I251,{0,14,16,18,20,22,24,26,28,30,32,34,36,38,40,42,44,47,50,52,54},{0,10,20,30,40,50,60,62,64,66,68,70,72,74,76,78,80,85,90,95,100})</f>
        <v>85</v>
      </c>
      <c r="K251" s="12"/>
      <c r="L251" s="12"/>
      <c r="M251" s="12">
        <f t="shared" si="144"/>
        <v>85</v>
      </c>
      <c r="N251" s="12">
        <v>8.7</v>
      </c>
      <c r="O251" s="12">
        <f t="shared" si="145"/>
        <v>3.3</v>
      </c>
      <c r="P251" s="11">
        <f>LOOKUP(O251,{0,0.5,0.7,0.9,1.1,1.3,1.5,1.7,1.9,2.1,2.3,2.5,2.7,2.9,3.1,3.3,3.5,3.8,4.1,4.2,4.3},{0,10,20,30,40,50,60,62,64,66,68,70,72,74,76,78,80,85,90,95,100})</f>
        <v>78</v>
      </c>
      <c r="Q251" s="12">
        <v>3.3</v>
      </c>
      <c r="R251" s="12">
        <f t="shared" si="146"/>
        <v>6.7</v>
      </c>
      <c r="S251" s="11">
        <f>LOOKUP(R251,{0,4.72,4.82,4.92,5.42,5.52,5.62,5.67,5.72,5.77,5.82,5.87,5.92,5.97,6.42,6.47,6.52,6.59,6.66,6.72,6.78},{0,10,20,30,40,50,60,62,64,66,68,70,72,74,76,78,80,85,90,95,100})</f>
        <v>90</v>
      </c>
      <c r="T251" s="12"/>
      <c r="U251" s="12"/>
      <c r="V251" s="12">
        <f t="shared" si="147"/>
        <v>90</v>
      </c>
      <c r="W251" s="12"/>
      <c r="X251" s="20">
        <f t="shared" si="110"/>
        <v>58.6</v>
      </c>
      <c r="Y251" s="20">
        <f t="shared" si="148"/>
        <v>83.7142857142857</v>
      </c>
    </row>
    <row r="252" ht="15.6" hidden="1" outlineLevel="2" spans="1:25">
      <c r="A252" s="12">
        <v>213</v>
      </c>
      <c r="B252" s="12">
        <v>56</v>
      </c>
      <c r="C252" s="6" t="s">
        <v>725</v>
      </c>
      <c r="D252" s="6" t="s">
        <v>53</v>
      </c>
      <c r="E252" s="12">
        <v>26</v>
      </c>
      <c r="F252" s="11">
        <f>LOOKUP(E252,{0,1,1.8,2.6,3.4,4.2,5,6.3,7.6,8.9,10.2,11.5,12.8,14.1,15.4,16.7,18,19.7,21.4,23.1,24.8},{0,10,20,30,40,50,60,62,64,66,68,70,72,74,76,78,80,85,90,95,100})</f>
        <v>100</v>
      </c>
      <c r="G252" s="12">
        <v>202</v>
      </c>
      <c r="H252" s="11">
        <f>LOOKUP(G252,{0,124,129,134,139,144,149,152,155,158,161,164,167,170,173,176,179,186,193,199,205},{0,10,20,30,40,50,60,62,64,66,68,70,72,74,76,78,80,85,90,95,100})</f>
        <v>95</v>
      </c>
      <c r="I252" s="12">
        <v>52</v>
      </c>
      <c r="J252" s="11">
        <f>LOOKUP(I252,{0,14,16,18,20,22,24,26,28,30,32,34,36,38,40,42,44,47,50,52,54},{0,10,20,30,40,50,60,62,64,66,68,70,72,74,76,78,80,85,90,95,100})</f>
        <v>95</v>
      </c>
      <c r="K252" s="12"/>
      <c r="L252" s="12"/>
      <c r="M252" s="12">
        <f t="shared" si="144"/>
        <v>95</v>
      </c>
      <c r="N252" s="12">
        <v>8.7</v>
      </c>
      <c r="O252" s="12">
        <f t="shared" si="145"/>
        <v>3.3</v>
      </c>
      <c r="P252" s="11">
        <f>LOOKUP(O252,{0,0.5,0.7,0.9,1.1,1.3,1.5,1.7,1.9,2.1,2.3,2.5,2.7,2.9,3.1,3.3,3.5,3.8,4.1,4.2,4.3},{0,10,20,30,40,50,60,62,64,66,68,70,72,74,76,78,80,85,90,95,100})</f>
        <v>78</v>
      </c>
      <c r="Q252" s="12">
        <v>3.16</v>
      </c>
      <c r="R252" s="12">
        <f t="shared" si="146"/>
        <v>6.84</v>
      </c>
      <c r="S252" s="11">
        <f>LOOKUP(R252,{0,4.72,4.82,4.92,5.42,5.52,5.62,5.67,5.72,5.77,5.82,5.87,5.92,5.97,6.42,6.47,6.52,6.59,6.66,6.72,6.78},{0,10,20,30,40,50,60,62,64,66,68,70,72,74,76,78,80,85,90,95,100})</f>
        <v>100</v>
      </c>
      <c r="T252" s="21">
        <f>3.22-Q252</f>
        <v>0.0600000000000001</v>
      </c>
      <c r="U252" s="16">
        <f>LOOKUP(T252,{0,0.05,0.1,0.15,0.2,0.25,0.3,0.35,0.4,0.45,0.5},{0,1,2,3,4,5,6,7,8,9,10})</f>
        <v>1</v>
      </c>
      <c r="V252" s="12">
        <f t="shared" si="147"/>
        <v>101</v>
      </c>
      <c r="W252" s="12"/>
      <c r="X252" s="20">
        <f t="shared" si="110"/>
        <v>64.6</v>
      </c>
      <c r="Y252" s="20">
        <f t="shared" si="148"/>
        <v>93.2857142857143</v>
      </c>
    </row>
    <row r="253" ht="15.6" outlineLevel="1" collapsed="1" spans="1:25">
      <c r="A253" s="14" t="s">
        <v>867</v>
      </c>
      <c r="B253" s="12"/>
      <c r="C253" s="6"/>
      <c r="D253" s="6"/>
      <c r="E253" s="12"/>
      <c r="F253" s="11">
        <f>SUBTOTAL(1,F206:F252)</f>
        <v>80.6410256410256</v>
      </c>
      <c r="G253" s="12"/>
      <c r="H253" s="11">
        <f>SUBTOTAL(1,H206:H252)</f>
        <v>79.7179487179487</v>
      </c>
      <c r="I253" s="12"/>
      <c r="J253" s="11">
        <f>SUBTOTAL(1,J206:J252)</f>
        <v>85.8717948717949</v>
      </c>
      <c r="K253" s="12"/>
      <c r="L253" s="12"/>
      <c r="M253" s="12">
        <f>SUBTOTAL(1,M206:M252)</f>
        <v>86.025641025641</v>
      </c>
      <c r="N253" s="12"/>
      <c r="O253" s="12"/>
      <c r="P253" s="11">
        <f>SUBTOTAL(1,P206:P252)</f>
        <v>78.6578947368421</v>
      </c>
      <c r="Q253" s="12"/>
      <c r="R253" s="12"/>
      <c r="S253" s="11">
        <f>SUBTOTAL(1,S206:S252)</f>
        <v>82.974358974359</v>
      </c>
      <c r="T253" s="21"/>
      <c r="U253" s="16"/>
      <c r="V253" s="12">
        <f>SUBTOTAL(1,V206:V252)</f>
        <v>83.0769230769231</v>
      </c>
      <c r="W253" s="12"/>
      <c r="X253" s="20">
        <f>SUBTOTAL(1,X206:X252)</f>
        <v>46.9212765957447</v>
      </c>
      <c r="Y253" s="20">
        <f>SUBTOTAL(1,Y206:Y252)</f>
        <v>75.7537993920973</v>
      </c>
    </row>
    <row r="254" ht="15.6" hidden="1" outlineLevel="2" spans="1:25">
      <c r="A254" s="12">
        <v>214</v>
      </c>
      <c r="B254" s="12">
        <v>14</v>
      </c>
      <c r="C254" s="13" t="s">
        <v>742</v>
      </c>
      <c r="D254" s="6" t="s">
        <v>53</v>
      </c>
      <c r="E254" s="12">
        <v>26.5</v>
      </c>
      <c r="F254" s="11">
        <f>LOOKUP(E254,{0,1,1.8,2.6,3.4,4.2,5,6.3,7.6,8.9,10.2,11.5,12.8,14.1,15.4,16.7,18,19.7,21.4,23.1,24.8},{0,10,20,30,40,50,60,62,64,66,68,70,72,74,76,78,80,85,90,95,100})</f>
        <v>100</v>
      </c>
      <c r="G254" s="12">
        <v>180</v>
      </c>
      <c r="H254" s="11">
        <f>LOOKUP(G254,{0,124,129,134,139,144,149,152,155,158,161,164,167,170,173,176,179,186,193,199,205},{0,10,20,30,40,50,60,62,64,66,68,70,72,74,76,78,80,85,90,95,100})</f>
        <v>80</v>
      </c>
      <c r="I254" s="12">
        <v>40</v>
      </c>
      <c r="J254" s="11">
        <f>LOOKUP(I254,{0,14,16,18,20,22,24,26,28,30,32,34,36,38,40,42,44,47,50,52,54},{0,10,20,30,40,50,60,62,64,66,68,70,72,74,76,78,80,85,90,95,100})</f>
        <v>76</v>
      </c>
      <c r="K254" s="12"/>
      <c r="L254" s="12"/>
      <c r="M254" s="12">
        <f t="shared" ref="M254:M294" si="149">J254+L254</f>
        <v>76</v>
      </c>
      <c r="N254" s="12">
        <v>9.3</v>
      </c>
      <c r="O254" s="12">
        <f t="shared" ref="O254:O294" si="150">12-N254</f>
        <v>2.7</v>
      </c>
      <c r="P254" s="11">
        <f>LOOKUP(O254,{0,0.5,0.7,0.9,1.1,1.3,1.5,1.7,1.9,2.1,2.3,2.5,2.7,2.9,3.1,3.3,3.5,3.8,4.1,4.2,4.3},{0,10,20,30,40,50,60,62,64,66,68,70,72,74,76,78,80,85,90,95,100})</f>
        <v>72</v>
      </c>
      <c r="Q254" s="12">
        <v>3.49</v>
      </c>
      <c r="R254" s="12">
        <f t="shared" ref="R254:R294" si="151">10-Q254</f>
        <v>6.51</v>
      </c>
      <c r="S254" s="11">
        <f>LOOKUP(R254,{0,4.72,4.82,4.92,5.42,5.52,5.62,5.67,5.72,5.77,5.82,5.87,5.92,5.97,6.42,6.47,6.52,6.59,6.66,6.72,6.78},{0,10,20,30,40,50,60,62,64,66,68,70,72,74,76,78,80,85,90,95,100})</f>
        <v>78</v>
      </c>
      <c r="T254" s="12"/>
      <c r="U254" s="12"/>
      <c r="V254" s="12">
        <f t="shared" ref="V254:V294" si="152">S254+U254</f>
        <v>78</v>
      </c>
      <c r="W254" s="12"/>
      <c r="X254" s="20">
        <f t="shared" ref="X254:X294" si="153">F254*0.1+H254*0.1+J254*0.1+P254*0.2+S254*0.2</f>
        <v>55.6</v>
      </c>
      <c r="Y254" s="20">
        <f t="shared" ref="Y254:Y294" si="154">X254/0.7+L254+U254</f>
        <v>79.4285714285714</v>
      </c>
    </row>
    <row r="255" ht="15.6" hidden="1" outlineLevel="2" spans="1:25">
      <c r="A255" s="12">
        <v>214</v>
      </c>
      <c r="B255" s="12">
        <v>15</v>
      </c>
      <c r="C255" s="6" t="s">
        <v>743</v>
      </c>
      <c r="D255" s="6" t="s">
        <v>53</v>
      </c>
      <c r="E255" s="12">
        <v>17</v>
      </c>
      <c r="F255" s="11">
        <f>LOOKUP(E255,{0,1,1.8,2.6,3.4,4.2,5,6.3,7.6,8.9,10.2,11.5,12.8,14.1,15.4,16.7,18,19.7,21.4,23.1,24.8},{0,10,20,30,40,50,60,62,64,66,68,70,72,74,76,78,80,85,90,95,100})</f>
        <v>78</v>
      </c>
      <c r="G255" s="12">
        <v>196</v>
      </c>
      <c r="H255" s="11">
        <f>LOOKUP(G255,{0,124,129,134,139,144,149,152,155,158,161,164,167,170,173,176,179,186,193,199,205},{0,10,20,30,40,50,60,62,64,66,68,70,72,74,76,78,80,85,90,95,100})</f>
        <v>90</v>
      </c>
      <c r="I255" s="12">
        <v>59</v>
      </c>
      <c r="J255" s="11">
        <f>LOOKUP(I255,{0,14,16,18,20,22,24,26,28,30,32,34,36,38,40,42,44,47,50,52,54},{0,10,20,30,40,50,60,62,64,66,68,70,72,74,76,78,80,85,90,95,100})</f>
        <v>100</v>
      </c>
      <c r="K255" s="12">
        <f>I255-54</f>
        <v>5</v>
      </c>
      <c r="L255" s="11">
        <f>LOOKUP(K255,{0,2,4,6,7,8,9,10,11,12,13},{0,1,2,3,4,5,6,7,8,9,10})</f>
        <v>2</v>
      </c>
      <c r="M255" s="12">
        <f t="shared" si="149"/>
        <v>102</v>
      </c>
      <c r="N255" s="12">
        <v>8.6</v>
      </c>
      <c r="O255" s="12">
        <f t="shared" si="150"/>
        <v>3.4</v>
      </c>
      <c r="P255" s="11">
        <f>LOOKUP(O255,{0,0.5,0.7,0.9,1.1,1.3,1.5,1.7,1.9,2.1,2.3,2.5,2.7,2.9,3.1,3.3,3.5,3.8,4.1,4.2,4.3},{0,10,20,30,40,50,60,62,64,66,68,70,72,74,76,78,80,85,90,95,100})</f>
        <v>78</v>
      </c>
      <c r="Q255" s="12">
        <v>3.18</v>
      </c>
      <c r="R255" s="12">
        <f t="shared" si="151"/>
        <v>6.82</v>
      </c>
      <c r="S255" s="11">
        <f>LOOKUP(R255,{0,4.72,4.82,4.92,5.42,5.52,5.62,5.67,5.72,5.77,5.82,5.87,5.92,5.97,6.42,6.47,6.52,6.59,6.66,6.72,6.78},{0,10,20,30,40,50,60,62,64,66,68,70,72,74,76,78,80,85,90,95,100})</f>
        <v>100</v>
      </c>
      <c r="T255" s="21">
        <f>3.22-Q255</f>
        <v>0.04</v>
      </c>
      <c r="U255" s="11">
        <f>LOOKUP(T255,{0,0.05,0.1,0.15,0.2,0.25,0.3,0.35,0.4,0.45,0.5},{0,1,2,3,4,5,6,7,8,9,10})</f>
        <v>0</v>
      </c>
      <c r="V255" s="12">
        <f t="shared" si="152"/>
        <v>100</v>
      </c>
      <c r="W255" s="12"/>
      <c r="X255" s="20">
        <f t="shared" si="153"/>
        <v>62.4</v>
      </c>
      <c r="Y255" s="20">
        <f t="shared" si="154"/>
        <v>91.1428571428572</v>
      </c>
    </row>
    <row r="256" ht="15.6" hidden="1" outlineLevel="2" spans="1:25">
      <c r="A256" s="12">
        <v>214</v>
      </c>
      <c r="B256" s="12">
        <v>16</v>
      </c>
      <c r="C256" s="6" t="s">
        <v>744</v>
      </c>
      <c r="D256" s="6" t="s">
        <v>53</v>
      </c>
      <c r="E256" s="12">
        <v>19.5</v>
      </c>
      <c r="F256" s="11">
        <f>LOOKUP(E256,{0,1,1.8,2.6,3.4,4.2,5,6.3,7.6,8.9,10.2,11.5,12.8,14.1,15.4,16.7,18,19.7,21.4,23.1,24.8},{0,10,20,30,40,50,60,62,64,66,68,70,72,74,76,78,80,85,90,95,100})</f>
        <v>80</v>
      </c>
      <c r="G256" s="12">
        <v>206</v>
      </c>
      <c r="H256" s="11">
        <f>LOOKUP(G256,{0,124,129,134,139,144,149,152,155,158,161,164,167,170,173,176,179,186,193,199,205},{0,10,20,30,40,50,60,62,64,66,68,70,72,74,76,78,80,85,90,95,100})</f>
        <v>100</v>
      </c>
      <c r="I256" s="12">
        <v>27</v>
      </c>
      <c r="J256" s="11">
        <f>LOOKUP(I256,{0,14,16,18,20,22,24,26,28,30,32,34,36,38,40,42,44,47,50,52,54},{0,10,20,30,40,50,60,62,64,66,68,70,72,74,76,78,80,85,90,95,100})</f>
        <v>62</v>
      </c>
      <c r="K256" s="12"/>
      <c r="L256" s="12"/>
      <c r="M256" s="12">
        <f t="shared" si="149"/>
        <v>62</v>
      </c>
      <c r="N256" s="12">
        <v>8.6</v>
      </c>
      <c r="O256" s="12">
        <f t="shared" si="150"/>
        <v>3.4</v>
      </c>
      <c r="P256" s="11">
        <f>LOOKUP(O256,{0,0.5,0.7,0.9,1.1,1.3,1.5,1.7,1.9,2.1,2.3,2.5,2.7,2.9,3.1,3.3,3.5,3.8,4.1,4.2,4.3},{0,10,20,30,40,50,60,62,64,66,68,70,72,74,76,78,80,85,90,95,100})</f>
        <v>78</v>
      </c>
      <c r="Q256" s="12">
        <v>3.37</v>
      </c>
      <c r="R256" s="12">
        <f t="shared" si="151"/>
        <v>6.63</v>
      </c>
      <c r="S256" s="11">
        <f>LOOKUP(R256,{0,4.72,4.82,4.92,5.42,5.52,5.62,5.67,5.72,5.77,5.82,5.87,5.92,5.97,6.42,6.47,6.52,6.59,6.66,6.72,6.78},{0,10,20,30,40,50,60,62,64,66,68,70,72,74,76,78,80,85,90,95,100})</f>
        <v>85</v>
      </c>
      <c r="T256" s="12"/>
      <c r="U256" s="12"/>
      <c r="V256" s="12">
        <f t="shared" si="152"/>
        <v>85</v>
      </c>
      <c r="W256" s="12"/>
      <c r="X256" s="20">
        <f t="shared" si="153"/>
        <v>56.8</v>
      </c>
      <c r="Y256" s="20">
        <f t="shared" si="154"/>
        <v>81.1428571428571</v>
      </c>
    </row>
    <row r="257" ht="15.6" hidden="1" outlineLevel="2" spans="1:25">
      <c r="A257" s="12">
        <v>214</v>
      </c>
      <c r="B257" s="12">
        <v>17</v>
      </c>
      <c r="C257" s="6" t="s">
        <v>745</v>
      </c>
      <c r="D257" s="6" t="s">
        <v>53</v>
      </c>
      <c r="E257" s="12">
        <v>16.5</v>
      </c>
      <c r="F257" s="11">
        <f>LOOKUP(E257,{0,1,1.8,2.6,3.4,4.2,5,6.3,7.6,8.9,10.2,11.5,12.8,14.1,15.4,16.7,18,19.7,21.4,23.1,24.8},{0,10,20,30,40,50,60,62,64,66,68,70,72,74,76,78,80,85,90,95,100})</f>
        <v>76</v>
      </c>
      <c r="G257" s="12">
        <v>201</v>
      </c>
      <c r="H257" s="11">
        <f>LOOKUP(G257,{0,124,129,134,139,144,149,152,155,158,161,164,167,170,173,176,179,186,193,199,205},{0,10,20,30,40,50,60,62,64,66,68,70,72,74,76,78,80,85,90,95,100})</f>
        <v>95</v>
      </c>
      <c r="I257" s="12">
        <v>41</v>
      </c>
      <c r="J257" s="11">
        <f>LOOKUP(I257,{0,14,16,18,20,22,24,26,28,30,32,34,36,38,40,42,44,47,50,52,54},{0,10,20,30,40,50,60,62,64,66,68,70,72,74,76,78,80,85,90,95,100})</f>
        <v>76</v>
      </c>
      <c r="K257" s="12"/>
      <c r="L257" s="12"/>
      <c r="M257" s="12">
        <f t="shared" si="149"/>
        <v>76</v>
      </c>
      <c r="N257" s="12">
        <v>8.6</v>
      </c>
      <c r="O257" s="12">
        <f t="shared" si="150"/>
        <v>3.4</v>
      </c>
      <c r="P257" s="11">
        <f>LOOKUP(O257,{0,0.5,0.7,0.9,1.1,1.3,1.5,1.7,1.9,2.1,2.3,2.5,2.7,2.9,3.1,3.3,3.5,3.8,4.1,4.2,4.3},{0,10,20,30,40,50,60,62,64,66,68,70,72,74,76,78,80,85,90,95,100})</f>
        <v>78</v>
      </c>
      <c r="Q257" s="12">
        <v>4.11</v>
      </c>
      <c r="R257" s="12">
        <f t="shared" si="151"/>
        <v>5.89</v>
      </c>
      <c r="S257" s="11">
        <f>LOOKUP(R257,{0,4.72,4.82,4.92,5.42,5.52,5.62,5.67,5.72,5.77,5.82,5.87,5.92,5.97,6.42,6.47,6.52,6.59,6.66,6.72,6.78},{0,10,20,30,40,50,60,62,64,66,68,70,72,74,76,78,80,85,90,95,100})</f>
        <v>70</v>
      </c>
      <c r="T257" s="12"/>
      <c r="U257" s="12"/>
      <c r="V257" s="12">
        <f t="shared" si="152"/>
        <v>70</v>
      </c>
      <c r="W257" s="12"/>
      <c r="X257" s="20">
        <f t="shared" si="153"/>
        <v>54.3</v>
      </c>
      <c r="Y257" s="20">
        <f t="shared" si="154"/>
        <v>77.5714285714286</v>
      </c>
    </row>
    <row r="258" ht="15.6" hidden="1" outlineLevel="2" spans="1:25">
      <c r="A258" s="12">
        <v>214</v>
      </c>
      <c r="B258" s="12">
        <v>18</v>
      </c>
      <c r="C258" s="6" t="s">
        <v>746</v>
      </c>
      <c r="D258" s="6" t="s">
        <v>53</v>
      </c>
      <c r="E258" s="12">
        <v>22.5</v>
      </c>
      <c r="F258" s="11">
        <f>LOOKUP(E258,{0,1,1.8,2.6,3.4,4.2,5,6.3,7.6,8.9,10.2,11.5,12.8,14.1,15.4,16.7,18,19.7,21.4,23.1,24.8},{0,10,20,30,40,50,60,62,64,66,68,70,72,74,76,78,80,85,90,95,100})</f>
        <v>90</v>
      </c>
      <c r="G258" s="12">
        <v>163</v>
      </c>
      <c r="H258" s="11">
        <f>LOOKUP(G258,{0,124,129,134,139,144,149,152,155,158,161,164,167,170,173,176,179,186,193,199,205},{0,10,20,30,40,50,60,62,64,66,68,70,72,74,76,78,80,85,90,95,100})</f>
        <v>68</v>
      </c>
      <c r="I258" s="12">
        <v>47</v>
      </c>
      <c r="J258" s="11">
        <f>LOOKUP(I258,{0,14,16,18,20,22,24,26,28,30,32,34,36,38,40,42,44,47,50,52,54},{0,10,20,30,40,50,60,62,64,66,68,70,72,74,76,78,80,85,90,95,100})</f>
        <v>85</v>
      </c>
      <c r="K258" s="12"/>
      <c r="L258" s="12"/>
      <c r="M258" s="12">
        <f t="shared" si="149"/>
        <v>85</v>
      </c>
      <c r="N258" s="12">
        <v>9.3</v>
      </c>
      <c r="O258" s="12">
        <f t="shared" si="150"/>
        <v>2.7</v>
      </c>
      <c r="P258" s="11">
        <f>LOOKUP(O258,{0,0.5,0.7,0.9,1.1,1.3,1.5,1.7,1.9,2.1,2.3,2.5,2.7,2.9,3.1,3.3,3.5,3.8,4.1,4.2,4.3},{0,10,20,30,40,50,60,62,64,66,68,70,72,74,76,78,80,85,90,95,100})</f>
        <v>72</v>
      </c>
      <c r="Q258" s="12">
        <v>4.03</v>
      </c>
      <c r="R258" s="12">
        <f t="shared" si="151"/>
        <v>5.97</v>
      </c>
      <c r="S258" s="11">
        <f>LOOKUP(R258,{0,4.72,4.82,4.92,5.42,5.52,5.62,5.67,5.72,5.77,5.82,5.87,5.92,5.97,6.42,6.47,6.52,6.59,6.66,6.72,6.78},{0,10,20,30,40,50,60,62,64,66,68,70,72,74,76,78,80,85,90,95,100})</f>
        <v>74</v>
      </c>
      <c r="T258" s="12"/>
      <c r="U258" s="12"/>
      <c r="V258" s="12">
        <f t="shared" si="152"/>
        <v>74</v>
      </c>
      <c r="W258" s="12"/>
      <c r="X258" s="20">
        <f t="shared" si="153"/>
        <v>53.5</v>
      </c>
      <c r="Y258" s="20">
        <f t="shared" si="154"/>
        <v>76.4285714285714</v>
      </c>
    </row>
    <row r="259" ht="15.6" hidden="1" outlineLevel="2" spans="1:25">
      <c r="A259" s="12">
        <v>214</v>
      </c>
      <c r="B259" s="12">
        <v>19</v>
      </c>
      <c r="C259" s="6" t="s">
        <v>747</v>
      </c>
      <c r="D259" s="6" t="s">
        <v>53</v>
      </c>
      <c r="E259" s="12">
        <v>14</v>
      </c>
      <c r="F259" s="11">
        <f>LOOKUP(E259,{0,1,1.8,2.6,3.4,4.2,5,6.3,7.6,8.9,10.2,11.5,12.8,14.1,15.4,16.7,18,19.7,21.4,23.1,24.8},{0,10,20,30,40,50,60,62,64,66,68,70,72,74,76,78,80,85,90,95,100})</f>
        <v>72</v>
      </c>
      <c r="G259" s="12">
        <v>162</v>
      </c>
      <c r="H259" s="11">
        <f>LOOKUP(G259,{0,124,129,134,139,144,149,152,155,158,161,164,167,170,173,176,179,186,193,199,205},{0,10,20,30,40,50,60,62,64,66,68,70,72,74,76,78,80,85,90,95,100})</f>
        <v>68</v>
      </c>
      <c r="I259" s="12">
        <v>39</v>
      </c>
      <c r="J259" s="11">
        <f>LOOKUP(I259,{0,14,16,18,20,22,24,26,28,30,32,34,36,38,40,42,44,47,50,52,54},{0,10,20,30,40,50,60,62,64,66,68,70,72,74,76,78,80,85,90,95,100})</f>
        <v>74</v>
      </c>
      <c r="K259" s="12"/>
      <c r="L259" s="12"/>
      <c r="M259" s="12">
        <f t="shared" si="149"/>
        <v>74</v>
      </c>
      <c r="N259" s="12">
        <v>8.8</v>
      </c>
      <c r="O259" s="12">
        <f t="shared" si="150"/>
        <v>3.2</v>
      </c>
      <c r="P259" s="11">
        <f>LOOKUP(O259,{0,0.5,0.7,0.9,1.1,1.3,1.5,1.7,1.9,2.1,2.3,2.5,2.7,2.9,3.1,3.3,3.5,3.8,4.1,4.2,4.3},{0,10,20,30,40,50,60,62,64,66,68,70,72,74,76,78,80,85,90,95,100})</f>
        <v>76</v>
      </c>
      <c r="Q259" s="12">
        <v>3.46</v>
      </c>
      <c r="R259" s="12">
        <f t="shared" si="151"/>
        <v>6.54</v>
      </c>
      <c r="S259" s="11">
        <f>LOOKUP(R259,{0,4.72,4.82,4.92,5.42,5.52,5.62,5.67,5.72,5.77,5.82,5.87,5.92,5.97,6.42,6.47,6.52,6.59,6.66,6.72,6.78},{0,10,20,30,40,50,60,62,64,66,68,70,72,74,76,78,80,85,90,95,100})</f>
        <v>80</v>
      </c>
      <c r="T259" s="12"/>
      <c r="U259" s="15"/>
      <c r="V259" s="12">
        <f t="shared" si="152"/>
        <v>80</v>
      </c>
      <c r="W259" s="12"/>
      <c r="X259" s="20">
        <f t="shared" si="153"/>
        <v>52.6</v>
      </c>
      <c r="Y259" s="20">
        <f t="shared" si="154"/>
        <v>75.1428571428572</v>
      </c>
    </row>
    <row r="260" ht="15.6" hidden="1" outlineLevel="2" spans="1:25">
      <c r="A260" s="12">
        <v>214</v>
      </c>
      <c r="B260" s="12">
        <v>20</v>
      </c>
      <c r="C260" s="6" t="s">
        <v>748</v>
      </c>
      <c r="D260" s="6" t="s">
        <v>53</v>
      </c>
      <c r="E260" s="12">
        <v>25.5</v>
      </c>
      <c r="F260" s="11">
        <f>LOOKUP(E260,{0,1,1.8,2.6,3.4,4.2,5,6.3,7.6,8.9,10.2,11.5,12.8,14.1,15.4,16.7,18,19.7,21.4,23.1,24.8},{0,10,20,30,40,50,60,62,64,66,68,70,72,74,76,78,80,85,90,95,100})</f>
        <v>100</v>
      </c>
      <c r="G260" s="12">
        <v>180</v>
      </c>
      <c r="H260" s="11">
        <f>LOOKUP(G260,{0,124,129,134,139,144,149,152,155,158,161,164,167,170,173,176,179,186,193,199,205},{0,10,20,30,40,50,60,62,64,66,68,70,72,74,76,78,80,85,90,95,100})</f>
        <v>80</v>
      </c>
      <c r="I260" s="12">
        <v>47</v>
      </c>
      <c r="J260" s="11">
        <f>LOOKUP(I260,{0,14,16,18,20,22,24,26,28,30,32,34,36,38,40,42,44,47,50,52,54},{0,10,20,30,40,50,60,62,64,66,68,70,72,74,76,78,80,85,90,95,100})</f>
        <v>85</v>
      </c>
      <c r="K260" s="12"/>
      <c r="L260" s="12"/>
      <c r="M260" s="12">
        <f t="shared" si="149"/>
        <v>85</v>
      </c>
      <c r="N260" s="12">
        <v>10.5</v>
      </c>
      <c r="O260" s="12">
        <f t="shared" si="150"/>
        <v>1.5</v>
      </c>
      <c r="P260" s="11">
        <f>LOOKUP(O260,{0,0.5,0.7,0.9,1.1,1.3,1.5,1.7,1.9,2.1,2.3,2.5,2.7,2.9,3.1,3.3,3.5,3.8,4.1,4.2,4.3},{0,10,20,30,40,50,60,62,64,66,68,70,72,74,76,78,80,85,90,95,100})</f>
        <v>60</v>
      </c>
      <c r="Q260" s="12">
        <v>4.13</v>
      </c>
      <c r="R260" s="12">
        <f t="shared" si="151"/>
        <v>5.87</v>
      </c>
      <c r="S260" s="11">
        <f>LOOKUP(R260,{0,4.72,4.82,4.92,5.42,5.52,5.62,5.67,5.72,5.77,5.82,5.87,5.92,5.97,6.42,6.47,6.52,6.59,6.66,6.72,6.78},{0,10,20,30,40,50,60,62,64,66,68,70,72,74,76,78,80,85,90,95,100})</f>
        <v>70</v>
      </c>
      <c r="T260" s="12"/>
      <c r="U260" s="12"/>
      <c r="V260" s="12">
        <f t="shared" si="152"/>
        <v>70</v>
      </c>
      <c r="W260" s="12"/>
      <c r="X260" s="20">
        <f t="shared" si="153"/>
        <v>52.5</v>
      </c>
      <c r="Y260" s="20">
        <f t="shared" si="154"/>
        <v>75</v>
      </c>
    </row>
    <row r="261" ht="15.6" hidden="1" outlineLevel="2" spans="1:25">
      <c r="A261" s="12">
        <v>214</v>
      </c>
      <c r="B261" s="12">
        <v>21</v>
      </c>
      <c r="C261" s="6" t="s">
        <v>749</v>
      </c>
      <c r="D261" s="6" t="s">
        <v>53</v>
      </c>
      <c r="E261" s="12">
        <v>27</v>
      </c>
      <c r="F261" s="11">
        <f>LOOKUP(E261,{0,1,1.8,2.6,3.4,4.2,5,6.3,7.6,8.9,10.2,11.5,12.8,14.1,15.4,16.7,18,19.7,21.4,23.1,24.8},{0,10,20,30,40,50,60,62,64,66,68,70,72,74,76,78,80,85,90,95,100})</f>
        <v>100</v>
      </c>
      <c r="G261" s="12">
        <v>148</v>
      </c>
      <c r="H261" s="11">
        <f>LOOKUP(G261,{0,124,129,134,139,144,149,152,155,158,161,164,167,170,173,176,179,186,193,199,205},{0,10,20,30,40,50,60,62,64,66,68,70,72,74,76,78,80,85,90,95,100})</f>
        <v>50</v>
      </c>
      <c r="I261" s="12">
        <v>32</v>
      </c>
      <c r="J261" s="11">
        <f>LOOKUP(I261,{0,14,16,18,20,22,24,26,28,30,32,34,36,38,40,42,44,47,50,52,54},{0,10,20,30,40,50,60,62,64,66,68,70,72,74,76,78,80,85,90,95,100})</f>
        <v>68</v>
      </c>
      <c r="K261" s="12"/>
      <c r="L261" s="12"/>
      <c r="M261" s="12">
        <f t="shared" si="149"/>
        <v>68</v>
      </c>
      <c r="N261" s="12">
        <v>10.1</v>
      </c>
      <c r="O261" s="12">
        <f t="shared" si="150"/>
        <v>1.9</v>
      </c>
      <c r="P261" s="11">
        <f>LOOKUP(O261,{0,0.5,0.7,0.9,1.1,1.3,1.5,1.7,1.9,2.1,2.3,2.5,2.7,2.9,3.1,3.3,3.5,3.8,4.1,4.2,4.3},{0,10,20,30,40,50,60,62,64,66,68,70,72,74,76,78,80,85,90,95,100})</f>
        <v>64</v>
      </c>
      <c r="Q261" s="12">
        <v>4.12</v>
      </c>
      <c r="R261" s="12">
        <f t="shared" si="151"/>
        <v>5.88</v>
      </c>
      <c r="S261" s="11">
        <f>LOOKUP(R261,{0,4.72,4.82,4.92,5.42,5.52,5.62,5.67,5.72,5.77,5.82,5.87,5.92,5.97,6.42,6.47,6.52,6.59,6.66,6.72,6.78},{0,10,20,30,40,50,60,62,64,66,68,70,72,74,76,78,80,85,90,95,100})</f>
        <v>70</v>
      </c>
      <c r="T261" s="12"/>
      <c r="U261" s="12"/>
      <c r="V261" s="12">
        <f t="shared" si="152"/>
        <v>70</v>
      </c>
      <c r="W261" s="12"/>
      <c r="X261" s="20">
        <f t="shared" si="153"/>
        <v>48.6</v>
      </c>
      <c r="Y261" s="20">
        <f t="shared" si="154"/>
        <v>69.4285714285714</v>
      </c>
    </row>
    <row r="262" ht="15.6" hidden="1" outlineLevel="2" spans="1:25">
      <c r="A262" s="12">
        <v>214</v>
      </c>
      <c r="B262" s="12">
        <v>22</v>
      </c>
      <c r="C262" s="6" t="s">
        <v>750</v>
      </c>
      <c r="D262" s="6" t="s">
        <v>53</v>
      </c>
      <c r="E262" s="12">
        <v>24.2</v>
      </c>
      <c r="F262" s="11">
        <f>LOOKUP(E262,{0,1,1.8,2.6,3.4,4.2,5,6.3,7.6,8.9,10.2,11.5,12.8,14.1,15.4,16.7,18,19.7,21.4,23.1,24.8},{0,10,20,30,40,50,60,62,64,66,68,70,72,74,76,78,80,85,90,95,100})</f>
        <v>95</v>
      </c>
      <c r="G262" s="12">
        <v>162</v>
      </c>
      <c r="H262" s="11">
        <f>LOOKUP(G262,{0,124,129,134,139,144,149,152,155,158,161,164,167,170,173,176,179,186,193,199,205},{0,10,20,30,40,50,60,62,64,66,68,70,72,74,76,78,80,85,90,95,100})</f>
        <v>68</v>
      </c>
      <c r="I262" s="12">
        <v>54</v>
      </c>
      <c r="J262" s="11">
        <f>LOOKUP(I262,{0,14,16,18,20,22,24,26,28,30,32,34,36,38,40,42,44,47,50,52,54},{0,10,20,30,40,50,60,62,64,66,68,70,72,74,76,78,80,85,90,95,100})</f>
        <v>100</v>
      </c>
      <c r="K262" s="12">
        <f>I262-54</f>
        <v>0</v>
      </c>
      <c r="L262" s="11">
        <f>LOOKUP(K262,{0,2,4,6,7,8,9,10,11,12,13},{0,1,2,3,4,5,6,7,8,9,10})</f>
        <v>0</v>
      </c>
      <c r="M262" s="12">
        <f t="shared" si="149"/>
        <v>100</v>
      </c>
      <c r="N262" s="12">
        <v>9.3</v>
      </c>
      <c r="O262" s="12">
        <f t="shared" si="150"/>
        <v>2.7</v>
      </c>
      <c r="P262" s="11">
        <f>LOOKUP(O262,{0,0.5,0.7,0.9,1.1,1.3,1.5,1.7,1.9,2.1,2.3,2.5,2.7,2.9,3.1,3.3,3.5,3.8,4.1,4.2,4.3},{0,10,20,30,40,50,60,62,64,66,68,70,72,74,76,78,80,85,90,95,100})</f>
        <v>72</v>
      </c>
      <c r="Q262" s="12">
        <v>3.58</v>
      </c>
      <c r="R262" s="12">
        <f t="shared" si="151"/>
        <v>6.42</v>
      </c>
      <c r="S262" s="11">
        <f>LOOKUP(R262,{0,4.72,4.82,4.92,5.42,5.52,5.62,5.67,5.72,5.77,5.82,5.87,5.92,5.97,6.42,6.47,6.52,6.59,6.66,6.72,6.78},{0,10,20,30,40,50,60,62,64,66,68,70,72,74,76,78,80,85,90,95,100})</f>
        <v>76</v>
      </c>
      <c r="T262" s="12"/>
      <c r="U262" s="12"/>
      <c r="V262" s="12">
        <f t="shared" si="152"/>
        <v>76</v>
      </c>
      <c r="W262" s="12"/>
      <c r="X262" s="20">
        <f t="shared" si="153"/>
        <v>55.9</v>
      </c>
      <c r="Y262" s="20">
        <f t="shared" si="154"/>
        <v>79.8571428571429</v>
      </c>
    </row>
    <row r="263" s="1" customFormat="1" ht="15.6" hidden="1" outlineLevel="2" spans="1:25">
      <c r="A263" s="12">
        <v>214</v>
      </c>
      <c r="B263" s="12">
        <v>23</v>
      </c>
      <c r="C263" s="6" t="s">
        <v>751</v>
      </c>
      <c r="D263" s="6" t="s">
        <v>53</v>
      </c>
      <c r="E263" s="12">
        <v>27.5</v>
      </c>
      <c r="F263" s="11">
        <f>LOOKUP(E263,{0,1,1.8,2.6,3.4,4.2,5,6.3,7.6,8.9,10.2,11.5,12.8,14.1,15.4,16.7,18,19.7,21.4,23.1,24.8},{0,10,20,30,40,50,60,62,64,66,68,70,72,74,76,78,80,85,90,95,100})</f>
        <v>100</v>
      </c>
      <c r="G263" s="12">
        <v>190</v>
      </c>
      <c r="H263" s="11">
        <f>LOOKUP(G263,{0,124,129,134,139,144,149,152,155,158,161,164,167,170,173,176,179,186,193,199,205},{0,10,20,30,40,50,60,62,64,66,68,70,72,74,76,78,80,85,90,95,100})</f>
        <v>85</v>
      </c>
      <c r="I263" s="12">
        <v>58</v>
      </c>
      <c r="J263" s="11">
        <f>LOOKUP(I263,{0,14,16,18,20,22,24,26,28,30,32,34,36,38,40,42,44,47,50,52,54},{0,10,20,30,40,50,60,62,64,66,68,70,72,74,76,78,80,85,90,95,100})</f>
        <v>100</v>
      </c>
      <c r="K263" s="12">
        <f>I263-54</f>
        <v>4</v>
      </c>
      <c r="L263" s="11">
        <f>LOOKUP(K263,{0,2,4,6,7,8,9,10,11,12,13},{0,1,2,3,4,5,6,7,8,9,10})</f>
        <v>2</v>
      </c>
      <c r="M263" s="12">
        <f t="shared" si="149"/>
        <v>102</v>
      </c>
      <c r="N263" s="12">
        <v>8.4</v>
      </c>
      <c r="O263" s="12">
        <f t="shared" si="150"/>
        <v>3.6</v>
      </c>
      <c r="P263" s="11">
        <f>LOOKUP(O263,{0,0.5,0.7,0.9,1.1,1.3,1.5,1.7,1.9,2.1,2.3,2.5,2.7,2.9,3.1,3.3,3.5,3.8,4.1,4.2,4.3},{0,10,20,30,40,50,60,62,64,66,68,70,72,74,76,78,80,85,90,95,100})</f>
        <v>80</v>
      </c>
      <c r="Q263" s="12">
        <v>3.17</v>
      </c>
      <c r="R263" s="12">
        <f t="shared" si="151"/>
        <v>6.83</v>
      </c>
      <c r="S263" s="11">
        <f>LOOKUP(R263,{0,4.72,4.82,4.92,5.42,5.52,5.62,5.67,5.72,5.77,5.82,5.87,5.92,5.97,6.42,6.47,6.52,6.59,6.66,6.72,6.78},{0,10,20,30,40,50,60,62,64,66,68,70,72,74,76,78,80,85,90,95,100})</f>
        <v>100</v>
      </c>
      <c r="T263" s="21">
        <f>3.22-Q263</f>
        <v>0.0500000000000003</v>
      </c>
      <c r="U263" s="11">
        <f>LOOKUP(T263,{0,0.05,0.1,0.15,0.2,0.25,0.3,0.35,0.4,0.45,0.5},{0,1,2,3,4,5,6,7,8,9,10})</f>
        <v>1</v>
      </c>
      <c r="V263" s="12">
        <f t="shared" si="152"/>
        <v>101</v>
      </c>
      <c r="W263" s="12"/>
      <c r="X263" s="20">
        <f t="shared" si="153"/>
        <v>64.5</v>
      </c>
      <c r="Y263" s="20">
        <f t="shared" si="154"/>
        <v>95.1428571428572</v>
      </c>
    </row>
    <row r="264" ht="15.6" hidden="1" outlineLevel="2" spans="1:25">
      <c r="A264" s="12">
        <v>214</v>
      </c>
      <c r="B264" s="12">
        <v>24</v>
      </c>
      <c r="C264" s="13" t="s">
        <v>753</v>
      </c>
      <c r="D264" s="6" t="s">
        <v>53</v>
      </c>
      <c r="E264" s="12">
        <v>19.1</v>
      </c>
      <c r="F264" s="11">
        <f>LOOKUP(E264,{0,1,1.8,2.6,3.4,4.2,5,6.3,7.6,8.9,10.2,11.5,12.8,14.1,15.4,16.7,18,19.7,21.4,23.1,24.8},{0,10,20,30,40,50,60,62,64,66,68,70,72,74,76,78,80,85,90,95,100})</f>
        <v>80</v>
      </c>
      <c r="G264" s="12">
        <v>165</v>
      </c>
      <c r="H264" s="11">
        <f>LOOKUP(G264,{0,124,129,134,139,144,149,152,155,158,161,164,167,170,173,176,179,186,193,199,205},{0,10,20,30,40,50,60,62,64,66,68,70,72,74,76,78,80,85,90,95,100})</f>
        <v>70</v>
      </c>
      <c r="I264" s="12">
        <v>52</v>
      </c>
      <c r="J264" s="11">
        <f>LOOKUP(I264,{0,14,16,18,20,22,24,26,28,30,32,34,36,38,40,42,44,47,50,52,54},{0,10,20,30,40,50,60,62,64,66,68,70,72,74,76,78,80,85,90,95,100})</f>
        <v>95</v>
      </c>
      <c r="K264" s="12"/>
      <c r="L264" s="12"/>
      <c r="M264" s="12">
        <f t="shared" si="149"/>
        <v>95</v>
      </c>
      <c r="N264" s="12">
        <v>8.9</v>
      </c>
      <c r="O264" s="12">
        <f t="shared" si="150"/>
        <v>3.1</v>
      </c>
      <c r="P264" s="11">
        <f>LOOKUP(O264,{0,0.5,0.7,0.9,1.1,1.3,1.5,1.7,1.9,2.1,2.3,2.5,2.7,2.9,3.1,3.3,3.5,3.8,4.1,4.2,4.3},{0,10,20,30,40,50,60,62,64,66,68,70,72,74,76,78,80,85,90,95,100})</f>
        <v>76</v>
      </c>
      <c r="Q264" s="12">
        <v>3.53</v>
      </c>
      <c r="R264" s="12">
        <f t="shared" si="151"/>
        <v>6.47</v>
      </c>
      <c r="S264" s="11">
        <f>LOOKUP(R264,{0,4.72,4.82,4.92,5.42,5.52,5.62,5.67,5.72,5.77,5.82,5.87,5.92,5.97,6.42,6.47,6.52,6.59,6.66,6.72,6.78},{0,10,20,30,40,50,60,62,64,66,68,70,72,74,76,78,80,85,90,95,100})</f>
        <v>78</v>
      </c>
      <c r="T264" s="12"/>
      <c r="U264" s="12"/>
      <c r="V264" s="12">
        <f t="shared" si="152"/>
        <v>78</v>
      </c>
      <c r="W264" s="12"/>
      <c r="X264" s="20">
        <f t="shared" si="153"/>
        <v>55.3</v>
      </c>
      <c r="Y264" s="20">
        <f t="shared" si="154"/>
        <v>79</v>
      </c>
    </row>
    <row r="265" ht="15.6" hidden="1" outlineLevel="2" spans="1:25">
      <c r="A265" s="12">
        <v>214</v>
      </c>
      <c r="B265" s="12">
        <v>25</v>
      </c>
      <c r="C265" s="6" t="s">
        <v>754</v>
      </c>
      <c r="D265" s="6" t="s">
        <v>53</v>
      </c>
      <c r="E265" s="12">
        <v>23</v>
      </c>
      <c r="F265" s="11">
        <f>LOOKUP(E265,{0,1,1.8,2.6,3.4,4.2,5,6.3,7.6,8.9,10.2,11.5,12.8,14.1,15.4,16.7,18,19.7,21.4,23.1,24.8},{0,10,20,30,40,50,60,62,64,66,68,70,72,74,76,78,80,85,90,95,100})</f>
        <v>90</v>
      </c>
      <c r="G265" s="12">
        <v>195</v>
      </c>
      <c r="H265" s="11">
        <f>LOOKUP(G265,{0,124,129,134,139,144,149,152,155,158,161,164,167,170,173,176,179,186,193,199,205},{0,10,20,30,40,50,60,62,64,66,68,70,72,74,76,78,80,85,90,95,100})</f>
        <v>90</v>
      </c>
      <c r="I265" s="12">
        <v>48</v>
      </c>
      <c r="J265" s="11">
        <f>LOOKUP(I265,{0,14,16,18,20,22,24,26,28,30,32,34,36,38,40,42,44,47,50,52,54},{0,10,20,30,40,50,60,62,64,66,68,70,72,74,76,78,80,85,90,95,100})</f>
        <v>85</v>
      </c>
      <c r="K265" s="12"/>
      <c r="L265" s="12"/>
      <c r="M265" s="12">
        <f t="shared" si="149"/>
        <v>85</v>
      </c>
      <c r="N265" s="12">
        <v>8.1</v>
      </c>
      <c r="O265" s="12">
        <f t="shared" si="150"/>
        <v>3.9</v>
      </c>
      <c r="P265" s="11">
        <f>LOOKUP(O265,{0,0.5,0.7,0.9,1.1,1.3,1.5,1.7,1.9,2.1,2.3,2.5,2.7,2.9,3.1,3.3,3.5,3.8,4.1,4.2,4.3},{0,10,20,30,40,50,60,62,64,66,68,70,72,74,76,78,80,85,90,95,100})</f>
        <v>85</v>
      </c>
      <c r="Q265" s="12">
        <v>3.39</v>
      </c>
      <c r="R265" s="12">
        <f t="shared" si="151"/>
        <v>6.61</v>
      </c>
      <c r="S265" s="11">
        <f>LOOKUP(R265,{0,4.72,4.82,4.92,5.42,5.52,5.62,5.67,5.72,5.77,5.82,5.87,5.92,5.97,6.42,6.47,6.52,6.59,6.66,6.72,6.78},{0,10,20,30,40,50,60,62,64,66,68,70,72,74,76,78,80,85,90,95,100})</f>
        <v>85</v>
      </c>
      <c r="T265" s="12"/>
      <c r="U265" s="12"/>
      <c r="V265" s="12">
        <f t="shared" si="152"/>
        <v>85</v>
      </c>
      <c r="W265" s="12"/>
      <c r="X265" s="20">
        <f t="shared" si="153"/>
        <v>60.5</v>
      </c>
      <c r="Y265" s="20">
        <f t="shared" si="154"/>
        <v>86.4285714285714</v>
      </c>
    </row>
    <row r="266" ht="15.6" hidden="1" outlineLevel="2" spans="1:25">
      <c r="A266" s="12">
        <v>214</v>
      </c>
      <c r="B266" s="12">
        <v>26</v>
      </c>
      <c r="C266" s="6" t="s">
        <v>755</v>
      </c>
      <c r="D266" s="6" t="s">
        <v>53</v>
      </c>
      <c r="E266" s="12">
        <v>23</v>
      </c>
      <c r="F266" s="11">
        <f>LOOKUP(E266,{0,1,1.8,2.6,3.4,4.2,5,6.3,7.6,8.9,10.2,11.5,12.8,14.1,15.4,16.7,18,19.7,21.4,23.1,24.8},{0,10,20,30,40,50,60,62,64,66,68,70,72,74,76,78,80,85,90,95,100})</f>
        <v>90</v>
      </c>
      <c r="G266" s="12">
        <v>150</v>
      </c>
      <c r="H266" s="11">
        <f>LOOKUP(G266,{0,124,129,134,139,144,149,152,155,158,161,164,167,170,173,176,179,186,193,199,205},{0,10,20,30,40,50,60,62,64,66,68,70,72,74,76,78,80,85,90,95,100})</f>
        <v>60</v>
      </c>
      <c r="I266" s="12">
        <v>36</v>
      </c>
      <c r="J266" s="11">
        <f>LOOKUP(I266,{0,14,16,18,20,22,24,26,28,30,32,34,36,38,40,42,44,47,50,52,54},{0,10,20,30,40,50,60,62,64,66,68,70,72,74,76,78,80,85,90,95,100})</f>
        <v>72</v>
      </c>
      <c r="K266" s="12"/>
      <c r="L266" s="12"/>
      <c r="M266" s="12">
        <f t="shared" si="149"/>
        <v>72</v>
      </c>
      <c r="N266" s="12">
        <v>9.2</v>
      </c>
      <c r="O266" s="12">
        <f t="shared" si="150"/>
        <v>2.8</v>
      </c>
      <c r="P266" s="11">
        <f>LOOKUP(O266,{0,0.5,0.7,0.9,1.1,1.3,1.5,1.7,1.9,2.1,2.3,2.5,2.7,2.9,3.1,3.3,3.5,3.8,4.1,4.2,4.3},{0,10,20,30,40,50,60,62,64,66,68,70,72,74,76,78,80,85,90,95,100})</f>
        <v>72</v>
      </c>
      <c r="Q266" s="12">
        <v>4.11</v>
      </c>
      <c r="R266" s="12">
        <f t="shared" si="151"/>
        <v>5.89</v>
      </c>
      <c r="S266" s="11">
        <f>LOOKUP(R266,{0,4.72,4.82,4.92,5.42,5.52,5.62,5.67,5.72,5.77,5.82,5.87,5.92,5.97,6.42,6.47,6.52,6.59,6.66,6.72,6.78},{0,10,20,30,40,50,60,62,64,66,68,70,72,74,76,78,80,85,90,95,100})</f>
        <v>70</v>
      </c>
      <c r="T266" s="12"/>
      <c r="U266" s="15"/>
      <c r="V266" s="12">
        <f t="shared" si="152"/>
        <v>70</v>
      </c>
      <c r="W266" s="12"/>
      <c r="X266" s="20">
        <f t="shared" si="153"/>
        <v>50.6</v>
      </c>
      <c r="Y266" s="20">
        <f t="shared" si="154"/>
        <v>72.2857142857143</v>
      </c>
    </row>
    <row r="267" ht="15.6" hidden="1" outlineLevel="2" spans="1:25">
      <c r="A267" s="12">
        <v>214</v>
      </c>
      <c r="B267" s="12">
        <v>27</v>
      </c>
      <c r="C267" s="6" t="s">
        <v>756</v>
      </c>
      <c r="D267" s="6" t="s">
        <v>53</v>
      </c>
      <c r="E267" s="12">
        <v>10</v>
      </c>
      <c r="F267" s="11">
        <f>LOOKUP(E267,{0,1,1.8,2.6,3.4,4.2,5,6.3,7.6,8.9,10.2,11.5,12.8,14.1,15.4,16.7,18,19.7,21.4,23.1,24.8},{0,10,20,30,40,50,60,62,64,66,68,70,72,74,76,78,80,85,90,95,100})</f>
        <v>66</v>
      </c>
      <c r="G267" s="12">
        <v>157</v>
      </c>
      <c r="H267" s="11">
        <f>LOOKUP(G267,{0,124,129,134,139,144,149,152,155,158,161,164,167,170,173,176,179,186,193,199,205},{0,10,20,30,40,50,60,62,64,66,68,70,72,74,76,78,80,85,90,95,100})</f>
        <v>64</v>
      </c>
      <c r="I267" s="12">
        <v>45</v>
      </c>
      <c r="J267" s="11">
        <f>LOOKUP(I267,{0,14,16,18,20,22,24,26,28,30,32,34,36,38,40,42,44,47,50,52,54},{0,10,20,30,40,50,60,62,64,66,68,70,72,74,76,78,80,85,90,95,100})</f>
        <v>80</v>
      </c>
      <c r="K267" s="12"/>
      <c r="L267" s="12"/>
      <c r="M267" s="12">
        <f t="shared" si="149"/>
        <v>80</v>
      </c>
      <c r="N267" s="12">
        <v>9</v>
      </c>
      <c r="O267" s="12">
        <f t="shared" si="150"/>
        <v>3</v>
      </c>
      <c r="P267" s="11">
        <f>LOOKUP(O267,{0,0.5,0.7,0.9,1.1,1.3,1.5,1.7,1.9,2.1,2.3,2.5,2.7,2.9,3.1,3.3,3.5,3.8,4.1,4.2,4.3},{0,10,20,30,40,50,60,62,64,66,68,70,72,74,76,78,80,85,90,95,100})</f>
        <v>74</v>
      </c>
      <c r="Q267" s="12">
        <v>4.1</v>
      </c>
      <c r="R267" s="12">
        <f t="shared" si="151"/>
        <v>5.9</v>
      </c>
      <c r="S267" s="11">
        <f>LOOKUP(R267,{0,4.72,4.82,4.92,5.42,5.52,5.62,5.67,5.72,5.77,5.82,5.87,5.92,5.97,6.42,6.47,6.52,6.59,6.66,6.72,6.78},{0,10,20,30,40,50,60,62,64,66,68,70,72,74,76,78,80,85,90,95,100})</f>
        <v>70</v>
      </c>
      <c r="T267" s="12"/>
      <c r="U267" s="12"/>
      <c r="V267" s="12">
        <f t="shared" si="152"/>
        <v>70</v>
      </c>
      <c r="W267" s="12"/>
      <c r="X267" s="20">
        <f t="shared" si="153"/>
        <v>49.8</v>
      </c>
      <c r="Y267" s="20">
        <f t="shared" si="154"/>
        <v>71.1428571428571</v>
      </c>
    </row>
    <row r="268" ht="15.6" hidden="1" outlineLevel="2" spans="1:25">
      <c r="A268" s="12">
        <v>214</v>
      </c>
      <c r="B268" s="12">
        <v>28</v>
      </c>
      <c r="C268" s="6" t="s">
        <v>757</v>
      </c>
      <c r="D268" s="6" t="s">
        <v>53</v>
      </c>
      <c r="E268" s="12">
        <v>26</v>
      </c>
      <c r="F268" s="11">
        <f>LOOKUP(E268,{0,1,1.8,2.6,3.4,4.2,5,6.3,7.6,8.9,10.2,11.5,12.8,14.1,15.4,16.7,18,19.7,21.4,23.1,24.8},{0,10,20,30,40,50,60,62,64,66,68,70,72,74,76,78,80,85,90,95,100})</f>
        <v>100</v>
      </c>
      <c r="G268" s="12">
        <v>189</v>
      </c>
      <c r="H268" s="11">
        <f>LOOKUP(G268,{0,124,129,134,139,144,149,152,155,158,161,164,167,170,173,176,179,186,193,199,205},{0,10,20,30,40,50,60,62,64,66,68,70,72,74,76,78,80,85,90,95,100})</f>
        <v>85</v>
      </c>
      <c r="I268" s="12">
        <v>46</v>
      </c>
      <c r="J268" s="11">
        <f>LOOKUP(I268,{0,14,16,18,20,22,24,26,28,30,32,34,36,38,40,42,44,47,50,52,54},{0,10,20,30,40,50,60,62,64,66,68,70,72,74,76,78,80,85,90,95,100})</f>
        <v>80</v>
      </c>
      <c r="K268" s="12"/>
      <c r="L268" s="12"/>
      <c r="M268" s="12">
        <f t="shared" si="149"/>
        <v>80</v>
      </c>
      <c r="N268" s="12">
        <v>8.6</v>
      </c>
      <c r="O268" s="12">
        <f t="shared" si="150"/>
        <v>3.4</v>
      </c>
      <c r="P268" s="11">
        <f>LOOKUP(O268,{0,0.5,0.7,0.9,1.1,1.3,1.5,1.7,1.9,2.1,2.3,2.5,2.7,2.9,3.1,3.3,3.5,3.8,4.1,4.2,4.3},{0,10,20,30,40,50,60,62,64,66,68,70,72,74,76,78,80,85,90,95,100})</f>
        <v>78</v>
      </c>
      <c r="Q268" s="12">
        <v>4.1</v>
      </c>
      <c r="R268" s="12">
        <f t="shared" si="151"/>
        <v>5.9</v>
      </c>
      <c r="S268" s="11">
        <f>LOOKUP(R268,{0,4.72,4.82,4.92,5.42,5.52,5.62,5.67,5.72,5.77,5.82,5.87,5.92,5.97,6.42,6.47,6.52,6.59,6.66,6.72,6.78},{0,10,20,30,40,50,60,62,64,66,68,70,72,74,76,78,80,85,90,95,100})</f>
        <v>70</v>
      </c>
      <c r="T268" s="12"/>
      <c r="U268" s="15"/>
      <c r="V268" s="12">
        <f t="shared" si="152"/>
        <v>70</v>
      </c>
      <c r="W268" s="12"/>
      <c r="X268" s="20">
        <f t="shared" si="153"/>
        <v>56.1</v>
      </c>
      <c r="Y268" s="20">
        <f t="shared" si="154"/>
        <v>80.1428571428572</v>
      </c>
    </row>
    <row r="269" ht="15.6" hidden="1" outlineLevel="2" spans="1:25">
      <c r="A269" s="12">
        <v>214</v>
      </c>
      <c r="B269" s="12">
        <v>29</v>
      </c>
      <c r="C269" s="6" t="s">
        <v>758</v>
      </c>
      <c r="D269" s="6" t="s">
        <v>53</v>
      </c>
      <c r="E269" s="12">
        <v>21.1</v>
      </c>
      <c r="F269" s="11">
        <f>LOOKUP(E269,{0,1,1.8,2.6,3.4,4.2,5,6.3,7.6,8.9,10.2,11.5,12.8,14.1,15.4,16.7,18,19.7,21.4,23.1,24.8},{0,10,20,30,40,50,60,62,64,66,68,70,72,74,76,78,80,85,90,95,100})</f>
        <v>85</v>
      </c>
      <c r="G269" s="12">
        <v>170</v>
      </c>
      <c r="H269" s="11">
        <f>LOOKUP(G269,{0,124,129,134,139,144,149,152,155,158,161,164,167,170,173,176,179,186,193,199,205},{0,10,20,30,40,50,60,62,64,66,68,70,72,74,76,78,80,85,90,95,100})</f>
        <v>74</v>
      </c>
      <c r="I269" s="12">
        <v>50</v>
      </c>
      <c r="J269" s="11">
        <f>LOOKUP(I269,{0,14,16,18,20,22,24,26,28,30,32,34,36,38,40,42,44,47,50,52,54},{0,10,20,30,40,50,60,62,64,66,68,70,72,74,76,78,80,85,90,95,100})</f>
        <v>90</v>
      </c>
      <c r="K269" s="12"/>
      <c r="L269" s="12"/>
      <c r="M269" s="12">
        <f t="shared" si="149"/>
        <v>90</v>
      </c>
      <c r="N269" s="12">
        <v>9.1</v>
      </c>
      <c r="O269" s="12">
        <f t="shared" si="150"/>
        <v>2.9</v>
      </c>
      <c r="P269" s="11">
        <f>LOOKUP(O269,{0,0.5,0.7,0.9,1.1,1.3,1.5,1.7,1.9,2.1,2.3,2.5,2.7,2.9,3.1,3.3,3.5,3.8,4.1,4.2,4.3},{0,10,20,30,40,50,60,62,64,66,68,70,72,74,76,78,80,85,90,95,100})</f>
        <v>74</v>
      </c>
      <c r="Q269" s="12">
        <v>4.02</v>
      </c>
      <c r="R269" s="12">
        <f t="shared" si="151"/>
        <v>5.98</v>
      </c>
      <c r="S269" s="11">
        <f>LOOKUP(R269,{0,4.72,4.82,4.92,5.42,5.52,5.62,5.67,5.72,5.77,5.82,5.87,5.92,5.97,6.42,6.47,6.52,6.59,6.66,6.72,6.78},{0,10,20,30,40,50,60,62,64,66,68,70,72,74,76,78,80,85,90,95,100})</f>
        <v>74</v>
      </c>
      <c r="T269" s="12"/>
      <c r="U269" s="12"/>
      <c r="V269" s="12">
        <f t="shared" si="152"/>
        <v>74</v>
      </c>
      <c r="W269" s="12"/>
      <c r="X269" s="20">
        <f t="shared" si="153"/>
        <v>54.5</v>
      </c>
      <c r="Y269" s="20">
        <f t="shared" si="154"/>
        <v>77.8571428571429</v>
      </c>
    </row>
    <row r="270" ht="15.6" hidden="1" outlineLevel="2" spans="1:25">
      <c r="A270" s="12">
        <v>214</v>
      </c>
      <c r="B270" s="12">
        <v>30</v>
      </c>
      <c r="C270" s="6" t="s">
        <v>759</v>
      </c>
      <c r="D270" s="6" t="s">
        <v>53</v>
      </c>
      <c r="E270" s="12">
        <v>19.6</v>
      </c>
      <c r="F270" s="11">
        <f>LOOKUP(E270,{0,1,1.8,2.6,3.4,4.2,5,6.3,7.6,8.9,10.2,11.5,12.8,14.1,15.4,16.7,18,19.7,21.4,23.1,24.8},{0,10,20,30,40,50,60,62,64,66,68,70,72,74,76,78,80,85,90,95,100})</f>
        <v>80</v>
      </c>
      <c r="G270" s="12">
        <v>153</v>
      </c>
      <c r="H270" s="11">
        <f>LOOKUP(G270,{0,124,129,134,139,144,149,152,155,158,161,164,167,170,173,176,179,186,193,199,205},{0,10,20,30,40,50,60,62,64,66,68,70,72,74,76,78,80,85,90,95,100})</f>
        <v>62</v>
      </c>
      <c r="I270" s="12">
        <v>50</v>
      </c>
      <c r="J270" s="11">
        <f>LOOKUP(I270,{0,14,16,18,20,22,24,26,28,30,32,34,36,38,40,42,44,47,50,52,54},{0,10,20,30,40,50,60,62,64,66,68,70,72,74,76,78,80,85,90,95,100})</f>
        <v>90</v>
      </c>
      <c r="K270" s="12"/>
      <c r="L270" s="12"/>
      <c r="M270" s="12">
        <f t="shared" si="149"/>
        <v>90</v>
      </c>
      <c r="N270" s="12">
        <v>9.1</v>
      </c>
      <c r="O270" s="12">
        <f t="shared" si="150"/>
        <v>2.9</v>
      </c>
      <c r="P270" s="11">
        <f>LOOKUP(O270,{0,0.5,0.7,0.9,1.1,1.3,1.5,1.7,1.9,2.1,2.3,2.5,2.7,2.9,3.1,3.3,3.5,3.8,4.1,4.2,4.3},{0,10,20,30,40,50,60,62,64,66,68,70,72,74,76,78,80,85,90,95,100})</f>
        <v>74</v>
      </c>
      <c r="Q270" s="12">
        <v>3.42</v>
      </c>
      <c r="R270" s="12">
        <f t="shared" si="151"/>
        <v>6.58</v>
      </c>
      <c r="S270" s="11">
        <f>LOOKUP(R270,{0,4.72,4.82,4.92,5.42,5.52,5.62,5.67,5.72,5.77,5.82,5.87,5.92,5.97,6.42,6.47,6.52,6.59,6.66,6.72,6.78},{0,10,20,30,40,50,60,62,64,66,68,70,72,74,76,78,80,85,90,95,100})</f>
        <v>80</v>
      </c>
      <c r="T270" s="12"/>
      <c r="U270" s="12"/>
      <c r="V270" s="12">
        <f t="shared" si="152"/>
        <v>80</v>
      </c>
      <c r="W270" s="12"/>
      <c r="X270" s="20">
        <f t="shared" si="153"/>
        <v>54</v>
      </c>
      <c r="Y270" s="20">
        <f t="shared" si="154"/>
        <v>77.1428571428572</v>
      </c>
    </row>
    <row r="271" ht="15.6" hidden="1" outlineLevel="2" spans="1:25">
      <c r="A271" s="12">
        <v>214</v>
      </c>
      <c r="B271" s="12">
        <v>31</v>
      </c>
      <c r="C271" s="6" t="s">
        <v>760</v>
      </c>
      <c r="D271" s="6" t="s">
        <v>53</v>
      </c>
      <c r="E271" s="12">
        <v>9.3</v>
      </c>
      <c r="F271" s="11">
        <f>LOOKUP(E271,{0,1,1.8,2.6,3.4,4.2,5,6.3,7.6,8.9,10.2,11.5,12.8,14.1,15.4,16.7,18,19.7,21.4,23.1,24.8},{0,10,20,30,40,50,60,62,64,66,68,70,72,74,76,78,80,85,90,95,100})</f>
        <v>66</v>
      </c>
      <c r="G271" s="12">
        <v>135</v>
      </c>
      <c r="H271" s="11">
        <f>LOOKUP(G271,{0,124,129,134,139,144,149,152,155,158,161,164,167,170,173,176,179,186,193,199,205},{0,10,20,30,40,50,60,62,64,66,68,70,72,74,76,78,80,85,90,95,100})</f>
        <v>30</v>
      </c>
      <c r="I271" s="12">
        <v>43</v>
      </c>
      <c r="J271" s="11">
        <f>LOOKUP(I271,{0,14,16,18,20,22,24,26,28,30,32,34,36,38,40,42,44,47,50,52,54},{0,10,20,30,40,50,60,62,64,66,68,70,72,74,76,78,80,85,90,95,100})</f>
        <v>78</v>
      </c>
      <c r="K271" s="12"/>
      <c r="L271" s="12"/>
      <c r="M271" s="12">
        <f t="shared" si="149"/>
        <v>78</v>
      </c>
      <c r="N271" s="12">
        <v>9.5</v>
      </c>
      <c r="O271" s="12">
        <f t="shared" si="150"/>
        <v>2.5</v>
      </c>
      <c r="P271" s="11">
        <f>LOOKUP(O271,{0,0.5,0.7,0.9,1.1,1.3,1.5,1.7,1.9,2.1,2.3,2.5,2.7,2.9,3.1,3.3,3.5,3.8,4.1,4.2,4.3},{0,10,20,30,40,50,60,62,64,66,68,70,72,74,76,78,80,85,90,95,100})</f>
        <v>70</v>
      </c>
      <c r="Q271" s="12">
        <v>4.1</v>
      </c>
      <c r="R271" s="12">
        <f t="shared" si="151"/>
        <v>5.9</v>
      </c>
      <c r="S271" s="11">
        <f>LOOKUP(R271,{0,4.72,4.82,4.92,5.42,5.52,5.62,5.67,5.72,5.77,5.82,5.87,5.92,5.97,6.42,6.47,6.52,6.59,6.66,6.72,6.78},{0,10,20,30,40,50,60,62,64,66,68,70,72,74,76,78,80,85,90,95,100})</f>
        <v>70</v>
      </c>
      <c r="T271" s="12"/>
      <c r="U271" s="12"/>
      <c r="V271" s="12">
        <f t="shared" si="152"/>
        <v>70</v>
      </c>
      <c r="W271" s="12"/>
      <c r="X271" s="20">
        <f t="shared" si="153"/>
        <v>45.4</v>
      </c>
      <c r="Y271" s="20">
        <f t="shared" si="154"/>
        <v>64.8571428571429</v>
      </c>
    </row>
    <row r="272" ht="15.6" hidden="1" outlineLevel="2" spans="1:25">
      <c r="A272" s="12">
        <v>214</v>
      </c>
      <c r="B272" s="12">
        <v>32</v>
      </c>
      <c r="C272" s="6" t="s">
        <v>761</v>
      </c>
      <c r="D272" s="6" t="s">
        <v>53</v>
      </c>
      <c r="E272" s="12">
        <v>22</v>
      </c>
      <c r="F272" s="11">
        <f>LOOKUP(E272,{0,1,1.8,2.6,3.4,4.2,5,6.3,7.6,8.9,10.2,11.5,12.8,14.1,15.4,16.7,18,19.7,21.4,23.1,24.8},{0,10,20,30,40,50,60,62,64,66,68,70,72,74,76,78,80,85,90,95,100})</f>
        <v>90</v>
      </c>
      <c r="G272" s="12">
        <v>187</v>
      </c>
      <c r="H272" s="11">
        <f>LOOKUP(G272,{0,124,129,134,139,144,149,152,155,158,161,164,167,170,173,176,179,186,193,199,205},{0,10,20,30,40,50,60,62,64,66,68,70,72,74,76,78,80,85,90,95,100})</f>
        <v>85</v>
      </c>
      <c r="I272" s="12">
        <v>50</v>
      </c>
      <c r="J272" s="11">
        <f>LOOKUP(I272,{0,14,16,18,20,22,24,26,28,30,32,34,36,38,40,42,44,47,50,52,54},{0,10,20,30,40,50,60,62,64,66,68,70,72,74,76,78,80,85,90,95,100})</f>
        <v>90</v>
      </c>
      <c r="K272" s="12"/>
      <c r="L272" s="12"/>
      <c r="M272" s="12">
        <f t="shared" si="149"/>
        <v>90</v>
      </c>
      <c r="N272" s="12">
        <v>8.3</v>
      </c>
      <c r="O272" s="12">
        <f t="shared" si="150"/>
        <v>3.7</v>
      </c>
      <c r="P272" s="11">
        <f>LOOKUP(O272,{0,0.5,0.7,0.9,1.1,1.3,1.5,1.7,1.9,2.1,2.3,2.5,2.7,2.9,3.1,3.3,3.5,3.8,4.1,4.2,4.3},{0,10,20,30,40,50,60,62,64,66,68,70,72,74,76,78,80,85,90,95,100})</f>
        <v>80</v>
      </c>
      <c r="Q272" s="12">
        <v>3.49</v>
      </c>
      <c r="R272" s="12">
        <f t="shared" si="151"/>
        <v>6.51</v>
      </c>
      <c r="S272" s="11">
        <f>LOOKUP(R272,{0,4.72,4.82,4.92,5.42,5.52,5.62,5.67,5.72,5.77,5.82,5.87,5.92,5.97,6.42,6.47,6.52,6.59,6.66,6.72,6.78},{0,10,20,30,40,50,60,62,64,66,68,70,72,74,76,78,80,85,90,95,100})</f>
        <v>78</v>
      </c>
      <c r="T272" s="12"/>
      <c r="U272" s="12"/>
      <c r="V272" s="12">
        <f t="shared" si="152"/>
        <v>78</v>
      </c>
      <c r="W272" s="12"/>
      <c r="X272" s="20">
        <f t="shared" si="153"/>
        <v>58.1</v>
      </c>
      <c r="Y272" s="20">
        <f t="shared" si="154"/>
        <v>83</v>
      </c>
    </row>
    <row r="273" ht="15.6" hidden="1" outlineLevel="2" spans="1:25">
      <c r="A273" s="12">
        <v>214</v>
      </c>
      <c r="B273" s="12">
        <v>33</v>
      </c>
      <c r="C273" s="6" t="s">
        <v>762</v>
      </c>
      <c r="D273" s="6" t="s">
        <v>53</v>
      </c>
      <c r="E273" s="12">
        <v>16.3</v>
      </c>
      <c r="F273" s="11">
        <f>LOOKUP(E273,{0,1,1.8,2.6,3.4,4.2,5,6.3,7.6,8.9,10.2,11.5,12.8,14.1,15.4,16.7,18,19.7,21.4,23.1,24.8},{0,10,20,30,40,50,60,62,64,66,68,70,72,74,76,78,80,85,90,95,100})</f>
        <v>76</v>
      </c>
      <c r="G273" s="12">
        <v>185</v>
      </c>
      <c r="H273" s="11">
        <f>LOOKUP(G273,{0,124,129,134,139,144,149,152,155,158,161,164,167,170,173,176,179,186,193,199,205},{0,10,20,30,40,50,60,62,64,66,68,70,72,74,76,78,80,85,90,95,100})</f>
        <v>80</v>
      </c>
      <c r="I273" s="12">
        <v>46</v>
      </c>
      <c r="J273" s="11">
        <f>LOOKUP(I273,{0,14,16,18,20,22,24,26,28,30,32,34,36,38,40,42,44,47,50,52,54},{0,10,20,30,40,50,60,62,64,66,68,70,72,74,76,78,80,85,90,95,100})</f>
        <v>80</v>
      </c>
      <c r="K273" s="12"/>
      <c r="L273" s="12"/>
      <c r="M273" s="12">
        <f t="shared" si="149"/>
        <v>80</v>
      </c>
      <c r="N273" s="12">
        <v>8.5</v>
      </c>
      <c r="O273" s="12">
        <f t="shared" si="150"/>
        <v>3.5</v>
      </c>
      <c r="P273" s="11">
        <f>LOOKUP(O273,{0,0.5,0.7,0.9,1.1,1.3,1.5,1.7,1.9,2.1,2.3,2.5,2.7,2.9,3.1,3.3,3.5,3.8,4.1,4.2,4.3},{0,10,20,30,40,50,60,62,64,66,68,70,72,74,76,78,80,85,90,95,100})</f>
        <v>80</v>
      </c>
      <c r="Q273" s="12">
        <v>3.43</v>
      </c>
      <c r="R273" s="12">
        <f t="shared" si="151"/>
        <v>6.57</v>
      </c>
      <c r="S273" s="11">
        <f>LOOKUP(R273,{0,4.72,4.82,4.92,5.42,5.52,5.62,5.67,5.72,5.77,5.82,5.87,5.92,5.97,6.42,6.47,6.52,6.59,6.66,6.72,6.78},{0,10,20,30,40,50,60,62,64,66,68,70,72,74,76,78,80,85,90,95,100})</f>
        <v>80</v>
      </c>
      <c r="T273" s="12"/>
      <c r="U273" s="12"/>
      <c r="V273" s="12">
        <f t="shared" si="152"/>
        <v>80</v>
      </c>
      <c r="W273" s="12"/>
      <c r="X273" s="20">
        <f t="shared" si="153"/>
        <v>55.6</v>
      </c>
      <c r="Y273" s="20">
        <f t="shared" si="154"/>
        <v>79.4285714285714</v>
      </c>
    </row>
    <row r="274" s="1" customFormat="1" ht="15.6" hidden="1" outlineLevel="2" spans="1:25">
      <c r="A274" s="12">
        <v>214</v>
      </c>
      <c r="B274" s="12">
        <v>34</v>
      </c>
      <c r="C274" s="13" t="s">
        <v>764</v>
      </c>
      <c r="D274" s="6" t="s">
        <v>53</v>
      </c>
      <c r="E274" s="12">
        <v>20.7</v>
      </c>
      <c r="F274" s="11">
        <f>LOOKUP(E274,{0,1,1.8,2.6,3.4,4.2,5,6.3,7.6,8.9,10.2,11.5,12.8,14.1,15.4,16.7,18,19.7,21.4,23.1,24.8},{0,10,20,30,40,50,60,62,64,66,68,70,72,74,76,78,80,85,90,95,100})</f>
        <v>85</v>
      </c>
      <c r="G274" s="12">
        <v>180</v>
      </c>
      <c r="H274" s="11">
        <f>LOOKUP(G274,{0,124,129,134,139,144,149,152,155,158,161,164,167,170,173,176,179,186,193,199,205},{0,10,20,30,40,50,60,62,64,66,68,70,72,74,76,78,80,85,90,95,100})</f>
        <v>80</v>
      </c>
      <c r="I274" s="12">
        <v>47</v>
      </c>
      <c r="J274" s="11">
        <f>LOOKUP(I274,{0,14,16,18,20,22,24,26,28,30,32,34,36,38,40,42,44,47,50,52,54},{0,10,20,30,40,50,60,62,64,66,68,70,72,74,76,78,80,85,90,95,100})</f>
        <v>85</v>
      </c>
      <c r="K274" s="12"/>
      <c r="L274" s="12"/>
      <c r="M274" s="12">
        <f t="shared" si="149"/>
        <v>85</v>
      </c>
      <c r="N274" s="12">
        <v>9.1</v>
      </c>
      <c r="O274" s="12">
        <f t="shared" si="150"/>
        <v>2.9</v>
      </c>
      <c r="P274" s="11">
        <f>LOOKUP(O274,{0,0.5,0.7,0.9,1.1,1.3,1.5,1.7,1.9,2.1,2.3,2.5,2.7,2.9,3.1,3.3,3.5,3.8,4.1,4.2,4.3},{0,10,20,30,40,50,60,62,64,66,68,70,72,74,76,78,80,85,90,95,100})</f>
        <v>74</v>
      </c>
      <c r="Q274" s="12">
        <v>3.44</v>
      </c>
      <c r="R274" s="12">
        <f t="shared" si="151"/>
        <v>6.56</v>
      </c>
      <c r="S274" s="11">
        <f>LOOKUP(R274,{0,4.72,4.82,4.92,5.42,5.52,5.62,5.67,5.72,5.77,5.82,5.87,5.92,5.97,6.42,6.47,6.52,6.59,6.66,6.72,6.78},{0,10,20,30,40,50,60,62,64,66,68,70,72,74,76,78,80,85,90,95,100})</f>
        <v>80</v>
      </c>
      <c r="T274" s="12"/>
      <c r="U274" s="12"/>
      <c r="V274" s="12">
        <f t="shared" si="152"/>
        <v>80</v>
      </c>
      <c r="W274" s="12"/>
      <c r="X274" s="20">
        <f t="shared" si="153"/>
        <v>55.8</v>
      </c>
      <c r="Y274" s="20">
        <f t="shared" si="154"/>
        <v>79.7142857142857</v>
      </c>
    </row>
    <row r="275" ht="15.6" hidden="1" outlineLevel="2" spans="1:25">
      <c r="A275" s="12">
        <v>214</v>
      </c>
      <c r="B275" s="12">
        <v>35</v>
      </c>
      <c r="C275" s="6" t="s">
        <v>765</v>
      </c>
      <c r="D275" s="6" t="s">
        <v>53</v>
      </c>
      <c r="E275" s="12">
        <v>12</v>
      </c>
      <c r="F275" s="11">
        <f>LOOKUP(E275,{0,1,1.8,2.6,3.4,4.2,5,6.3,7.6,8.9,10.2,11.5,12.8,14.1,15.4,16.7,18,19.7,21.4,23.1,24.8},{0,10,20,30,40,50,60,62,64,66,68,70,72,74,76,78,80,85,90,95,100})</f>
        <v>70</v>
      </c>
      <c r="G275" s="12">
        <v>175</v>
      </c>
      <c r="H275" s="11">
        <f>LOOKUP(G275,{0,124,129,134,139,144,149,152,155,158,161,164,167,170,173,176,179,186,193,199,205},{0,10,20,30,40,50,60,62,64,66,68,70,72,74,76,78,80,85,90,95,100})</f>
        <v>76</v>
      </c>
      <c r="I275" s="12">
        <v>42</v>
      </c>
      <c r="J275" s="11">
        <f>LOOKUP(I275,{0,14,16,18,20,22,24,26,28,30,32,34,36,38,40,42,44,47,50,52,54},{0,10,20,30,40,50,60,62,64,66,68,70,72,74,76,78,80,85,90,95,100})</f>
        <v>78</v>
      </c>
      <c r="K275" s="12"/>
      <c r="L275" s="12"/>
      <c r="M275" s="12">
        <f t="shared" si="149"/>
        <v>78</v>
      </c>
      <c r="N275" s="12">
        <v>9.2</v>
      </c>
      <c r="O275" s="12">
        <f t="shared" si="150"/>
        <v>2.8</v>
      </c>
      <c r="P275" s="11">
        <f>LOOKUP(O275,{0,0.5,0.7,0.9,1.1,1.3,1.5,1.7,1.9,2.1,2.3,2.5,2.7,2.9,3.1,3.3,3.5,3.8,4.1,4.2,4.3},{0,10,20,30,40,50,60,62,64,66,68,70,72,74,76,78,80,85,90,95,100})</f>
        <v>72</v>
      </c>
      <c r="Q275" s="12">
        <v>4.04</v>
      </c>
      <c r="R275" s="12">
        <f t="shared" si="151"/>
        <v>5.96</v>
      </c>
      <c r="S275" s="11">
        <f>LOOKUP(R275,{0,4.72,4.82,4.92,5.42,5.52,5.62,5.67,5.72,5.77,5.82,5.87,5.92,5.97,6.42,6.47,6.52,6.59,6.66,6.72,6.78},{0,10,20,30,40,50,60,62,64,66,68,70,72,74,76,78,80,85,90,95,100})</f>
        <v>72</v>
      </c>
      <c r="T275" s="12"/>
      <c r="U275" s="12"/>
      <c r="V275" s="12">
        <f t="shared" si="152"/>
        <v>72</v>
      </c>
      <c r="W275" s="12"/>
      <c r="X275" s="20">
        <f t="shared" si="153"/>
        <v>51.2</v>
      </c>
      <c r="Y275" s="20">
        <f t="shared" si="154"/>
        <v>73.1428571428572</v>
      </c>
    </row>
    <row r="276" ht="15.6" hidden="1" outlineLevel="2" spans="1:25">
      <c r="A276" s="12">
        <v>214</v>
      </c>
      <c r="B276" s="12">
        <v>36</v>
      </c>
      <c r="C276" s="6" t="s">
        <v>766</v>
      </c>
      <c r="D276" s="6" t="s">
        <v>53</v>
      </c>
      <c r="E276" s="12">
        <v>17</v>
      </c>
      <c r="F276" s="11">
        <f>LOOKUP(E276,{0,1,1.8,2.6,3.4,4.2,5,6.3,7.6,8.9,10.2,11.5,12.8,14.1,15.4,16.7,18,19.7,21.4,23.1,24.8},{0,10,20,30,40,50,60,62,64,66,68,70,72,74,76,78,80,85,90,95,100})</f>
        <v>78</v>
      </c>
      <c r="G276" s="12">
        <v>191</v>
      </c>
      <c r="H276" s="11">
        <f>LOOKUP(G276,{0,124,129,134,139,144,149,152,155,158,161,164,167,170,173,176,179,186,193,199,205},{0,10,20,30,40,50,60,62,64,66,68,70,72,74,76,78,80,85,90,95,100})</f>
        <v>85</v>
      </c>
      <c r="I276" s="12">
        <v>40</v>
      </c>
      <c r="J276" s="11">
        <f>LOOKUP(I276,{0,14,16,18,20,22,24,26,28,30,32,34,36,38,40,42,44,47,50,52,54},{0,10,20,30,40,50,60,62,64,66,68,70,72,74,76,78,80,85,90,95,100})</f>
        <v>76</v>
      </c>
      <c r="K276" s="12"/>
      <c r="L276" s="12"/>
      <c r="M276" s="12">
        <f t="shared" si="149"/>
        <v>76</v>
      </c>
      <c r="N276" s="12">
        <v>8.7</v>
      </c>
      <c r="O276" s="12">
        <f t="shared" si="150"/>
        <v>3.3</v>
      </c>
      <c r="P276" s="11">
        <f>LOOKUP(O276,{0,0.5,0.7,0.9,1.1,1.3,1.5,1.7,1.9,2.1,2.3,2.5,2.7,2.9,3.1,3.3,3.5,3.8,4.1,4.2,4.3},{0,10,20,30,40,50,60,62,64,66,68,70,72,74,76,78,80,85,90,95,100})</f>
        <v>78</v>
      </c>
      <c r="Q276" s="12">
        <v>3.39</v>
      </c>
      <c r="R276" s="12">
        <f t="shared" si="151"/>
        <v>6.61</v>
      </c>
      <c r="S276" s="11">
        <f>LOOKUP(R276,{0,4.72,4.82,4.92,5.42,5.52,5.62,5.67,5.72,5.77,5.82,5.87,5.92,5.97,6.42,6.47,6.52,6.59,6.66,6.72,6.78},{0,10,20,30,40,50,60,62,64,66,68,70,72,74,76,78,80,85,90,95,100})</f>
        <v>85</v>
      </c>
      <c r="T276" s="12"/>
      <c r="U276" s="15"/>
      <c r="V276" s="12">
        <f t="shared" si="152"/>
        <v>85</v>
      </c>
      <c r="W276" s="12"/>
      <c r="X276" s="20">
        <f t="shared" si="153"/>
        <v>56.5</v>
      </c>
      <c r="Y276" s="20">
        <f t="shared" si="154"/>
        <v>80.7142857142857</v>
      </c>
    </row>
    <row r="277" ht="15.6" hidden="1" outlineLevel="2" spans="1:25">
      <c r="A277" s="12">
        <v>214</v>
      </c>
      <c r="B277" s="12">
        <v>37</v>
      </c>
      <c r="C277" s="6" t="s">
        <v>767</v>
      </c>
      <c r="D277" s="6" t="s">
        <v>53</v>
      </c>
      <c r="E277" s="12">
        <v>20.2</v>
      </c>
      <c r="F277" s="11">
        <f>LOOKUP(E277,{0,1,1.8,2.6,3.4,4.2,5,6.3,7.6,8.9,10.2,11.5,12.8,14.1,15.4,16.7,18,19.7,21.4,23.1,24.8},{0,10,20,30,40,50,60,62,64,66,68,70,72,74,76,78,80,85,90,95,100})</f>
        <v>85</v>
      </c>
      <c r="G277" s="12">
        <v>190</v>
      </c>
      <c r="H277" s="11">
        <f>LOOKUP(G277,{0,124,129,134,139,144,149,152,155,158,161,164,167,170,173,176,179,186,193,199,205},{0,10,20,30,40,50,60,62,64,66,68,70,72,74,76,78,80,85,90,95,100})</f>
        <v>85</v>
      </c>
      <c r="I277" s="12">
        <v>46</v>
      </c>
      <c r="J277" s="11">
        <f>LOOKUP(I277,{0,14,16,18,20,22,24,26,28,30,32,34,36,38,40,42,44,47,50,52,54},{0,10,20,30,40,50,60,62,64,66,68,70,72,74,76,78,80,85,90,95,100})</f>
        <v>80</v>
      </c>
      <c r="K277" s="12"/>
      <c r="L277" s="12"/>
      <c r="M277" s="12">
        <f t="shared" si="149"/>
        <v>80</v>
      </c>
      <c r="N277" s="12">
        <v>8.7</v>
      </c>
      <c r="O277" s="12">
        <f t="shared" si="150"/>
        <v>3.3</v>
      </c>
      <c r="P277" s="11">
        <f>LOOKUP(O277,{0,0.5,0.7,0.9,1.1,1.3,1.5,1.7,1.9,2.1,2.3,2.5,2.7,2.9,3.1,3.3,3.5,3.8,4.1,4.2,4.3},{0,10,20,30,40,50,60,62,64,66,68,70,72,74,76,78,80,85,90,95,100})</f>
        <v>78</v>
      </c>
      <c r="Q277" s="12">
        <v>3.29</v>
      </c>
      <c r="R277" s="12">
        <f t="shared" si="151"/>
        <v>6.71</v>
      </c>
      <c r="S277" s="11">
        <f>LOOKUP(R277,{0,4.72,4.82,4.92,5.42,5.52,5.62,5.67,5.72,5.77,5.82,5.87,5.92,5.97,6.42,6.47,6.52,6.59,6.66,6.72,6.78},{0,10,20,30,40,50,60,62,64,66,68,70,72,74,76,78,80,85,90,95,100})</f>
        <v>90</v>
      </c>
      <c r="T277" s="12"/>
      <c r="U277" s="12"/>
      <c r="V277" s="12">
        <f t="shared" si="152"/>
        <v>90</v>
      </c>
      <c r="W277" s="12"/>
      <c r="X277" s="20">
        <f t="shared" si="153"/>
        <v>58.6</v>
      </c>
      <c r="Y277" s="20">
        <f t="shared" si="154"/>
        <v>83.7142857142857</v>
      </c>
    </row>
    <row r="278" ht="15.6" hidden="1" outlineLevel="2" spans="1:25">
      <c r="A278" s="12">
        <v>214</v>
      </c>
      <c r="B278" s="12">
        <v>38</v>
      </c>
      <c r="C278" s="6" t="s">
        <v>768</v>
      </c>
      <c r="D278" s="6" t="s">
        <v>53</v>
      </c>
      <c r="E278" s="12">
        <v>19.5</v>
      </c>
      <c r="F278" s="11">
        <f>LOOKUP(E278,{0,1,1.8,2.6,3.4,4.2,5,6.3,7.6,8.9,10.2,11.5,12.8,14.1,15.4,16.7,18,19.7,21.4,23.1,24.8},{0,10,20,30,40,50,60,62,64,66,68,70,72,74,76,78,80,85,90,95,100})</f>
        <v>80</v>
      </c>
      <c r="G278" s="12">
        <v>192</v>
      </c>
      <c r="H278" s="11">
        <f>LOOKUP(G278,{0,124,129,134,139,144,149,152,155,158,161,164,167,170,173,176,179,186,193,199,205},{0,10,20,30,40,50,60,62,64,66,68,70,72,74,76,78,80,85,90,95,100})</f>
        <v>85</v>
      </c>
      <c r="I278" s="12">
        <v>49</v>
      </c>
      <c r="J278" s="11">
        <f>LOOKUP(I278,{0,14,16,18,20,22,24,26,28,30,32,34,36,38,40,42,44,47,50,52,54},{0,10,20,30,40,50,60,62,64,66,68,70,72,74,76,78,80,85,90,95,100})</f>
        <v>85</v>
      </c>
      <c r="K278" s="12"/>
      <c r="L278" s="12"/>
      <c r="M278" s="12">
        <f t="shared" si="149"/>
        <v>85</v>
      </c>
      <c r="N278" s="12">
        <v>8.9</v>
      </c>
      <c r="O278" s="12">
        <f t="shared" si="150"/>
        <v>3.1</v>
      </c>
      <c r="P278" s="11">
        <f>LOOKUP(O278,{0,0.5,0.7,0.9,1.1,1.3,1.5,1.7,1.9,2.1,2.3,2.5,2.7,2.9,3.1,3.3,3.5,3.8,4.1,4.2,4.3},{0,10,20,30,40,50,60,62,64,66,68,70,72,74,76,78,80,85,90,95,100})</f>
        <v>76</v>
      </c>
      <c r="Q278" s="12">
        <v>3.3</v>
      </c>
      <c r="R278" s="12">
        <f t="shared" si="151"/>
        <v>6.7</v>
      </c>
      <c r="S278" s="11">
        <f>LOOKUP(R278,{0,4.72,4.82,4.92,5.42,5.52,5.62,5.67,5.72,5.77,5.82,5.87,5.92,5.97,6.42,6.47,6.52,6.59,6.66,6.72,6.78},{0,10,20,30,40,50,60,62,64,66,68,70,72,74,76,78,80,85,90,95,100})</f>
        <v>90</v>
      </c>
      <c r="T278" s="12"/>
      <c r="U278" s="12"/>
      <c r="V278" s="12">
        <f t="shared" si="152"/>
        <v>90</v>
      </c>
      <c r="W278" s="12"/>
      <c r="X278" s="20">
        <f t="shared" si="153"/>
        <v>58.2</v>
      </c>
      <c r="Y278" s="20">
        <f t="shared" si="154"/>
        <v>83.1428571428572</v>
      </c>
    </row>
    <row r="279" ht="15.6" hidden="1" outlineLevel="2" spans="1:25">
      <c r="A279" s="12">
        <v>214</v>
      </c>
      <c r="B279" s="12">
        <v>39</v>
      </c>
      <c r="C279" s="6" t="s">
        <v>769</v>
      </c>
      <c r="D279" s="6" t="s">
        <v>53</v>
      </c>
      <c r="E279" s="12">
        <v>14.8</v>
      </c>
      <c r="F279" s="11">
        <f>LOOKUP(E279,{0,1,1.8,2.6,3.4,4.2,5,6.3,7.6,8.9,10.2,11.5,12.8,14.1,15.4,16.7,18,19.7,21.4,23.1,24.8},{0,10,20,30,40,50,60,62,64,66,68,70,72,74,76,78,80,85,90,95,100})</f>
        <v>74</v>
      </c>
      <c r="G279" s="12">
        <v>186</v>
      </c>
      <c r="H279" s="11">
        <f>LOOKUP(G279,{0,124,129,134,139,144,149,152,155,158,161,164,167,170,173,176,179,186,193,199,205},{0,10,20,30,40,50,60,62,64,66,68,70,72,74,76,78,80,85,90,95,100})</f>
        <v>85</v>
      </c>
      <c r="I279" s="12">
        <v>56</v>
      </c>
      <c r="J279" s="11">
        <f>LOOKUP(I279,{0,14,16,18,20,22,24,26,28,30,32,34,36,38,40,42,44,47,50,52,54},{0,10,20,30,40,50,60,62,64,66,68,70,72,74,76,78,80,85,90,95,100})</f>
        <v>100</v>
      </c>
      <c r="K279" s="12">
        <f>I279-54</f>
        <v>2</v>
      </c>
      <c r="L279" s="11">
        <f>LOOKUP(K279,{0,2,4,6,7,8,9,10,11,12,13},{0,1,2,3,4,5,6,7,8,9,10})</f>
        <v>1</v>
      </c>
      <c r="M279" s="12">
        <f t="shared" si="149"/>
        <v>101</v>
      </c>
      <c r="N279" s="12">
        <v>9.3</v>
      </c>
      <c r="O279" s="12">
        <f t="shared" si="150"/>
        <v>2.7</v>
      </c>
      <c r="P279" s="11">
        <f>LOOKUP(O279,{0,0.5,0.7,0.9,1.1,1.3,1.5,1.7,1.9,2.1,2.3,2.5,2.7,2.9,3.1,3.3,3.5,3.8,4.1,4.2,4.3},{0,10,20,30,40,50,60,62,64,66,68,70,72,74,76,78,80,85,90,95,100})</f>
        <v>72</v>
      </c>
      <c r="Q279" s="12">
        <v>3.48</v>
      </c>
      <c r="R279" s="12">
        <f t="shared" si="151"/>
        <v>6.52</v>
      </c>
      <c r="S279" s="11">
        <f>LOOKUP(R279,{0,4.72,4.82,4.92,5.42,5.52,5.62,5.67,5.72,5.77,5.82,5.87,5.92,5.97,6.42,6.47,6.52,6.59,6.66,6.72,6.78},{0,10,20,30,40,50,60,62,64,66,68,70,72,74,76,78,80,85,90,95,100})</f>
        <v>80</v>
      </c>
      <c r="T279" s="12"/>
      <c r="U279" s="12"/>
      <c r="V279" s="12">
        <f t="shared" si="152"/>
        <v>80</v>
      </c>
      <c r="W279" s="12"/>
      <c r="X279" s="20">
        <f t="shared" si="153"/>
        <v>56.3</v>
      </c>
      <c r="Y279" s="20">
        <f t="shared" si="154"/>
        <v>81.4285714285714</v>
      </c>
    </row>
    <row r="280" ht="15.6" hidden="1" outlineLevel="2" spans="1:25">
      <c r="A280" s="12">
        <v>214</v>
      </c>
      <c r="B280" s="12">
        <v>40</v>
      </c>
      <c r="C280" s="6" t="s">
        <v>770</v>
      </c>
      <c r="D280" s="6" t="s">
        <v>53</v>
      </c>
      <c r="E280" s="12">
        <v>11.5</v>
      </c>
      <c r="F280" s="11">
        <f>LOOKUP(E280,{0,1,1.8,2.6,3.4,4.2,5,6.3,7.6,8.9,10.2,11.5,12.8,14.1,15.4,16.7,18,19.7,21.4,23.1,24.8},{0,10,20,30,40,50,60,62,64,66,68,70,72,74,76,78,80,85,90,95,100})</f>
        <v>70</v>
      </c>
      <c r="G280" s="12">
        <v>135</v>
      </c>
      <c r="H280" s="11">
        <f>LOOKUP(G280,{0,124,129,134,139,144,149,152,155,158,161,164,167,170,173,176,179,186,193,199,205},{0,10,20,30,40,50,60,62,64,66,68,70,72,74,76,78,80,85,90,95,100})</f>
        <v>30</v>
      </c>
      <c r="I280" s="12">
        <v>43</v>
      </c>
      <c r="J280" s="11">
        <f>LOOKUP(I280,{0,14,16,18,20,22,24,26,28,30,32,34,36,38,40,42,44,47,50,52,54},{0,10,20,30,40,50,60,62,64,66,68,70,72,74,76,78,80,85,90,95,100})</f>
        <v>78</v>
      </c>
      <c r="K280" s="12"/>
      <c r="L280" s="12"/>
      <c r="M280" s="12">
        <f t="shared" si="149"/>
        <v>78</v>
      </c>
      <c r="N280" s="12">
        <v>10</v>
      </c>
      <c r="O280" s="12">
        <f t="shared" si="150"/>
        <v>2</v>
      </c>
      <c r="P280" s="11">
        <f>LOOKUP(O280,{0,0.5,0.7,0.9,1.1,1.3,1.5,1.7,1.9,2.1,2.3,2.5,2.7,2.9,3.1,3.3,3.5,3.8,4.1,4.2,4.3},{0,10,20,30,40,50,60,62,64,66,68,70,72,74,76,78,80,85,90,95,100})</f>
        <v>64</v>
      </c>
      <c r="Q280" s="12">
        <v>4.15</v>
      </c>
      <c r="R280" s="12">
        <f t="shared" si="151"/>
        <v>5.85</v>
      </c>
      <c r="S280" s="11">
        <f>LOOKUP(R280,{0,4.72,4.82,4.92,5.42,5.52,5.62,5.67,5.72,5.77,5.82,5.87,5.92,5.97,6.42,6.47,6.52,6.59,6.66,6.72,6.78},{0,10,20,30,40,50,60,62,64,66,68,70,72,74,76,78,80,85,90,95,100})</f>
        <v>68</v>
      </c>
      <c r="T280" s="12"/>
      <c r="U280" s="12"/>
      <c r="V280" s="12">
        <f t="shared" si="152"/>
        <v>68</v>
      </c>
      <c r="W280" s="12"/>
      <c r="X280" s="20">
        <f t="shared" si="153"/>
        <v>44.2</v>
      </c>
      <c r="Y280" s="20">
        <f t="shared" si="154"/>
        <v>63.1428571428572</v>
      </c>
    </row>
    <row r="281" ht="15.6" hidden="1" outlineLevel="2" spans="1:25">
      <c r="A281" s="12">
        <v>214</v>
      </c>
      <c r="B281" s="12">
        <v>41</v>
      </c>
      <c r="C281" s="6" t="s">
        <v>771</v>
      </c>
      <c r="D281" s="6" t="s">
        <v>53</v>
      </c>
      <c r="E281" s="12">
        <v>22.4</v>
      </c>
      <c r="F281" s="11">
        <f>LOOKUP(E281,{0,1,1.8,2.6,3.4,4.2,5,6.3,7.6,8.9,10.2,11.5,12.8,14.1,15.4,16.7,18,19.7,21.4,23.1,24.8},{0,10,20,30,40,50,60,62,64,66,68,70,72,74,76,78,80,85,90,95,100})</f>
        <v>90</v>
      </c>
      <c r="G281" s="12">
        <v>203</v>
      </c>
      <c r="H281" s="11">
        <f>LOOKUP(G281,{0,124,129,134,139,144,149,152,155,158,161,164,167,170,173,176,179,186,193,199,205},{0,10,20,30,40,50,60,62,64,66,68,70,72,74,76,78,80,85,90,95,100})</f>
        <v>95</v>
      </c>
      <c r="I281" s="12">
        <v>53</v>
      </c>
      <c r="J281" s="11">
        <f>LOOKUP(I281,{0,14,16,18,20,22,24,26,28,30,32,34,36,38,40,42,44,47,50,52,54},{0,10,20,30,40,50,60,62,64,66,68,70,72,74,76,78,80,85,90,95,100})</f>
        <v>95</v>
      </c>
      <c r="K281" s="12"/>
      <c r="L281" s="12"/>
      <c r="M281" s="12">
        <f t="shared" si="149"/>
        <v>95</v>
      </c>
      <c r="N281" s="12">
        <v>8.6</v>
      </c>
      <c r="O281" s="12">
        <f t="shared" si="150"/>
        <v>3.4</v>
      </c>
      <c r="P281" s="11">
        <f>LOOKUP(O281,{0,0.5,0.7,0.9,1.1,1.3,1.5,1.7,1.9,2.1,2.3,2.5,2.7,2.9,3.1,3.3,3.5,3.8,4.1,4.2,4.3},{0,10,20,30,40,50,60,62,64,66,68,70,72,74,76,78,80,85,90,95,100})</f>
        <v>78</v>
      </c>
      <c r="Q281" s="12">
        <v>3.37</v>
      </c>
      <c r="R281" s="12">
        <f t="shared" si="151"/>
        <v>6.63</v>
      </c>
      <c r="S281" s="11">
        <f>LOOKUP(R281,{0,4.72,4.82,4.92,5.42,5.52,5.62,5.67,5.72,5.77,5.82,5.87,5.92,5.97,6.42,6.47,6.52,6.59,6.66,6.72,6.78},{0,10,20,30,40,50,60,62,64,66,68,70,72,74,76,78,80,85,90,95,100})</f>
        <v>85</v>
      </c>
      <c r="T281" s="12"/>
      <c r="U281" s="12"/>
      <c r="V281" s="12">
        <f t="shared" si="152"/>
        <v>85</v>
      </c>
      <c r="W281" s="12"/>
      <c r="X281" s="20">
        <f t="shared" si="153"/>
        <v>60.6</v>
      </c>
      <c r="Y281" s="20">
        <f t="shared" si="154"/>
        <v>86.5714285714286</v>
      </c>
    </row>
    <row r="282" ht="15.6" hidden="1" outlineLevel="2" spans="1:25">
      <c r="A282" s="12">
        <v>214</v>
      </c>
      <c r="B282" s="12">
        <v>42</v>
      </c>
      <c r="C282" s="6" t="s">
        <v>772</v>
      </c>
      <c r="D282" s="6" t="s">
        <v>53</v>
      </c>
      <c r="E282" s="12">
        <v>16.6</v>
      </c>
      <c r="F282" s="11">
        <f>LOOKUP(E282,{0,1,1.8,2.6,3.4,4.2,5,6.3,7.6,8.9,10.2,11.5,12.8,14.1,15.4,16.7,18,19.7,21.4,23.1,24.8},{0,10,20,30,40,50,60,62,64,66,68,70,72,74,76,78,80,85,90,95,100})</f>
        <v>76</v>
      </c>
      <c r="G282" s="12">
        <v>201</v>
      </c>
      <c r="H282" s="11">
        <f>LOOKUP(G282,{0,124,129,134,139,144,149,152,155,158,161,164,167,170,173,176,179,186,193,199,205},{0,10,20,30,40,50,60,62,64,66,68,70,72,74,76,78,80,85,90,95,100})</f>
        <v>95</v>
      </c>
      <c r="I282" s="12">
        <v>34</v>
      </c>
      <c r="J282" s="11">
        <f>LOOKUP(I282,{0,14,16,18,20,22,24,26,28,30,32,34,36,38,40,42,44,47,50,52,54},{0,10,20,30,40,50,60,62,64,66,68,70,72,74,76,78,80,85,90,95,100})</f>
        <v>70</v>
      </c>
      <c r="K282" s="12"/>
      <c r="L282" s="12"/>
      <c r="M282" s="12">
        <f t="shared" si="149"/>
        <v>70</v>
      </c>
      <c r="N282" s="12">
        <v>8.6</v>
      </c>
      <c r="O282" s="12">
        <f t="shared" si="150"/>
        <v>3.4</v>
      </c>
      <c r="P282" s="11">
        <f>LOOKUP(O282,{0,0.5,0.7,0.9,1.1,1.3,1.5,1.7,1.9,2.1,2.3,2.5,2.7,2.9,3.1,3.3,3.5,3.8,4.1,4.2,4.3},{0,10,20,30,40,50,60,62,64,66,68,70,72,74,76,78,80,85,90,95,100})</f>
        <v>78</v>
      </c>
      <c r="Q282" s="12">
        <v>3.34</v>
      </c>
      <c r="R282" s="12">
        <f t="shared" si="151"/>
        <v>6.66</v>
      </c>
      <c r="S282" s="11">
        <f>LOOKUP(R282,{0,4.72,4.82,4.92,5.42,5.52,5.62,5.67,5.72,5.77,5.82,5.87,5.92,5.97,6.42,6.47,6.52,6.59,6.66,6.72,6.78},{0,10,20,30,40,50,60,62,64,66,68,70,72,74,76,78,80,85,90,95,100})</f>
        <v>90</v>
      </c>
      <c r="T282" s="12"/>
      <c r="U282" s="12"/>
      <c r="V282" s="12">
        <f t="shared" si="152"/>
        <v>90</v>
      </c>
      <c r="W282" s="12"/>
      <c r="X282" s="20">
        <f t="shared" si="153"/>
        <v>57.7</v>
      </c>
      <c r="Y282" s="20">
        <f t="shared" si="154"/>
        <v>82.4285714285714</v>
      </c>
    </row>
    <row r="283" ht="15.6" hidden="1" outlineLevel="2" spans="1:25">
      <c r="A283" s="12">
        <v>214</v>
      </c>
      <c r="B283" s="12">
        <v>43</v>
      </c>
      <c r="C283" s="6" t="s">
        <v>773</v>
      </c>
      <c r="D283" s="6" t="s">
        <v>53</v>
      </c>
      <c r="E283" s="12">
        <v>19.1</v>
      </c>
      <c r="F283" s="11">
        <f>LOOKUP(E283,{0,1,1.8,2.6,3.4,4.2,5,6.3,7.6,8.9,10.2,11.5,12.8,14.1,15.4,16.7,18,19.7,21.4,23.1,24.8},{0,10,20,30,40,50,60,62,64,66,68,70,72,74,76,78,80,85,90,95,100})</f>
        <v>80</v>
      </c>
      <c r="G283" s="12">
        <v>165</v>
      </c>
      <c r="H283" s="11">
        <f>LOOKUP(G283,{0,124,129,134,139,144,149,152,155,158,161,164,167,170,173,176,179,186,193,199,205},{0,10,20,30,40,50,60,62,64,66,68,70,72,74,76,78,80,85,90,95,100})</f>
        <v>70</v>
      </c>
      <c r="I283" s="12">
        <v>48</v>
      </c>
      <c r="J283" s="11">
        <f>LOOKUP(I283,{0,14,16,18,20,22,24,26,28,30,32,34,36,38,40,42,44,47,50,52,54},{0,10,20,30,40,50,60,62,64,66,68,70,72,74,76,78,80,85,90,95,100})</f>
        <v>85</v>
      </c>
      <c r="K283" s="12"/>
      <c r="L283" s="12"/>
      <c r="M283" s="12">
        <f t="shared" si="149"/>
        <v>85</v>
      </c>
      <c r="N283" s="12">
        <v>8.7</v>
      </c>
      <c r="O283" s="12">
        <f t="shared" si="150"/>
        <v>3.3</v>
      </c>
      <c r="P283" s="11">
        <f>LOOKUP(O283,{0,0.5,0.7,0.9,1.1,1.3,1.5,1.7,1.9,2.1,2.3,2.5,2.7,2.9,3.1,3.3,3.5,3.8,4.1,4.2,4.3},{0,10,20,30,40,50,60,62,64,66,68,70,72,74,76,78,80,85,90,95,100})</f>
        <v>78</v>
      </c>
      <c r="Q283" s="12">
        <v>3.41</v>
      </c>
      <c r="R283" s="12">
        <f t="shared" si="151"/>
        <v>6.59</v>
      </c>
      <c r="S283" s="11">
        <f>LOOKUP(R283,{0,4.72,4.82,4.92,5.42,5.52,5.62,5.67,5.72,5.77,5.82,5.87,5.92,5.97,6.42,6.47,6.52,6.59,6.66,6.72,6.78},{0,10,20,30,40,50,60,62,64,66,68,70,72,74,76,78,80,85,90,95,100})</f>
        <v>85</v>
      </c>
      <c r="T283" s="12"/>
      <c r="U283" s="12"/>
      <c r="V283" s="12">
        <f t="shared" si="152"/>
        <v>85</v>
      </c>
      <c r="W283" s="12"/>
      <c r="X283" s="20">
        <f t="shared" si="153"/>
        <v>56.1</v>
      </c>
      <c r="Y283" s="20">
        <f t="shared" si="154"/>
        <v>80.1428571428572</v>
      </c>
    </row>
    <row r="284" ht="15.6" hidden="1" outlineLevel="2" spans="1:25">
      <c r="A284" s="12">
        <v>214</v>
      </c>
      <c r="B284" s="12">
        <v>44</v>
      </c>
      <c r="C284" s="6" t="s">
        <v>774</v>
      </c>
      <c r="D284" s="6" t="s">
        <v>53</v>
      </c>
      <c r="E284" s="12">
        <v>18.5</v>
      </c>
      <c r="F284" s="11">
        <f>LOOKUP(E284,{0,1,1.8,2.6,3.4,4.2,5,6.3,7.6,8.9,10.2,11.5,12.8,14.1,15.4,16.7,18,19.7,21.4,23.1,24.8},{0,10,20,30,40,50,60,62,64,66,68,70,72,74,76,78,80,85,90,95,100})</f>
        <v>80</v>
      </c>
      <c r="G284" s="12">
        <v>206</v>
      </c>
      <c r="H284" s="11">
        <f>LOOKUP(G284,{0,124,129,134,139,144,149,152,155,158,161,164,167,170,173,176,179,186,193,199,205},{0,10,20,30,40,50,60,62,64,66,68,70,72,74,76,78,80,85,90,95,100})</f>
        <v>100</v>
      </c>
      <c r="I284" s="12">
        <v>50</v>
      </c>
      <c r="J284" s="11">
        <f>LOOKUP(I284,{0,14,16,18,20,22,24,26,28,30,32,34,36,38,40,42,44,47,50,52,54},{0,10,20,30,40,50,60,62,64,66,68,70,72,74,76,78,80,85,90,95,100})</f>
        <v>90</v>
      </c>
      <c r="K284" s="12"/>
      <c r="L284" s="12"/>
      <c r="M284" s="12">
        <f t="shared" si="149"/>
        <v>90</v>
      </c>
      <c r="N284" s="12">
        <v>7.7</v>
      </c>
      <c r="O284" s="12">
        <f t="shared" si="150"/>
        <v>4.3</v>
      </c>
      <c r="P284" s="11">
        <f>LOOKUP(O284,{0,0.5,0.7,0.9,1.1,1.3,1.5,1.7,1.9,2.1,2.3,2.5,2.7,2.9,3.1,3.3,3.5,3.8,4.1,4.2,4.3},{0,10,20,30,40,50,60,62,64,66,68,70,72,74,76,78,80,85,90,95,100})</f>
        <v>100</v>
      </c>
      <c r="Q284" s="12">
        <v>3.2</v>
      </c>
      <c r="R284" s="12">
        <f t="shared" si="151"/>
        <v>6.8</v>
      </c>
      <c r="S284" s="11">
        <f>LOOKUP(R284,{0,4.72,4.82,4.92,5.42,5.52,5.62,5.67,5.72,5.77,5.82,5.87,5.92,5.97,6.42,6.47,6.52,6.59,6.66,6.72,6.78},{0,10,20,30,40,50,60,62,64,66,68,70,72,74,76,78,80,85,90,95,100})</f>
        <v>100</v>
      </c>
      <c r="T284" s="21">
        <f>3.22-Q284</f>
        <v>0.02</v>
      </c>
      <c r="U284" s="11">
        <f>LOOKUP(T284,{0,0.05,0.1,0.15,0.2,0.25,0.3,0.35,0.4,0.45,0.5},{0,1,2,3,4,5,6,7,8,9,10})</f>
        <v>0</v>
      </c>
      <c r="V284" s="12">
        <f t="shared" si="152"/>
        <v>100</v>
      </c>
      <c r="W284" s="12"/>
      <c r="X284" s="20">
        <f t="shared" si="153"/>
        <v>67</v>
      </c>
      <c r="Y284" s="20">
        <f t="shared" si="154"/>
        <v>95.7142857142857</v>
      </c>
    </row>
    <row r="285" s="1" customFormat="1" ht="15.6" hidden="1" outlineLevel="2" spans="1:25">
      <c r="A285" s="12">
        <v>214</v>
      </c>
      <c r="B285" s="12">
        <v>45</v>
      </c>
      <c r="C285" s="13" t="s">
        <v>776</v>
      </c>
      <c r="D285" s="6" t="s">
        <v>53</v>
      </c>
      <c r="E285" s="12">
        <v>17.8</v>
      </c>
      <c r="F285" s="11">
        <f>LOOKUP(E285,{0,1,1.8,2.6,3.4,4.2,5,6.3,7.6,8.9,10.2,11.5,12.8,14.1,15.4,16.7,18,19.7,21.4,23.1,24.8},{0,10,20,30,40,50,60,62,64,66,68,70,72,74,76,78,80,85,90,95,100})</f>
        <v>78</v>
      </c>
      <c r="G285" s="12">
        <v>171</v>
      </c>
      <c r="H285" s="11">
        <f>LOOKUP(G285,{0,124,129,134,139,144,149,152,155,158,161,164,167,170,173,176,179,186,193,199,205},{0,10,20,30,40,50,60,62,64,66,68,70,72,74,76,78,80,85,90,95,100})</f>
        <v>74</v>
      </c>
      <c r="I285" s="12">
        <v>29</v>
      </c>
      <c r="J285" s="11">
        <f>LOOKUP(I285,{0,14,16,18,20,22,24,26,28,30,32,34,36,38,40,42,44,47,50,52,54},{0,10,20,30,40,50,60,62,64,66,68,70,72,74,76,78,80,85,90,95,100})</f>
        <v>64</v>
      </c>
      <c r="K285" s="12"/>
      <c r="L285" s="12"/>
      <c r="M285" s="12">
        <f t="shared" si="149"/>
        <v>64</v>
      </c>
      <c r="N285" s="12">
        <v>9.4</v>
      </c>
      <c r="O285" s="12">
        <f t="shared" si="150"/>
        <v>2.6</v>
      </c>
      <c r="P285" s="11">
        <f>LOOKUP(O285,{0,0.5,0.7,0.9,1.1,1.3,1.5,1.7,1.9,2.1,2.3,2.5,2.7,2.9,3.1,3.3,3.5,3.8,4.1,4.2,4.3},{0,10,20,30,40,50,60,62,64,66,68,70,72,74,76,78,80,85,90,95,100})</f>
        <v>70</v>
      </c>
      <c r="Q285" s="12">
        <v>3.43</v>
      </c>
      <c r="R285" s="12">
        <f t="shared" si="151"/>
        <v>6.57</v>
      </c>
      <c r="S285" s="11">
        <f>LOOKUP(R285,{0,4.72,4.82,4.92,5.42,5.52,5.62,5.67,5.72,5.77,5.82,5.87,5.92,5.97,6.42,6.47,6.52,6.59,6.66,6.72,6.78},{0,10,20,30,40,50,60,62,64,66,68,70,72,74,76,78,80,85,90,95,100})</f>
        <v>80</v>
      </c>
      <c r="T285" s="12"/>
      <c r="U285" s="12"/>
      <c r="V285" s="12">
        <f t="shared" si="152"/>
        <v>80</v>
      </c>
      <c r="W285" s="12"/>
      <c r="X285" s="20">
        <f t="shared" si="153"/>
        <v>51.6</v>
      </c>
      <c r="Y285" s="20">
        <f t="shared" si="154"/>
        <v>73.7142857142857</v>
      </c>
    </row>
    <row r="286" ht="15.6" hidden="1" outlineLevel="2" spans="1:25">
      <c r="A286" s="12">
        <v>214</v>
      </c>
      <c r="B286" s="12">
        <v>46</v>
      </c>
      <c r="C286" s="6" t="s">
        <v>777</v>
      </c>
      <c r="D286" s="6" t="s">
        <v>53</v>
      </c>
      <c r="E286" s="12">
        <v>15.4</v>
      </c>
      <c r="F286" s="11">
        <f>LOOKUP(E286,{0,1,1.8,2.6,3.4,4.2,5,6.3,7.6,8.9,10.2,11.5,12.8,14.1,15.4,16.7,18,19.7,21.4,23.1,24.8},{0,10,20,30,40,50,60,62,64,66,68,70,72,74,76,78,80,85,90,95,100})</f>
        <v>76</v>
      </c>
      <c r="G286" s="12">
        <v>192</v>
      </c>
      <c r="H286" s="11">
        <f>LOOKUP(G286,{0,124,129,134,139,144,149,152,155,158,161,164,167,170,173,176,179,186,193,199,205},{0,10,20,30,40,50,60,62,64,66,68,70,72,74,76,78,80,85,90,95,100})</f>
        <v>85</v>
      </c>
      <c r="I286" s="12">
        <v>56</v>
      </c>
      <c r="J286" s="11">
        <f>LOOKUP(I286,{0,14,16,18,20,22,24,26,28,30,32,34,36,38,40,42,44,47,50,52,54},{0,10,20,30,40,50,60,62,64,66,68,70,72,74,76,78,80,85,90,95,100})</f>
        <v>100</v>
      </c>
      <c r="K286" s="12">
        <f t="shared" ref="K286:K289" si="155">I286-54</f>
        <v>2</v>
      </c>
      <c r="L286" s="11">
        <f>LOOKUP(K286,{0,2,4,6,7,8,9,10,11,12,13},{0,1,2,3,4,5,6,7,8,9,10})</f>
        <v>1</v>
      </c>
      <c r="M286" s="12">
        <f t="shared" si="149"/>
        <v>101</v>
      </c>
      <c r="N286" s="12">
        <v>7.4</v>
      </c>
      <c r="O286" s="12">
        <f t="shared" si="150"/>
        <v>4.6</v>
      </c>
      <c r="P286" s="11">
        <f>LOOKUP(O286,{0,0.5,0.7,0.9,1.1,1.3,1.5,1.7,1.9,2.1,2.3,2.5,2.7,2.9,3.1,3.3,3.5,3.8,4.1,4.2,4.3},{0,10,20,30,40,50,60,62,64,66,68,70,72,74,76,78,80,85,90,95,100})</f>
        <v>100</v>
      </c>
      <c r="Q286" s="12">
        <v>3.46</v>
      </c>
      <c r="R286" s="12">
        <f t="shared" si="151"/>
        <v>6.54</v>
      </c>
      <c r="S286" s="11">
        <f>LOOKUP(R286,{0,4.72,4.82,4.92,5.42,5.52,5.62,5.67,5.72,5.77,5.82,5.87,5.92,5.97,6.42,6.47,6.52,6.59,6.66,6.72,6.78},{0,10,20,30,40,50,60,62,64,66,68,70,72,74,76,78,80,85,90,95,100})</f>
        <v>80</v>
      </c>
      <c r="T286" s="12"/>
      <c r="U286" s="12"/>
      <c r="V286" s="12">
        <f t="shared" si="152"/>
        <v>80</v>
      </c>
      <c r="W286" s="12"/>
      <c r="X286" s="20">
        <f t="shared" si="153"/>
        <v>62.1</v>
      </c>
      <c r="Y286" s="20">
        <f t="shared" si="154"/>
        <v>89.7142857142857</v>
      </c>
    </row>
    <row r="287" ht="15.6" hidden="1" outlineLevel="2" spans="1:25">
      <c r="A287" s="12">
        <v>214</v>
      </c>
      <c r="B287" s="12">
        <v>47</v>
      </c>
      <c r="C287" s="6" t="s">
        <v>778</v>
      </c>
      <c r="D287" s="6" t="s">
        <v>53</v>
      </c>
      <c r="E287" s="12">
        <v>19.9</v>
      </c>
      <c r="F287" s="11">
        <f>LOOKUP(E287,{0,1,1.8,2.6,3.4,4.2,5,6.3,7.6,8.9,10.2,11.5,12.8,14.1,15.4,16.7,18,19.7,21.4,23.1,24.8},{0,10,20,30,40,50,60,62,64,66,68,70,72,74,76,78,80,85,90,95,100})</f>
        <v>85</v>
      </c>
      <c r="G287" s="12">
        <v>165</v>
      </c>
      <c r="H287" s="11">
        <f>LOOKUP(G287,{0,124,129,134,139,144,149,152,155,158,161,164,167,170,173,176,179,186,193,199,205},{0,10,20,30,40,50,60,62,64,66,68,70,72,74,76,78,80,85,90,95,100})</f>
        <v>70</v>
      </c>
      <c r="I287" s="12">
        <v>55</v>
      </c>
      <c r="J287" s="11">
        <f>LOOKUP(I287,{0,14,16,18,20,22,24,26,28,30,32,34,36,38,40,42,44,47,50,52,54},{0,10,20,30,40,50,60,62,64,66,68,70,72,74,76,78,80,85,90,95,100})</f>
        <v>100</v>
      </c>
      <c r="K287" s="12">
        <f t="shared" si="155"/>
        <v>1</v>
      </c>
      <c r="L287" s="11">
        <f>LOOKUP(K287,{0,2,4,6,7,8,9,10,11,12,13},{0,1,2,3,4,5,6,7,8,9,10})</f>
        <v>0</v>
      </c>
      <c r="M287" s="12">
        <f t="shared" si="149"/>
        <v>100</v>
      </c>
      <c r="N287" s="12">
        <v>9.4</v>
      </c>
      <c r="O287" s="12">
        <f t="shared" si="150"/>
        <v>2.6</v>
      </c>
      <c r="P287" s="11">
        <f>LOOKUP(O287,{0,0.5,0.7,0.9,1.1,1.3,1.5,1.7,1.9,2.1,2.3,2.5,2.7,2.9,3.1,3.3,3.5,3.8,4.1,4.2,4.3},{0,10,20,30,40,50,60,62,64,66,68,70,72,74,76,78,80,85,90,95,100})</f>
        <v>70</v>
      </c>
      <c r="Q287" s="12">
        <v>3.28</v>
      </c>
      <c r="R287" s="12">
        <f t="shared" si="151"/>
        <v>6.72</v>
      </c>
      <c r="S287" s="11">
        <f>LOOKUP(R287,{0,4.72,4.82,4.92,5.42,5.52,5.62,5.67,5.72,5.77,5.82,5.87,5.92,5.97,6.42,6.47,6.52,6.59,6.66,6.72,6.78},{0,10,20,30,40,50,60,62,64,66,68,70,72,74,76,78,80,85,90,95,100})</f>
        <v>95</v>
      </c>
      <c r="T287" s="12"/>
      <c r="U287" s="12"/>
      <c r="V287" s="12">
        <f t="shared" si="152"/>
        <v>95</v>
      </c>
      <c r="W287" s="12"/>
      <c r="X287" s="20">
        <f t="shared" si="153"/>
        <v>58.5</v>
      </c>
      <c r="Y287" s="20">
        <f t="shared" si="154"/>
        <v>83.5714285714286</v>
      </c>
    </row>
    <row r="288" ht="15.6" hidden="1" outlineLevel="2" spans="1:25">
      <c r="A288" s="12">
        <v>214</v>
      </c>
      <c r="B288" s="12">
        <v>48</v>
      </c>
      <c r="C288" s="6" t="s">
        <v>779</v>
      </c>
      <c r="D288" s="6" t="s">
        <v>53</v>
      </c>
      <c r="E288" s="12">
        <v>18.1</v>
      </c>
      <c r="F288" s="11">
        <f>LOOKUP(E288,{0,1,1.8,2.6,3.4,4.2,5,6.3,7.6,8.9,10.2,11.5,12.8,14.1,15.4,16.7,18,19.7,21.4,23.1,24.8},{0,10,20,30,40,50,60,62,64,66,68,70,72,74,76,78,80,85,90,95,100})</f>
        <v>80</v>
      </c>
      <c r="G288" s="12">
        <v>196</v>
      </c>
      <c r="H288" s="11">
        <f>LOOKUP(G288,{0,124,129,134,139,144,149,152,155,158,161,164,167,170,173,176,179,186,193,199,205},{0,10,20,30,40,50,60,62,64,66,68,70,72,74,76,78,80,85,90,95,100})</f>
        <v>90</v>
      </c>
      <c r="I288" s="12">
        <v>35</v>
      </c>
      <c r="J288" s="11">
        <f>LOOKUP(I288,{0,14,16,18,20,22,24,26,28,30,32,34,36,38,40,42,44,47,50,52,54},{0,10,20,30,40,50,60,62,64,66,68,70,72,74,76,78,80,85,90,95,100})</f>
        <v>70</v>
      </c>
      <c r="K288" s="12"/>
      <c r="L288" s="12"/>
      <c r="M288" s="12">
        <f t="shared" si="149"/>
        <v>70</v>
      </c>
      <c r="N288" s="12">
        <v>8.8</v>
      </c>
      <c r="O288" s="12">
        <f t="shared" si="150"/>
        <v>3.2</v>
      </c>
      <c r="P288" s="11">
        <f>LOOKUP(O288,{0,0.5,0.7,0.9,1.1,1.3,1.5,1.7,1.9,2.1,2.3,2.5,2.7,2.9,3.1,3.3,3.5,3.8,4.1,4.2,4.3},{0,10,20,30,40,50,60,62,64,66,68,70,72,74,76,78,80,85,90,95,100})</f>
        <v>76</v>
      </c>
      <c r="Q288" s="12">
        <v>3.48</v>
      </c>
      <c r="R288" s="12">
        <f t="shared" si="151"/>
        <v>6.52</v>
      </c>
      <c r="S288" s="11">
        <f>LOOKUP(R288,{0,4.72,4.82,4.92,5.42,5.52,5.62,5.67,5.72,5.77,5.82,5.87,5.92,5.97,6.42,6.47,6.52,6.59,6.66,6.72,6.78},{0,10,20,30,40,50,60,62,64,66,68,70,72,74,76,78,80,85,90,95,100})</f>
        <v>80</v>
      </c>
      <c r="T288" s="12"/>
      <c r="U288" s="12"/>
      <c r="V288" s="12">
        <f t="shared" si="152"/>
        <v>80</v>
      </c>
      <c r="W288" s="12"/>
      <c r="X288" s="20">
        <f t="shared" si="153"/>
        <v>55.2</v>
      </c>
      <c r="Y288" s="20">
        <f t="shared" si="154"/>
        <v>78.8571428571429</v>
      </c>
    </row>
    <row r="289" ht="15.6" hidden="1" outlineLevel="2" spans="1:25">
      <c r="A289" s="12">
        <v>214</v>
      </c>
      <c r="B289" s="12">
        <v>49</v>
      </c>
      <c r="C289" s="6" t="s">
        <v>780</v>
      </c>
      <c r="D289" s="6" t="s">
        <v>53</v>
      </c>
      <c r="E289" s="12">
        <v>13</v>
      </c>
      <c r="F289" s="11">
        <f>LOOKUP(E289,{0,1,1.8,2.6,3.4,4.2,5,6.3,7.6,8.9,10.2,11.5,12.8,14.1,15.4,16.7,18,19.7,21.4,23.1,24.8},{0,10,20,30,40,50,60,62,64,66,68,70,72,74,76,78,80,85,90,95,100})</f>
        <v>72</v>
      </c>
      <c r="G289" s="12">
        <v>187</v>
      </c>
      <c r="H289" s="11">
        <f>LOOKUP(G289,{0,124,129,134,139,144,149,152,155,158,161,164,167,170,173,176,179,186,193,199,205},{0,10,20,30,40,50,60,62,64,66,68,70,72,74,76,78,80,85,90,95,100})</f>
        <v>85</v>
      </c>
      <c r="I289" s="12">
        <v>57</v>
      </c>
      <c r="J289" s="11">
        <f>LOOKUP(I289,{0,14,16,18,20,22,24,26,28,30,32,34,36,38,40,42,44,47,50,52,54},{0,10,20,30,40,50,60,62,64,66,68,70,72,74,76,78,80,85,90,95,100})</f>
        <v>100</v>
      </c>
      <c r="K289" s="12">
        <f t="shared" si="155"/>
        <v>3</v>
      </c>
      <c r="L289" s="11">
        <f>LOOKUP(K289,{0,2,4,6,7,8,9,10,11,12,13},{0,1,2,3,4,5,6,7,8,9,10})</f>
        <v>1</v>
      </c>
      <c r="M289" s="12">
        <f t="shared" si="149"/>
        <v>101</v>
      </c>
      <c r="N289" s="12">
        <v>8.3</v>
      </c>
      <c r="O289" s="12">
        <f t="shared" si="150"/>
        <v>3.7</v>
      </c>
      <c r="P289" s="11">
        <f>LOOKUP(O289,{0,0.5,0.7,0.9,1.1,1.3,1.5,1.7,1.9,2.1,2.3,2.5,2.7,2.9,3.1,3.3,3.5,3.8,4.1,4.2,4.3},{0,10,20,30,40,50,60,62,64,66,68,70,72,74,76,78,80,85,90,95,100})</f>
        <v>80</v>
      </c>
      <c r="Q289" s="12">
        <v>3.13</v>
      </c>
      <c r="R289" s="12">
        <f t="shared" si="151"/>
        <v>6.87</v>
      </c>
      <c r="S289" s="11">
        <f>LOOKUP(R289,{0,4.72,4.82,4.92,5.42,5.52,5.62,5.67,5.72,5.77,5.82,5.87,5.92,5.97,6.42,6.47,6.52,6.59,6.66,6.72,6.78},{0,10,20,30,40,50,60,62,64,66,68,70,72,74,76,78,80,85,90,95,100})</f>
        <v>100</v>
      </c>
      <c r="T289" s="21">
        <f t="shared" ref="T289:T294" si="156">3.22-Q289</f>
        <v>0.0900000000000003</v>
      </c>
      <c r="U289" s="11">
        <f>LOOKUP(T289,{0,0.05,0.1,0.15,0.2,0.25,0.3,0.35,0.4,0.45,0.5},{0,1,2,3,4,5,6,7,8,9,10})</f>
        <v>1</v>
      </c>
      <c r="V289" s="12">
        <f t="shared" si="152"/>
        <v>101</v>
      </c>
      <c r="W289" s="12"/>
      <c r="X289" s="20">
        <f t="shared" si="153"/>
        <v>61.7</v>
      </c>
      <c r="Y289" s="20">
        <f t="shared" si="154"/>
        <v>90.1428571428572</v>
      </c>
    </row>
    <row r="290" ht="15.6" hidden="1" outlineLevel="2" spans="1:25">
      <c r="A290" s="12">
        <v>214</v>
      </c>
      <c r="B290" s="12">
        <v>50</v>
      </c>
      <c r="C290" s="6" t="s">
        <v>781</v>
      </c>
      <c r="D290" s="6" t="s">
        <v>53</v>
      </c>
      <c r="E290" s="12">
        <v>7.7</v>
      </c>
      <c r="F290" s="11">
        <f>LOOKUP(E290,{0,1,1.8,2.6,3.4,4.2,5,6.3,7.6,8.9,10.2,11.5,12.8,14.1,15.4,16.7,18,19.7,21.4,23.1,24.8},{0,10,20,30,40,50,60,62,64,66,68,70,72,74,76,78,80,85,90,95,100})</f>
        <v>64</v>
      </c>
      <c r="G290" s="12">
        <v>166</v>
      </c>
      <c r="H290" s="11">
        <f>LOOKUP(G290,{0,124,129,134,139,144,149,152,155,158,161,164,167,170,173,176,179,186,193,199,205},{0,10,20,30,40,50,60,62,64,66,68,70,72,74,76,78,80,85,90,95,100})</f>
        <v>70</v>
      </c>
      <c r="I290" s="12">
        <v>44</v>
      </c>
      <c r="J290" s="11">
        <f>LOOKUP(I290,{0,14,16,18,20,22,24,26,28,30,32,34,36,38,40,42,44,47,50,52,54},{0,10,20,30,40,50,60,62,64,66,68,70,72,74,76,78,80,85,90,95,100})</f>
        <v>80</v>
      </c>
      <c r="K290" s="12"/>
      <c r="L290" s="12"/>
      <c r="M290" s="12">
        <f t="shared" si="149"/>
        <v>80</v>
      </c>
      <c r="N290" s="12">
        <v>8.8</v>
      </c>
      <c r="O290" s="12">
        <f t="shared" si="150"/>
        <v>3.2</v>
      </c>
      <c r="P290" s="11">
        <f>LOOKUP(O290,{0,0.5,0.7,0.9,1.1,1.3,1.5,1.7,1.9,2.1,2.3,2.5,2.7,2.9,3.1,3.3,3.5,3.8,4.1,4.2,4.3},{0,10,20,30,40,50,60,62,64,66,68,70,72,74,76,78,80,85,90,95,100})</f>
        <v>76</v>
      </c>
      <c r="Q290" s="12">
        <v>3.46</v>
      </c>
      <c r="R290" s="12">
        <f t="shared" si="151"/>
        <v>6.54</v>
      </c>
      <c r="S290" s="11">
        <f>LOOKUP(R290,{0,4.72,4.82,4.92,5.42,5.52,5.62,5.67,5.72,5.77,5.82,5.87,5.92,5.97,6.42,6.47,6.52,6.59,6.66,6.72,6.78},{0,10,20,30,40,50,60,62,64,66,68,70,72,74,76,78,80,85,90,95,100})</f>
        <v>80</v>
      </c>
      <c r="T290" s="12"/>
      <c r="U290" s="12"/>
      <c r="V290" s="12">
        <f t="shared" si="152"/>
        <v>80</v>
      </c>
      <c r="W290" s="12"/>
      <c r="X290" s="20">
        <f t="shared" si="153"/>
        <v>52.6</v>
      </c>
      <c r="Y290" s="20">
        <f t="shared" si="154"/>
        <v>75.1428571428572</v>
      </c>
    </row>
    <row r="291" ht="15.6" hidden="1" outlineLevel="2" spans="1:25">
      <c r="A291" s="12">
        <v>214</v>
      </c>
      <c r="B291" s="12">
        <v>51</v>
      </c>
      <c r="C291" s="6" t="s">
        <v>782</v>
      </c>
      <c r="D291" s="6" t="s">
        <v>53</v>
      </c>
      <c r="E291" s="12">
        <v>10</v>
      </c>
      <c r="F291" s="11">
        <f>LOOKUP(E291,{0,1,1.8,2.6,3.4,4.2,5,6.3,7.6,8.9,10.2,11.5,12.8,14.1,15.4,16.7,18,19.7,21.4,23.1,24.8},{0,10,20,30,40,50,60,62,64,66,68,70,72,74,76,78,80,85,90,95,100})</f>
        <v>66</v>
      </c>
      <c r="G291" s="12">
        <v>185</v>
      </c>
      <c r="H291" s="11">
        <f>LOOKUP(G291,{0,124,129,134,139,144,149,152,155,158,161,164,167,170,173,176,179,186,193,199,205},{0,10,20,30,40,50,60,62,64,66,68,70,72,74,76,78,80,85,90,95,100})</f>
        <v>80</v>
      </c>
      <c r="I291" s="12">
        <v>38</v>
      </c>
      <c r="J291" s="11">
        <f>LOOKUP(I291,{0,14,16,18,20,22,24,26,28,30,32,34,36,38,40,42,44,47,50,52,54},{0,10,20,30,40,50,60,62,64,66,68,70,72,74,76,78,80,85,90,95,100})</f>
        <v>74</v>
      </c>
      <c r="K291" s="12"/>
      <c r="L291" s="12"/>
      <c r="M291" s="12">
        <f t="shared" si="149"/>
        <v>74</v>
      </c>
      <c r="N291" s="12">
        <v>8.6</v>
      </c>
      <c r="O291" s="12">
        <f t="shared" si="150"/>
        <v>3.4</v>
      </c>
      <c r="P291" s="11">
        <f>LOOKUP(O291,{0,0.5,0.7,0.9,1.1,1.3,1.5,1.7,1.9,2.1,2.3,2.5,2.7,2.9,3.1,3.3,3.5,3.8,4.1,4.2,4.3},{0,10,20,30,40,50,60,62,64,66,68,70,72,74,76,78,80,85,90,95,100})</f>
        <v>78</v>
      </c>
      <c r="Q291" s="12">
        <v>3.32</v>
      </c>
      <c r="R291" s="12">
        <f t="shared" si="151"/>
        <v>6.68</v>
      </c>
      <c r="S291" s="11">
        <f>LOOKUP(R291,{0,4.72,4.82,4.92,5.42,5.52,5.62,5.67,5.72,5.77,5.82,5.87,5.92,5.97,6.42,6.47,6.52,6.59,6.66,6.72,6.78},{0,10,20,30,40,50,60,62,64,66,68,70,72,74,76,78,80,85,90,95,100})</f>
        <v>90</v>
      </c>
      <c r="T291" s="12"/>
      <c r="U291" s="12"/>
      <c r="V291" s="12">
        <f t="shared" si="152"/>
        <v>90</v>
      </c>
      <c r="W291" s="12"/>
      <c r="X291" s="20">
        <f t="shared" si="153"/>
        <v>55.6</v>
      </c>
      <c r="Y291" s="20">
        <f t="shared" si="154"/>
        <v>79.4285714285714</v>
      </c>
    </row>
    <row r="292" ht="15.6" hidden="1" outlineLevel="2" spans="1:25">
      <c r="A292" s="12">
        <v>214</v>
      </c>
      <c r="B292" s="12">
        <v>52</v>
      </c>
      <c r="C292" s="6" t="s">
        <v>783</v>
      </c>
      <c r="D292" s="6" t="s">
        <v>53</v>
      </c>
      <c r="E292" s="12">
        <v>7.9</v>
      </c>
      <c r="F292" s="11">
        <f>LOOKUP(E292,{0,1,1.8,2.6,3.4,4.2,5,6.3,7.6,8.9,10.2,11.5,12.8,14.1,15.4,16.7,18,19.7,21.4,23.1,24.8},{0,10,20,30,40,50,60,62,64,66,68,70,72,74,76,78,80,85,90,95,100})</f>
        <v>64</v>
      </c>
      <c r="G292" s="12">
        <v>206</v>
      </c>
      <c r="H292" s="11">
        <f>LOOKUP(G292,{0,124,129,134,139,144,149,152,155,158,161,164,167,170,173,176,179,186,193,199,205},{0,10,20,30,40,50,60,62,64,66,68,70,72,74,76,78,80,85,90,95,100})</f>
        <v>100</v>
      </c>
      <c r="I292" s="12">
        <v>57</v>
      </c>
      <c r="J292" s="11">
        <f>LOOKUP(I292,{0,14,16,18,20,22,24,26,28,30,32,34,36,38,40,42,44,47,50,52,54},{0,10,20,30,40,50,60,62,64,66,68,70,72,74,76,78,80,85,90,95,100})</f>
        <v>100</v>
      </c>
      <c r="K292" s="12">
        <f>I292-54</f>
        <v>3</v>
      </c>
      <c r="L292" s="11">
        <f>LOOKUP(K292,{0,2,4,6,7,8,9,10,11,12,13},{0,1,2,3,4,5,6,7,8,9,10})</f>
        <v>1</v>
      </c>
      <c r="M292" s="12">
        <f t="shared" si="149"/>
        <v>101</v>
      </c>
      <c r="N292" s="12">
        <v>8.6</v>
      </c>
      <c r="O292" s="12">
        <f t="shared" si="150"/>
        <v>3.4</v>
      </c>
      <c r="P292" s="11">
        <f>LOOKUP(O292,{0,0.5,0.7,0.9,1.1,1.3,1.5,1.7,1.9,2.1,2.3,2.5,2.7,2.9,3.1,3.3,3.5,3.8,4.1,4.2,4.3},{0,10,20,30,40,50,60,62,64,66,68,70,72,74,76,78,80,85,90,95,100})</f>
        <v>78</v>
      </c>
      <c r="Q292" s="12">
        <v>3.2</v>
      </c>
      <c r="R292" s="12">
        <f t="shared" si="151"/>
        <v>6.8</v>
      </c>
      <c r="S292" s="11">
        <f>LOOKUP(R292,{0,4.72,4.82,4.92,5.42,5.52,5.62,5.67,5.72,5.77,5.82,5.87,5.92,5.97,6.42,6.47,6.52,6.59,6.66,6.72,6.78},{0,10,20,30,40,50,60,62,64,66,68,70,72,74,76,78,80,85,90,95,100})</f>
        <v>100</v>
      </c>
      <c r="T292" s="21">
        <f t="shared" si="156"/>
        <v>0.02</v>
      </c>
      <c r="U292" s="11">
        <f>LOOKUP(T292,{0,0.05,0.1,0.15,0.2,0.25,0.3,0.35,0.4,0.45,0.5},{0,1,2,3,4,5,6,7,8,9,10})</f>
        <v>0</v>
      </c>
      <c r="V292" s="12">
        <f t="shared" si="152"/>
        <v>100</v>
      </c>
      <c r="W292" s="12"/>
      <c r="X292" s="20">
        <f t="shared" si="153"/>
        <v>62</v>
      </c>
      <c r="Y292" s="20">
        <f t="shared" si="154"/>
        <v>89.5714285714286</v>
      </c>
    </row>
    <row r="293" ht="15.6" hidden="1" outlineLevel="2" spans="1:25">
      <c r="A293" s="12">
        <v>214</v>
      </c>
      <c r="B293" s="12">
        <v>54</v>
      </c>
      <c r="C293" s="6" t="s">
        <v>786</v>
      </c>
      <c r="D293" s="6" t="s">
        <v>53</v>
      </c>
      <c r="E293" s="12">
        <v>21.5</v>
      </c>
      <c r="F293" s="11">
        <f>LOOKUP(E293,{0,1,1.8,2.6,3.4,4.2,5,6.3,7.6,8.9,10.2,11.5,12.8,14.1,15.4,16.7,18,19.7,21.4,23.1,24.8},{0,10,20,30,40,50,60,62,64,66,68,70,72,74,76,78,80,85,90,95,100})</f>
        <v>90</v>
      </c>
      <c r="G293" s="12">
        <v>171</v>
      </c>
      <c r="H293" s="11">
        <f>LOOKUP(G293,{0,124,129,134,139,144,149,152,155,158,161,164,167,170,173,176,179,186,193,199,205},{0,10,20,30,40,50,60,62,64,66,68,70,72,74,76,78,80,85,90,95,100})</f>
        <v>74</v>
      </c>
      <c r="I293" s="12">
        <v>43</v>
      </c>
      <c r="J293" s="11">
        <f>LOOKUP(I293,{0,14,16,18,20,22,24,26,28,30,32,34,36,38,40,42,44,47,50,52,54},{0,10,20,30,40,50,60,62,64,66,68,70,72,74,76,78,80,85,90,95,100})</f>
        <v>78</v>
      </c>
      <c r="K293" s="12"/>
      <c r="L293" s="12"/>
      <c r="M293" s="12">
        <f t="shared" si="149"/>
        <v>78</v>
      </c>
      <c r="N293" s="12">
        <v>9.1</v>
      </c>
      <c r="O293" s="12">
        <f t="shared" si="150"/>
        <v>2.9</v>
      </c>
      <c r="P293" s="11">
        <f>LOOKUP(O293,{0,0.5,0.7,0.9,1.1,1.3,1.5,1.7,1.9,2.1,2.3,2.5,2.7,2.9,3.1,3.3,3.5,3.8,4.1,4.2,4.3},{0,10,20,30,40,50,60,62,64,66,68,70,72,74,76,78,80,85,90,95,100})</f>
        <v>74</v>
      </c>
      <c r="Q293" s="12">
        <v>3.46</v>
      </c>
      <c r="R293" s="12">
        <f t="shared" si="151"/>
        <v>6.54</v>
      </c>
      <c r="S293" s="11">
        <f>LOOKUP(R293,{0,4.72,4.82,4.92,5.42,5.52,5.62,5.67,5.72,5.77,5.82,5.87,5.92,5.97,6.42,6.47,6.52,6.59,6.66,6.72,6.78},{0,10,20,30,40,50,60,62,64,66,68,70,72,74,76,78,80,85,90,95,100})</f>
        <v>80</v>
      </c>
      <c r="T293" s="12"/>
      <c r="U293" s="12"/>
      <c r="V293" s="12">
        <f t="shared" si="152"/>
        <v>80</v>
      </c>
      <c r="W293" s="12"/>
      <c r="X293" s="20">
        <f t="shared" si="153"/>
        <v>55</v>
      </c>
      <c r="Y293" s="20">
        <f t="shared" si="154"/>
        <v>78.5714285714286</v>
      </c>
    </row>
    <row r="294" ht="15.6" hidden="1" outlineLevel="2" spans="1:25">
      <c r="A294" s="12">
        <v>214</v>
      </c>
      <c r="B294" s="12">
        <v>55</v>
      </c>
      <c r="C294" s="6" t="s">
        <v>787</v>
      </c>
      <c r="D294" s="6" t="s">
        <v>53</v>
      </c>
      <c r="E294" s="12">
        <v>26.5</v>
      </c>
      <c r="F294" s="11">
        <f>LOOKUP(E294,{0,1,1.8,2.6,3.4,4.2,5,6.3,7.6,8.9,10.2,11.5,12.8,14.1,15.4,16.7,18,19.7,21.4,23.1,24.8},{0,10,20,30,40,50,60,62,64,66,68,70,72,74,76,78,80,85,90,95,100})</f>
        <v>100</v>
      </c>
      <c r="G294" s="12">
        <v>207</v>
      </c>
      <c r="H294" s="11">
        <f>LOOKUP(G294,{0,124,129,134,139,144,149,152,155,158,161,164,167,170,173,176,179,186,193,199,205},{0,10,20,30,40,50,60,62,64,66,68,70,72,74,76,78,80,85,90,95,100})</f>
        <v>100</v>
      </c>
      <c r="I294" s="12">
        <v>55</v>
      </c>
      <c r="J294" s="11">
        <f>LOOKUP(I294,{0,14,16,18,20,22,24,26,28,30,32,34,36,38,40,42,44,47,50,52,54},{0,10,20,30,40,50,60,62,64,66,68,70,72,74,76,78,80,85,90,95,100})</f>
        <v>100</v>
      </c>
      <c r="K294" s="12">
        <f>I294-54</f>
        <v>1</v>
      </c>
      <c r="L294" s="11">
        <f>LOOKUP(K294,{0,2,4,6,7,8,9,10,11,12,13},{0,1,2,3,4,5,6,7,8,9,10})</f>
        <v>0</v>
      </c>
      <c r="M294" s="12">
        <f t="shared" si="149"/>
        <v>100</v>
      </c>
      <c r="N294" s="12">
        <v>8.5</v>
      </c>
      <c r="O294" s="12">
        <f t="shared" si="150"/>
        <v>3.5</v>
      </c>
      <c r="P294" s="11">
        <f>LOOKUP(O294,{0,0.5,0.7,0.9,1.1,1.3,1.5,1.7,1.9,2.1,2.3,2.5,2.7,2.9,3.1,3.3,3.5,3.8,4.1,4.2,4.3},{0,10,20,30,40,50,60,62,64,66,68,70,72,74,76,78,80,85,90,95,100})</f>
        <v>80</v>
      </c>
      <c r="Q294" s="12">
        <v>3.17</v>
      </c>
      <c r="R294" s="12">
        <f t="shared" si="151"/>
        <v>6.83</v>
      </c>
      <c r="S294" s="11">
        <f>LOOKUP(R294,{0,4.72,4.82,4.92,5.42,5.52,5.62,5.67,5.72,5.77,5.82,5.87,5.92,5.97,6.42,6.47,6.52,6.59,6.66,6.72,6.78},{0,10,20,30,40,50,60,62,64,66,68,70,72,74,76,78,80,85,90,95,100})</f>
        <v>100</v>
      </c>
      <c r="T294" s="21">
        <f t="shared" si="156"/>
        <v>0.0500000000000003</v>
      </c>
      <c r="U294" s="11">
        <f>LOOKUP(T294,{0,0.05,0.1,0.15,0.2,0.25,0.3,0.35,0.4,0.45,0.5},{0,1,2,3,4,5,6,7,8,9,10})</f>
        <v>1</v>
      </c>
      <c r="V294" s="12">
        <f t="shared" si="152"/>
        <v>101</v>
      </c>
      <c r="W294" s="12"/>
      <c r="X294" s="20">
        <f t="shared" si="153"/>
        <v>66</v>
      </c>
      <c r="Y294" s="20">
        <f t="shared" si="154"/>
        <v>95.2857142857143</v>
      </c>
    </row>
    <row r="295" ht="15.6" outlineLevel="1" collapsed="1" spans="1:25">
      <c r="A295" s="14" t="s">
        <v>868</v>
      </c>
      <c r="B295" s="12"/>
      <c r="C295" s="6"/>
      <c r="D295" s="6"/>
      <c r="E295" s="12"/>
      <c r="F295" s="11">
        <f>SUBTOTAL(1,F254:F294)</f>
        <v>81.8780487804878</v>
      </c>
      <c r="G295" s="12"/>
      <c r="H295" s="11">
        <f>SUBTOTAL(1,H254:H294)</f>
        <v>78</v>
      </c>
      <c r="I295" s="12"/>
      <c r="J295" s="11">
        <f>SUBTOTAL(1,J254:J294)</f>
        <v>84.2439024390244</v>
      </c>
      <c r="K295" s="12"/>
      <c r="L295" s="11"/>
      <c r="M295" s="12">
        <f>SUBTOTAL(1,M254:M294)</f>
        <v>84.4390243902439</v>
      </c>
      <c r="N295" s="12"/>
      <c r="O295" s="12"/>
      <c r="P295" s="11">
        <f>SUBTOTAL(1,P254:P294)</f>
        <v>76.1707317073171</v>
      </c>
      <c r="Q295" s="12"/>
      <c r="R295" s="12"/>
      <c r="S295" s="11">
        <f>SUBTOTAL(1,S254:S294)</f>
        <v>82.1463414634146</v>
      </c>
      <c r="T295" s="21"/>
      <c r="U295" s="11"/>
      <c r="V295" s="12">
        <f>SUBTOTAL(1,V254:V294)</f>
        <v>82.219512195122</v>
      </c>
      <c r="W295" s="12"/>
      <c r="X295" s="20">
        <f>SUBTOTAL(1,X254:X294)</f>
        <v>56.0756097560975</v>
      </c>
      <c r="Y295" s="20">
        <f>SUBTOTAL(1,Y254:Y294)</f>
        <v>80.3763066202091</v>
      </c>
    </row>
    <row r="296" ht="15.6" hidden="1" outlineLevel="2" spans="1:25">
      <c r="A296" s="12">
        <v>215</v>
      </c>
      <c r="B296" s="12">
        <v>14</v>
      </c>
      <c r="C296" s="13" t="s">
        <v>803</v>
      </c>
      <c r="D296" s="6" t="s">
        <v>53</v>
      </c>
      <c r="E296" s="12">
        <v>21.7</v>
      </c>
      <c r="F296" s="11">
        <f>LOOKUP(E296,{0,1,1.8,2.6,3.4,4.2,5,6.3,7.6,8.9,10.2,11.5,12.8,14.1,15.4,16.7,18,19.7,21.4,23.1,24.8},{0,10,20,30,40,50,60,62,64,66,68,70,72,74,76,78,80,85,90,95,100})</f>
        <v>90</v>
      </c>
      <c r="G296" s="12">
        <v>206</v>
      </c>
      <c r="H296" s="11">
        <f>LOOKUP(G296,{0,124,129,134,139,144,149,152,155,158,161,164,167,170,173,176,179,186,193,199,205},{0,10,20,30,40,50,60,62,64,66,68,70,72,74,76,78,80,85,90,95,100})</f>
        <v>100</v>
      </c>
      <c r="I296" s="12">
        <v>49</v>
      </c>
      <c r="J296" s="11">
        <f>LOOKUP(I296,{0,14,16,18,20,22,24,26,28,30,32,34,36,38,40,42,44,47,50,52,54},{0,10,20,30,40,50,60,62,64,66,68,70,72,74,76,78,80,85,90,95,100})</f>
        <v>85</v>
      </c>
      <c r="K296" s="12"/>
      <c r="L296" s="12"/>
      <c r="M296" s="12">
        <f t="shared" ref="M296:M315" si="157">J296+L296</f>
        <v>85</v>
      </c>
      <c r="N296" s="12">
        <v>8</v>
      </c>
      <c r="O296" s="12">
        <f t="shared" ref="O296:O313" si="158">12-N296</f>
        <v>4</v>
      </c>
      <c r="P296" s="11">
        <f>LOOKUP(O296,{0,0.5,0.7,0.9,1.1,1.3,1.5,1.7,1.9,2.1,2.3,2.5,2.7,2.9,3.1,3.3,3.5,3.8,4.1,4.2,4.3},{0,10,20,30,40,50,60,62,64,66,68,70,72,74,76,78,80,85,90,95,100})</f>
        <v>85</v>
      </c>
      <c r="Q296" s="12">
        <v>3.46</v>
      </c>
      <c r="R296" s="12">
        <f t="shared" ref="R296:R315" si="159">10-Q296</f>
        <v>6.54</v>
      </c>
      <c r="S296" s="11">
        <f>LOOKUP(R296,{0,4.72,4.82,4.92,5.42,5.52,5.62,5.67,5.72,5.77,5.82,5.87,5.92,5.97,6.42,6.47,6.52,6.59,6.66,6.72,6.78},{0,10,20,30,40,50,60,62,64,66,68,70,72,74,76,78,80,85,90,95,100})</f>
        <v>80</v>
      </c>
      <c r="T296" s="12"/>
      <c r="U296" s="12"/>
      <c r="V296" s="12">
        <f t="shared" ref="V296:V315" si="160">S296+U296</f>
        <v>80</v>
      </c>
      <c r="W296" s="12"/>
      <c r="X296" s="20">
        <f t="shared" ref="X296:X338" si="161">F296*0.1+H296*0.1+J296*0.1+P296*0.2+S296*0.2</f>
        <v>60.5</v>
      </c>
      <c r="Y296" s="20">
        <f t="shared" ref="Y296:Y315" si="162">X296/0.7+L296+U296</f>
        <v>86.4285714285714</v>
      </c>
    </row>
    <row r="297" ht="15.6" hidden="1" outlineLevel="2" spans="1:25">
      <c r="A297" s="12">
        <v>215</v>
      </c>
      <c r="B297" s="12">
        <v>15</v>
      </c>
      <c r="C297" s="6" t="s">
        <v>804</v>
      </c>
      <c r="D297" s="6" t="s">
        <v>53</v>
      </c>
      <c r="E297" s="12">
        <v>31.1</v>
      </c>
      <c r="F297" s="11">
        <f>LOOKUP(E297,{0,1,1.8,2.6,3.4,4.2,5,6.3,7.6,8.9,10.2,11.5,12.8,14.1,15.4,16.7,18,19.7,21.4,23.1,24.8},{0,10,20,30,40,50,60,62,64,66,68,70,72,74,76,78,80,85,90,95,100})</f>
        <v>100</v>
      </c>
      <c r="G297" s="12">
        <v>156</v>
      </c>
      <c r="H297" s="11">
        <f>LOOKUP(G297,{0,124,129,134,139,144,149,152,155,158,161,164,167,170,173,176,179,186,193,199,205},{0,10,20,30,40,50,60,62,64,66,68,70,72,74,76,78,80,85,90,95,100})</f>
        <v>64</v>
      </c>
      <c r="I297" s="12">
        <v>51</v>
      </c>
      <c r="J297" s="11">
        <f>LOOKUP(I297,{0,14,16,18,20,22,24,26,28,30,32,34,36,38,40,42,44,47,50,52,54},{0,10,20,30,40,50,60,62,64,66,68,70,72,74,76,78,80,85,90,95,100})</f>
        <v>90</v>
      </c>
      <c r="K297" s="12"/>
      <c r="L297" s="12"/>
      <c r="M297" s="12">
        <f t="shared" si="157"/>
        <v>90</v>
      </c>
      <c r="N297" s="12">
        <v>9.1</v>
      </c>
      <c r="O297" s="12">
        <f t="shared" si="158"/>
        <v>2.9</v>
      </c>
      <c r="P297" s="11">
        <f>LOOKUP(O297,{0,0.5,0.7,0.9,1.1,1.3,1.5,1.7,1.9,2.1,2.3,2.5,2.7,2.9,3.1,3.3,3.5,3.8,4.1,4.2,4.3},{0,10,20,30,40,50,60,62,64,66,68,70,72,74,76,78,80,85,90,95,100})</f>
        <v>74</v>
      </c>
      <c r="Q297" s="12">
        <v>4.23</v>
      </c>
      <c r="R297" s="12">
        <f t="shared" si="159"/>
        <v>5.77</v>
      </c>
      <c r="S297" s="11">
        <f>LOOKUP(R297,{0,4.72,4.82,4.92,5.42,5.52,5.62,5.67,5.72,5.77,5.82,5.87,5.92,5.97,6.42,6.47,6.52,6.59,6.66,6.72,6.78},{0,10,20,30,40,50,60,62,64,66,68,70,72,74,76,78,80,85,90,95,100})</f>
        <v>66</v>
      </c>
      <c r="T297" s="12"/>
      <c r="U297" s="12"/>
      <c r="V297" s="12">
        <f t="shared" si="160"/>
        <v>66</v>
      </c>
      <c r="W297" s="12"/>
      <c r="X297" s="20">
        <f t="shared" si="161"/>
        <v>53.4</v>
      </c>
      <c r="Y297" s="20">
        <f t="shared" si="162"/>
        <v>76.2857142857143</v>
      </c>
    </row>
    <row r="298" ht="15.6" hidden="1" outlineLevel="2" spans="1:25">
      <c r="A298" s="12">
        <v>215</v>
      </c>
      <c r="B298" s="12">
        <v>16</v>
      </c>
      <c r="C298" s="6" t="s">
        <v>805</v>
      </c>
      <c r="D298" s="6" t="s">
        <v>53</v>
      </c>
      <c r="E298" s="12">
        <v>17</v>
      </c>
      <c r="F298" s="11">
        <f>LOOKUP(E298,{0,1,1.8,2.6,3.4,4.2,5,6.3,7.6,8.9,10.2,11.5,12.8,14.1,15.4,16.7,18,19.7,21.4,23.1,24.8},{0,10,20,30,40,50,60,62,64,66,68,70,72,74,76,78,80,85,90,95,100})</f>
        <v>78</v>
      </c>
      <c r="G298" s="12">
        <v>148</v>
      </c>
      <c r="H298" s="11">
        <f>LOOKUP(G298,{0,124,129,134,139,144,149,152,155,158,161,164,167,170,173,176,179,186,193,199,205},{0,10,20,30,40,50,60,62,64,66,68,70,72,74,76,78,80,85,90,95,100})</f>
        <v>50</v>
      </c>
      <c r="I298" s="12">
        <v>50</v>
      </c>
      <c r="J298" s="11">
        <f>LOOKUP(I298,{0,14,16,18,20,22,24,26,28,30,32,34,36,38,40,42,44,47,50,52,54},{0,10,20,30,40,50,60,62,64,66,68,70,72,74,76,78,80,85,90,95,100})</f>
        <v>90</v>
      </c>
      <c r="K298" s="12"/>
      <c r="L298" s="12"/>
      <c r="M298" s="12">
        <f t="shared" si="157"/>
        <v>90</v>
      </c>
      <c r="N298" s="12">
        <v>10</v>
      </c>
      <c r="O298" s="12">
        <f t="shared" si="158"/>
        <v>2</v>
      </c>
      <c r="P298" s="11">
        <f>LOOKUP(O298,{0,0.5,0.7,0.9,1.1,1.3,1.5,1.7,1.9,2.1,2.3,2.5,2.7,2.9,3.1,3.3,3.5,3.8,4.1,4.2,4.3},{0,10,20,30,40,50,60,62,64,66,68,70,72,74,76,78,80,85,90,95,100})</f>
        <v>64</v>
      </c>
      <c r="Q298" s="12">
        <v>4.4</v>
      </c>
      <c r="R298" s="12">
        <f t="shared" si="159"/>
        <v>5.6</v>
      </c>
      <c r="S298" s="11">
        <f>LOOKUP(R298,{0,4.72,4.82,4.92,5.42,5.52,5.62,5.67,5.72,5.77,5.82,5.87,5.92,5.97,6.42,6.47,6.52,6.59,6.66,6.72,6.78},{0,10,20,30,40,50,60,62,64,66,68,70,72,74,76,78,80,85,90,95,100})</f>
        <v>50</v>
      </c>
      <c r="T298" s="12"/>
      <c r="U298" s="12"/>
      <c r="V298" s="12">
        <f t="shared" si="160"/>
        <v>50</v>
      </c>
      <c r="W298" s="12"/>
      <c r="X298" s="20">
        <f t="shared" si="161"/>
        <v>44.6</v>
      </c>
      <c r="Y298" s="20">
        <f t="shared" si="162"/>
        <v>63.7142857142857</v>
      </c>
    </row>
    <row r="299" ht="15.6" hidden="1" outlineLevel="2" spans="1:25">
      <c r="A299" s="12">
        <v>215</v>
      </c>
      <c r="B299" s="12">
        <v>17</v>
      </c>
      <c r="C299" s="6" t="s">
        <v>806</v>
      </c>
      <c r="D299" s="6" t="s">
        <v>53</v>
      </c>
      <c r="E299" s="12">
        <v>17.3</v>
      </c>
      <c r="F299" s="11">
        <f>LOOKUP(E299,{0,1,1.8,2.6,3.4,4.2,5,6.3,7.6,8.9,10.2,11.5,12.8,14.1,15.4,16.7,18,19.7,21.4,23.1,24.8},{0,10,20,30,40,50,60,62,64,66,68,70,72,74,76,78,80,85,90,95,100})</f>
        <v>78</v>
      </c>
      <c r="G299" s="12">
        <v>187</v>
      </c>
      <c r="H299" s="11">
        <f>LOOKUP(G299,{0,124,129,134,139,144,149,152,155,158,161,164,167,170,173,176,179,186,193,199,205},{0,10,20,30,40,50,60,62,64,66,68,70,72,74,76,78,80,85,90,95,100})</f>
        <v>85</v>
      </c>
      <c r="I299" s="12">
        <v>49</v>
      </c>
      <c r="J299" s="11">
        <f>LOOKUP(I299,{0,14,16,18,20,22,24,26,28,30,32,34,36,38,40,42,44,47,50,52,54},{0,10,20,30,40,50,60,62,64,66,68,70,72,74,76,78,80,85,90,95,100})</f>
        <v>85</v>
      </c>
      <c r="K299" s="12"/>
      <c r="L299" s="12"/>
      <c r="M299" s="12">
        <f t="shared" si="157"/>
        <v>85</v>
      </c>
      <c r="N299" s="12">
        <v>8.7</v>
      </c>
      <c r="O299" s="12">
        <f t="shared" si="158"/>
        <v>3.3</v>
      </c>
      <c r="P299" s="11">
        <f>LOOKUP(O299,{0,0.5,0.7,0.9,1.1,1.3,1.5,1.7,1.9,2.1,2.3,2.5,2.7,2.9,3.1,3.3,3.5,3.8,4.1,4.2,4.3},{0,10,20,30,40,50,60,62,64,66,68,70,72,74,76,78,80,85,90,95,100})</f>
        <v>78</v>
      </c>
      <c r="Q299" s="12">
        <v>3.43</v>
      </c>
      <c r="R299" s="12">
        <f t="shared" si="159"/>
        <v>6.57</v>
      </c>
      <c r="S299" s="11">
        <f>LOOKUP(R299,{0,4.72,4.82,4.92,5.42,5.52,5.62,5.67,5.72,5.77,5.82,5.87,5.92,5.97,6.42,6.47,6.52,6.59,6.66,6.72,6.78},{0,10,20,30,40,50,60,62,64,66,68,70,72,74,76,78,80,85,90,95,100})</f>
        <v>80</v>
      </c>
      <c r="T299" s="12"/>
      <c r="U299" s="12"/>
      <c r="V299" s="12">
        <f t="shared" si="160"/>
        <v>80</v>
      </c>
      <c r="W299" s="12"/>
      <c r="X299" s="20">
        <f t="shared" si="161"/>
        <v>56.4</v>
      </c>
      <c r="Y299" s="20">
        <f t="shared" si="162"/>
        <v>80.5714285714286</v>
      </c>
    </row>
    <row r="300" ht="15.6" hidden="1" outlineLevel="2" spans="1:25">
      <c r="A300" s="12">
        <v>215</v>
      </c>
      <c r="B300" s="12">
        <v>18</v>
      </c>
      <c r="C300" s="6" t="s">
        <v>807</v>
      </c>
      <c r="D300" s="6" t="s">
        <v>53</v>
      </c>
      <c r="E300" s="12">
        <v>19.1</v>
      </c>
      <c r="F300" s="11">
        <f>LOOKUP(E300,{0,1,1.8,2.6,3.4,4.2,5,6.3,7.6,8.9,10.2,11.5,12.8,14.1,15.4,16.7,18,19.7,21.4,23.1,24.8},{0,10,20,30,40,50,60,62,64,66,68,70,72,74,76,78,80,85,90,95,100})</f>
        <v>80</v>
      </c>
      <c r="G300" s="12">
        <v>170</v>
      </c>
      <c r="H300" s="11">
        <f>LOOKUP(G300,{0,124,129,134,139,144,149,152,155,158,161,164,167,170,173,176,179,186,193,199,205},{0,10,20,30,40,50,60,62,64,66,68,70,72,74,76,78,80,85,90,95,100})</f>
        <v>74</v>
      </c>
      <c r="I300" s="12">
        <v>47</v>
      </c>
      <c r="J300" s="11">
        <f>LOOKUP(I300,{0,14,16,18,20,22,24,26,28,30,32,34,36,38,40,42,44,47,50,52,54},{0,10,20,30,40,50,60,62,64,66,68,70,72,74,76,78,80,85,90,95,100})</f>
        <v>85</v>
      </c>
      <c r="K300" s="12"/>
      <c r="L300" s="12"/>
      <c r="M300" s="12">
        <f t="shared" si="157"/>
        <v>85</v>
      </c>
      <c r="N300" s="12">
        <v>9</v>
      </c>
      <c r="O300" s="12">
        <f t="shared" si="158"/>
        <v>3</v>
      </c>
      <c r="P300" s="11">
        <f>LOOKUP(O300,{0,0.5,0.7,0.9,1.1,1.3,1.5,1.7,1.9,2.1,2.3,2.5,2.7,2.9,3.1,3.3,3.5,3.8,4.1,4.2,4.3},{0,10,20,30,40,50,60,62,64,66,68,70,72,74,76,78,80,85,90,95,100})</f>
        <v>74</v>
      </c>
      <c r="Q300" s="12">
        <v>3.45</v>
      </c>
      <c r="R300" s="12">
        <f t="shared" si="159"/>
        <v>6.55</v>
      </c>
      <c r="S300" s="11">
        <f>LOOKUP(R300,{0,4.72,4.82,4.92,5.42,5.52,5.62,5.67,5.72,5.77,5.82,5.87,5.92,5.97,6.42,6.47,6.52,6.59,6.66,6.72,6.78},{0,10,20,30,40,50,60,62,64,66,68,70,72,74,76,78,80,85,90,95,100})</f>
        <v>80</v>
      </c>
      <c r="T300" s="12"/>
      <c r="U300" s="12"/>
      <c r="V300" s="12">
        <f t="shared" si="160"/>
        <v>80</v>
      </c>
      <c r="W300" s="12"/>
      <c r="X300" s="20">
        <f t="shared" si="161"/>
        <v>54.7</v>
      </c>
      <c r="Y300" s="20">
        <f t="shared" si="162"/>
        <v>78.1428571428572</v>
      </c>
    </row>
    <row r="301" ht="15.6" hidden="1" outlineLevel="2" spans="1:25">
      <c r="A301" s="12">
        <v>215</v>
      </c>
      <c r="B301" s="12">
        <v>19</v>
      </c>
      <c r="C301" s="6" t="s">
        <v>808</v>
      </c>
      <c r="D301" s="6" t="s">
        <v>53</v>
      </c>
      <c r="E301" s="12">
        <v>27.1</v>
      </c>
      <c r="F301" s="11">
        <f>LOOKUP(E301,{0,1,1.8,2.6,3.4,4.2,5,6.3,7.6,8.9,10.2,11.5,12.8,14.1,15.4,16.7,18,19.7,21.4,23.1,24.8},{0,10,20,30,40,50,60,62,64,66,68,70,72,74,76,78,80,85,90,95,100})</f>
        <v>100</v>
      </c>
      <c r="G301" s="12">
        <v>161</v>
      </c>
      <c r="H301" s="11">
        <f>LOOKUP(G301,{0,124,129,134,139,144,149,152,155,158,161,164,167,170,173,176,179,186,193,199,205},{0,10,20,30,40,50,60,62,64,66,68,70,72,74,76,78,80,85,90,95,100})</f>
        <v>68</v>
      </c>
      <c r="I301" s="12">
        <v>51</v>
      </c>
      <c r="J301" s="11">
        <f>LOOKUP(I301,{0,14,16,18,20,22,24,26,28,30,32,34,36,38,40,42,44,47,50,52,54},{0,10,20,30,40,50,60,62,64,66,68,70,72,74,76,78,80,85,90,95,100})</f>
        <v>90</v>
      </c>
      <c r="K301" s="12"/>
      <c r="L301" s="12"/>
      <c r="M301" s="12">
        <f t="shared" si="157"/>
        <v>90</v>
      </c>
      <c r="N301" s="12">
        <v>8.3</v>
      </c>
      <c r="O301" s="12">
        <f t="shared" si="158"/>
        <v>3.7</v>
      </c>
      <c r="P301" s="11">
        <f>LOOKUP(O301,{0,0.5,0.7,0.9,1.1,1.3,1.5,1.7,1.9,2.1,2.3,2.5,2.7,2.9,3.1,3.3,3.5,3.8,4.1,4.2,4.3},{0,10,20,30,40,50,60,62,64,66,68,70,72,74,76,78,80,85,90,95,100})</f>
        <v>80</v>
      </c>
      <c r="Q301" s="12">
        <v>3.4</v>
      </c>
      <c r="R301" s="12">
        <f t="shared" si="159"/>
        <v>6.6</v>
      </c>
      <c r="S301" s="11">
        <f>LOOKUP(R301,{0,4.72,4.82,4.92,5.42,5.52,5.62,5.67,5.72,5.77,5.82,5.87,5.92,5.97,6.42,6.47,6.52,6.59,6.66,6.72,6.78},{0,10,20,30,40,50,60,62,64,66,68,70,72,74,76,78,80,85,90,95,100})</f>
        <v>85</v>
      </c>
      <c r="T301" s="12"/>
      <c r="U301" s="12"/>
      <c r="V301" s="12">
        <f t="shared" si="160"/>
        <v>85</v>
      </c>
      <c r="W301" s="12"/>
      <c r="X301" s="20">
        <f t="shared" si="161"/>
        <v>58.8</v>
      </c>
      <c r="Y301" s="20">
        <f t="shared" si="162"/>
        <v>84</v>
      </c>
    </row>
    <row r="302" ht="15.6" hidden="1" outlineLevel="2" spans="1:25">
      <c r="A302" s="12">
        <v>215</v>
      </c>
      <c r="B302" s="12">
        <v>20</v>
      </c>
      <c r="C302" s="6" t="s">
        <v>809</v>
      </c>
      <c r="D302" s="6" t="s">
        <v>53</v>
      </c>
      <c r="E302" s="12">
        <v>19</v>
      </c>
      <c r="F302" s="11">
        <f>LOOKUP(E302,{0,1,1.8,2.6,3.4,4.2,5,6.3,7.6,8.9,10.2,11.5,12.8,14.1,15.4,16.7,18,19.7,21.4,23.1,24.8},{0,10,20,30,40,50,60,62,64,66,68,70,72,74,76,78,80,85,90,95,100})</f>
        <v>80</v>
      </c>
      <c r="G302" s="12">
        <v>165</v>
      </c>
      <c r="H302" s="11">
        <f>LOOKUP(G302,{0,124,129,134,139,144,149,152,155,158,161,164,167,170,173,176,179,186,193,199,205},{0,10,20,30,40,50,60,62,64,66,68,70,72,74,76,78,80,85,90,95,100})</f>
        <v>70</v>
      </c>
      <c r="I302" s="12">
        <v>30</v>
      </c>
      <c r="J302" s="11">
        <f>LOOKUP(I302,{0,14,16,18,20,22,24,26,28,30,32,34,36,38,40,42,44,47,50,52,54},{0,10,20,30,40,50,60,62,64,66,68,70,72,74,76,78,80,85,90,95,100})</f>
        <v>66</v>
      </c>
      <c r="K302" s="12"/>
      <c r="L302" s="12"/>
      <c r="M302" s="12">
        <f t="shared" si="157"/>
        <v>66</v>
      </c>
      <c r="N302" s="12">
        <v>9.4</v>
      </c>
      <c r="O302" s="12">
        <f t="shared" si="158"/>
        <v>2.6</v>
      </c>
      <c r="P302" s="11">
        <f>LOOKUP(O302,{0,0.5,0.7,0.9,1.1,1.3,1.5,1.7,1.9,2.1,2.3,2.5,2.7,2.9,3.1,3.3,3.5,3.8,4.1,4.2,4.3},{0,10,20,30,40,50,60,62,64,66,68,70,72,74,76,78,80,85,90,95,100})</f>
        <v>70</v>
      </c>
      <c r="Q302" s="12">
        <v>3.45</v>
      </c>
      <c r="R302" s="12">
        <f t="shared" si="159"/>
        <v>6.55</v>
      </c>
      <c r="S302" s="11">
        <f>LOOKUP(R302,{0,4.72,4.82,4.92,5.42,5.52,5.62,5.67,5.72,5.77,5.82,5.87,5.92,5.97,6.42,6.47,6.52,6.59,6.66,6.72,6.78},{0,10,20,30,40,50,60,62,64,66,68,70,72,74,76,78,80,85,90,95,100})</f>
        <v>80</v>
      </c>
      <c r="T302" s="12"/>
      <c r="U302" s="12"/>
      <c r="V302" s="12">
        <f t="shared" si="160"/>
        <v>80</v>
      </c>
      <c r="W302" s="12"/>
      <c r="X302" s="20">
        <f t="shared" si="161"/>
        <v>51.6</v>
      </c>
      <c r="Y302" s="20">
        <f t="shared" si="162"/>
        <v>73.7142857142857</v>
      </c>
    </row>
    <row r="303" ht="15.6" hidden="1" outlineLevel="2" spans="1:25">
      <c r="A303" s="12">
        <v>215</v>
      </c>
      <c r="B303" s="12">
        <v>21</v>
      </c>
      <c r="C303" s="6" t="s">
        <v>810</v>
      </c>
      <c r="D303" s="6" t="s">
        <v>53</v>
      </c>
      <c r="E303" s="12">
        <v>15.6</v>
      </c>
      <c r="F303" s="11">
        <f>LOOKUP(E303,{0,1,1.8,2.6,3.4,4.2,5,6.3,7.6,8.9,10.2,11.5,12.8,14.1,15.4,16.7,18,19.7,21.4,23.1,24.8},{0,10,20,30,40,50,60,62,64,66,68,70,72,74,76,78,80,85,90,95,100})</f>
        <v>76</v>
      </c>
      <c r="G303" s="12">
        <v>195</v>
      </c>
      <c r="H303" s="11">
        <f>LOOKUP(G303,{0,124,129,134,139,144,149,152,155,158,161,164,167,170,173,176,179,186,193,199,205},{0,10,20,30,40,50,60,62,64,66,68,70,72,74,76,78,80,85,90,95,100})</f>
        <v>90</v>
      </c>
      <c r="I303" s="12">
        <v>45</v>
      </c>
      <c r="J303" s="11">
        <f>LOOKUP(I303,{0,14,16,18,20,22,24,26,28,30,32,34,36,38,40,42,44,47,50,52,54},{0,10,20,30,40,50,60,62,64,66,68,70,72,74,76,78,80,85,90,95,100})</f>
        <v>80</v>
      </c>
      <c r="K303" s="12"/>
      <c r="L303" s="12"/>
      <c r="M303" s="12">
        <f t="shared" si="157"/>
        <v>80</v>
      </c>
      <c r="N303" s="12">
        <v>8.9</v>
      </c>
      <c r="O303" s="12">
        <f t="shared" si="158"/>
        <v>3.1</v>
      </c>
      <c r="P303" s="11">
        <f>LOOKUP(O303,{0,0.5,0.7,0.9,1.1,1.3,1.5,1.7,1.9,2.1,2.3,2.5,2.7,2.9,3.1,3.3,3.5,3.8,4.1,4.2,4.3},{0,10,20,30,40,50,60,62,64,66,68,70,72,74,76,78,80,85,90,95,100})</f>
        <v>76</v>
      </c>
      <c r="Q303" s="12">
        <v>4.35</v>
      </c>
      <c r="R303" s="12">
        <f t="shared" si="159"/>
        <v>5.65</v>
      </c>
      <c r="S303" s="11">
        <f>LOOKUP(R303,{0,4.72,4.82,4.92,5.42,5.52,5.62,5.67,5.72,5.77,5.82,5.87,5.92,5.97,6.42,6.47,6.52,6.59,6.66,6.72,6.78},{0,10,20,30,40,50,60,62,64,66,68,70,72,74,76,78,80,85,90,95,100})</f>
        <v>60</v>
      </c>
      <c r="T303" s="12"/>
      <c r="U303" s="12"/>
      <c r="V303" s="12">
        <f t="shared" si="160"/>
        <v>60</v>
      </c>
      <c r="W303" s="12"/>
      <c r="X303" s="20">
        <f t="shared" si="161"/>
        <v>51.8</v>
      </c>
      <c r="Y303" s="20">
        <f t="shared" si="162"/>
        <v>74</v>
      </c>
    </row>
    <row r="304" ht="15.6" hidden="1" outlineLevel="2" spans="1:25">
      <c r="A304" s="12">
        <v>215</v>
      </c>
      <c r="B304" s="12">
        <v>22</v>
      </c>
      <c r="C304" s="6" t="s">
        <v>811</v>
      </c>
      <c r="D304" s="6" t="s">
        <v>53</v>
      </c>
      <c r="E304" s="12">
        <v>15.5</v>
      </c>
      <c r="F304" s="11">
        <f>LOOKUP(E304,{0,1,1.8,2.6,3.4,4.2,5,6.3,7.6,8.9,10.2,11.5,12.8,14.1,15.4,16.7,18,19.7,21.4,23.1,24.8},{0,10,20,30,40,50,60,62,64,66,68,70,72,74,76,78,80,85,90,95,100})</f>
        <v>76</v>
      </c>
      <c r="G304" s="12">
        <v>144</v>
      </c>
      <c r="H304" s="11">
        <f>LOOKUP(G304,{0,124,129,134,139,144,149,152,155,158,161,164,167,170,173,176,179,186,193,199,205},{0,10,20,30,40,50,60,62,64,66,68,70,72,74,76,78,80,85,90,95,100})</f>
        <v>50</v>
      </c>
      <c r="I304" s="12">
        <v>46</v>
      </c>
      <c r="J304" s="11">
        <f>LOOKUP(I304,{0,14,16,18,20,22,24,26,28,30,32,34,36,38,40,42,44,47,50,52,54},{0,10,20,30,40,50,60,62,64,66,68,70,72,74,76,78,80,85,90,95,100})</f>
        <v>80</v>
      </c>
      <c r="K304" s="12"/>
      <c r="L304" s="12"/>
      <c r="M304" s="12">
        <f t="shared" si="157"/>
        <v>80</v>
      </c>
      <c r="N304" s="12">
        <v>9.6</v>
      </c>
      <c r="O304" s="12">
        <f t="shared" si="158"/>
        <v>2.4</v>
      </c>
      <c r="P304" s="11">
        <f>LOOKUP(O304,{0,0.5,0.7,0.9,1.1,1.3,1.5,1.7,1.9,2.1,2.3,2.5,2.7,2.9,3.1,3.3,3.5,3.8,4.1,4.2,4.3},{0,10,20,30,40,50,60,62,64,66,68,70,72,74,76,78,80,85,90,95,100})</f>
        <v>68</v>
      </c>
      <c r="Q304" s="12">
        <v>4.42</v>
      </c>
      <c r="R304" s="12">
        <f t="shared" si="159"/>
        <v>5.58</v>
      </c>
      <c r="S304" s="11">
        <f>LOOKUP(R304,{0,4.72,4.82,4.92,5.42,5.52,5.62,5.67,5.72,5.77,5.82,5.87,5.92,5.97,6.42,6.47,6.52,6.59,6.66,6.72,6.78},{0,10,20,30,40,50,60,62,64,66,68,70,72,74,76,78,80,85,90,95,100})</f>
        <v>50</v>
      </c>
      <c r="T304" s="12"/>
      <c r="U304" s="12"/>
      <c r="V304" s="12">
        <f t="shared" si="160"/>
        <v>50</v>
      </c>
      <c r="W304" s="12"/>
      <c r="X304" s="20">
        <f t="shared" si="161"/>
        <v>44.2</v>
      </c>
      <c r="Y304" s="20">
        <f t="shared" si="162"/>
        <v>63.1428571428572</v>
      </c>
    </row>
    <row r="305" ht="15.6" hidden="1" outlineLevel="2" spans="1:25">
      <c r="A305" s="12">
        <v>215</v>
      </c>
      <c r="B305" s="12">
        <v>23</v>
      </c>
      <c r="C305" s="6" t="s">
        <v>812</v>
      </c>
      <c r="D305" s="6" t="s">
        <v>53</v>
      </c>
      <c r="E305" s="12">
        <v>28.8</v>
      </c>
      <c r="F305" s="11">
        <f>LOOKUP(E305,{0,1,1.8,2.6,3.4,4.2,5,6.3,7.6,8.9,10.2,11.5,12.8,14.1,15.4,16.7,18,19.7,21.4,23.1,24.8},{0,10,20,30,40,50,60,62,64,66,68,70,72,74,76,78,80,85,90,95,100})</f>
        <v>100</v>
      </c>
      <c r="G305" s="12">
        <v>178</v>
      </c>
      <c r="H305" s="11">
        <f>LOOKUP(G305,{0,124,129,134,139,144,149,152,155,158,161,164,167,170,173,176,179,186,193,199,205},{0,10,20,30,40,50,60,62,64,66,68,70,72,74,76,78,80,85,90,95,100})</f>
        <v>78</v>
      </c>
      <c r="I305" s="12">
        <v>44</v>
      </c>
      <c r="J305" s="11">
        <f>LOOKUP(I305,{0,14,16,18,20,22,24,26,28,30,32,34,36,38,40,42,44,47,50,52,54},{0,10,20,30,40,50,60,62,64,66,68,70,72,74,76,78,80,85,90,95,100})</f>
        <v>80</v>
      </c>
      <c r="K305" s="12"/>
      <c r="L305" s="12"/>
      <c r="M305" s="12">
        <f t="shared" si="157"/>
        <v>80</v>
      </c>
      <c r="N305" s="12">
        <v>9</v>
      </c>
      <c r="O305" s="12">
        <f t="shared" si="158"/>
        <v>3</v>
      </c>
      <c r="P305" s="11">
        <f>LOOKUP(O305,{0,0.5,0.7,0.9,1.1,1.3,1.5,1.7,1.9,2.1,2.3,2.5,2.7,2.9,3.1,3.3,3.5,3.8,4.1,4.2,4.3},{0,10,20,30,40,50,60,62,64,66,68,70,72,74,76,78,80,85,90,95,100})</f>
        <v>74</v>
      </c>
      <c r="Q305" s="12">
        <v>4.4</v>
      </c>
      <c r="R305" s="12">
        <f t="shared" si="159"/>
        <v>5.6</v>
      </c>
      <c r="S305" s="11">
        <f>LOOKUP(R305,{0,4.72,4.82,4.92,5.42,5.52,5.62,5.67,5.72,5.77,5.82,5.87,5.92,5.97,6.42,6.47,6.52,6.59,6.66,6.72,6.78},{0,10,20,30,40,50,60,62,64,66,68,70,72,74,76,78,80,85,90,95,100})</f>
        <v>50</v>
      </c>
      <c r="T305" s="12"/>
      <c r="U305" s="12"/>
      <c r="V305" s="12">
        <f t="shared" si="160"/>
        <v>50</v>
      </c>
      <c r="W305" s="12"/>
      <c r="X305" s="20">
        <f t="shared" si="161"/>
        <v>50.6</v>
      </c>
      <c r="Y305" s="20">
        <f t="shared" si="162"/>
        <v>72.2857142857143</v>
      </c>
    </row>
    <row r="306" ht="15.6" hidden="1" outlineLevel="2" spans="1:25">
      <c r="A306" s="12">
        <v>215</v>
      </c>
      <c r="B306" s="12">
        <v>24</v>
      </c>
      <c r="C306" s="13" t="s">
        <v>814</v>
      </c>
      <c r="D306" s="6" t="s">
        <v>53</v>
      </c>
      <c r="E306" s="12">
        <v>16</v>
      </c>
      <c r="F306" s="11">
        <f>LOOKUP(E306,{0,1,1.8,2.6,3.4,4.2,5,6.3,7.6,8.9,10.2,11.5,12.8,14.1,15.4,16.7,18,19.7,21.4,23.1,24.8},{0,10,20,30,40,50,60,62,64,66,68,70,72,74,76,78,80,85,90,95,100})</f>
        <v>76</v>
      </c>
      <c r="G306" s="12">
        <v>170</v>
      </c>
      <c r="H306" s="11">
        <f>LOOKUP(G306,{0,124,129,134,139,144,149,152,155,158,161,164,167,170,173,176,179,186,193,199,205},{0,10,20,30,40,50,60,62,64,66,68,70,72,74,76,78,80,85,90,95,100})</f>
        <v>74</v>
      </c>
      <c r="I306" s="12">
        <v>43</v>
      </c>
      <c r="J306" s="11">
        <f>LOOKUP(I306,{0,14,16,18,20,22,24,26,28,30,32,34,36,38,40,42,44,47,50,52,54},{0,10,20,30,40,50,60,62,64,66,68,70,72,74,76,78,80,85,90,95,100})</f>
        <v>78</v>
      </c>
      <c r="K306" s="12"/>
      <c r="L306" s="12"/>
      <c r="M306" s="12">
        <f t="shared" si="157"/>
        <v>78</v>
      </c>
      <c r="N306" s="12">
        <v>9.5</v>
      </c>
      <c r="O306" s="12">
        <f t="shared" si="158"/>
        <v>2.5</v>
      </c>
      <c r="P306" s="11">
        <f>LOOKUP(O306,{0,0.5,0.7,0.9,1.1,1.3,1.5,1.7,1.9,2.1,2.3,2.5,2.7,2.9,3.1,3.3,3.5,3.8,4.1,4.2,4.3},{0,10,20,30,40,50,60,62,64,66,68,70,72,74,76,78,80,85,90,95,100})</f>
        <v>70</v>
      </c>
      <c r="Q306" s="12">
        <v>3.42</v>
      </c>
      <c r="R306" s="12">
        <f t="shared" si="159"/>
        <v>6.58</v>
      </c>
      <c r="S306" s="11">
        <f>LOOKUP(R306,{0,4.72,4.82,4.92,5.42,5.52,5.62,5.67,5.72,5.77,5.82,5.87,5.92,5.97,6.42,6.47,6.52,6.59,6.66,6.72,6.78},{0,10,20,30,40,50,60,62,64,66,68,70,72,74,76,78,80,85,90,95,100})</f>
        <v>80</v>
      </c>
      <c r="T306" s="12"/>
      <c r="U306" s="12"/>
      <c r="V306" s="12">
        <f t="shared" si="160"/>
        <v>80</v>
      </c>
      <c r="W306" s="12"/>
      <c r="X306" s="20">
        <f t="shared" si="161"/>
        <v>52.8</v>
      </c>
      <c r="Y306" s="20">
        <f t="shared" si="162"/>
        <v>75.4285714285714</v>
      </c>
    </row>
    <row r="307" s="1" customFormat="1" ht="15.6" hidden="1" outlineLevel="2" spans="1:25">
      <c r="A307" s="12">
        <v>215</v>
      </c>
      <c r="B307" s="12">
        <v>25</v>
      </c>
      <c r="C307" s="6" t="s">
        <v>815</v>
      </c>
      <c r="D307" s="6" t="s">
        <v>53</v>
      </c>
      <c r="E307" s="12">
        <v>18</v>
      </c>
      <c r="F307" s="11">
        <f>LOOKUP(E307,{0,1,1.8,2.6,3.4,4.2,5,6.3,7.6,8.9,10.2,11.5,12.8,14.1,15.4,16.7,18,19.7,21.4,23.1,24.8},{0,10,20,30,40,50,60,62,64,66,68,70,72,74,76,78,80,85,90,95,100})</f>
        <v>80</v>
      </c>
      <c r="G307" s="12">
        <v>172</v>
      </c>
      <c r="H307" s="11">
        <f>LOOKUP(G307,{0,124,129,134,139,144,149,152,155,158,161,164,167,170,173,176,179,186,193,199,205},{0,10,20,30,40,50,60,62,64,66,68,70,72,74,76,78,80,85,90,95,100})</f>
        <v>74</v>
      </c>
      <c r="I307" s="12">
        <v>52</v>
      </c>
      <c r="J307" s="11">
        <f>LOOKUP(I307,{0,14,16,18,20,22,24,26,28,30,32,34,36,38,40,42,44,47,50,52,54},{0,10,20,30,40,50,60,62,64,66,68,70,72,74,76,78,80,85,90,95,100})</f>
        <v>95</v>
      </c>
      <c r="K307" s="12"/>
      <c r="L307" s="12"/>
      <c r="M307" s="12">
        <f t="shared" si="157"/>
        <v>95</v>
      </c>
      <c r="N307" s="12">
        <v>8.9</v>
      </c>
      <c r="O307" s="12">
        <f t="shared" si="158"/>
        <v>3.1</v>
      </c>
      <c r="P307" s="11">
        <f>LOOKUP(O307,{0,0.5,0.7,0.9,1.1,1.3,1.5,1.7,1.9,2.1,2.3,2.5,2.7,2.9,3.1,3.3,3.5,3.8,4.1,4.2,4.3},{0,10,20,30,40,50,60,62,64,66,68,70,72,74,76,78,80,85,90,95,100})</f>
        <v>76</v>
      </c>
      <c r="Q307" s="12">
        <v>3.38</v>
      </c>
      <c r="R307" s="12">
        <f t="shared" si="159"/>
        <v>6.62</v>
      </c>
      <c r="S307" s="11">
        <f>LOOKUP(R307,{0,4.72,4.82,4.92,5.42,5.52,5.62,5.67,5.72,5.77,5.82,5.87,5.92,5.97,6.42,6.47,6.52,6.59,6.66,6.72,6.78},{0,10,20,30,40,50,60,62,64,66,68,70,72,74,76,78,80,85,90,95,100})</f>
        <v>85</v>
      </c>
      <c r="T307" s="12"/>
      <c r="U307" s="12"/>
      <c r="V307" s="12">
        <f t="shared" si="160"/>
        <v>85</v>
      </c>
      <c r="W307" s="12"/>
      <c r="X307" s="20">
        <f t="shared" si="161"/>
        <v>57.1</v>
      </c>
      <c r="Y307" s="20">
        <f t="shared" si="162"/>
        <v>81.5714285714286</v>
      </c>
    </row>
    <row r="308" ht="15.6" hidden="1" outlineLevel="2" spans="1:25">
      <c r="A308" s="12">
        <v>215</v>
      </c>
      <c r="B308" s="12">
        <v>26</v>
      </c>
      <c r="C308" s="6" t="s">
        <v>816</v>
      </c>
      <c r="D308" s="6" t="s">
        <v>53</v>
      </c>
      <c r="E308" s="12">
        <v>26</v>
      </c>
      <c r="F308" s="11">
        <f>LOOKUP(E308,{0,1,1.8,2.6,3.4,4.2,5,6.3,7.6,8.9,10.2,11.5,12.8,14.1,15.4,16.7,18,19.7,21.4,23.1,24.8},{0,10,20,30,40,50,60,62,64,66,68,70,72,74,76,78,80,85,90,95,100})</f>
        <v>100</v>
      </c>
      <c r="G308" s="12">
        <v>194</v>
      </c>
      <c r="H308" s="11">
        <f>LOOKUP(G308,{0,124,129,134,139,144,149,152,155,158,161,164,167,170,173,176,179,186,193,199,205},{0,10,20,30,40,50,60,62,64,66,68,70,72,74,76,78,80,85,90,95,100})</f>
        <v>90</v>
      </c>
      <c r="I308" s="12">
        <v>50</v>
      </c>
      <c r="J308" s="11">
        <f>LOOKUP(I308,{0,14,16,18,20,22,24,26,28,30,32,34,36,38,40,42,44,47,50,52,54},{0,10,20,30,40,50,60,62,64,66,68,70,72,74,76,78,80,85,90,95,100})</f>
        <v>90</v>
      </c>
      <c r="K308" s="12"/>
      <c r="L308" s="12"/>
      <c r="M308" s="12">
        <f t="shared" si="157"/>
        <v>90</v>
      </c>
      <c r="N308" s="12">
        <v>9</v>
      </c>
      <c r="O308" s="12">
        <f t="shared" si="158"/>
        <v>3</v>
      </c>
      <c r="P308" s="11">
        <f>LOOKUP(O308,{0,0.5,0.7,0.9,1.1,1.3,1.5,1.7,1.9,2.1,2.3,2.5,2.7,2.9,3.1,3.3,3.5,3.8,4.1,4.2,4.3},{0,10,20,30,40,50,60,62,64,66,68,70,72,74,76,78,80,85,90,95,100})</f>
        <v>74</v>
      </c>
      <c r="Q308" s="12">
        <v>3.46</v>
      </c>
      <c r="R308" s="12">
        <f t="shared" si="159"/>
        <v>6.54</v>
      </c>
      <c r="S308" s="11">
        <f>LOOKUP(R308,{0,4.72,4.82,4.92,5.42,5.52,5.62,5.67,5.72,5.77,5.82,5.87,5.92,5.97,6.42,6.47,6.52,6.59,6.66,6.72,6.78},{0,10,20,30,40,50,60,62,64,66,68,70,72,74,76,78,80,85,90,95,100})</f>
        <v>80</v>
      </c>
      <c r="T308" s="12"/>
      <c r="U308" s="12"/>
      <c r="V308" s="12">
        <f t="shared" si="160"/>
        <v>80</v>
      </c>
      <c r="W308" s="12"/>
      <c r="X308" s="20">
        <f t="shared" si="161"/>
        <v>58.8</v>
      </c>
      <c r="Y308" s="20">
        <f t="shared" si="162"/>
        <v>84</v>
      </c>
    </row>
    <row r="309" ht="15.6" hidden="1" outlineLevel="2" spans="1:25">
      <c r="A309" s="12">
        <v>215</v>
      </c>
      <c r="B309" s="12">
        <v>27</v>
      </c>
      <c r="C309" s="6" t="s">
        <v>817</v>
      </c>
      <c r="D309" s="6" t="s">
        <v>53</v>
      </c>
      <c r="E309" s="12">
        <v>16</v>
      </c>
      <c r="F309" s="11">
        <f>LOOKUP(E309,{0,1,1.8,2.6,3.4,4.2,5,6.3,7.6,8.9,10.2,11.5,12.8,14.1,15.4,16.7,18,19.7,21.4,23.1,24.8},{0,10,20,30,40,50,60,62,64,66,68,70,72,74,76,78,80,85,90,95,100})</f>
        <v>76</v>
      </c>
      <c r="G309" s="12">
        <v>205</v>
      </c>
      <c r="H309" s="11">
        <f>LOOKUP(G309,{0,124,129,134,139,144,149,152,155,158,161,164,167,170,173,176,179,186,193,199,205},{0,10,20,30,40,50,60,62,64,66,68,70,72,74,76,78,80,85,90,95,100})</f>
        <v>100</v>
      </c>
      <c r="I309" s="12">
        <v>40</v>
      </c>
      <c r="J309" s="11">
        <f>LOOKUP(I309,{0,14,16,18,20,22,24,26,28,30,32,34,36,38,40,42,44,47,50,52,54},{0,10,20,30,40,50,60,62,64,66,68,70,72,74,76,78,80,85,90,95,100})</f>
        <v>76</v>
      </c>
      <c r="K309" s="12"/>
      <c r="L309" s="12"/>
      <c r="M309" s="12">
        <f t="shared" si="157"/>
        <v>76</v>
      </c>
      <c r="N309" s="12">
        <v>8.2</v>
      </c>
      <c r="O309" s="12">
        <f t="shared" si="158"/>
        <v>3.8</v>
      </c>
      <c r="P309" s="11">
        <f>LOOKUP(O309,{0,0.5,0.7,0.9,1.1,1.3,1.5,1.7,1.9,2.1,2.3,2.5,2.7,2.9,3.1,3.3,3.5,3.8,4.1,4.2,4.3},{0,10,20,30,40,50,60,62,64,66,68,70,72,74,76,78,80,85,90,95,100})</f>
        <v>85</v>
      </c>
      <c r="Q309" s="12">
        <v>3.44</v>
      </c>
      <c r="R309" s="12">
        <f t="shared" si="159"/>
        <v>6.56</v>
      </c>
      <c r="S309" s="11">
        <f>LOOKUP(R309,{0,4.72,4.82,4.92,5.42,5.52,5.62,5.67,5.72,5.77,5.82,5.87,5.92,5.97,6.42,6.47,6.52,6.59,6.66,6.72,6.78},{0,10,20,30,40,50,60,62,64,66,68,70,72,74,76,78,80,85,90,95,100})</f>
        <v>80</v>
      </c>
      <c r="T309" s="12"/>
      <c r="U309" s="12"/>
      <c r="V309" s="12">
        <f t="shared" si="160"/>
        <v>80</v>
      </c>
      <c r="W309" s="12"/>
      <c r="X309" s="20">
        <f t="shared" si="161"/>
        <v>58.2</v>
      </c>
      <c r="Y309" s="20">
        <f t="shared" si="162"/>
        <v>83.1428571428572</v>
      </c>
    </row>
    <row r="310" ht="15.6" hidden="1" outlineLevel="2" spans="1:25">
      <c r="A310" s="12">
        <v>215</v>
      </c>
      <c r="B310" s="12">
        <v>28</v>
      </c>
      <c r="C310" s="6" t="s">
        <v>818</v>
      </c>
      <c r="D310" s="6" t="s">
        <v>53</v>
      </c>
      <c r="E310" s="12">
        <v>14</v>
      </c>
      <c r="F310" s="11">
        <f>LOOKUP(E310,{0,1,1.8,2.6,3.4,4.2,5,6.3,7.6,8.9,10.2,11.5,12.8,14.1,15.4,16.7,18,19.7,21.4,23.1,24.8},{0,10,20,30,40,50,60,62,64,66,68,70,72,74,76,78,80,85,90,95,100})</f>
        <v>72</v>
      </c>
      <c r="G310" s="12">
        <v>180</v>
      </c>
      <c r="H310" s="11">
        <f>LOOKUP(G310,{0,124,129,134,139,144,149,152,155,158,161,164,167,170,173,176,179,186,193,199,205},{0,10,20,30,40,50,60,62,64,66,68,70,72,74,76,78,80,85,90,95,100})</f>
        <v>80</v>
      </c>
      <c r="I310" s="12">
        <v>51</v>
      </c>
      <c r="J310" s="11">
        <f>LOOKUP(I310,{0,14,16,18,20,22,24,26,28,30,32,34,36,38,40,42,44,47,50,52,54},{0,10,20,30,40,50,60,62,64,66,68,70,72,74,76,78,80,85,90,95,100})</f>
        <v>90</v>
      </c>
      <c r="K310" s="12"/>
      <c r="L310" s="12"/>
      <c r="M310" s="12">
        <f t="shared" si="157"/>
        <v>90</v>
      </c>
      <c r="N310" s="12">
        <v>8.3</v>
      </c>
      <c r="O310" s="12">
        <f t="shared" si="158"/>
        <v>3.7</v>
      </c>
      <c r="P310" s="11">
        <f>LOOKUP(O310,{0,0.5,0.7,0.9,1.1,1.3,1.5,1.7,1.9,2.1,2.3,2.5,2.7,2.9,3.1,3.3,3.5,3.8,4.1,4.2,4.3},{0,10,20,30,40,50,60,62,64,66,68,70,72,74,76,78,80,85,90,95,100})</f>
        <v>80</v>
      </c>
      <c r="Q310" s="12">
        <v>3.41</v>
      </c>
      <c r="R310" s="12">
        <f t="shared" si="159"/>
        <v>6.59</v>
      </c>
      <c r="S310" s="11">
        <f>LOOKUP(R310,{0,4.72,4.82,4.92,5.42,5.52,5.62,5.67,5.72,5.77,5.82,5.87,5.92,5.97,6.42,6.47,6.52,6.59,6.66,6.72,6.78},{0,10,20,30,40,50,60,62,64,66,68,70,72,74,76,78,80,85,90,95,100})</f>
        <v>85</v>
      </c>
      <c r="T310" s="12"/>
      <c r="U310" s="12"/>
      <c r="V310" s="12">
        <f t="shared" si="160"/>
        <v>85</v>
      </c>
      <c r="W310" s="12"/>
      <c r="X310" s="20">
        <f t="shared" si="161"/>
        <v>57.2</v>
      </c>
      <c r="Y310" s="20">
        <f t="shared" si="162"/>
        <v>81.7142857142857</v>
      </c>
    </row>
    <row r="311" ht="15.6" hidden="1" outlineLevel="2" spans="1:25">
      <c r="A311" s="12">
        <v>215</v>
      </c>
      <c r="B311" s="12">
        <v>29</v>
      </c>
      <c r="C311" s="6" t="s">
        <v>819</v>
      </c>
      <c r="D311" s="6" t="s">
        <v>53</v>
      </c>
      <c r="E311" s="12">
        <v>26</v>
      </c>
      <c r="F311" s="11">
        <f>LOOKUP(E311,{0,1,1.8,2.6,3.4,4.2,5,6.3,7.6,8.9,10.2,11.5,12.8,14.1,15.4,16.7,18,19.7,21.4,23.1,24.8},{0,10,20,30,40,50,60,62,64,66,68,70,72,74,76,78,80,85,90,95,100})</f>
        <v>100</v>
      </c>
      <c r="G311" s="12">
        <v>140</v>
      </c>
      <c r="H311" s="11">
        <f>LOOKUP(G311,{0,124,129,134,139,144,149,152,155,158,161,164,167,170,173,176,179,186,193,199,205},{0,10,20,30,40,50,60,62,64,66,68,70,72,74,76,78,80,85,90,95,100})</f>
        <v>40</v>
      </c>
      <c r="I311" s="12">
        <v>44</v>
      </c>
      <c r="J311" s="11">
        <f>LOOKUP(I311,{0,14,16,18,20,22,24,26,28,30,32,34,36,38,40,42,44,47,50,52,54},{0,10,20,30,40,50,60,62,64,66,68,70,72,74,76,78,80,85,90,95,100})</f>
        <v>80</v>
      </c>
      <c r="K311" s="12"/>
      <c r="L311" s="12"/>
      <c r="M311" s="12">
        <f t="shared" si="157"/>
        <v>80</v>
      </c>
      <c r="N311" s="12">
        <v>9.3</v>
      </c>
      <c r="O311" s="12">
        <f t="shared" si="158"/>
        <v>2.7</v>
      </c>
      <c r="P311" s="11">
        <f>LOOKUP(O311,{0,0.5,0.7,0.9,1.1,1.3,1.5,1.7,1.9,2.1,2.3,2.5,2.7,2.9,3.1,3.3,3.5,3.8,4.1,4.2,4.3},{0,10,20,30,40,50,60,62,64,66,68,70,72,74,76,78,80,85,90,95,100})</f>
        <v>72</v>
      </c>
      <c r="Q311" s="12">
        <v>3.39</v>
      </c>
      <c r="R311" s="12">
        <f t="shared" si="159"/>
        <v>6.61</v>
      </c>
      <c r="S311" s="11">
        <f>LOOKUP(R311,{0,4.72,4.82,4.92,5.42,5.52,5.62,5.67,5.72,5.77,5.82,5.87,5.92,5.97,6.42,6.47,6.52,6.59,6.66,6.72,6.78},{0,10,20,30,40,50,60,62,64,66,68,70,72,74,76,78,80,85,90,95,100})</f>
        <v>85</v>
      </c>
      <c r="T311" s="12"/>
      <c r="U311" s="12"/>
      <c r="V311" s="12">
        <f t="shared" si="160"/>
        <v>85</v>
      </c>
      <c r="W311" s="12"/>
      <c r="X311" s="20">
        <f t="shared" si="161"/>
        <v>53.4</v>
      </c>
      <c r="Y311" s="20">
        <f t="shared" si="162"/>
        <v>76.2857142857143</v>
      </c>
    </row>
    <row r="312" ht="15.6" hidden="1" outlineLevel="2" spans="1:25">
      <c r="A312" s="12">
        <v>215</v>
      </c>
      <c r="B312" s="12">
        <v>30</v>
      </c>
      <c r="C312" s="6" t="s">
        <v>820</v>
      </c>
      <c r="D312" s="6" t="s">
        <v>53</v>
      </c>
      <c r="E312" s="12">
        <v>17</v>
      </c>
      <c r="F312" s="11">
        <f>LOOKUP(E312,{0,1,1.8,2.6,3.4,4.2,5,6.3,7.6,8.9,10.2,11.5,12.8,14.1,15.4,16.7,18,19.7,21.4,23.1,24.8},{0,10,20,30,40,50,60,62,64,66,68,70,72,74,76,78,80,85,90,95,100})</f>
        <v>78</v>
      </c>
      <c r="G312" s="12">
        <v>173</v>
      </c>
      <c r="H312" s="11">
        <f>LOOKUP(G312,{0,124,129,134,139,144,149,152,155,158,161,164,167,170,173,176,179,186,193,199,205},{0,10,20,30,40,50,60,62,64,66,68,70,72,74,76,78,80,85,90,95,100})</f>
        <v>76</v>
      </c>
      <c r="I312" s="12">
        <v>53</v>
      </c>
      <c r="J312" s="11">
        <f>LOOKUP(I312,{0,14,16,18,20,22,24,26,28,30,32,34,36,38,40,42,44,47,50,52,54},{0,10,20,30,40,50,60,62,64,66,68,70,72,74,76,78,80,85,90,95,100})</f>
        <v>95</v>
      </c>
      <c r="K312" s="12"/>
      <c r="L312" s="12"/>
      <c r="M312" s="12">
        <f t="shared" si="157"/>
        <v>95</v>
      </c>
      <c r="N312" s="12">
        <v>8.9</v>
      </c>
      <c r="O312" s="12">
        <f t="shared" si="158"/>
        <v>3.1</v>
      </c>
      <c r="P312" s="11">
        <f>LOOKUP(O312,{0,0.5,0.7,0.9,1.1,1.3,1.5,1.7,1.9,2.1,2.3,2.5,2.7,2.9,3.1,3.3,3.5,3.8,4.1,4.2,4.3},{0,10,20,30,40,50,60,62,64,66,68,70,72,74,76,78,80,85,90,95,100})</f>
        <v>76</v>
      </c>
      <c r="Q312" s="12">
        <v>3.28</v>
      </c>
      <c r="R312" s="12">
        <f t="shared" si="159"/>
        <v>6.72</v>
      </c>
      <c r="S312" s="11">
        <f>LOOKUP(R312,{0,4.72,4.82,4.92,5.42,5.52,5.62,5.67,5.72,5.77,5.82,5.87,5.92,5.97,6.42,6.47,6.52,6.59,6.66,6.72,6.78},{0,10,20,30,40,50,60,62,64,66,68,70,72,74,76,78,80,85,90,95,100})</f>
        <v>95</v>
      </c>
      <c r="T312" s="12"/>
      <c r="U312" s="12"/>
      <c r="V312" s="12">
        <f t="shared" si="160"/>
        <v>95</v>
      </c>
      <c r="W312" s="12"/>
      <c r="X312" s="20">
        <f t="shared" si="161"/>
        <v>59.1</v>
      </c>
      <c r="Y312" s="20">
        <f t="shared" si="162"/>
        <v>84.4285714285714</v>
      </c>
    </row>
    <row r="313" ht="15.6" hidden="1" outlineLevel="2" spans="1:25">
      <c r="A313" s="12">
        <v>215</v>
      </c>
      <c r="B313" s="12">
        <v>31</v>
      </c>
      <c r="C313" s="6" t="s">
        <v>821</v>
      </c>
      <c r="D313" s="6" t="s">
        <v>53</v>
      </c>
      <c r="E313" s="12">
        <v>20</v>
      </c>
      <c r="F313" s="11">
        <f>LOOKUP(E313,{0,1,1.8,2.6,3.4,4.2,5,6.3,7.6,8.9,10.2,11.5,12.8,14.1,15.4,16.7,18,19.7,21.4,23.1,24.8},{0,10,20,30,40,50,60,62,64,66,68,70,72,74,76,78,80,85,90,95,100})</f>
        <v>85</v>
      </c>
      <c r="G313" s="12">
        <v>186</v>
      </c>
      <c r="H313" s="11">
        <f>LOOKUP(G313,{0,124,129,134,139,144,149,152,155,158,161,164,167,170,173,176,179,186,193,199,205},{0,10,20,30,40,50,60,62,64,66,68,70,72,74,76,78,80,85,90,95,100})</f>
        <v>85</v>
      </c>
      <c r="I313" s="12">
        <v>58</v>
      </c>
      <c r="J313" s="11">
        <f>LOOKUP(I313,{0,14,16,18,20,22,24,26,28,30,32,34,36,38,40,42,44,47,50,52,54},{0,10,20,30,40,50,60,62,64,66,68,70,72,74,76,78,80,85,90,95,100})</f>
        <v>100</v>
      </c>
      <c r="K313" s="12">
        <f>I313-54</f>
        <v>4</v>
      </c>
      <c r="L313" s="11">
        <f>LOOKUP(K313,{0,2,4,6,7,8,9,10,11,12,13},{0,1,2,3,4,5,6,7,8,9,10})</f>
        <v>2</v>
      </c>
      <c r="M313" s="12">
        <f t="shared" si="157"/>
        <v>102</v>
      </c>
      <c r="N313" s="12">
        <v>8.6</v>
      </c>
      <c r="O313" s="12">
        <f t="shared" si="158"/>
        <v>3.4</v>
      </c>
      <c r="P313" s="11">
        <f>LOOKUP(O313,{0,0.5,0.7,0.9,1.1,1.3,1.5,1.7,1.9,2.1,2.3,2.5,2.7,2.9,3.1,3.3,3.5,3.8,4.1,4.2,4.3},{0,10,20,30,40,50,60,62,64,66,68,70,72,74,76,78,80,85,90,95,100})</f>
        <v>78</v>
      </c>
      <c r="Q313" s="12">
        <v>3.2</v>
      </c>
      <c r="R313" s="12">
        <f t="shared" si="159"/>
        <v>6.8</v>
      </c>
      <c r="S313" s="11">
        <f>LOOKUP(R313,{0,4.72,4.82,4.92,5.42,5.52,5.62,5.67,5.72,5.77,5.82,5.87,5.92,5.97,6.42,6.47,6.52,6.59,6.66,6.72,6.78},{0,10,20,30,40,50,60,62,64,66,68,70,72,74,76,78,80,85,90,95,100})</f>
        <v>100</v>
      </c>
      <c r="T313" s="21">
        <f>3.22-Q313</f>
        <v>0.02</v>
      </c>
      <c r="U313" s="16">
        <f>LOOKUP(T313,{0,0.05,0.1,0.15,0.2,0.25,0.3,0.35,0.4,0.45,0.5},{0,1,2,3,4,5,6,7,8,9,10})</f>
        <v>0</v>
      </c>
      <c r="V313" s="12">
        <f t="shared" si="160"/>
        <v>100</v>
      </c>
      <c r="W313" s="12"/>
      <c r="X313" s="20">
        <f t="shared" si="161"/>
        <v>62.6</v>
      </c>
      <c r="Y313" s="20">
        <f t="shared" si="162"/>
        <v>91.4285714285714</v>
      </c>
    </row>
    <row r="314" ht="15.6" hidden="1" outlineLevel="2" spans="1:25">
      <c r="A314" s="12">
        <v>215</v>
      </c>
      <c r="B314" s="12">
        <v>32</v>
      </c>
      <c r="C314" s="6" t="s">
        <v>822</v>
      </c>
      <c r="D314" s="6" t="s">
        <v>53</v>
      </c>
      <c r="E314" s="12">
        <v>22.5</v>
      </c>
      <c r="F314" s="11">
        <f>LOOKUP(E314,{0,1,1.8,2.6,3.4,4.2,5,6.3,7.6,8.9,10.2,11.5,12.8,14.1,15.4,16.7,18,19.7,21.4,23.1,24.8},{0,10,20,30,40,50,60,62,64,66,68,70,72,74,76,78,80,85,90,95,100})</f>
        <v>90</v>
      </c>
      <c r="G314" s="12">
        <v>175</v>
      </c>
      <c r="H314" s="11">
        <f>LOOKUP(G314,{0,124,129,134,139,144,149,152,155,158,161,164,167,170,173,176,179,186,193,199,205},{0,10,20,30,40,50,60,62,64,66,68,70,72,74,76,78,80,85,90,95,100})</f>
        <v>76</v>
      </c>
      <c r="I314" s="12">
        <v>51</v>
      </c>
      <c r="J314" s="11">
        <f>LOOKUP(I314,{0,14,16,18,20,22,24,26,28,30,32,34,36,38,40,42,44,47,50,52,54},{0,10,20,30,40,50,60,62,64,66,68,70,72,74,76,78,80,85,90,95,100})</f>
        <v>90</v>
      </c>
      <c r="K314" s="12"/>
      <c r="L314" s="12"/>
      <c r="M314" s="12">
        <f t="shared" si="157"/>
        <v>90</v>
      </c>
      <c r="N314" s="12"/>
      <c r="O314" s="12"/>
      <c r="P314" s="11"/>
      <c r="Q314" s="12">
        <v>3.47</v>
      </c>
      <c r="R314" s="12">
        <f t="shared" si="159"/>
        <v>6.53</v>
      </c>
      <c r="S314" s="11">
        <f>LOOKUP(R314,{0,4.72,4.82,4.92,5.42,5.52,5.62,5.67,5.72,5.77,5.82,5.87,5.92,5.97,6.42,6.47,6.52,6.59,6.66,6.72,6.78},{0,10,20,30,40,50,60,62,64,66,68,70,72,74,76,78,80,85,90,95,100})</f>
        <v>80</v>
      </c>
      <c r="T314" s="12"/>
      <c r="U314" s="12"/>
      <c r="V314" s="12">
        <f t="shared" si="160"/>
        <v>80</v>
      </c>
      <c r="W314" s="12"/>
      <c r="X314" s="20">
        <f t="shared" si="161"/>
        <v>41.6</v>
      </c>
      <c r="Y314" s="20">
        <f t="shared" si="162"/>
        <v>59.4285714285714</v>
      </c>
    </row>
    <row r="315" ht="15.6" hidden="1" outlineLevel="2" spans="1:25">
      <c r="A315" s="12">
        <v>215</v>
      </c>
      <c r="B315" s="12">
        <v>33</v>
      </c>
      <c r="C315" s="6" t="s">
        <v>823</v>
      </c>
      <c r="D315" s="6" t="s">
        <v>53</v>
      </c>
      <c r="E315" s="12">
        <v>28.5</v>
      </c>
      <c r="F315" s="11">
        <f>LOOKUP(E315,{0,1,1.8,2.6,3.4,4.2,5,6.3,7.6,8.9,10.2,11.5,12.8,14.1,15.4,16.7,18,19.7,21.4,23.1,24.8},{0,10,20,30,40,50,60,62,64,66,68,70,72,74,76,78,80,85,90,95,100})</f>
        <v>100</v>
      </c>
      <c r="G315" s="12">
        <v>180</v>
      </c>
      <c r="H315" s="11">
        <f>LOOKUP(G315,{0,124,129,134,139,144,149,152,155,158,161,164,167,170,173,176,179,186,193,199,205},{0,10,20,30,40,50,60,62,64,66,68,70,72,74,76,78,80,85,90,95,100})</f>
        <v>80</v>
      </c>
      <c r="I315" s="12">
        <v>47</v>
      </c>
      <c r="J315" s="11">
        <f>LOOKUP(I315,{0,14,16,18,20,22,24,26,28,30,32,34,36,38,40,42,44,47,50,52,54},{0,10,20,30,40,50,60,62,64,66,68,70,72,74,76,78,80,85,90,95,100})</f>
        <v>85</v>
      </c>
      <c r="K315" s="12"/>
      <c r="L315" s="12"/>
      <c r="M315" s="12">
        <f t="shared" si="157"/>
        <v>85</v>
      </c>
      <c r="N315" s="12">
        <v>8</v>
      </c>
      <c r="O315" s="12">
        <f t="shared" ref="O315:O332" si="163">12-N315</f>
        <v>4</v>
      </c>
      <c r="P315" s="11">
        <f>LOOKUP(O315,{0,0.5,0.7,0.9,1.1,1.3,1.5,1.7,1.9,2.1,2.3,2.5,2.7,2.9,3.1,3.3,3.5,3.8,4.1,4.2,4.3},{0,10,20,30,40,50,60,62,64,66,68,70,72,74,76,78,80,85,90,95,100})</f>
        <v>85</v>
      </c>
      <c r="Q315" s="12">
        <v>3.23</v>
      </c>
      <c r="R315" s="12">
        <f t="shared" si="159"/>
        <v>6.77</v>
      </c>
      <c r="S315" s="11">
        <f>LOOKUP(R315,{0,4.72,4.82,4.92,5.42,5.52,5.62,5.67,5.72,5.77,5.82,5.87,5.92,5.97,6.42,6.47,6.52,6.59,6.66,6.72,6.78},{0,10,20,30,40,50,60,62,64,66,68,70,72,74,76,78,80,85,90,95,100})</f>
        <v>95</v>
      </c>
      <c r="T315" s="12"/>
      <c r="U315" s="12"/>
      <c r="V315" s="12">
        <f t="shared" si="160"/>
        <v>95</v>
      </c>
      <c r="W315" s="12"/>
      <c r="X315" s="20">
        <f t="shared" si="161"/>
        <v>62.5</v>
      </c>
      <c r="Y315" s="20">
        <f t="shared" si="162"/>
        <v>89.2857142857143</v>
      </c>
    </row>
    <row r="316" ht="15.6" hidden="1" outlineLevel="2" spans="1:25">
      <c r="A316" s="12">
        <v>215</v>
      </c>
      <c r="B316" s="12">
        <v>34</v>
      </c>
      <c r="C316" s="6" t="s">
        <v>824</v>
      </c>
      <c r="D316" s="6" t="s">
        <v>53</v>
      </c>
      <c r="E316" s="12"/>
      <c r="F316" s="11"/>
      <c r="G316" s="12"/>
      <c r="H316" s="11"/>
      <c r="I316" s="12"/>
      <c r="J316" s="11"/>
      <c r="K316" s="12"/>
      <c r="L316" s="12"/>
      <c r="M316" s="12"/>
      <c r="N316" s="12"/>
      <c r="O316" s="12"/>
      <c r="P316" s="11"/>
      <c r="Q316" s="12"/>
      <c r="R316" s="12"/>
      <c r="S316" s="11"/>
      <c r="T316" s="21"/>
      <c r="U316" s="16"/>
      <c r="V316" s="12"/>
      <c r="W316" s="12"/>
      <c r="X316" s="20">
        <f t="shared" si="161"/>
        <v>0</v>
      </c>
      <c r="Y316" s="23">
        <v>50</v>
      </c>
    </row>
    <row r="317" ht="15.6" hidden="1" outlineLevel="2" spans="1:25">
      <c r="A317" s="12">
        <v>215</v>
      </c>
      <c r="B317" s="12">
        <v>35</v>
      </c>
      <c r="C317" s="13" t="s">
        <v>192</v>
      </c>
      <c r="D317" s="6" t="s">
        <v>53</v>
      </c>
      <c r="E317" s="12">
        <v>7.5</v>
      </c>
      <c r="F317" s="11">
        <f>LOOKUP(E317,{0,1,1.8,2.6,3.4,4.2,5,6.3,7.6,8.9,10.2,11.5,12.8,14.1,15.4,16.7,18,19.7,21.4,23.1,24.8},{0,10,20,30,40,50,60,62,64,66,68,70,72,74,76,78,80,85,90,95,100})</f>
        <v>62</v>
      </c>
      <c r="G317" s="12">
        <v>165</v>
      </c>
      <c r="H317" s="11">
        <f>LOOKUP(G317,{0,124,129,134,139,144,149,152,155,158,161,164,167,170,173,176,179,186,193,199,205},{0,10,20,30,40,50,60,62,64,66,68,70,72,74,76,78,80,85,90,95,100})</f>
        <v>70</v>
      </c>
      <c r="I317" s="12">
        <v>34</v>
      </c>
      <c r="J317" s="11">
        <f>LOOKUP(I317,{0,14,16,18,20,22,24,26,28,30,32,34,36,38,40,42,44,47,50,52,54},{0,10,20,30,40,50,60,62,64,66,68,70,72,74,76,78,80,85,90,95,100})</f>
        <v>70</v>
      </c>
      <c r="K317" s="12"/>
      <c r="L317" s="12"/>
      <c r="M317" s="12">
        <f t="shared" ref="M317:M332" si="164">J317+L317</f>
        <v>70</v>
      </c>
      <c r="N317" s="12">
        <v>8.8</v>
      </c>
      <c r="O317" s="12">
        <f t="shared" si="163"/>
        <v>3.2</v>
      </c>
      <c r="P317" s="11">
        <f>LOOKUP(O317,{0,0.5,0.7,0.9,1.1,1.3,1.5,1.7,1.9,2.1,2.3,2.5,2.7,2.9,3.1,3.3,3.5,3.8,4.1,4.2,4.3},{0,10,20,30,40,50,60,62,64,66,68,70,72,74,76,78,80,85,90,95,100})</f>
        <v>76</v>
      </c>
      <c r="Q317" s="12">
        <v>3.49</v>
      </c>
      <c r="R317" s="12">
        <f t="shared" ref="R317:R332" si="165">10-Q317</f>
        <v>6.51</v>
      </c>
      <c r="S317" s="11">
        <f>LOOKUP(R317,{0,4.72,4.82,4.92,5.42,5.52,5.62,5.67,5.72,5.77,5.82,5.87,5.92,5.97,6.42,6.47,6.52,6.59,6.66,6.72,6.78},{0,10,20,30,40,50,60,62,64,66,68,70,72,74,76,78,80,85,90,95,100})</f>
        <v>78</v>
      </c>
      <c r="T317" s="12"/>
      <c r="U317" s="12"/>
      <c r="V317" s="12">
        <f t="shared" ref="V317:V332" si="166">S317+U317</f>
        <v>78</v>
      </c>
      <c r="W317" s="12"/>
      <c r="X317" s="20">
        <f t="shared" si="161"/>
        <v>51</v>
      </c>
      <c r="Y317" s="20">
        <f t="shared" ref="Y317:Y332" si="167">X317/0.7+L317+U317</f>
        <v>72.8571428571429</v>
      </c>
    </row>
    <row r="318" ht="15.6" hidden="1" outlineLevel="2" spans="1:25">
      <c r="A318" s="12">
        <v>215</v>
      </c>
      <c r="B318" s="12">
        <v>36</v>
      </c>
      <c r="C318" s="6" t="s">
        <v>826</v>
      </c>
      <c r="D318" s="6" t="s">
        <v>53</v>
      </c>
      <c r="E318" s="12">
        <v>12</v>
      </c>
      <c r="F318" s="11">
        <f>LOOKUP(E318,{0,1,1.8,2.6,3.4,4.2,5,6.3,7.6,8.9,10.2,11.5,12.8,14.1,15.4,16.7,18,19.7,21.4,23.1,24.8},{0,10,20,30,40,50,60,62,64,66,68,70,72,74,76,78,80,85,90,95,100})</f>
        <v>70</v>
      </c>
      <c r="G318" s="12">
        <v>200</v>
      </c>
      <c r="H318" s="11">
        <f>LOOKUP(G318,{0,124,129,134,139,144,149,152,155,158,161,164,167,170,173,176,179,186,193,199,205},{0,10,20,30,40,50,60,62,64,66,68,70,72,74,76,78,80,85,90,95,100})</f>
        <v>95</v>
      </c>
      <c r="I318" s="12">
        <v>44</v>
      </c>
      <c r="J318" s="11">
        <f>LOOKUP(I318,{0,14,16,18,20,22,24,26,28,30,32,34,36,38,40,42,44,47,50,52,54},{0,10,20,30,40,50,60,62,64,66,68,70,72,74,76,78,80,85,90,95,100})</f>
        <v>80</v>
      </c>
      <c r="K318" s="12"/>
      <c r="L318" s="12"/>
      <c r="M318" s="12">
        <f t="shared" si="164"/>
        <v>80</v>
      </c>
      <c r="N318" s="12">
        <v>8.2</v>
      </c>
      <c r="O318" s="12">
        <f t="shared" si="163"/>
        <v>3.8</v>
      </c>
      <c r="P318" s="11">
        <f>LOOKUP(O318,{0,0.5,0.7,0.9,1.1,1.3,1.5,1.7,1.9,2.1,2.3,2.5,2.7,2.9,3.1,3.3,3.5,3.8,4.1,4.2,4.3},{0,10,20,30,40,50,60,62,64,66,68,70,72,74,76,78,80,85,90,95,100})</f>
        <v>85</v>
      </c>
      <c r="Q318" s="12">
        <v>3.51</v>
      </c>
      <c r="R318" s="12">
        <f t="shared" si="165"/>
        <v>6.49</v>
      </c>
      <c r="S318" s="11">
        <f>LOOKUP(R318,{0,4.72,4.82,4.92,5.42,5.52,5.62,5.67,5.72,5.77,5.82,5.87,5.92,5.97,6.42,6.47,6.52,6.59,6.66,6.72,6.78},{0,10,20,30,40,50,60,62,64,66,68,70,72,74,76,78,80,85,90,95,100})</f>
        <v>78</v>
      </c>
      <c r="T318" s="12"/>
      <c r="U318" s="12"/>
      <c r="V318" s="12">
        <f t="shared" si="166"/>
        <v>78</v>
      </c>
      <c r="W318" s="12"/>
      <c r="X318" s="20">
        <f t="shared" si="161"/>
        <v>57.1</v>
      </c>
      <c r="Y318" s="20">
        <f t="shared" si="167"/>
        <v>81.5714285714286</v>
      </c>
    </row>
    <row r="319" s="1" customFormat="1" ht="15.6" hidden="1" outlineLevel="2" spans="1:25">
      <c r="A319" s="12">
        <v>215</v>
      </c>
      <c r="B319" s="12">
        <v>37</v>
      </c>
      <c r="C319" s="6" t="s">
        <v>827</v>
      </c>
      <c r="D319" s="6" t="s">
        <v>53</v>
      </c>
      <c r="E319" s="12">
        <v>19.5</v>
      </c>
      <c r="F319" s="11">
        <f>LOOKUP(E319,{0,1,1.8,2.6,3.4,4.2,5,6.3,7.6,8.9,10.2,11.5,12.8,14.1,15.4,16.7,18,19.7,21.4,23.1,24.8},{0,10,20,30,40,50,60,62,64,66,68,70,72,74,76,78,80,85,90,95,100})</f>
        <v>80</v>
      </c>
      <c r="G319" s="12">
        <v>170</v>
      </c>
      <c r="H319" s="11">
        <f>LOOKUP(G319,{0,124,129,134,139,144,149,152,155,158,161,164,167,170,173,176,179,186,193,199,205},{0,10,20,30,40,50,60,62,64,66,68,70,72,74,76,78,80,85,90,95,100})</f>
        <v>74</v>
      </c>
      <c r="I319" s="12">
        <v>48</v>
      </c>
      <c r="J319" s="11">
        <f>LOOKUP(I319,{0,14,16,18,20,22,24,26,28,30,32,34,36,38,40,42,44,47,50,52,54},{0,10,20,30,40,50,60,62,64,66,68,70,72,74,76,78,80,85,90,95,100})</f>
        <v>85</v>
      </c>
      <c r="K319" s="12"/>
      <c r="L319" s="12"/>
      <c r="M319" s="12">
        <f t="shared" si="164"/>
        <v>85</v>
      </c>
      <c r="N319" s="12">
        <v>9.1</v>
      </c>
      <c r="O319" s="12">
        <f t="shared" si="163"/>
        <v>2.9</v>
      </c>
      <c r="P319" s="11">
        <f>LOOKUP(O319,{0,0.5,0.7,0.9,1.1,1.3,1.5,1.7,1.9,2.1,2.3,2.5,2.7,2.9,3.1,3.3,3.5,3.8,4.1,4.2,4.3},{0,10,20,30,40,50,60,62,64,66,68,70,72,74,76,78,80,85,90,95,100})</f>
        <v>74</v>
      </c>
      <c r="Q319" s="12">
        <v>3.47</v>
      </c>
      <c r="R319" s="12">
        <f t="shared" si="165"/>
        <v>6.53</v>
      </c>
      <c r="S319" s="11">
        <f>LOOKUP(R319,{0,4.72,4.82,4.92,5.42,5.52,5.62,5.67,5.72,5.77,5.82,5.87,5.92,5.97,6.42,6.47,6.52,6.59,6.66,6.72,6.78},{0,10,20,30,40,50,60,62,64,66,68,70,72,74,76,78,80,85,90,95,100})</f>
        <v>80</v>
      </c>
      <c r="T319" s="12"/>
      <c r="U319" s="12"/>
      <c r="V319" s="12">
        <f t="shared" si="166"/>
        <v>80</v>
      </c>
      <c r="W319" s="12"/>
      <c r="X319" s="20">
        <f t="shared" si="161"/>
        <v>54.7</v>
      </c>
      <c r="Y319" s="20">
        <f t="shared" si="167"/>
        <v>78.1428571428572</v>
      </c>
    </row>
    <row r="320" ht="15.6" hidden="1" outlineLevel="2" spans="1:25">
      <c r="A320" s="12">
        <v>215</v>
      </c>
      <c r="B320" s="12">
        <v>38</v>
      </c>
      <c r="C320" s="6" t="s">
        <v>828</v>
      </c>
      <c r="D320" s="6" t="s">
        <v>53</v>
      </c>
      <c r="E320" s="12">
        <v>8</v>
      </c>
      <c r="F320" s="11">
        <f>LOOKUP(E320,{0,1,1.8,2.6,3.4,4.2,5,6.3,7.6,8.9,10.2,11.5,12.8,14.1,15.4,16.7,18,19.7,21.4,23.1,24.8},{0,10,20,30,40,50,60,62,64,66,68,70,72,74,76,78,80,85,90,95,100})</f>
        <v>64</v>
      </c>
      <c r="G320" s="12">
        <v>170</v>
      </c>
      <c r="H320" s="11">
        <f>LOOKUP(G320,{0,124,129,134,139,144,149,152,155,158,161,164,167,170,173,176,179,186,193,199,205},{0,10,20,30,40,50,60,62,64,66,68,70,72,74,76,78,80,85,90,95,100})</f>
        <v>74</v>
      </c>
      <c r="I320" s="12">
        <v>45</v>
      </c>
      <c r="J320" s="11">
        <f>LOOKUP(I320,{0,14,16,18,20,22,24,26,28,30,32,34,36,38,40,42,44,47,50,52,54},{0,10,20,30,40,50,60,62,64,66,68,70,72,74,76,78,80,85,90,95,100})</f>
        <v>80</v>
      </c>
      <c r="K320" s="12"/>
      <c r="L320" s="12"/>
      <c r="M320" s="12">
        <f t="shared" si="164"/>
        <v>80</v>
      </c>
      <c r="N320" s="12">
        <v>8.3</v>
      </c>
      <c r="O320" s="12">
        <f t="shared" si="163"/>
        <v>3.7</v>
      </c>
      <c r="P320" s="11">
        <f>LOOKUP(O320,{0,0.5,0.7,0.9,1.1,1.3,1.5,1.7,1.9,2.1,2.3,2.5,2.7,2.9,3.1,3.3,3.5,3.8,4.1,4.2,4.3},{0,10,20,30,40,50,60,62,64,66,68,70,72,74,76,78,80,85,90,95,100})</f>
        <v>80</v>
      </c>
      <c r="Q320" s="12">
        <v>3.59</v>
      </c>
      <c r="R320" s="12">
        <f t="shared" si="165"/>
        <v>6.41</v>
      </c>
      <c r="S320" s="11">
        <f>LOOKUP(R320,{0,4.72,4.82,4.92,5.42,5.52,5.62,5.67,5.72,5.77,5.82,5.87,5.92,5.97,6.42,6.47,6.52,6.59,6.66,6.72,6.78},{0,10,20,30,40,50,60,62,64,66,68,70,72,74,76,78,80,85,90,95,100})</f>
        <v>74</v>
      </c>
      <c r="T320" s="12"/>
      <c r="U320" s="12"/>
      <c r="V320" s="12">
        <f t="shared" si="166"/>
        <v>74</v>
      </c>
      <c r="W320" s="12"/>
      <c r="X320" s="20">
        <f t="shared" si="161"/>
        <v>52.6</v>
      </c>
      <c r="Y320" s="20">
        <f t="shared" si="167"/>
        <v>75.1428571428571</v>
      </c>
    </row>
    <row r="321" ht="15.6" hidden="1" outlineLevel="2" spans="1:25">
      <c r="A321" s="12">
        <v>215</v>
      </c>
      <c r="B321" s="12">
        <v>39</v>
      </c>
      <c r="C321" s="6" t="s">
        <v>829</v>
      </c>
      <c r="D321" s="6" t="s">
        <v>53</v>
      </c>
      <c r="E321" s="12">
        <v>10</v>
      </c>
      <c r="F321" s="11">
        <f>LOOKUP(E321,{0,1,1.8,2.6,3.4,4.2,5,6.3,7.6,8.9,10.2,11.5,12.8,14.1,15.4,16.7,18,19.7,21.4,23.1,24.8},{0,10,20,30,40,50,60,62,64,66,68,70,72,74,76,78,80,85,90,95,100})</f>
        <v>66</v>
      </c>
      <c r="G321" s="12">
        <v>169</v>
      </c>
      <c r="H321" s="11">
        <f>LOOKUP(G321,{0,124,129,134,139,144,149,152,155,158,161,164,167,170,173,176,179,186,193,199,205},{0,10,20,30,40,50,60,62,64,66,68,70,72,74,76,78,80,85,90,95,100})</f>
        <v>72</v>
      </c>
      <c r="I321" s="12">
        <v>50</v>
      </c>
      <c r="J321" s="11">
        <f>LOOKUP(I321,{0,14,16,18,20,22,24,26,28,30,32,34,36,38,40,42,44,47,50,52,54},{0,10,20,30,40,50,60,62,64,66,68,70,72,74,76,78,80,85,90,95,100})</f>
        <v>90</v>
      </c>
      <c r="K321" s="12"/>
      <c r="L321" s="12"/>
      <c r="M321" s="12">
        <f t="shared" si="164"/>
        <v>90</v>
      </c>
      <c r="N321" s="12">
        <v>8.9</v>
      </c>
      <c r="O321" s="12">
        <f t="shared" si="163"/>
        <v>3.1</v>
      </c>
      <c r="P321" s="11">
        <f>LOOKUP(O321,{0,0.5,0.7,0.9,1.1,1.3,1.5,1.7,1.9,2.1,2.3,2.5,2.7,2.9,3.1,3.3,3.5,3.8,4.1,4.2,4.3},{0,10,20,30,40,50,60,62,64,66,68,70,72,74,76,78,80,85,90,95,100})</f>
        <v>76</v>
      </c>
      <c r="Q321" s="12">
        <v>3.38</v>
      </c>
      <c r="R321" s="12">
        <f t="shared" si="165"/>
        <v>6.62</v>
      </c>
      <c r="S321" s="11">
        <f>LOOKUP(R321,{0,4.72,4.82,4.92,5.42,5.52,5.62,5.67,5.72,5.77,5.82,5.87,5.92,5.97,6.42,6.47,6.52,6.59,6.66,6.72,6.78},{0,10,20,30,40,50,60,62,64,66,68,70,72,74,76,78,80,85,90,95,100})</f>
        <v>85</v>
      </c>
      <c r="T321" s="12"/>
      <c r="U321" s="12"/>
      <c r="V321" s="12">
        <f t="shared" si="166"/>
        <v>85</v>
      </c>
      <c r="W321" s="12"/>
      <c r="X321" s="20">
        <f t="shared" si="161"/>
        <v>55</v>
      </c>
      <c r="Y321" s="20">
        <f t="shared" si="167"/>
        <v>78.5714285714286</v>
      </c>
    </row>
    <row r="322" ht="15.6" hidden="1" outlineLevel="2" spans="1:25">
      <c r="A322" s="12">
        <v>215</v>
      </c>
      <c r="B322" s="12">
        <v>40</v>
      </c>
      <c r="C322" s="6" t="s">
        <v>830</v>
      </c>
      <c r="D322" s="6" t="s">
        <v>53</v>
      </c>
      <c r="E322" s="12">
        <v>24.5</v>
      </c>
      <c r="F322" s="11">
        <f>LOOKUP(E322,{0,1,1.8,2.6,3.4,4.2,5,6.3,7.6,8.9,10.2,11.5,12.8,14.1,15.4,16.7,18,19.7,21.4,23.1,24.8},{0,10,20,30,40,50,60,62,64,66,68,70,72,74,76,78,80,85,90,95,100})</f>
        <v>95</v>
      </c>
      <c r="G322" s="12">
        <v>185</v>
      </c>
      <c r="H322" s="11">
        <f>LOOKUP(G322,{0,124,129,134,139,144,149,152,155,158,161,164,167,170,173,176,179,186,193,199,205},{0,10,20,30,40,50,60,62,64,66,68,70,72,74,76,78,80,85,90,95,100})</f>
        <v>80</v>
      </c>
      <c r="I322" s="12">
        <v>22</v>
      </c>
      <c r="J322" s="11">
        <f>LOOKUP(I322,{0,14,16,18,20,22,24,26,28,30,32,34,36,38,40,42,44,47,50,52,54},{0,10,20,30,40,50,60,62,64,66,68,70,72,74,76,78,80,85,90,95,100})</f>
        <v>50</v>
      </c>
      <c r="K322" s="12"/>
      <c r="L322" s="12"/>
      <c r="M322" s="12">
        <f t="shared" si="164"/>
        <v>50</v>
      </c>
      <c r="N322" s="12">
        <v>8</v>
      </c>
      <c r="O322" s="12">
        <f t="shared" si="163"/>
        <v>4</v>
      </c>
      <c r="P322" s="11">
        <f>LOOKUP(O322,{0,0.5,0.7,0.9,1.1,1.3,1.5,1.7,1.9,2.1,2.3,2.5,2.7,2.9,3.1,3.3,3.5,3.8,4.1,4.2,4.3},{0,10,20,30,40,50,60,62,64,66,68,70,72,74,76,78,80,85,90,95,100})</f>
        <v>85</v>
      </c>
      <c r="Q322" s="12">
        <v>3.59</v>
      </c>
      <c r="R322" s="12">
        <f t="shared" si="165"/>
        <v>6.41</v>
      </c>
      <c r="S322" s="11">
        <f>LOOKUP(R322,{0,4.72,4.82,4.92,5.42,5.52,5.62,5.67,5.72,5.77,5.82,5.87,5.92,5.97,6.42,6.47,6.52,6.59,6.66,6.72,6.78},{0,10,20,30,40,50,60,62,64,66,68,70,72,74,76,78,80,85,90,95,100})</f>
        <v>74</v>
      </c>
      <c r="T322" s="12"/>
      <c r="U322" s="12"/>
      <c r="V322" s="12">
        <f t="shared" si="166"/>
        <v>74</v>
      </c>
      <c r="W322" s="12"/>
      <c r="X322" s="20">
        <f t="shared" si="161"/>
        <v>54.3</v>
      </c>
      <c r="Y322" s="20">
        <f t="shared" si="167"/>
        <v>77.5714285714286</v>
      </c>
    </row>
    <row r="323" ht="15.6" hidden="1" outlineLevel="2" spans="1:25">
      <c r="A323" s="12">
        <v>215</v>
      </c>
      <c r="B323" s="12">
        <v>41</v>
      </c>
      <c r="C323" s="6" t="s">
        <v>831</v>
      </c>
      <c r="D323" s="6" t="s">
        <v>53</v>
      </c>
      <c r="E323" s="12">
        <v>26</v>
      </c>
      <c r="F323" s="11">
        <f>LOOKUP(E323,{0,1,1.8,2.6,3.4,4.2,5,6.3,7.6,8.9,10.2,11.5,12.8,14.1,15.4,16.7,18,19.7,21.4,23.1,24.8},{0,10,20,30,40,50,60,62,64,66,68,70,72,74,76,78,80,85,90,95,100})</f>
        <v>100</v>
      </c>
      <c r="G323" s="12">
        <v>182</v>
      </c>
      <c r="H323" s="11">
        <f>LOOKUP(G323,{0,124,129,134,139,144,149,152,155,158,161,164,167,170,173,176,179,186,193,199,205},{0,10,20,30,40,50,60,62,64,66,68,70,72,74,76,78,80,85,90,95,100})</f>
        <v>80</v>
      </c>
      <c r="I323" s="12">
        <v>40</v>
      </c>
      <c r="J323" s="11">
        <f>LOOKUP(I323,{0,14,16,18,20,22,24,26,28,30,32,34,36,38,40,42,44,47,50,52,54},{0,10,20,30,40,50,60,62,64,66,68,70,72,74,76,78,80,85,90,95,100})</f>
        <v>76</v>
      </c>
      <c r="K323" s="12"/>
      <c r="L323" s="12"/>
      <c r="M323" s="12">
        <f t="shared" si="164"/>
        <v>76</v>
      </c>
      <c r="N323" s="12">
        <v>8.6</v>
      </c>
      <c r="O323" s="12">
        <f t="shared" si="163"/>
        <v>3.4</v>
      </c>
      <c r="P323" s="11">
        <f>LOOKUP(O323,{0,0.5,0.7,0.9,1.1,1.3,1.5,1.7,1.9,2.1,2.3,2.5,2.7,2.9,3.1,3.3,3.5,3.8,4.1,4.2,4.3},{0,10,20,30,40,50,60,62,64,66,68,70,72,74,76,78,80,85,90,95,100})</f>
        <v>78</v>
      </c>
      <c r="Q323" s="12">
        <v>3.46</v>
      </c>
      <c r="R323" s="12">
        <f t="shared" si="165"/>
        <v>6.54</v>
      </c>
      <c r="S323" s="11">
        <f>LOOKUP(R323,{0,4.72,4.82,4.92,5.42,5.52,5.62,5.67,5.72,5.77,5.82,5.87,5.92,5.97,6.42,6.47,6.52,6.59,6.66,6.72,6.78},{0,10,20,30,40,50,60,62,64,66,68,70,72,74,76,78,80,85,90,95,100})</f>
        <v>80</v>
      </c>
      <c r="T323" s="12"/>
      <c r="U323" s="12"/>
      <c r="V323" s="12">
        <f t="shared" si="166"/>
        <v>80</v>
      </c>
      <c r="W323" s="12"/>
      <c r="X323" s="20">
        <f t="shared" si="161"/>
        <v>57.2</v>
      </c>
      <c r="Y323" s="20">
        <f t="shared" si="167"/>
        <v>81.7142857142857</v>
      </c>
    </row>
    <row r="324" ht="15.6" hidden="1" outlineLevel="2" spans="1:25">
      <c r="A324" s="12">
        <v>215</v>
      </c>
      <c r="B324" s="12">
        <v>42</v>
      </c>
      <c r="C324" s="6" t="s">
        <v>832</v>
      </c>
      <c r="D324" s="6" t="s">
        <v>53</v>
      </c>
      <c r="E324" s="12">
        <v>11</v>
      </c>
      <c r="F324" s="11">
        <f>LOOKUP(E324,{0,1,1.8,2.6,3.4,4.2,5,6.3,7.6,8.9,10.2,11.5,12.8,14.1,15.4,16.7,18,19.7,21.4,23.1,24.8},{0,10,20,30,40,50,60,62,64,66,68,70,72,74,76,78,80,85,90,95,100})</f>
        <v>68</v>
      </c>
      <c r="G324" s="12">
        <v>182</v>
      </c>
      <c r="H324" s="11">
        <f>LOOKUP(G324,{0,124,129,134,139,144,149,152,155,158,161,164,167,170,173,176,179,186,193,199,205},{0,10,20,30,40,50,60,62,64,66,68,70,72,74,76,78,80,85,90,95,100})</f>
        <v>80</v>
      </c>
      <c r="I324" s="12">
        <v>53</v>
      </c>
      <c r="J324" s="11">
        <f>LOOKUP(I324,{0,14,16,18,20,22,24,26,28,30,32,34,36,38,40,42,44,47,50,52,54},{0,10,20,30,40,50,60,62,64,66,68,70,72,74,76,78,80,85,90,95,100})</f>
        <v>95</v>
      </c>
      <c r="K324" s="12"/>
      <c r="L324" s="12"/>
      <c r="M324" s="12">
        <f t="shared" si="164"/>
        <v>95</v>
      </c>
      <c r="N324" s="12">
        <v>7.9</v>
      </c>
      <c r="O324" s="12">
        <f t="shared" si="163"/>
        <v>4.1</v>
      </c>
      <c r="P324" s="11">
        <f>LOOKUP(O324,{0,0.5,0.7,0.9,1.1,1.3,1.5,1.7,1.9,2.1,2.3,2.5,2.7,2.9,3.1,3.3,3.5,3.8,4.1,4.2,4.3},{0,10,20,30,40,50,60,62,64,66,68,70,72,74,76,78,80,85,90,95,100})</f>
        <v>90</v>
      </c>
      <c r="Q324" s="12">
        <v>3.23</v>
      </c>
      <c r="R324" s="12">
        <f t="shared" si="165"/>
        <v>6.77</v>
      </c>
      <c r="S324" s="11">
        <f>LOOKUP(R324,{0,4.72,4.82,4.92,5.42,5.52,5.62,5.67,5.72,5.77,5.82,5.87,5.92,5.97,6.42,6.47,6.52,6.59,6.66,6.72,6.78},{0,10,20,30,40,50,60,62,64,66,68,70,72,74,76,78,80,85,90,95,100})</f>
        <v>95</v>
      </c>
      <c r="T324" s="12"/>
      <c r="U324" s="12"/>
      <c r="V324" s="12">
        <f t="shared" si="166"/>
        <v>95</v>
      </c>
      <c r="W324" s="12"/>
      <c r="X324" s="20">
        <f t="shared" si="161"/>
        <v>61.3</v>
      </c>
      <c r="Y324" s="20">
        <f t="shared" si="167"/>
        <v>87.5714285714286</v>
      </c>
    </row>
    <row r="325" ht="15.6" hidden="1" outlineLevel="2" spans="1:25">
      <c r="A325" s="12">
        <v>215</v>
      </c>
      <c r="B325" s="12">
        <v>43</v>
      </c>
      <c r="C325" s="6" t="s">
        <v>833</v>
      </c>
      <c r="D325" s="6" t="s">
        <v>53</v>
      </c>
      <c r="E325" s="12">
        <v>13.5</v>
      </c>
      <c r="F325" s="11">
        <f>LOOKUP(E325,{0,1,1.8,2.6,3.4,4.2,5,6.3,7.6,8.9,10.2,11.5,12.8,14.1,15.4,16.7,18,19.7,21.4,23.1,24.8},{0,10,20,30,40,50,60,62,64,66,68,70,72,74,76,78,80,85,90,95,100})</f>
        <v>72</v>
      </c>
      <c r="G325" s="12">
        <v>160</v>
      </c>
      <c r="H325" s="11">
        <f>LOOKUP(G325,{0,124,129,134,139,144,149,152,155,158,161,164,167,170,173,176,179,186,193,199,205},{0,10,20,30,40,50,60,62,64,66,68,70,72,74,76,78,80,85,90,95,100})</f>
        <v>66</v>
      </c>
      <c r="I325" s="12">
        <v>65</v>
      </c>
      <c r="J325" s="11">
        <f>LOOKUP(I325,{0,14,16,18,20,22,24,26,28,30,32,34,36,38,40,42,44,47,50,52,54},{0,10,20,30,40,50,60,62,64,66,68,70,72,74,76,78,80,85,90,95,100})</f>
        <v>100</v>
      </c>
      <c r="K325" s="12">
        <f>I325-54</f>
        <v>11</v>
      </c>
      <c r="L325" s="11">
        <f>LOOKUP(K325,{0,2,4,6,7,8,9,10,11,12,13},{0,1,2,3,4,5,6,7,8,9,10})</f>
        <v>8</v>
      </c>
      <c r="M325" s="12">
        <f t="shared" si="164"/>
        <v>108</v>
      </c>
      <c r="N325" s="12">
        <v>9</v>
      </c>
      <c r="O325" s="12">
        <f t="shared" si="163"/>
        <v>3</v>
      </c>
      <c r="P325" s="11">
        <f>LOOKUP(O325,{0,0.5,0.7,0.9,1.1,1.3,1.5,1.7,1.9,2.1,2.3,2.5,2.7,2.9,3.1,3.3,3.5,3.8,4.1,4.2,4.3},{0,10,20,30,40,50,60,62,64,66,68,70,72,74,76,78,80,85,90,95,100})</f>
        <v>74</v>
      </c>
      <c r="Q325" s="12">
        <v>3.26</v>
      </c>
      <c r="R325" s="12">
        <f t="shared" si="165"/>
        <v>6.74</v>
      </c>
      <c r="S325" s="11">
        <f>LOOKUP(R325,{0,4.72,4.82,4.92,5.42,5.52,5.62,5.67,5.72,5.77,5.82,5.87,5.92,5.97,6.42,6.47,6.52,6.59,6.66,6.72,6.78},{0,10,20,30,40,50,60,62,64,66,68,70,72,74,76,78,80,85,90,95,100})</f>
        <v>95</v>
      </c>
      <c r="T325" s="12"/>
      <c r="U325" s="12"/>
      <c r="V325" s="12">
        <f t="shared" si="166"/>
        <v>95</v>
      </c>
      <c r="W325" s="12"/>
      <c r="X325" s="20">
        <f t="shared" si="161"/>
        <v>57.6</v>
      </c>
      <c r="Y325" s="20">
        <f t="shared" si="167"/>
        <v>90.2857142857143</v>
      </c>
    </row>
    <row r="326" ht="15.6" hidden="1" outlineLevel="2" spans="1:25">
      <c r="A326" s="12">
        <v>215</v>
      </c>
      <c r="B326" s="12">
        <v>44</v>
      </c>
      <c r="C326" s="6" t="s">
        <v>834</v>
      </c>
      <c r="D326" s="6" t="s">
        <v>53</v>
      </c>
      <c r="E326" s="12">
        <v>23</v>
      </c>
      <c r="F326" s="11">
        <f>LOOKUP(E326,{0,1,1.8,2.6,3.4,4.2,5,6.3,7.6,8.9,10.2,11.5,12.8,14.1,15.4,16.7,18,19.7,21.4,23.1,24.8},{0,10,20,30,40,50,60,62,64,66,68,70,72,74,76,78,80,85,90,95,100})</f>
        <v>90</v>
      </c>
      <c r="G326" s="12">
        <v>162</v>
      </c>
      <c r="H326" s="11">
        <f>LOOKUP(G326,{0,124,129,134,139,144,149,152,155,158,161,164,167,170,173,176,179,186,193,199,205},{0,10,20,30,40,50,60,62,64,66,68,70,72,74,76,78,80,85,90,95,100})</f>
        <v>68</v>
      </c>
      <c r="I326" s="12">
        <v>55</v>
      </c>
      <c r="J326" s="11">
        <f>LOOKUP(I326,{0,14,16,18,20,22,24,26,28,30,32,34,36,38,40,42,44,47,50,52,54},{0,10,20,30,40,50,60,62,64,66,68,70,72,74,76,78,80,85,90,95,100})</f>
        <v>100</v>
      </c>
      <c r="K326" s="12">
        <f>I326-54</f>
        <v>1</v>
      </c>
      <c r="L326" s="11">
        <f>LOOKUP(K326,{0,2,4,6,7,8,9,10,11,12,13},{0,1,2,3,4,5,6,7,8,9,10})</f>
        <v>0</v>
      </c>
      <c r="M326" s="12">
        <f t="shared" si="164"/>
        <v>100</v>
      </c>
      <c r="N326" s="12">
        <v>9</v>
      </c>
      <c r="O326" s="12">
        <f t="shared" si="163"/>
        <v>3</v>
      </c>
      <c r="P326" s="11">
        <f>LOOKUP(O326,{0,0.5,0.7,0.9,1.1,1.3,1.5,1.7,1.9,2.1,2.3,2.5,2.7,2.9,3.1,3.3,3.5,3.8,4.1,4.2,4.3},{0,10,20,30,40,50,60,62,64,66,68,70,72,74,76,78,80,85,90,95,100})</f>
        <v>74</v>
      </c>
      <c r="Q326" s="12">
        <v>3.4</v>
      </c>
      <c r="R326" s="12">
        <f t="shared" si="165"/>
        <v>6.6</v>
      </c>
      <c r="S326" s="11">
        <f>LOOKUP(R326,{0,4.72,4.82,4.92,5.42,5.52,5.62,5.67,5.72,5.77,5.82,5.87,5.92,5.97,6.42,6.47,6.52,6.59,6.66,6.72,6.78},{0,10,20,30,40,50,60,62,64,66,68,70,72,74,76,78,80,85,90,95,100})</f>
        <v>85</v>
      </c>
      <c r="T326" s="12"/>
      <c r="U326" s="12"/>
      <c r="V326" s="12">
        <f t="shared" si="166"/>
        <v>85</v>
      </c>
      <c r="W326" s="12"/>
      <c r="X326" s="20">
        <f t="shared" si="161"/>
        <v>57.6</v>
      </c>
      <c r="Y326" s="20">
        <f t="shared" si="167"/>
        <v>82.2857142857143</v>
      </c>
    </row>
    <row r="327" ht="15.6" hidden="1" outlineLevel="2" spans="1:25">
      <c r="A327" s="12">
        <v>215</v>
      </c>
      <c r="B327" s="12">
        <v>45</v>
      </c>
      <c r="C327" s="6" t="s">
        <v>835</v>
      </c>
      <c r="D327" s="6" t="s">
        <v>53</v>
      </c>
      <c r="E327" s="12">
        <v>17</v>
      </c>
      <c r="F327" s="11">
        <f>LOOKUP(E327,{0,1,1.8,2.6,3.4,4.2,5,6.3,7.6,8.9,10.2,11.5,12.8,14.1,15.4,16.7,18,19.7,21.4,23.1,24.8},{0,10,20,30,40,50,60,62,64,66,68,70,72,74,76,78,80,85,90,95,100})</f>
        <v>78</v>
      </c>
      <c r="G327" s="12">
        <v>158</v>
      </c>
      <c r="H327" s="11">
        <f>LOOKUP(G327,{0,124,129,134,139,144,149,152,155,158,161,164,167,170,173,176,179,186,193,199,205},{0,10,20,30,40,50,60,62,64,66,68,70,72,74,76,78,80,85,90,95,100})</f>
        <v>66</v>
      </c>
      <c r="I327" s="12">
        <v>50</v>
      </c>
      <c r="J327" s="11">
        <f>LOOKUP(I327,{0,14,16,18,20,22,24,26,28,30,32,34,36,38,40,42,44,47,50,52,54},{0,10,20,30,40,50,60,62,64,66,68,70,72,74,76,78,80,85,90,95,100})</f>
        <v>90</v>
      </c>
      <c r="K327" s="12"/>
      <c r="L327" s="12"/>
      <c r="M327" s="12">
        <f t="shared" si="164"/>
        <v>90</v>
      </c>
      <c r="N327" s="12">
        <v>9</v>
      </c>
      <c r="O327" s="12">
        <f t="shared" si="163"/>
        <v>3</v>
      </c>
      <c r="P327" s="11">
        <f>LOOKUP(O327,{0,0.5,0.7,0.9,1.1,1.3,1.5,1.7,1.9,2.1,2.3,2.5,2.7,2.9,3.1,3.3,3.5,3.8,4.1,4.2,4.3},{0,10,20,30,40,50,60,62,64,66,68,70,72,74,76,78,80,85,90,95,100})</f>
        <v>74</v>
      </c>
      <c r="Q327" s="12">
        <v>3.4</v>
      </c>
      <c r="R327" s="12">
        <f t="shared" si="165"/>
        <v>6.6</v>
      </c>
      <c r="S327" s="11">
        <f>LOOKUP(R327,{0,4.72,4.82,4.92,5.42,5.52,5.62,5.67,5.72,5.77,5.82,5.87,5.92,5.97,6.42,6.47,6.52,6.59,6.66,6.72,6.78},{0,10,20,30,40,50,60,62,64,66,68,70,72,74,76,78,80,85,90,95,100})</f>
        <v>85</v>
      </c>
      <c r="T327" s="12"/>
      <c r="U327" s="12"/>
      <c r="V327" s="12">
        <f t="shared" si="166"/>
        <v>85</v>
      </c>
      <c r="W327" s="12"/>
      <c r="X327" s="20">
        <f t="shared" si="161"/>
        <v>55.2</v>
      </c>
      <c r="Y327" s="20">
        <f t="shared" si="167"/>
        <v>78.8571428571429</v>
      </c>
    </row>
    <row r="328" ht="15.6" hidden="1" outlineLevel="2" spans="1:25">
      <c r="A328" s="12">
        <v>215</v>
      </c>
      <c r="B328" s="12">
        <v>46</v>
      </c>
      <c r="C328" s="13" t="s">
        <v>837</v>
      </c>
      <c r="D328" s="6" t="s">
        <v>53</v>
      </c>
      <c r="E328" s="12">
        <v>22.2</v>
      </c>
      <c r="F328" s="11">
        <f>LOOKUP(E328,{0,1,1.8,2.6,3.4,4.2,5,6.3,7.6,8.9,10.2,11.5,12.8,14.1,15.4,16.7,18,19.7,21.4,23.1,24.8},{0,10,20,30,40,50,60,62,64,66,68,70,72,74,76,78,80,85,90,95,100})</f>
        <v>90</v>
      </c>
      <c r="G328" s="12">
        <v>180</v>
      </c>
      <c r="H328" s="11">
        <f>LOOKUP(G328,{0,124,129,134,139,144,149,152,155,158,161,164,167,170,173,176,179,186,193,199,205},{0,10,20,30,40,50,60,62,64,66,68,70,72,74,76,78,80,85,90,95,100})</f>
        <v>80</v>
      </c>
      <c r="I328" s="12">
        <v>40</v>
      </c>
      <c r="J328" s="11">
        <f>LOOKUP(I328,{0,14,16,18,20,22,24,26,28,30,32,34,36,38,40,42,44,47,50,52,54},{0,10,20,30,40,50,60,62,64,66,68,70,72,74,76,78,80,85,90,95,100})</f>
        <v>76</v>
      </c>
      <c r="K328" s="12"/>
      <c r="L328" s="12"/>
      <c r="M328" s="12">
        <f t="shared" si="164"/>
        <v>76</v>
      </c>
      <c r="N328" s="12">
        <v>8.8</v>
      </c>
      <c r="O328" s="12">
        <f t="shared" si="163"/>
        <v>3.2</v>
      </c>
      <c r="P328" s="11">
        <f>LOOKUP(O328,{0,0.5,0.7,0.9,1.1,1.3,1.5,1.7,1.9,2.1,2.3,2.5,2.7,2.9,3.1,3.3,3.5,3.8,4.1,4.2,4.3},{0,10,20,30,40,50,60,62,64,66,68,70,72,74,76,78,80,85,90,95,100})</f>
        <v>76</v>
      </c>
      <c r="Q328" s="12">
        <v>3.45</v>
      </c>
      <c r="R328" s="12">
        <f t="shared" si="165"/>
        <v>6.55</v>
      </c>
      <c r="S328" s="11">
        <f>LOOKUP(R328,{0,4.72,4.82,4.92,5.42,5.52,5.62,5.67,5.72,5.77,5.82,5.87,5.92,5.97,6.42,6.47,6.52,6.59,6.66,6.72,6.78},{0,10,20,30,40,50,60,62,64,66,68,70,72,74,76,78,80,85,90,95,100})</f>
        <v>80</v>
      </c>
      <c r="T328" s="12"/>
      <c r="U328" s="12"/>
      <c r="V328" s="12">
        <f t="shared" si="166"/>
        <v>80</v>
      </c>
      <c r="W328" s="12"/>
      <c r="X328" s="20">
        <f t="shared" si="161"/>
        <v>55.8</v>
      </c>
      <c r="Y328" s="20">
        <f t="shared" si="167"/>
        <v>79.7142857142857</v>
      </c>
    </row>
    <row r="329" ht="15.6" hidden="1" outlineLevel="2" spans="1:25">
      <c r="A329" s="12">
        <v>215</v>
      </c>
      <c r="B329" s="12">
        <v>47</v>
      </c>
      <c r="C329" s="6" t="s">
        <v>838</v>
      </c>
      <c r="D329" s="6" t="s">
        <v>53</v>
      </c>
      <c r="E329" s="12">
        <v>20.4</v>
      </c>
      <c r="F329" s="11">
        <f>LOOKUP(E329,{0,1,1.8,2.6,3.4,4.2,5,6.3,7.6,8.9,10.2,11.5,12.8,14.1,15.4,16.7,18,19.7,21.4,23.1,24.8},{0,10,20,30,40,50,60,62,64,66,68,70,72,74,76,78,80,85,90,95,100})</f>
        <v>85</v>
      </c>
      <c r="G329" s="12">
        <v>205</v>
      </c>
      <c r="H329" s="11">
        <f>LOOKUP(G329,{0,124,129,134,139,144,149,152,155,158,161,164,167,170,173,176,179,186,193,199,205},{0,10,20,30,40,50,60,62,64,66,68,70,72,74,76,78,80,85,90,95,100})</f>
        <v>100</v>
      </c>
      <c r="I329" s="12">
        <v>53</v>
      </c>
      <c r="J329" s="11">
        <f>LOOKUP(I329,{0,14,16,18,20,22,24,26,28,30,32,34,36,38,40,42,44,47,50,52,54},{0,10,20,30,40,50,60,62,64,66,68,70,72,74,76,78,80,85,90,95,100})</f>
        <v>95</v>
      </c>
      <c r="K329" s="12"/>
      <c r="L329" s="12"/>
      <c r="M329" s="12">
        <f t="shared" si="164"/>
        <v>95</v>
      </c>
      <c r="N329" s="12">
        <v>8.3</v>
      </c>
      <c r="O329" s="12">
        <f t="shared" si="163"/>
        <v>3.7</v>
      </c>
      <c r="P329" s="11">
        <f>LOOKUP(O329,{0,0.5,0.7,0.9,1.1,1.3,1.5,1.7,1.9,2.1,2.3,2.5,2.7,2.9,3.1,3.3,3.5,3.8,4.1,4.2,4.3},{0,10,20,30,40,50,60,62,64,66,68,70,72,74,76,78,80,85,90,95,100})</f>
        <v>80</v>
      </c>
      <c r="Q329" s="12">
        <v>3.44</v>
      </c>
      <c r="R329" s="12">
        <f t="shared" si="165"/>
        <v>6.56</v>
      </c>
      <c r="S329" s="11">
        <f>LOOKUP(R329,{0,4.72,4.82,4.92,5.42,5.52,5.62,5.67,5.72,5.77,5.82,5.87,5.92,5.97,6.42,6.47,6.52,6.59,6.66,6.72,6.78},{0,10,20,30,40,50,60,62,64,66,68,70,72,74,76,78,80,85,90,95,100})</f>
        <v>80</v>
      </c>
      <c r="T329" s="12"/>
      <c r="U329" s="12"/>
      <c r="V329" s="12">
        <f t="shared" si="166"/>
        <v>80</v>
      </c>
      <c r="W329" s="12"/>
      <c r="X329" s="20">
        <f t="shared" si="161"/>
        <v>60</v>
      </c>
      <c r="Y329" s="20">
        <f t="shared" si="167"/>
        <v>85.7142857142857</v>
      </c>
    </row>
    <row r="330" ht="15.6" hidden="1" outlineLevel="2" spans="1:25">
      <c r="A330" s="12">
        <v>215</v>
      </c>
      <c r="B330" s="12">
        <v>48</v>
      </c>
      <c r="C330" s="6" t="s">
        <v>839</v>
      </c>
      <c r="D330" s="6" t="s">
        <v>53</v>
      </c>
      <c r="E330" s="12">
        <v>7</v>
      </c>
      <c r="F330" s="11">
        <f>LOOKUP(E330,{0,1,1.8,2.6,3.4,4.2,5,6.3,7.6,8.9,10.2,11.5,12.8,14.1,15.4,16.7,18,19.7,21.4,23.1,24.8},{0,10,20,30,40,50,60,62,64,66,68,70,72,74,76,78,80,85,90,95,100})</f>
        <v>62</v>
      </c>
      <c r="G330" s="12">
        <v>159</v>
      </c>
      <c r="H330" s="11">
        <f>LOOKUP(G330,{0,124,129,134,139,144,149,152,155,158,161,164,167,170,173,176,179,186,193,199,205},{0,10,20,30,40,50,60,62,64,66,68,70,72,74,76,78,80,85,90,95,100})</f>
        <v>66</v>
      </c>
      <c r="I330" s="12">
        <v>38</v>
      </c>
      <c r="J330" s="11">
        <f>LOOKUP(I330,{0,14,16,18,20,22,24,26,28,30,32,34,36,38,40,42,44,47,50,52,54},{0,10,20,30,40,50,60,62,64,66,68,70,72,74,76,78,80,85,90,95,100})</f>
        <v>74</v>
      </c>
      <c r="K330" s="12"/>
      <c r="L330" s="12"/>
      <c r="M330" s="12">
        <f t="shared" si="164"/>
        <v>74</v>
      </c>
      <c r="N330" s="12">
        <v>9.4</v>
      </c>
      <c r="O330" s="12">
        <f t="shared" si="163"/>
        <v>2.6</v>
      </c>
      <c r="P330" s="11">
        <f>LOOKUP(O330,{0,0.5,0.7,0.9,1.1,1.3,1.5,1.7,1.9,2.1,2.3,2.5,2.7,2.9,3.1,3.3,3.5,3.8,4.1,4.2,4.3},{0,10,20,30,40,50,60,62,64,66,68,70,72,74,76,78,80,85,90,95,100})</f>
        <v>70</v>
      </c>
      <c r="Q330" s="12">
        <v>4.1</v>
      </c>
      <c r="R330" s="12">
        <f t="shared" si="165"/>
        <v>5.9</v>
      </c>
      <c r="S330" s="11">
        <f>LOOKUP(R330,{0,4.72,4.82,4.92,5.42,5.52,5.62,5.67,5.72,5.77,5.82,5.87,5.92,5.97,6.42,6.47,6.52,6.59,6.66,6.72,6.78},{0,10,20,30,40,50,60,62,64,66,68,70,72,74,76,78,80,85,90,95,100})</f>
        <v>70</v>
      </c>
      <c r="T330" s="12"/>
      <c r="U330" s="12"/>
      <c r="V330" s="12">
        <f t="shared" si="166"/>
        <v>70</v>
      </c>
      <c r="W330" s="12"/>
      <c r="X330" s="20">
        <f t="shared" si="161"/>
        <v>48.2</v>
      </c>
      <c r="Y330" s="20">
        <f t="shared" si="167"/>
        <v>68.8571428571429</v>
      </c>
    </row>
    <row r="331" s="1" customFormat="1" ht="15.6" hidden="1" outlineLevel="2" spans="1:25">
      <c r="A331" s="12">
        <v>215</v>
      </c>
      <c r="B331" s="12">
        <v>49</v>
      </c>
      <c r="C331" s="6" t="s">
        <v>840</v>
      </c>
      <c r="D331" s="6" t="s">
        <v>53</v>
      </c>
      <c r="E331" s="12">
        <v>21.5</v>
      </c>
      <c r="F331" s="11">
        <f>LOOKUP(E331,{0,1,1.8,2.6,3.4,4.2,5,6.3,7.6,8.9,10.2,11.5,12.8,14.1,15.4,16.7,18,19.7,21.4,23.1,24.8},{0,10,20,30,40,50,60,62,64,66,68,70,72,74,76,78,80,85,90,95,100})</f>
        <v>90</v>
      </c>
      <c r="G331" s="12">
        <v>166</v>
      </c>
      <c r="H331" s="11">
        <f>LOOKUP(G331,{0,124,129,134,139,144,149,152,155,158,161,164,167,170,173,176,179,186,193,199,205},{0,10,20,30,40,50,60,62,64,66,68,70,72,74,76,78,80,85,90,95,100})</f>
        <v>70</v>
      </c>
      <c r="I331" s="12">
        <v>44</v>
      </c>
      <c r="J331" s="11">
        <f>LOOKUP(I331,{0,14,16,18,20,22,24,26,28,30,32,34,36,38,40,42,44,47,50,52,54},{0,10,20,30,40,50,60,62,64,66,68,70,72,74,76,78,80,85,90,95,100})</f>
        <v>80</v>
      </c>
      <c r="K331" s="12"/>
      <c r="L331" s="12"/>
      <c r="M331" s="12">
        <f t="shared" si="164"/>
        <v>80</v>
      </c>
      <c r="N331" s="12">
        <v>8.3</v>
      </c>
      <c r="O331" s="12">
        <f t="shared" si="163"/>
        <v>3.7</v>
      </c>
      <c r="P331" s="11">
        <f>LOOKUP(O331,{0,0.5,0.7,0.9,1.1,1.3,1.5,1.7,1.9,2.1,2.3,2.5,2.7,2.9,3.1,3.3,3.5,3.8,4.1,4.2,4.3},{0,10,20,30,40,50,60,62,64,66,68,70,72,74,76,78,80,85,90,95,100})</f>
        <v>80</v>
      </c>
      <c r="Q331" s="12">
        <v>4.05</v>
      </c>
      <c r="R331" s="12">
        <f t="shared" si="165"/>
        <v>5.95</v>
      </c>
      <c r="S331" s="11">
        <f>LOOKUP(R331,{0,4.72,4.82,4.92,5.42,5.52,5.62,5.67,5.72,5.77,5.82,5.87,5.92,5.97,6.42,6.47,6.52,6.59,6.66,6.72,6.78},{0,10,20,30,40,50,60,62,64,66,68,70,72,74,76,78,80,85,90,95,100})</f>
        <v>72</v>
      </c>
      <c r="T331" s="12"/>
      <c r="U331" s="12"/>
      <c r="V331" s="12">
        <f t="shared" si="166"/>
        <v>72</v>
      </c>
      <c r="W331" s="12"/>
      <c r="X331" s="20">
        <f t="shared" si="161"/>
        <v>54.4</v>
      </c>
      <c r="Y331" s="20">
        <f t="shared" si="167"/>
        <v>77.7142857142857</v>
      </c>
    </row>
    <row r="332" ht="15.6" hidden="1" outlineLevel="2" spans="1:25">
      <c r="A332" s="12">
        <v>215</v>
      </c>
      <c r="B332" s="12">
        <v>50</v>
      </c>
      <c r="C332" s="6" t="s">
        <v>841</v>
      </c>
      <c r="D332" s="6" t="s">
        <v>53</v>
      </c>
      <c r="E332" s="12">
        <v>24</v>
      </c>
      <c r="F332" s="11">
        <f>LOOKUP(E332,{0,1,1.8,2.6,3.4,4.2,5,6.3,7.6,8.9,10.2,11.5,12.8,14.1,15.4,16.7,18,19.7,21.4,23.1,24.8},{0,10,20,30,40,50,60,62,64,66,68,70,72,74,76,78,80,85,90,95,100})</f>
        <v>95</v>
      </c>
      <c r="G332" s="12">
        <v>134</v>
      </c>
      <c r="H332" s="11">
        <f>LOOKUP(G332,{0,124,129,134,139,144,149,152,155,158,161,164,167,170,173,176,179,186,193,199,205},{0,10,20,30,40,50,60,62,64,66,68,70,72,74,76,78,80,85,90,95,100})</f>
        <v>30</v>
      </c>
      <c r="I332" s="12">
        <v>45</v>
      </c>
      <c r="J332" s="11">
        <f>LOOKUP(I332,{0,14,16,18,20,22,24,26,28,30,32,34,36,38,40,42,44,47,50,52,54},{0,10,20,30,40,50,60,62,64,66,68,70,72,74,76,78,80,85,90,95,100})</f>
        <v>80</v>
      </c>
      <c r="K332" s="12"/>
      <c r="L332" s="12"/>
      <c r="M332" s="12">
        <f t="shared" si="164"/>
        <v>80</v>
      </c>
      <c r="N332" s="12">
        <v>9.3</v>
      </c>
      <c r="O332" s="12">
        <f t="shared" si="163"/>
        <v>2.7</v>
      </c>
      <c r="P332" s="11">
        <f>LOOKUP(O332,{0,0.5,0.7,0.9,1.1,1.3,1.5,1.7,1.9,2.1,2.3,2.5,2.7,2.9,3.1,3.3,3.5,3.8,4.1,4.2,4.3},{0,10,20,30,40,50,60,62,64,66,68,70,72,74,76,78,80,85,90,95,100})</f>
        <v>72</v>
      </c>
      <c r="Q332" s="12">
        <v>4.17</v>
      </c>
      <c r="R332" s="12">
        <f t="shared" si="165"/>
        <v>5.83</v>
      </c>
      <c r="S332" s="11">
        <f>LOOKUP(R332,{0,4.72,4.82,4.92,5.42,5.52,5.62,5.67,5.72,5.77,5.82,5.87,5.92,5.97,6.42,6.47,6.52,6.59,6.66,6.72,6.78},{0,10,20,30,40,50,60,62,64,66,68,70,72,74,76,78,80,85,90,95,100})</f>
        <v>68</v>
      </c>
      <c r="T332" s="12"/>
      <c r="U332" s="12"/>
      <c r="V332" s="12">
        <f t="shared" si="166"/>
        <v>68</v>
      </c>
      <c r="W332" s="12"/>
      <c r="X332" s="20">
        <f t="shared" si="161"/>
        <v>48.5</v>
      </c>
      <c r="Y332" s="20">
        <f t="shared" si="167"/>
        <v>69.2857142857143</v>
      </c>
    </row>
    <row r="333" ht="15.6" hidden="1" outlineLevel="2" spans="1:25">
      <c r="A333" s="12">
        <v>215</v>
      </c>
      <c r="B333" s="12">
        <v>51</v>
      </c>
      <c r="C333" s="6" t="s">
        <v>842</v>
      </c>
      <c r="D333" s="6" t="s">
        <v>53</v>
      </c>
      <c r="E333" s="12"/>
      <c r="F333" s="11"/>
      <c r="G333" s="12"/>
      <c r="H333" s="11"/>
      <c r="I333" s="12"/>
      <c r="J333" s="11"/>
      <c r="K333" s="12"/>
      <c r="L333" s="12"/>
      <c r="M333" s="12"/>
      <c r="N333" s="12"/>
      <c r="O333" s="12"/>
      <c r="P333" s="11"/>
      <c r="Q333" s="12"/>
      <c r="R333" s="12"/>
      <c r="S333" s="11"/>
      <c r="T333" s="21"/>
      <c r="U333" s="16"/>
      <c r="V333" s="12"/>
      <c r="W333" s="12" t="s">
        <v>617</v>
      </c>
      <c r="X333" s="20">
        <f t="shared" si="161"/>
        <v>0</v>
      </c>
      <c r="Y333" s="20">
        <v>50</v>
      </c>
    </row>
    <row r="334" ht="15.6" hidden="1" outlineLevel="2" spans="1:25">
      <c r="A334" s="12">
        <v>215</v>
      </c>
      <c r="B334" s="12">
        <v>52</v>
      </c>
      <c r="C334" s="6" t="s">
        <v>843</v>
      </c>
      <c r="D334" s="6" t="s">
        <v>53</v>
      </c>
      <c r="E334" s="12">
        <v>25</v>
      </c>
      <c r="F334" s="11">
        <f>LOOKUP(E334,{0,1,1.8,2.6,3.4,4.2,5,6.3,7.6,8.9,10.2,11.5,12.8,14.1,15.4,16.7,18,19.7,21.4,23.1,24.8},{0,10,20,30,40,50,60,62,64,66,68,70,72,74,76,78,80,85,90,95,100})</f>
        <v>100</v>
      </c>
      <c r="G334" s="12">
        <v>174</v>
      </c>
      <c r="H334" s="11">
        <f>LOOKUP(G334,{0,124,129,134,139,144,149,152,155,158,161,164,167,170,173,176,179,186,193,199,205},{0,10,20,30,40,50,60,62,64,66,68,70,72,74,76,78,80,85,90,95,100})</f>
        <v>76</v>
      </c>
      <c r="I334" s="12">
        <v>51</v>
      </c>
      <c r="J334" s="11">
        <f>LOOKUP(I334,{0,14,16,18,20,22,24,26,28,30,32,34,36,38,40,42,44,47,50,52,54},{0,10,20,30,40,50,60,62,64,66,68,70,72,74,76,78,80,85,90,95,100})</f>
        <v>90</v>
      </c>
      <c r="K334" s="12"/>
      <c r="L334" s="12"/>
      <c r="M334" s="12">
        <f t="shared" ref="M334:M338" si="168">J334+L334</f>
        <v>90</v>
      </c>
      <c r="N334" s="12">
        <v>8.2</v>
      </c>
      <c r="O334" s="12">
        <f t="shared" ref="O334:O338" si="169">12-N334</f>
        <v>3.8</v>
      </c>
      <c r="P334" s="11">
        <f>LOOKUP(O334,{0,0.5,0.7,0.9,1.1,1.3,1.5,1.7,1.9,2.1,2.3,2.5,2.7,2.9,3.1,3.3,3.5,3.8,4.1,4.2,4.3},{0,10,20,30,40,50,60,62,64,66,68,70,72,74,76,78,80,85,90,95,100})</f>
        <v>85</v>
      </c>
      <c r="Q334" s="12">
        <v>3.24</v>
      </c>
      <c r="R334" s="12">
        <f t="shared" ref="R334:R338" si="170">10-Q334</f>
        <v>6.76</v>
      </c>
      <c r="S334" s="11">
        <f>LOOKUP(R334,{0,4.72,4.82,4.92,5.42,5.52,5.62,5.67,5.72,5.77,5.82,5.87,5.92,5.97,6.42,6.47,6.52,6.59,6.66,6.72,6.78},{0,10,20,30,40,50,60,62,64,66,68,70,72,74,76,78,80,85,90,95,100})</f>
        <v>95</v>
      </c>
      <c r="T334" s="12"/>
      <c r="U334" s="12"/>
      <c r="V334" s="12">
        <f t="shared" ref="V334:V338" si="171">S334+U334</f>
        <v>95</v>
      </c>
      <c r="W334" s="12"/>
      <c r="X334" s="20">
        <f t="shared" si="161"/>
        <v>62.6</v>
      </c>
      <c r="Y334" s="20">
        <f t="shared" ref="Y334:Y338" si="172">X334/0.7+L334+U334</f>
        <v>89.4285714285714</v>
      </c>
    </row>
    <row r="335" ht="15.6" hidden="1" outlineLevel="2" spans="1:25">
      <c r="A335" s="12">
        <v>215</v>
      </c>
      <c r="B335" s="12">
        <v>53</v>
      </c>
      <c r="C335" s="6" t="s">
        <v>844</v>
      </c>
      <c r="D335" s="6" t="s">
        <v>53</v>
      </c>
      <c r="E335" s="12">
        <v>11.8</v>
      </c>
      <c r="F335" s="11">
        <f>LOOKUP(E335,{0,1,1.8,2.6,3.4,4.2,5,6.3,7.6,8.9,10.2,11.5,12.8,14.1,15.4,16.7,18,19.7,21.4,23.1,24.8},{0,10,20,30,40,50,60,62,64,66,68,70,72,74,76,78,80,85,90,95,100})</f>
        <v>70</v>
      </c>
      <c r="G335" s="12">
        <v>174</v>
      </c>
      <c r="H335" s="11">
        <f>LOOKUP(G335,{0,124,129,134,139,144,149,152,155,158,161,164,167,170,173,176,179,186,193,199,205},{0,10,20,30,40,50,60,62,64,66,68,70,72,74,76,78,80,85,90,95,100})</f>
        <v>76</v>
      </c>
      <c r="I335" s="12">
        <v>56</v>
      </c>
      <c r="J335" s="11">
        <f>LOOKUP(I335,{0,14,16,18,20,22,24,26,28,30,32,34,36,38,40,42,44,47,50,52,54},{0,10,20,30,40,50,60,62,64,66,68,70,72,74,76,78,80,85,90,95,100})</f>
        <v>100</v>
      </c>
      <c r="K335" s="12">
        <f>I335-54</f>
        <v>2</v>
      </c>
      <c r="L335" s="11">
        <f>LOOKUP(K335,{0,2,4,6,7,8,9,10,11,12,13},{0,1,2,3,4,5,6,7,8,9,10})</f>
        <v>1</v>
      </c>
      <c r="M335" s="12">
        <f t="shared" si="168"/>
        <v>101</v>
      </c>
      <c r="N335" s="12">
        <v>8.6</v>
      </c>
      <c r="O335" s="12">
        <f t="shared" si="169"/>
        <v>3.4</v>
      </c>
      <c r="P335" s="11">
        <f>LOOKUP(O335,{0,0.5,0.7,0.9,1.1,1.3,1.5,1.7,1.9,2.1,2.3,2.5,2.7,2.9,3.1,3.3,3.5,3.8,4.1,4.2,4.3},{0,10,20,30,40,50,60,62,64,66,68,70,72,74,76,78,80,85,90,95,100})</f>
        <v>78</v>
      </c>
      <c r="Q335" s="12">
        <v>3.5</v>
      </c>
      <c r="R335" s="12">
        <f t="shared" si="170"/>
        <v>6.5</v>
      </c>
      <c r="S335" s="11">
        <f>LOOKUP(R335,{0,4.72,4.82,4.92,5.42,5.52,5.62,5.67,5.72,5.77,5.82,5.87,5.92,5.97,6.42,6.47,6.52,6.59,6.66,6.72,6.78},{0,10,20,30,40,50,60,62,64,66,68,70,72,74,76,78,80,85,90,95,100})</f>
        <v>78</v>
      </c>
      <c r="T335" s="12"/>
      <c r="U335" s="12"/>
      <c r="V335" s="12">
        <f t="shared" si="171"/>
        <v>78</v>
      </c>
      <c r="W335" s="12"/>
      <c r="X335" s="20">
        <f t="shared" si="161"/>
        <v>55.8</v>
      </c>
      <c r="Y335" s="20">
        <f t="shared" si="172"/>
        <v>80.7142857142857</v>
      </c>
    </row>
    <row r="336" ht="15.6" hidden="1" outlineLevel="2" spans="1:25">
      <c r="A336" s="12">
        <v>215</v>
      </c>
      <c r="B336" s="12">
        <v>54</v>
      </c>
      <c r="C336" s="6" t="s">
        <v>845</v>
      </c>
      <c r="D336" s="6" t="s">
        <v>53</v>
      </c>
      <c r="E336" s="12">
        <v>13.5</v>
      </c>
      <c r="F336" s="11">
        <f>LOOKUP(E336,{0,1,1.8,2.6,3.4,4.2,5,6.3,7.6,8.9,10.2,11.5,12.8,14.1,15.4,16.7,18,19.7,21.4,23.1,24.8},{0,10,20,30,40,50,60,62,64,66,68,70,72,74,76,78,80,85,90,95,100})</f>
        <v>72</v>
      </c>
      <c r="G336" s="12">
        <v>180</v>
      </c>
      <c r="H336" s="11">
        <f>LOOKUP(G336,{0,124,129,134,139,144,149,152,155,158,161,164,167,170,173,176,179,186,193,199,205},{0,10,20,30,40,50,60,62,64,66,68,70,72,74,76,78,80,85,90,95,100})</f>
        <v>80</v>
      </c>
      <c r="I336" s="12">
        <v>42</v>
      </c>
      <c r="J336" s="11">
        <f>LOOKUP(I336,{0,14,16,18,20,22,24,26,28,30,32,34,36,38,40,42,44,47,50,52,54},{0,10,20,30,40,50,60,62,64,66,68,70,72,74,76,78,80,85,90,95,100})</f>
        <v>78</v>
      </c>
      <c r="K336" s="12"/>
      <c r="L336" s="12"/>
      <c r="M336" s="12">
        <f t="shared" si="168"/>
        <v>78</v>
      </c>
      <c r="N336" s="12">
        <v>8.7</v>
      </c>
      <c r="O336" s="12">
        <f t="shared" si="169"/>
        <v>3.3</v>
      </c>
      <c r="P336" s="11">
        <f>LOOKUP(O336,{0,0.5,0.7,0.9,1.1,1.3,1.5,1.7,1.9,2.1,2.3,2.5,2.7,2.9,3.1,3.3,3.5,3.8,4.1,4.2,4.3},{0,10,20,30,40,50,60,62,64,66,68,70,72,74,76,78,80,85,90,95,100})</f>
        <v>78</v>
      </c>
      <c r="Q336" s="12">
        <v>3.5</v>
      </c>
      <c r="R336" s="12">
        <f t="shared" si="170"/>
        <v>6.5</v>
      </c>
      <c r="S336" s="11">
        <f>LOOKUP(R336,{0,4.72,4.82,4.92,5.42,5.52,5.62,5.67,5.72,5.77,5.82,5.87,5.92,5.97,6.42,6.47,6.52,6.59,6.66,6.72,6.78},{0,10,20,30,40,50,60,62,64,66,68,70,72,74,76,78,80,85,90,95,100})</f>
        <v>78</v>
      </c>
      <c r="T336" s="12"/>
      <c r="U336" s="12"/>
      <c r="V336" s="12">
        <f t="shared" si="171"/>
        <v>78</v>
      </c>
      <c r="W336" s="12"/>
      <c r="X336" s="20">
        <f t="shared" si="161"/>
        <v>54.2</v>
      </c>
      <c r="Y336" s="20">
        <f t="shared" si="172"/>
        <v>77.4285714285714</v>
      </c>
    </row>
    <row r="337" ht="15.6" hidden="1" outlineLevel="2" spans="1:25">
      <c r="A337" s="12">
        <v>215</v>
      </c>
      <c r="B337" s="12">
        <v>55</v>
      </c>
      <c r="C337" s="6" t="s">
        <v>846</v>
      </c>
      <c r="D337" s="6" t="s">
        <v>53</v>
      </c>
      <c r="E337" s="12">
        <v>19.8</v>
      </c>
      <c r="F337" s="11">
        <f>LOOKUP(E337,{0,1,1.8,2.6,3.4,4.2,5,6.3,7.6,8.9,10.2,11.5,12.8,14.1,15.4,16.7,18,19.7,21.4,23.1,24.8},{0,10,20,30,40,50,60,62,64,66,68,70,72,74,76,78,80,85,90,95,100})</f>
        <v>85</v>
      </c>
      <c r="G337" s="12">
        <v>140</v>
      </c>
      <c r="H337" s="11">
        <f>LOOKUP(G337,{0,124,129,134,139,144,149,152,155,158,161,164,167,170,173,176,179,186,193,199,205},{0,10,20,30,40,50,60,62,64,66,68,70,72,74,76,78,80,85,90,95,100})</f>
        <v>40</v>
      </c>
      <c r="I337" s="12">
        <v>49</v>
      </c>
      <c r="J337" s="11">
        <f>LOOKUP(I337,{0,14,16,18,20,22,24,26,28,30,32,34,36,38,40,42,44,47,50,52,54},{0,10,20,30,40,50,60,62,64,66,68,70,72,74,76,78,80,85,90,95,100})</f>
        <v>85</v>
      </c>
      <c r="K337" s="12"/>
      <c r="L337" s="12"/>
      <c r="M337" s="12">
        <f t="shared" si="168"/>
        <v>85</v>
      </c>
      <c r="N337" s="12">
        <v>9.3</v>
      </c>
      <c r="O337" s="12">
        <f t="shared" si="169"/>
        <v>2.7</v>
      </c>
      <c r="P337" s="11">
        <f>LOOKUP(O337,{0,0.5,0.7,0.9,1.1,1.3,1.5,1.7,1.9,2.1,2.3,2.5,2.7,2.9,3.1,3.3,3.5,3.8,4.1,4.2,4.3},{0,10,20,30,40,50,60,62,64,66,68,70,72,74,76,78,80,85,90,95,100})</f>
        <v>72</v>
      </c>
      <c r="Q337" s="12">
        <v>3.53</v>
      </c>
      <c r="R337" s="12">
        <f t="shared" si="170"/>
        <v>6.47</v>
      </c>
      <c r="S337" s="11">
        <f>LOOKUP(R337,{0,4.72,4.82,4.92,5.42,5.52,5.62,5.67,5.72,5.77,5.82,5.87,5.92,5.97,6.42,6.47,6.52,6.59,6.66,6.72,6.78},{0,10,20,30,40,50,60,62,64,66,68,70,72,74,76,78,80,85,90,95,100})</f>
        <v>78</v>
      </c>
      <c r="T337" s="12"/>
      <c r="U337" s="12"/>
      <c r="V337" s="12">
        <f t="shared" si="171"/>
        <v>78</v>
      </c>
      <c r="W337" s="12"/>
      <c r="X337" s="20">
        <f t="shared" si="161"/>
        <v>51</v>
      </c>
      <c r="Y337" s="20">
        <f t="shared" si="172"/>
        <v>72.8571428571429</v>
      </c>
    </row>
    <row r="338" ht="15.6" hidden="1" outlineLevel="2" spans="1:25">
      <c r="A338" s="12">
        <v>215</v>
      </c>
      <c r="B338" s="12">
        <v>56</v>
      </c>
      <c r="C338" s="6" t="s">
        <v>571</v>
      </c>
      <c r="D338" s="6" t="s">
        <v>53</v>
      </c>
      <c r="E338" s="12">
        <v>21</v>
      </c>
      <c r="F338" s="11">
        <f>LOOKUP(E338,{0,1,1.8,2.6,3.4,4.2,5,6.3,7.6,8.9,10.2,11.5,12.8,14.1,15.4,16.7,18,19.7,21.4,23.1,24.8},{0,10,20,30,40,50,60,62,64,66,68,70,72,74,76,78,80,85,90,95,100})</f>
        <v>85</v>
      </c>
      <c r="G338" s="12">
        <v>160</v>
      </c>
      <c r="H338" s="11">
        <f>LOOKUP(G338,{0,124,129,134,139,144,149,152,155,158,161,164,167,170,173,176,179,186,193,199,205},{0,10,20,30,40,50,60,62,64,66,68,70,72,74,76,78,80,85,90,95,100})</f>
        <v>66</v>
      </c>
      <c r="I338" s="12">
        <v>45</v>
      </c>
      <c r="J338" s="11">
        <f>LOOKUP(I338,{0,14,16,18,20,22,24,26,28,30,32,34,36,38,40,42,44,47,50,52,54},{0,10,20,30,40,50,60,62,64,66,68,70,72,74,76,78,80,85,90,95,100})</f>
        <v>80</v>
      </c>
      <c r="K338" s="12"/>
      <c r="L338" s="12"/>
      <c r="M338" s="12">
        <f t="shared" si="168"/>
        <v>80</v>
      </c>
      <c r="N338" s="12">
        <v>8.5</v>
      </c>
      <c r="O338" s="12">
        <f t="shared" si="169"/>
        <v>3.5</v>
      </c>
      <c r="P338" s="11">
        <f>LOOKUP(O338,{0,0.5,0.7,0.9,1.1,1.3,1.5,1.7,1.9,2.1,2.3,2.5,2.7,2.9,3.1,3.3,3.5,3.8,4.1,4.2,4.3},{0,10,20,30,40,50,60,62,64,66,68,70,72,74,76,78,80,85,90,95,100})</f>
        <v>80</v>
      </c>
      <c r="Q338" s="12">
        <v>3.42</v>
      </c>
      <c r="R338" s="12">
        <f t="shared" si="170"/>
        <v>6.58</v>
      </c>
      <c r="S338" s="11">
        <f>LOOKUP(R338,{0,4.72,4.82,4.92,5.42,5.52,5.62,5.67,5.72,5.77,5.82,5.87,5.92,5.97,6.42,6.47,6.52,6.59,6.66,6.72,6.78},{0,10,20,30,40,50,60,62,64,66,68,70,72,74,76,78,80,85,90,95,100})</f>
        <v>80</v>
      </c>
      <c r="T338" s="12"/>
      <c r="U338" s="12"/>
      <c r="V338" s="12">
        <f t="shared" si="171"/>
        <v>80</v>
      </c>
      <c r="W338" s="12"/>
      <c r="X338" s="20">
        <f t="shared" si="161"/>
        <v>55.1</v>
      </c>
      <c r="Y338" s="20">
        <f t="shared" si="172"/>
        <v>78.7142857142857</v>
      </c>
    </row>
    <row r="339" ht="15.6" outlineLevel="1" collapsed="1" spans="1:25">
      <c r="A339" s="14" t="s">
        <v>869</v>
      </c>
      <c r="B339" s="12"/>
      <c r="C339" s="6"/>
      <c r="D339" s="6"/>
      <c r="E339" s="12"/>
      <c r="F339" s="11">
        <f>SUBTOTAL(1,F296:F338)</f>
        <v>82.780487804878</v>
      </c>
      <c r="G339" s="12"/>
      <c r="H339" s="11">
        <f>SUBTOTAL(1,H296:H338)</f>
        <v>73.4878048780488</v>
      </c>
      <c r="I339" s="12"/>
      <c r="J339" s="11">
        <f>SUBTOTAL(1,J296:J338)</f>
        <v>84.4878048780488</v>
      </c>
      <c r="K339" s="12"/>
      <c r="L339" s="12"/>
      <c r="M339" s="12">
        <f>SUBTOTAL(1,M296:M338)</f>
        <v>84.7560975609756</v>
      </c>
      <c r="N339" s="12"/>
      <c r="O339" s="12"/>
      <c r="P339" s="11">
        <f>SUBTOTAL(1,P296:P338)</f>
        <v>76.9</v>
      </c>
      <c r="Q339" s="12"/>
      <c r="R339" s="12"/>
      <c r="S339" s="11">
        <f>SUBTOTAL(1,S296:S338)</f>
        <v>78.8780487804878</v>
      </c>
      <c r="T339" s="12"/>
      <c r="U339" s="12"/>
      <c r="V339" s="12">
        <f>SUBTOTAL(1,V296:V338)</f>
        <v>78.8780487804878</v>
      </c>
      <c r="W339" s="12"/>
      <c r="X339" s="20">
        <f>SUBTOTAL(1,X296:X338)</f>
        <v>52.3046511627907</v>
      </c>
      <c r="Y339" s="20">
        <f>SUBTOTAL(1,Y296:Y338)</f>
        <v>77.3023255813953</v>
      </c>
    </row>
    <row r="340" ht="15.6" spans="1:25">
      <c r="A340" s="14" t="s">
        <v>870</v>
      </c>
      <c r="B340" s="12"/>
      <c r="C340" s="6"/>
      <c r="D340" s="6"/>
      <c r="E340" s="12"/>
      <c r="F340" s="11">
        <f>SUBTOTAL(1,F2:F338)</f>
        <v>83.9054054054054</v>
      </c>
      <c r="G340" s="12"/>
      <c r="H340" s="11">
        <f>SUBTOTAL(1,H2:H338)</f>
        <v>79.4169491525424</v>
      </c>
      <c r="I340" s="12"/>
      <c r="J340" s="11">
        <f>SUBTOTAL(1,J2:J338)</f>
        <v>85.7736486486486</v>
      </c>
      <c r="K340" s="12"/>
      <c r="L340" s="12"/>
      <c r="M340" s="12">
        <f>SUBTOTAL(1,M2:M338)</f>
        <v>86.0675675675676</v>
      </c>
      <c r="N340" s="12"/>
      <c r="O340" s="12"/>
      <c r="P340" s="11">
        <f>SUBTOTAL(1,P2:P338)</f>
        <v>78.4607508532423</v>
      </c>
      <c r="Q340" s="12"/>
      <c r="R340" s="12"/>
      <c r="S340" s="11">
        <f>SUBTOTAL(1,S2:S338)</f>
        <v>82.4620689655172</v>
      </c>
      <c r="T340" s="12"/>
      <c r="U340" s="12"/>
      <c r="V340" s="12">
        <f>SUBTOTAL(1,V2:V338)</f>
        <v>82.5758620689655</v>
      </c>
      <c r="W340" s="12"/>
      <c r="X340" s="20">
        <f>SUBTOTAL(1,X2:X338)</f>
        <v>51.8448916408669</v>
      </c>
      <c r="Y340" s="20">
        <f>SUBTOTAL(1,Y2:Y338)</f>
        <v>78.5426802299868</v>
      </c>
    </row>
    <row r="341" spans="3:4">
      <c r="C341" s="24"/>
      <c r="D341" s="25"/>
    </row>
    <row r="342" s="1" customFormat="1" spans="1:24">
      <c r="A342" s="4"/>
      <c r="B342" s="4"/>
      <c r="C342" s="24"/>
      <c r="D342" s="2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5"/>
    </row>
    <row r="343" spans="3:4">
      <c r="C343" s="24"/>
      <c r="D343" s="25"/>
    </row>
    <row r="344" spans="3:4">
      <c r="C344" s="24"/>
      <c r="D344" s="25"/>
    </row>
    <row r="345" spans="3:4">
      <c r="C345" s="24"/>
      <c r="D345" s="25"/>
    </row>
    <row r="346" spans="3:4">
      <c r="C346" s="24"/>
      <c r="D346" s="25"/>
    </row>
    <row r="347" spans="3:4">
      <c r="C347" s="24"/>
      <c r="D347" s="25"/>
    </row>
    <row r="348" spans="3:4">
      <c r="C348" s="24"/>
      <c r="D348" s="25"/>
    </row>
    <row r="349" spans="3:4">
      <c r="C349" s="24"/>
      <c r="D349" s="25"/>
    </row>
    <row r="350" spans="3:4">
      <c r="C350" s="24"/>
      <c r="D350" s="25"/>
    </row>
    <row r="351" spans="3:4">
      <c r="C351" s="24"/>
      <c r="D351" s="25"/>
    </row>
    <row r="352" spans="3:4">
      <c r="C352" s="24"/>
      <c r="D352" s="25"/>
    </row>
    <row r="353" spans="3:4">
      <c r="C353" s="24"/>
      <c r="D353" s="25"/>
    </row>
    <row r="354" spans="3:4">
      <c r="C354" s="24"/>
      <c r="D354" s="25"/>
    </row>
    <row r="355" spans="3:4">
      <c r="C355" s="24"/>
      <c r="D355" s="25"/>
    </row>
    <row r="356" s="1" customFormat="1" spans="1:23">
      <c r="A356" s="4"/>
      <c r="B356" s="4"/>
      <c r="C356" s="24"/>
      <c r="D356" s="2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3:4">
      <c r="C357" s="24"/>
      <c r="D357" s="25"/>
    </row>
    <row r="358" spans="3:4">
      <c r="C358" s="24"/>
      <c r="D358" s="25"/>
    </row>
    <row r="359" spans="3:4">
      <c r="C359" s="24"/>
      <c r="D359" s="25"/>
    </row>
    <row r="361" spans="3:4">
      <c r="C361" s="24"/>
      <c r="D361" s="25"/>
    </row>
    <row r="362" spans="3:4">
      <c r="C362" s="24"/>
      <c r="D362" s="25"/>
    </row>
    <row r="363" spans="3:4">
      <c r="C363" s="24"/>
      <c r="D363" s="25"/>
    </row>
    <row r="364" spans="3:4">
      <c r="C364" s="24"/>
      <c r="D364" s="25"/>
    </row>
    <row r="365" spans="3:4">
      <c r="C365" s="24"/>
      <c r="D365" s="25"/>
    </row>
    <row r="366" spans="3:4">
      <c r="C366" s="24"/>
      <c r="D366" s="25"/>
    </row>
    <row r="367" spans="3:4">
      <c r="C367" s="24"/>
      <c r="D367" s="25"/>
    </row>
    <row r="368" spans="3:4">
      <c r="C368" s="24"/>
      <c r="D368" s="25"/>
    </row>
    <row r="369" spans="3:4">
      <c r="C369" s="24"/>
      <c r="D369" s="25"/>
    </row>
    <row r="370" spans="3:4">
      <c r="C370" s="24"/>
      <c r="D370" s="25"/>
    </row>
    <row r="371" spans="3:4">
      <c r="C371" s="24"/>
      <c r="D371" s="25"/>
    </row>
    <row r="372" spans="3:4">
      <c r="C372" s="24"/>
      <c r="D372" s="25"/>
    </row>
    <row r="373" spans="3:4">
      <c r="C373" s="24"/>
      <c r="D373" s="25"/>
    </row>
    <row r="374" spans="3:4">
      <c r="C374" s="24"/>
      <c r="D374" s="25"/>
    </row>
    <row r="375" spans="3:4">
      <c r="C375" s="24"/>
      <c r="D375" s="25"/>
    </row>
    <row r="376" spans="3:4">
      <c r="C376" s="24"/>
      <c r="D376" s="25"/>
    </row>
    <row r="377" s="1" customFormat="1" spans="1:23">
      <c r="A377" s="4"/>
      <c r="B377" s="4"/>
      <c r="C377" s="24"/>
      <c r="D377" s="2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3:4">
      <c r="C378" s="24"/>
      <c r="D378" s="25"/>
    </row>
    <row r="379" spans="3:4">
      <c r="C379" s="24"/>
      <c r="D379" s="25"/>
    </row>
    <row r="380" spans="3:4">
      <c r="C380" s="24"/>
      <c r="D380" s="25"/>
    </row>
    <row r="381" spans="3:4">
      <c r="C381" s="24"/>
      <c r="D381" s="25"/>
    </row>
    <row r="382" spans="3:4">
      <c r="C382" s="24"/>
      <c r="D382" s="25"/>
    </row>
    <row r="384" spans="3:4">
      <c r="C384" s="24"/>
      <c r="D384" s="25"/>
    </row>
    <row r="385" spans="3:4">
      <c r="C385" s="24"/>
      <c r="D385" s="25"/>
    </row>
    <row r="386" spans="3:4">
      <c r="C386" s="24"/>
      <c r="D386" s="25"/>
    </row>
    <row r="387" spans="3:4">
      <c r="C387" s="24"/>
      <c r="D387" s="25"/>
    </row>
    <row r="388" spans="3:4">
      <c r="C388" s="24"/>
      <c r="D388" s="25"/>
    </row>
    <row r="389" spans="3:4">
      <c r="C389" s="24"/>
      <c r="D389" s="25"/>
    </row>
    <row r="390" spans="3:4">
      <c r="C390" s="24"/>
      <c r="D390" s="25"/>
    </row>
    <row r="391" s="1" customFormat="1" spans="1:23">
      <c r="A391" s="4"/>
      <c r="B391" s="4"/>
      <c r="C391" s="24"/>
      <c r="D391" s="2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3:4">
      <c r="C392" s="24"/>
      <c r="D392" s="25"/>
    </row>
    <row r="394" spans="3:4">
      <c r="C394" s="24"/>
      <c r="D394" s="25"/>
    </row>
    <row r="395" spans="3:4">
      <c r="C395" s="24"/>
      <c r="D395" s="25"/>
    </row>
    <row r="398" spans="3:4">
      <c r="C398" s="24"/>
      <c r="D398" s="25"/>
    </row>
    <row r="401" spans="1:23">
      <c r="A401" s="24"/>
      <c r="B401" s="26"/>
      <c r="C401" s="27"/>
      <c r="D401" s="27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6"/>
      <c r="S401" s="26"/>
      <c r="T401" s="26"/>
      <c r="U401" s="26"/>
      <c r="V401" s="26"/>
      <c r="W401" s="26"/>
    </row>
    <row r="403" spans="3:4">
      <c r="C403" s="24"/>
      <c r="D403" s="25"/>
    </row>
    <row r="404" spans="3:4">
      <c r="C404" s="24"/>
      <c r="D404" s="25"/>
    </row>
    <row r="405" spans="3:4">
      <c r="C405" s="24"/>
      <c r="D405" s="25"/>
    </row>
    <row r="406" spans="3:4">
      <c r="C406" s="24"/>
      <c r="D406" s="25"/>
    </row>
    <row r="407" spans="3:4">
      <c r="C407" s="24"/>
      <c r="D407" s="25"/>
    </row>
    <row r="408" spans="3:4">
      <c r="C408" s="24"/>
      <c r="D408" s="25"/>
    </row>
    <row r="409" spans="3:4">
      <c r="C409" s="24"/>
      <c r="D409" s="25"/>
    </row>
    <row r="410" spans="3:4">
      <c r="C410" s="24"/>
      <c r="D410" s="25"/>
    </row>
    <row r="411" spans="3:4">
      <c r="C411" s="24"/>
      <c r="D411" s="25"/>
    </row>
    <row r="412" s="1" customFormat="1" spans="1:23">
      <c r="A412" s="4"/>
      <c r="B412" s="4"/>
      <c r="C412" s="24"/>
      <c r="D412" s="2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3:4">
      <c r="C413" s="24"/>
      <c r="D413" s="25"/>
    </row>
    <row r="414" spans="3:4">
      <c r="C414" s="24"/>
      <c r="D414" s="25"/>
    </row>
    <row r="415" spans="3:4">
      <c r="C415" s="24"/>
      <c r="D415" s="25"/>
    </row>
    <row r="417" spans="3:4">
      <c r="C417" s="24"/>
      <c r="D417" s="25"/>
    </row>
    <row r="418" spans="3:4">
      <c r="C418" s="24"/>
      <c r="D418" s="25"/>
    </row>
    <row r="419" spans="3:4">
      <c r="C419" s="24"/>
      <c r="D419" s="25"/>
    </row>
    <row r="420" spans="3:4">
      <c r="C420" s="24"/>
      <c r="D420" s="25"/>
    </row>
    <row r="421" spans="3:4">
      <c r="C421" s="24"/>
      <c r="D421" s="25"/>
    </row>
    <row r="422" spans="3:4">
      <c r="C422" s="24"/>
      <c r="D422" s="25"/>
    </row>
    <row r="423" spans="3:4">
      <c r="C423" s="24"/>
      <c r="D423" s="25"/>
    </row>
    <row r="424" spans="3:4">
      <c r="C424" s="24"/>
      <c r="D424" s="25"/>
    </row>
    <row r="425" spans="3:4">
      <c r="C425" s="24"/>
      <c r="D425" s="25"/>
    </row>
    <row r="426" s="1" customFormat="1" spans="1:23">
      <c r="A426" s="4"/>
      <c r="B426" s="4"/>
      <c r="C426" s="24"/>
      <c r="D426" s="2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3:4">
      <c r="C427" s="24"/>
      <c r="D427" s="25"/>
    </row>
    <row r="428" spans="3:4">
      <c r="C428" s="24"/>
      <c r="D428" s="25"/>
    </row>
    <row r="430" spans="3:4">
      <c r="C430" s="24"/>
      <c r="D430" s="25"/>
    </row>
    <row r="432" spans="3:4">
      <c r="C432" s="26"/>
      <c r="D432" s="26"/>
    </row>
    <row r="440" spans="3:4">
      <c r="C440" s="24"/>
      <c r="D440" s="25"/>
    </row>
    <row r="441" spans="3:4">
      <c r="C441" s="24"/>
      <c r="D441" s="25"/>
    </row>
    <row r="442" spans="3:4">
      <c r="C442" s="24"/>
      <c r="D442" s="25"/>
    </row>
    <row r="443" spans="3:4">
      <c r="C443" s="24"/>
      <c r="D443" s="25"/>
    </row>
    <row r="444" spans="3:4">
      <c r="C444" s="24"/>
      <c r="D444" s="25"/>
    </row>
    <row r="445" spans="3:4">
      <c r="C445" s="24"/>
      <c r="D445" s="25"/>
    </row>
    <row r="446" s="1" customFormat="1" spans="1:23">
      <c r="A446" s="4"/>
      <c r="B446" s="4"/>
      <c r="C446" s="24"/>
      <c r="D446" s="2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56" spans="3:4">
      <c r="C456" s="24"/>
      <c r="D456" s="25"/>
    </row>
    <row r="457" spans="3:4">
      <c r="C457" s="24"/>
      <c r="D457" s="25"/>
    </row>
    <row r="458" spans="3:4">
      <c r="C458" s="24"/>
      <c r="D458" s="25"/>
    </row>
    <row r="459" spans="3:4">
      <c r="C459" s="24"/>
      <c r="D459" s="25"/>
    </row>
    <row r="460" spans="3:4">
      <c r="C460" s="24"/>
      <c r="D460" s="25"/>
    </row>
    <row r="461" s="1" customFormat="1" spans="1:23">
      <c r="A461" s="4"/>
      <c r="B461" s="4"/>
      <c r="C461" s="24"/>
      <c r="D461" s="2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3:4">
      <c r="C462" s="24"/>
      <c r="D462" s="25"/>
    </row>
    <row r="465" spans="3:4">
      <c r="C465" s="24"/>
      <c r="D465" s="25"/>
    </row>
    <row r="466" spans="3:4">
      <c r="C466" s="24"/>
      <c r="D466" s="25"/>
    </row>
    <row r="474" spans="3:4">
      <c r="C474" s="24"/>
      <c r="D474" s="25"/>
    </row>
    <row r="484" s="1" customFormat="1" spans="1:23">
      <c r="A484" s="4"/>
      <c r="B484" s="4"/>
      <c r="C484" s="24"/>
      <c r="D484" s="2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3:4">
      <c r="C485" s="24"/>
      <c r="D485" s="25"/>
    </row>
    <row r="486" spans="3:4">
      <c r="C486" s="24"/>
      <c r="D486" s="25"/>
    </row>
    <row r="487" spans="3:4">
      <c r="C487" s="24"/>
      <c r="D487" s="25"/>
    </row>
    <row r="488" spans="3:4">
      <c r="C488" s="24"/>
      <c r="D488" s="25"/>
    </row>
    <row r="489" spans="3:4">
      <c r="C489" s="24"/>
      <c r="D489" s="25"/>
    </row>
    <row r="490" spans="3:4">
      <c r="C490" s="24"/>
      <c r="D490" s="25"/>
    </row>
    <row r="491" spans="3:4">
      <c r="C491" s="24"/>
      <c r="D491" s="25"/>
    </row>
    <row r="492" spans="3:4">
      <c r="C492" s="24"/>
      <c r="D492" s="25"/>
    </row>
    <row r="494" spans="3:4">
      <c r="C494" s="24"/>
      <c r="D494" s="25"/>
    </row>
    <row r="495" spans="3:4">
      <c r="C495" s="24"/>
      <c r="D495" s="25"/>
    </row>
    <row r="496" s="1" customFormat="1" spans="1:2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9" spans="3:4">
      <c r="C499" s="24"/>
      <c r="D499" s="25"/>
    </row>
    <row r="500" spans="3:4">
      <c r="C500" s="24"/>
      <c r="D500" s="25"/>
    </row>
    <row r="501" spans="3:4">
      <c r="C501" s="24"/>
      <c r="D501" s="25"/>
    </row>
    <row r="502" spans="3:4">
      <c r="C502" s="24"/>
      <c r="D502" s="25"/>
    </row>
    <row r="503" spans="3:4">
      <c r="C503" s="24"/>
      <c r="D503" s="25"/>
    </row>
    <row r="504" spans="3:4">
      <c r="C504" s="24"/>
      <c r="D504" s="25"/>
    </row>
    <row r="505" spans="3:4">
      <c r="C505" s="24"/>
      <c r="D505" s="25"/>
    </row>
    <row r="506" spans="3:4">
      <c r="C506" s="24"/>
      <c r="D506" s="25"/>
    </row>
    <row r="507" spans="3:4">
      <c r="C507" s="24"/>
      <c r="D507" s="25"/>
    </row>
    <row r="508" spans="3:4">
      <c r="C508" s="24"/>
      <c r="D508" s="25"/>
    </row>
    <row r="514" spans="3:4">
      <c r="C514" s="24"/>
      <c r="D514" s="25"/>
    </row>
    <row r="515" spans="3:4">
      <c r="C515" s="24"/>
      <c r="D515" s="25"/>
    </row>
    <row r="516" s="1" customFormat="1" spans="1:23">
      <c r="A516" s="4"/>
      <c r="B516" s="4"/>
      <c r="C516" s="24"/>
      <c r="D516" s="2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3:4">
      <c r="C517" s="24"/>
      <c r="D517" s="25"/>
    </row>
    <row r="518" spans="3:4">
      <c r="C518" s="24"/>
      <c r="D518" s="25"/>
    </row>
    <row r="519" spans="3:4">
      <c r="C519" s="24"/>
      <c r="D519" s="25"/>
    </row>
    <row r="520" spans="3:4">
      <c r="C520" s="24"/>
      <c r="D520" s="25"/>
    </row>
    <row r="521" spans="3:4">
      <c r="C521" s="24"/>
      <c r="D521" s="25"/>
    </row>
    <row r="522" spans="3:4">
      <c r="C522" s="24"/>
      <c r="D522" s="25"/>
    </row>
    <row r="523" spans="3:4">
      <c r="C523" s="24"/>
      <c r="D523" s="25"/>
    </row>
    <row r="524" spans="3:4">
      <c r="C524" s="24"/>
      <c r="D524" s="25"/>
    </row>
    <row r="525" spans="3:4">
      <c r="C525" s="24"/>
      <c r="D525" s="25"/>
    </row>
    <row r="527" spans="3:4">
      <c r="C527" s="24"/>
      <c r="D527" s="25"/>
    </row>
    <row r="528" spans="3:4">
      <c r="C528" s="24"/>
      <c r="D528" s="25"/>
    </row>
    <row r="529" spans="3:4">
      <c r="C529" s="24"/>
      <c r="D529" s="25"/>
    </row>
    <row r="530" spans="3:4">
      <c r="C530" s="24"/>
      <c r="D530" s="25"/>
    </row>
    <row r="531" s="1" customFormat="1" spans="1:23">
      <c r="A531" s="4"/>
      <c r="B531" s="4"/>
      <c r="C531" s="24"/>
      <c r="D531" s="2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3:4">
      <c r="C532" s="24"/>
      <c r="D532" s="25"/>
    </row>
    <row r="533" spans="3:4">
      <c r="C533" s="24"/>
      <c r="D533" s="25"/>
    </row>
    <row r="534" spans="3:4">
      <c r="C534" s="24"/>
      <c r="D534" s="25"/>
    </row>
    <row r="538" spans="3:4">
      <c r="C538" s="24"/>
      <c r="D538" s="25"/>
    </row>
    <row r="539" spans="3:4">
      <c r="C539" s="24"/>
      <c r="D539" s="25"/>
    </row>
    <row r="540" spans="3:4">
      <c r="C540" s="24"/>
      <c r="D540" s="25"/>
    </row>
    <row r="541" spans="3:4">
      <c r="C541" s="24"/>
      <c r="D541" s="25"/>
    </row>
    <row r="542" spans="3:4">
      <c r="C542" s="24"/>
      <c r="D542" s="25"/>
    </row>
    <row r="543" spans="3:4">
      <c r="C543" s="24"/>
      <c r="D543" s="25"/>
    </row>
    <row r="544" spans="3:4">
      <c r="C544" s="24"/>
      <c r="D544" s="25"/>
    </row>
    <row r="545" spans="3:4">
      <c r="C545" s="24"/>
      <c r="D545" s="25"/>
    </row>
    <row r="546" spans="3:4">
      <c r="C546" s="24"/>
      <c r="D546" s="25"/>
    </row>
    <row r="547" spans="3:4">
      <c r="C547" s="24"/>
      <c r="D547" s="25"/>
    </row>
    <row r="550" spans="3:4">
      <c r="C550" s="24"/>
      <c r="D550" s="25"/>
    </row>
    <row r="551" spans="3:4">
      <c r="C551" s="24"/>
      <c r="D551" s="25"/>
    </row>
    <row r="552" spans="3:4">
      <c r="C552" s="24"/>
      <c r="D552" s="25"/>
    </row>
    <row r="553" s="1" customFormat="1" spans="1:23">
      <c r="A553" s="4"/>
      <c r="B553" s="4"/>
      <c r="C553" s="24"/>
      <c r="D553" s="2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3:4">
      <c r="C554" s="24"/>
      <c r="D554" s="25"/>
    </row>
    <row r="555" spans="3:4">
      <c r="C555" s="24"/>
      <c r="D555" s="25"/>
    </row>
    <row r="556" spans="3:4">
      <c r="C556" s="24"/>
      <c r="D556" s="25"/>
    </row>
    <row r="564" customFormat="1" spans="1:2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customFormat="1" spans="1:2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="1" customFormat="1" spans="1:2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8" spans="3:4">
      <c r="C568" s="24"/>
      <c r="D568" s="25"/>
    </row>
    <row r="569" spans="3:4">
      <c r="C569" s="24"/>
      <c r="D569" s="25"/>
    </row>
    <row r="570" spans="3:4">
      <c r="C570" s="24"/>
      <c r="D570" s="25"/>
    </row>
    <row r="571" spans="3:4">
      <c r="C571" s="24"/>
      <c r="D571" s="25"/>
    </row>
    <row r="572" spans="3:4">
      <c r="C572" s="24"/>
      <c r="D572" s="25"/>
    </row>
    <row r="573" spans="3:4">
      <c r="C573" s="24"/>
      <c r="D573" s="25"/>
    </row>
    <row r="574" spans="3:4">
      <c r="C574" s="24"/>
      <c r="D574" s="25"/>
    </row>
    <row r="575" spans="3:4">
      <c r="C575" s="24"/>
      <c r="D575" s="25"/>
    </row>
    <row r="576" spans="3:4">
      <c r="C576" s="24"/>
      <c r="D576" s="25"/>
    </row>
    <row r="577" spans="3:4">
      <c r="C577" s="24"/>
      <c r="D577" s="25"/>
    </row>
    <row r="578" spans="3:4">
      <c r="C578" s="24"/>
      <c r="D578" s="25"/>
    </row>
    <row r="581" spans="3:4">
      <c r="C581" s="24"/>
      <c r="D581" s="25"/>
    </row>
    <row r="582" spans="3:4">
      <c r="C582" s="24"/>
      <c r="D582" s="25"/>
    </row>
    <row r="583" spans="3:4">
      <c r="C583" s="24"/>
      <c r="D583" s="25"/>
    </row>
    <row r="584" spans="3:4">
      <c r="C584" s="24"/>
      <c r="D584" s="25"/>
    </row>
    <row r="585" spans="3:4">
      <c r="C585" s="24"/>
      <c r="D585" s="25"/>
    </row>
    <row r="586" spans="3:4">
      <c r="C586" s="24"/>
      <c r="D586" s="25"/>
    </row>
    <row r="587" spans="3:4">
      <c r="C587" s="24"/>
      <c r="D587" s="25"/>
    </row>
    <row r="588" s="1" customFormat="1" spans="1:2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92" spans="3:4">
      <c r="C592" s="24"/>
      <c r="D592" s="25"/>
    </row>
    <row r="593" spans="3:4">
      <c r="C593" s="24"/>
      <c r="D593" s="25"/>
    </row>
    <row r="594" spans="3:4">
      <c r="C594" s="24"/>
      <c r="D594" s="25"/>
    </row>
    <row r="595" spans="3:4">
      <c r="C595" s="24"/>
      <c r="D595" s="25"/>
    </row>
    <row r="596" spans="3:4">
      <c r="C596" s="24"/>
      <c r="D596" s="25"/>
    </row>
    <row r="597" spans="3:4">
      <c r="C597" s="24"/>
      <c r="D597" s="25"/>
    </row>
    <row r="598" spans="3:4">
      <c r="C598" s="24"/>
      <c r="D598" s="25"/>
    </row>
    <row r="600" spans="3:4">
      <c r="C600" s="24"/>
      <c r="D600" s="25"/>
    </row>
    <row r="601" s="1" customFormat="1" spans="1:23">
      <c r="A601" s="4"/>
      <c r="B601" s="4"/>
      <c r="C601" s="24"/>
      <c r="D601" s="2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3:4">
      <c r="C602" s="24"/>
      <c r="D602" s="25"/>
    </row>
    <row r="603" spans="3:4">
      <c r="C603" s="24"/>
      <c r="D603" s="25"/>
    </row>
    <row r="604" spans="3:4">
      <c r="C604" s="24"/>
      <c r="D604" s="25"/>
    </row>
    <row r="605" spans="3:4">
      <c r="C605" s="24"/>
      <c r="D605" s="25"/>
    </row>
    <row r="606" spans="3:4">
      <c r="C606" s="24"/>
      <c r="D606" s="25"/>
    </row>
    <row r="607" spans="3:4">
      <c r="C607" s="24"/>
      <c r="D607" s="25"/>
    </row>
    <row r="608" spans="3:4">
      <c r="C608" s="24"/>
      <c r="D608" s="25"/>
    </row>
    <row r="609" spans="3:4">
      <c r="C609" s="24"/>
      <c r="D609" s="25"/>
    </row>
    <row r="610" spans="3:4">
      <c r="C610" s="24"/>
      <c r="D610" s="25"/>
    </row>
  </sheetData>
  <autoFilter ref="A1:Y339">
    <extLst/>
  </autoFilter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高二原始数据</vt:lpstr>
      <vt:lpstr>高二成绩</vt:lpstr>
      <vt:lpstr>高二平均成绩 (2)</vt:lpstr>
      <vt:lpstr>男平均</vt:lpstr>
      <vt:lpstr>女平均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shereid</dc:creator>
  <cp:lastModifiedBy>50616</cp:lastModifiedBy>
  <dcterms:created xsi:type="dcterms:W3CDTF">2023-05-14T11:55:00Z</dcterms:created>
  <dcterms:modified xsi:type="dcterms:W3CDTF">2023-05-17T03:11:30Z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FD1E37D67846426AAE8E940A0938A289_11</vt:lpwstr>
  </property>
  <property fmtid="{D5CDD505-2E9C-101B-9397-08002B2CF9AE}" pid="3" name="KSOProductBuildVer">
    <vt:lpwstr>2052-11.1.0.14309</vt:lpwstr>
  </property>
</Properties>
</file>